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17 Juin 2026" sheetId="3" r:id="rId4"/>
  </sheets>
  <calcPr fullCalcOnLoad="1"/>
</workbook>
</file>

<file path=xl/sharedStrings.xml><?xml version="1.0" encoding="utf-8"?>
<sst xmlns="http://schemas.openxmlformats.org/spreadsheetml/2006/main" count="208" uniqueCount="208">
  <si>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</si>
  <si>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</si>
  <si>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</si>
  <si>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</si>
  <si>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</si>
  <si>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</si>
  <si>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</si>
  <si>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</si>
  <si>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</si>
  <si>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</si>
  <si>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</si>
  <si>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</si>
  <si>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</si>
  <si>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</si>
  <si>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</si>
  <si>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</si>
  <si>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</si>
  <si>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</si>
  <si>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</si>
  <si>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</si>
  <si>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</si>
  <si>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</si>
  <si>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</si>
  <si>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</si>
  <si>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</si>
  <si>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</si>
  <si>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</si>
  <si>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</si>
  <si>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</si>
  <si>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</si>
  <si>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</si>
  <si>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</si>
  <si>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</si>
  <si>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</si>
  <si>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</si>
  <si>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</si>
  <si>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</si>
  <si>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</si>
  <si>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</si>
  <si>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</si>
  <si>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</si>
  <si>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</si>
  <si>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</si>
  <si>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</si>
  <si>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</si>
  <si>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</si>
  <si>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</si>
  <si>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</si>
  <si>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</si>
  <si>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</si>
  <si>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</si>
  <si>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</si>
  <si>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</si>
  <si>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</si>
  <si>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</si>
  <si>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</si>
  <si>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</si>
  <si>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</si>
  <si>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</si>
  <si>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</si>
  <si>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</si>
  <si>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</si>
  <si>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</si>
  <si>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</si>
  <si>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</si>
  <si>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</si>
  <si>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</si>
  <si>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</si>
  <si>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</si>
  <si>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</si>
  <si>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</si>
  <si>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</si>
  <si>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</si>
  <si>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</si>
  <si>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</si>
  <si>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</si>
  <si>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</si>
  <si>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</si>
  <si>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</si>
  <si>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</si>
  <si>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</si>
  <si>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</si>
  <si>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</si>
  <si>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</si>
  <si>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</si>
  <si>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</si>
  <si>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</si>
  <si>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</si>
  <si>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</si>
  <si>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</si>
  <si>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</si>
  <si>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</si>
  <si>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</si>
  <si>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</si>
  <si>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</si>
  <si>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</si>
  <si>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</si>
  <si>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</si>
  <si>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</si>
  <si>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</si>
  <si>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53291</t>
  </si>
  <si>
    <t>Camping Aquarius</t>
  </si>
  <si>
    <t>Espagne</t>
  </si>
  <si>
    <t>Catalogne</t>
  </si>
  <si>
    <t>Gérone</t>
  </si>
  <si>
    <t>Pack E-Trafic</t>
  </si>
  <si>
    <t>Pack E-Trafic Campingdirect</t>
  </si>
  <si>
    <t>Arsenio Carrasco</t>
  </si>
  <si>
    <t>Jose Alvaro</t>
  </si>
  <si>
    <t>joalarseni2@gmail.com</t>
  </si>
  <si>
    <t>oui</t>
  </si>
  <si>
    <t>620824363</t>
  </si>
  <si>
    <t>Calle Sant Jaume 32 primero primera</t>
  </si>
  <si>
    <t>08788</t>
  </si>
  <si>
    <t>Vilanova del Cami</t>
  </si>
  <si>
    <t>ES</t>
  </si>
  <si>
    <t/>
  </si>
  <si>
    <t>Quintana Doncel 11/09/1973 | Alex Arsenio doncel 04/04/1991 | Ariadna Arsenio doncel 15/06/2015</t>
  </si>
  <si>
    <t>4</t>
  </si>
  <si>
    <t>Camping car : 7x2,8m</t>
  </si>
  <si>
    <t>Emplacement</t>
  </si>
  <si>
    <t>Parcela A+ (100/110 m²) toma de agua/desagüe 1/6 pers.</t>
  </si>
  <si>
    <t xml:space="preserve">63 | Niño - 12 años | 1 | 0_x000D_
442 | Adulto | 1 | 18,8</t>
  </si>
  <si>
    <t>Tabla PMS</t>
  </si>
  <si>
    <t>€</t>
  </si>
  <si>
    <t>NationalBankTransfert</t>
  </si>
  <si>
    <t>YES</t>
  </si>
  <si>
    <t>1</t>
  </si>
  <si>
    <t>Quintana Doncel 11/09/1973 | Alex Arsenio doncel 04/04/1991 | Ariadna Arsenio doncel 20/06/2015</t>
  </si>
  <si>
    <t>Camping au Bord de l'Aisne</t>
  </si>
  <si>
    <t>France</t>
  </si>
  <si>
    <t>Hauts-de-France</t>
  </si>
  <si>
    <t>Aisne</t>
  </si>
  <si>
    <t>Miettinen</t>
  </si>
  <si>
    <t>Mika</t>
  </si>
  <si>
    <t>miettinenmika99@gmail.com</t>
  </si>
  <si>
    <t>0405558034</t>
  </si>
  <si>
    <t>Vuorenlahdentie 25</t>
  </si>
  <si>
    <t>40950</t>
  </si>
  <si>
    <t>Muurame</t>
  </si>
  <si>
    <t>FI</t>
  </si>
  <si>
    <t>EN</t>
  </si>
  <si>
    <t>Hanna Miettinen 13/06/1977 | Emma Miettinen 23/02/2013</t>
  </si>
  <si>
    <t>3</t>
  </si>
  <si>
    <t>Camping car : 2,5x7,5m</t>
  </si>
  <si>
    <t>Emplacement + 1 véhicule + accès piscine 1/6 pers.</t>
  </si>
  <si>
    <t>23 | Electricity 10A | 1 | 18</t>
  </si>
  <si>
    <t>11 | Additional adult | 2 | 28,74</t>
  </si>
  <si>
    <t>TARIFICATION A LA NUITÉE</t>
  </si>
  <si>
    <t>Visa</t>
  </si>
  <si>
    <t>0</t>
  </si>
  <si>
    <t>33320</t>
  </si>
  <si>
    <t>Camping Naturiste Arnaoutchot</t>
  </si>
  <si>
    <t>Nouvelle-Aquitaine</t>
  </si>
  <si>
    <t>Landes</t>
  </si>
  <si>
    <t>Nauta</t>
  </si>
  <si>
    <t>Dorine</t>
  </si>
  <si>
    <t>dnauta@laposte.net</t>
  </si>
  <si>
    <t>06 26 177 505</t>
  </si>
  <si>
    <t>Guillot</t>
  </si>
  <si>
    <t>32350</t>
  </si>
  <si>
    <t>Saint Arailles</t>
  </si>
  <si>
    <t>FR</t>
  </si>
  <si>
    <t>Reinout Nauta 19/04/1954</t>
  </si>
  <si>
    <t>2</t>
  </si>
  <si>
    <t>Van aménagé / Campervan : 5,1x2,2m</t>
  </si>
  <si>
    <t>Emplacement Standard 1/6 pers.</t>
  </si>
  <si>
    <t>TARIFICATION A LA NUITÉE -</t>
  </si>
  <si>
    <t>48702</t>
  </si>
  <si>
    <t>Camping Campix</t>
  </si>
  <si>
    <t>Oise</t>
  </si>
  <si>
    <t>JEGADEN</t>
  </si>
  <si>
    <t>Christine</t>
  </si>
  <si>
    <t>crila3p22@gmail.com</t>
  </si>
  <si>
    <t>non</t>
  </si>
  <si>
    <t>0632450105</t>
  </si>
  <si>
    <t>37 Route De Randreus</t>
  </si>
  <si>
    <t>22700</t>
  </si>
  <si>
    <t>Perros Guirec</t>
  </si>
  <si>
    <t>Patrick JEGADEN 27/01/1954 | Aymeric LE ROUX 13/11/2009 | Sterenn LE ROUX 26/04/2013</t>
  </si>
  <si>
    <t>Location</t>
  </si>
  <si>
    <t>Roulotte 4 pers.</t>
  </si>
  <si>
    <t>Total</t>
  </si>
  <si>
    <t>Bookings</t>
  </si>
  <si>
    <t>CA</t>
  </si>
  <si>
    <t>Utilisateur SU</t>
  </si>
  <si>
    <t>Choix des dates</t>
  </si>
  <si>
    <t>Type de réservation</t>
  </si>
  <si>
    <t>Canaux de ventes</t>
  </si>
  <si>
    <t>Résultat</t>
  </si>
  <si>
    <t>Période d'achat</t>
  </si>
  <si>
    <t>Statut de la réservation</t>
  </si>
  <si>
    <t>Ventes du moteur</t>
  </si>
  <si>
    <t>Exporter vers Excel</t>
  </si>
  <si>
    <t>Langue des Tableaux</t>
  </si>
  <si>
    <t>Sauvegarde du profil</t>
  </si>
  <si>
    <t>User Monitoring #40</t>
  </si>
  <si>
    <t>16-Juin-2026 -&gt; 16-Juin-2026</t>
  </si>
  <si>
    <t>Réservations</t>
  </si>
  <si>
    <t>Pack E-Trafic Alcampeggio #1603</t>
  </si>
  <si>
    <t>DetailSales</t>
  </si>
  <si>
    <t>Pack Trafic</t>
  </si>
  <si>
    <t>Pack E-Trafic Camping2be.com #1104</t>
  </si>
  <si>
    <t>Par moteur</t>
  </si>
  <si>
    <t>Pack E-Trafic Campingdirect #703</t>
  </si>
  <si>
    <t>Pack E-Trafic Camping-streetview.com #1172</t>
  </si>
  <si>
    <t>Pack E-Trafic Ibericamp #1445</t>
  </si>
  <si>
    <t>Pack E-Trafic Ucamping.com #1552</t>
  </si>
</sst>
</file>

<file path=xl/styles.xml><?xml version="1.0" encoding="utf-8"?>
<styleSheet xmlns="http://schemas.openxmlformats.org/spreadsheetml/2006/main">
  <numFmts count="5">
    <numFmt numFmtId="164" formatCode="dd/MM/yyyy"/>
    <numFmt numFmtId="165" formatCode="dd/MM/yyyy hh:mm"/>
    <numFmt numFmtId="166" formatCode="# ##0.00"/>
    <numFmt numFmtId="167" formatCode="# ##0.00 €"/>
    <numFmt numFmtId="168" formatCode="# ##0 €"/>
  </numFmts>
  <fonts count="2">
    <font>
      <sz val="11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5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25">
    <xf numFmtId="0" fontId="0" xfId="0"/>
    <xf numFmtId="0" fontId="0" fillId="2" applyFill="1" borderId="3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4" applyBorder="1"/>
    <xf numFmtId="165" applyNumberFormat="1" fontId="0" fillId="3" applyFill="1" borderId="4" applyBorder="1"/>
    <xf numFmtId="0" fontId="0" fillId="3" applyFill="1" borderId="4" applyBorder="1" applyAlignment="1">
      <alignment horizontal="right"/>
    </xf>
    <xf numFmtId="164" applyNumberFormat="1" fontId="0" fillId="3" applyFill="1" borderId="4" applyBorder="1"/>
    <xf numFmtId="49" applyNumberFormat="1" fontId="0" fillId="3" applyFill="1" borderId="4" applyBorder="1"/>
    <xf numFmtId="0" fontId="0" fillId="3" applyFill="1" borderId="4" applyBorder="1">
      <alignment wrapText="1"/>
    </xf>
    <xf numFmtId="166" applyNumberFormat="1" fontId="0" fillId="3" applyFill="1" borderId="4" applyBorder="1"/>
    <xf numFmtId="0" fontId="1" applyFont="1" fillId="2" applyFill="1" borderId="2" applyBorder="1" applyAlignment="1">
      <alignment horizontal="center"/>
    </xf>
    <xf numFmtId="0" fontId="1" applyFont="1" fillId="2" applyFill="1" borderId="2" applyBorder="1" applyAlignment="1">
      <alignment horizontal="center" vertical="center" wrapText="1"/>
    </xf>
    <xf numFmtId="0" fontId="0" fillId="2" applyFill="1" borderId="4" applyBorder="1" applyAlignment="1">
      <alignment horizontal="center"/>
    </xf>
    <xf numFmtId="0" fontId="0" fillId="4" applyFill="1" borderId="1" applyBorder="1"/>
    <xf numFmtId="167" applyNumberFormat="1" fontId="0" fillId="4" applyFill="1" borderId="1" applyBorder="1"/>
    <xf numFmtId="0" fontId="1" applyFont="1" fillId="2" applyFill="1" borderId="1" applyBorder="1" applyAlignment="1">
      <alignment horizontal="center" vertical="center"/>
    </xf>
    <xf numFmtId="168" applyNumberFormat="1" fontId="0" fillId="4" applyFill="1" borderId="1" applyBorder="1"/>
    <xf numFmtId="0" fontId="0" fillId="4" applyFill="1" borderId="3" applyBorder="1" applyAlignment="1">
      <alignment horizontal="center"/>
    </xf>
    <xf numFmtId="0" fontId="0" fillId="3" applyFill="1" borderId="3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V6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>
      <c r="A2" s="2">
        <v>18879892</v>
      </c>
      <c r="B2" s="2"/>
      <c r="C2" s="3">
        <v>46189.5850423611</v>
      </c>
      <c r="D2" s="3"/>
      <c r="E2" s="2">
        <v>4596</v>
      </c>
      <c r="F2" s="4" t="s">
        <v>100</v>
      </c>
      <c r="G2" s="2" t="s">
        <v>101</v>
      </c>
      <c r="H2" s="2" t="s">
        <v>102</v>
      </c>
      <c r="I2" s="2" t="s">
        <v>103</v>
      </c>
      <c r="J2" s="2" t="s">
        <v>104</v>
      </c>
      <c r="K2" s="2" t="s">
        <v>105</v>
      </c>
      <c r="L2" s="2">
        <v>703</v>
      </c>
      <c r="M2" s="2" t="s">
        <v>106</v>
      </c>
      <c r="N2" s="5">
        <v>46195</v>
      </c>
      <c r="O2" s="5">
        <v>46199</v>
      </c>
      <c r="P2" s="2">
        <v>4</v>
      </c>
      <c r="Q2" s="2" t="s">
        <v>107</v>
      </c>
      <c r="R2" s="2" t="s">
        <v>108</v>
      </c>
      <c r="S2" s="5">
        <v>24870</v>
      </c>
      <c r="T2" s="2" t="s">
        <v>109</v>
      </c>
      <c r="U2" s="2" t="s">
        <v>110</v>
      </c>
      <c r="V2" s="6" t="s">
        <v>111</v>
      </c>
      <c r="W2" s="2" t="s">
        <v>112</v>
      </c>
      <c r="X2" s="6" t="s">
        <v>113</v>
      </c>
      <c r="Y2" s="2" t="s">
        <v>114</v>
      </c>
      <c r="Z2" s="2" t="s">
        <v>115</v>
      </c>
      <c r="AA2" s="2" t="s">
        <v>115</v>
      </c>
      <c r="AB2" s="6" t="s">
        <v>116</v>
      </c>
      <c r="AC2" s="6"/>
      <c r="AD2" s="2" t="s">
        <v>117</v>
      </c>
      <c r="AE2" s="2" t="s">
        <v>118</v>
      </c>
      <c r="AF2" s="2"/>
      <c r="AG2" s="2" t="s">
        <v>119</v>
      </c>
      <c r="AH2" s="2" t="s">
        <v>120</v>
      </c>
      <c r="AI2" s="2" t="s">
        <v>121</v>
      </c>
      <c r="AJ2" s="2">
        <v>33752</v>
      </c>
      <c r="AK2" s="7" t="s">
        <v>116</v>
      </c>
      <c r="AL2" s="7" t="s">
        <v>122</v>
      </c>
      <c r="AM2" s="2" t="s">
        <v>123</v>
      </c>
      <c r="AN2" s="2"/>
      <c r="AO2" s="2"/>
      <c r="AP2" s="2"/>
      <c r="AQ2" s="2"/>
      <c r="AR2" s="2"/>
      <c r="AS2" s="2"/>
      <c r="AT2" s="8"/>
      <c r="AU2" s="8">
        <v>229.61</v>
      </c>
      <c r="AV2" s="8">
        <v>210.81</v>
      </c>
      <c r="AW2" s="8">
        <v>18.8</v>
      </c>
      <c r="AX2" s="2" t="s">
        <v>116</v>
      </c>
      <c r="AY2" s="8">
        <v>100</v>
      </c>
      <c r="AZ2" s="8"/>
      <c r="BA2" s="7"/>
      <c r="BB2" s="8"/>
      <c r="BC2" s="2"/>
      <c r="BD2" s="2" t="s">
        <v>116</v>
      </c>
      <c r="BE2" s="2"/>
      <c r="BF2" s="2"/>
      <c r="BG2" s="7"/>
      <c r="BH2" s="8"/>
      <c r="BI2" s="2"/>
      <c r="BJ2" s="2" t="s">
        <v>116</v>
      </c>
      <c r="BK2" s="2"/>
      <c r="BL2" s="2"/>
      <c r="BM2" s="8"/>
      <c r="BN2" s="2"/>
      <c r="BO2" s="8">
        <v>0</v>
      </c>
      <c r="BP2" s="8"/>
      <c r="BQ2" s="8"/>
      <c r="BR2" s="2"/>
      <c r="BS2" s="2"/>
      <c r="BT2" s="8"/>
      <c r="BU2" s="2" t="s">
        <v>116</v>
      </c>
      <c r="BV2" s="8">
        <v>229.61</v>
      </c>
      <c r="BW2" s="2" t="s">
        <v>124</v>
      </c>
      <c r="BX2" s="2" t="s">
        <v>125</v>
      </c>
      <c r="BY2" s="2" t="s">
        <v>116</v>
      </c>
      <c r="BZ2" s="2" t="s">
        <v>116</v>
      </c>
      <c r="CA2" s="2" t="s">
        <v>116</v>
      </c>
      <c r="CB2" s="2"/>
      <c r="CC2" s="2"/>
      <c r="CD2" s="2"/>
      <c r="CE2" s="2" t="s">
        <v>126</v>
      </c>
      <c r="CF2" s="3">
        <v>46189.5850423958</v>
      </c>
      <c r="CG2" s="7"/>
      <c r="CH2" s="7" t="s">
        <v>116</v>
      </c>
      <c r="CI2" s="7" t="s">
        <v>116</v>
      </c>
      <c r="CJ2" s="2"/>
      <c r="CK2" s="2"/>
      <c r="CL2" s="2" t="s">
        <v>127</v>
      </c>
      <c r="CM2" s="2" t="s">
        <v>116</v>
      </c>
      <c r="CN2" s="2" t="s">
        <v>116</v>
      </c>
      <c r="CO2" s="2"/>
      <c r="CP2" s="2"/>
      <c r="CQ2" s="2"/>
      <c r="CR2" s="2" t="s">
        <v>116</v>
      </c>
      <c r="CS2" s="2" t="s">
        <v>116</v>
      </c>
      <c r="CT2" s="2"/>
      <c r="CU2" s="2"/>
      <c r="CV2" s="2"/>
    </row>
    <row r="3">
      <c r="A3" s="2">
        <v>18879942</v>
      </c>
      <c r="B3" s="2"/>
      <c r="C3" s="3">
        <v>46189.5879012731</v>
      </c>
      <c r="D3" s="3"/>
      <c r="E3" s="2">
        <v>4596</v>
      </c>
      <c r="F3" s="4" t="s">
        <v>100</v>
      </c>
      <c r="G3" s="2" t="s">
        <v>101</v>
      </c>
      <c r="H3" s="2" t="s">
        <v>102</v>
      </c>
      <c r="I3" s="2" t="s">
        <v>103</v>
      </c>
      <c r="J3" s="2" t="s">
        <v>104</v>
      </c>
      <c r="K3" s="2" t="s">
        <v>105</v>
      </c>
      <c r="L3" s="2">
        <v>703</v>
      </c>
      <c r="M3" s="2" t="s">
        <v>106</v>
      </c>
      <c r="N3" s="5">
        <v>46195</v>
      </c>
      <c r="O3" s="5">
        <v>46199</v>
      </c>
      <c r="P3" s="2">
        <v>4</v>
      </c>
      <c r="Q3" s="2" t="s">
        <v>107</v>
      </c>
      <c r="R3" s="2" t="s">
        <v>108</v>
      </c>
      <c r="S3" s="5">
        <v>24870</v>
      </c>
      <c r="T3" s="2" t="s">
        <v>109</v>
      </c>
      <c r="U3" s="2" t="s">
        <v>110</v>
      </c>
      <c r="V3" s="6" t="s">
        <v>111</v>
      </c>
      <c r="W3" s="2" t="s">
        <v>112</v>
      </c>
      <c r="X3" s="6" t="s">
        <v>113</v>
      </c>
      <c r="Y3" s="2" t="s">
        <v>114</v>
      </c>
      <c r="Z3" s="2" t="s">
        <v>115</v>
      </c>
      <c r="AA3" s="2" t="s">
        <v>115</v>
      </c>
      <c r="AB3" s="6" t="s">
        <v>116</v>
      </c>
      <c r="AC3" s="6"/>
      <c r="AD3" s="2" t="s">
        <v>128</v>
      </c>
      <c r="AE3" s="2" t="s">
        <v>118</v>
      </c>
      <c r="AF3" s="2"/>
      <c r="AG3" s="2" t="s">
        <v>119</v>
      </c>
      <c r="AH3" s="2" t="s">
        <v>120</v>
      </c>
      <c r="AI3" s="2" t="s">
        <v>121</v>
      </c>
      <c r="AJ3" s="2">
        <v>33752</v>
      </c>
      <c r="AK3" s="7" t="s">
        <v>116</v>
      </c>
      <c r="AL3" s="7" t="s">
        <v>122</v>
      </c>
      <c r="AM3" s="2" t="s">
        <v>123</v>
      </c>
      <c r="AN3" s="2"/>
      <c r="AO3" s="2"/>
      <c r="AP3" s="2"/>
      <c r="AQ3" s="2"/>
      <c r="AR3" s="2"/>
      <c r="AS3" s="2"/>
      <c r="AT3" s="8"/>
      <c r="AU3" s="8">
        <v>229.61</v>
      </c>
      <c r="AV3" s="8">
        <v>210.81</v>
      </c>
      <c r="AW3" s="8">
        <v>18.8</v>
      </c>
      <c r="AX3" s="2" t="s">
        <v>116</v>
      </c>
      <c r="AY3" s="8">
        <v>100</v>
      </c>
      <c r="AZ3" s="8"/>
      <c r="BA3" s="7"/>
      <c r="BB3" s="8"/>
      <c r="BC3" s="2"/>
      <c r="BD3" s="2" t="s">
        <v>116</v>
      </c>
      <c r="BE3" s="2"/>
      <c r="BF3" s="2"/>
      <c r="BG3" s="7"/>
      <c r="BH3" s="8"/>
      <c r="BI3" s="2"/>
      <c r="BJ3" s="2" t="s">
        <v>116</v>
      </c>
      <c r="BK3" s="2"/>
      <c r="BL3" s="2"/>
      <c r="BM3" s="8"/>
      <c r="BN3" s="2"/>
      <c r="BO3" s="8">
        <v>0</v>
      </c>
      <c r="BP3" s="8"/>
      <c r="BQ3" s="8"/>
      <c r="BR3" s="2"/>
      <c r="BS3" s="2"/>
      <c r="BT3" s="8"/>
      <c r="BU3" s="2" t="s">
        <v>116</v>
      </c>
      <c r="BV3" s="8">
        <v>229.61</v>
      </c>
      <c r="BW3" s="2" t="s">
        <v>124</v>
      </c>
      <c r="BX3" s="2" t="s">
        <v>125</v>
      </c>
      <c r="BY3" s="2" t="s">
        <v>116</v>
      </c>
      <c r="BZ3" s="2" t="s">
        <v>116</v>
      </c>
      <c r="CA3" s="2" t="s">
        <v>116</v>
      </c>
      <c r="CB3" s="2"/>
      <c r="CC3" s="2"/>
      <c r="CD3" s="2"/>
      <c r="CE3" s="2" t="s">
        <v>126</v>
      </c>
      <c r="CF3" s="3">
        <v>46189.5879013542</v>
      </c>
      <c r="CG3" s="7"/>
      <c r="CH3" s="7" t="s">
        <v>116</v>
      </c>
      <c r="CI3" s="7" t="s">
        <v>116</v>
      </c>
      <c r="CJ3" s="2"/>
      <c r="CK3" s="2"/>
      <c r="CL3" s="2" t="s">
        <v>127</v>
      </c>
      <c r="CM3" s="2" t="s">
        <v>116</v>
      </c>
      <c r="CN3" s="2" t="s">
        <v>116</v>
      </c>
      <c r="CO3" s="2"/>
      <c r="CP3" s="2"/>
      <c r="CQ3" s="2"/>
      <c r="CR3" s="2" t="s">
        <v>116</v>
      </c>
      <c r="CS3" s="2" t="s">
        <v>116</v>
      </c>
      <c r="CT3" s="2"/>
      <c r="CU3" s="2"/>
      <c r="CV3" s="2"/>
    </row>
    <row r="4">
      <c r="A4" s="2">
        <v>18880455</v>
      </c>
      <c r="B4" s="2"/>
      <c r="C4" s="3">
        <v>46189.6174642708</v>
      </c>
      <c r="D4" s="3"/>
      <c r="E4" s="2">
        <v>4063</v>
      </c>
      <c r="F4" s="4" t="s">
        <v>116</v>
      </c>
      <c r="G4" s="2" t="s">
        <v>129</v>
      </c>
      <c r="H4" s="2" t="s">
        <v>130</v>
      </c>
      <c r="I4" s="2" t="s">
        <v>131</v>
      </c>
      <c r="J4" s="2" t="s">
        <v>132</v>
      </c>
      <c r="K4" s="2" t="s">
        <v>105</v>
      </c>
      <c r="L4" s="2">
        <v>703</v>
      </c>
      <c r="M4" s="2" t="s">
        <v>106</v>
      </c>
      <c r="N4" s="5">
        <v>46191</v>
      </c>
      <c r="O4" s="5">
        <v>46194</v>
      </c>
      <c r="P4" s="2">
        <v>3</v>
      </c>
      <c r="Q4" s="2" t="s">
        <v>133</v>
      </c>
      <c r="R4" s="2" t="s">
        <v>134</v>
      </c>
      <c r="S4" s="5">
        <v>25975</v>
      </c>
      <c r="T4" s="2" t="s">
        <v>135</v>
      </c>
      <c r="U4" s="2" t="s">
        <v>110</v>
      </c>
      <c r="V4" s="6" t="s">
        <v>136</v>
      </c>
      <c r="W4" s="2" t="s">
        <v>137</v>
      </c>
      <c r="X4" s="6" t="s">
        <v>138</v>
      </c>
      <c r="Y4" s="2" t="s">
        <v>139</v>
      </c>
      <c r="Z4" s="2" t="s">
        <v>140</v>
      </c>
      <c r="AA4" s="2" t="s">
        <v>141</v>
      </c>
      <c r="AB4" s="6" t="s">
        <v>116</v>
      </c>
      <c r="AC4" s="6"/>
      <c r="AD4" s="2" t="s">
        <v>142</v>
      </c>
      <c r="AE4" s="2" t="s">
        <v>143</v>
      </c>
      <c r="AF4" s="2"/>
      <c r="AG4" s="2" t="s">
        <v>144</v>
      </c>
      <c r="AH4" s="2" t="s">
        <v>120</v>
      </c>
      <c r="AI4" s="2" t="s">
        <v>145</v>
      </c>
      <c r="AJ4" s="2">
        <v>45511</v>
      </c>
      <c r="AK4" s="7" t="s">
        <v>146</v>
      </c>
      <c r="AL4" s="7" t="s">
        <v>147</v>
      </c>
      <c r="AM4" s="2" t="s">
        <v>148</v>
      </c>
      <c r="AN4" s="2"/>
      <c r="AO4" s="2"/>
      <c r="AP4" s="2"/>
      <c r="AQ4" s="2"/>
      <c r="AR4" s="2"/>
      <c r="AS4" s="2"/>
      <c r="AT4" s="8"/>
      <c r="AU4" s="8">
        <v>120.78</v>
      </c>
      <c r="AV4" s="8">
        <v>45.3</v>
      </c>
      <c r="AW4" s="8">
        <v>75.48</v>
      </c>
      <c r="AX4" s="2" t="s">
        <v>116</v>
      </c>
      <c r="AY4" s="8">
        <v>36.23</v>
      </c>
      <c r="AZ4" s="8"/>
      <c r="BA4" s="7"/>
      <c r="BB4" s="8"/>
      <c r="BC4" s="2"/>
      <c r="BD4" s="2" t="s">
        <v>116</v>
      </c>
      <c r="BE4" s="2"/>
      <c r="BF4" s="2"/>
      <c r="BG4" s="7"/>
      <c r="BH4" s="8"/>
      <c r="BI4" s="2"/>
      <c r="BJ4" s="2" t="s">
        <v>116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116</v>
      </c>
      <c r="BV4" s="8">
        <v>120.78</v>
      </c>
      <c r="BW4" s="2" t="s">
        <v>124</v>
      </c>
      <c r="BX4" s="2" t="s">
        <v>149</v>
      </c>
      <c r="BY4" s="2" t="s">
        <v>116</v>
      </c>
      <c r="BZ4" s="2" t="s">
        <v>116</v>
      </c>
      <c r="CA4" s="2" t="s">
        <v>116</v>
      </c>
      <c r="CB4" s="2"/>
      <c r="CC4" s="2"/>
      <c r="CD4" s="2"/>
      <c r="CE4" s="2" t="s">
        <v>126</v>
      </c>
      <c r="CF4" s="3">
        <v>46189.6215861458</v>
      </c>
      <c r="CG4" s="7"/>
      <c r="CH4" s="7" t="s">
        <v>116</v>
      </c>
      <c r="CI4" s="7" t="s">
        <v>116</v>
      </c>
      <c r="CJ4" s="2"/>
      <c r="CK4" s="2"/>
      <c r="CL4" s="2" t="s">
        <v>150</v>
      </c>
      <c r="CM4" s="2" t="s">
        <v>116</v>
      </c>
      <c r="CN4" s="2" t="s">
        <v>116</v>
      </c>
      <c r="CO4" s="2"/>
      <c r="CP4" s="2"/>
      <c r="CQ4" s="2"/>
      <c r="CR4" s="2" t="s">
        <v>116</v>
      </c>
      <c r="CS4" s="2" t="s">
        <v>116</v>
      </c>
      <c r="CT4" s="2"/>
      <c r="CU4" s="2"/>
      <c r="CV4" s="2"/>
    </row>
    <row r="5">
      <c r="A5" s="2">
        <v>18881131</v>
      </c>
      <c r="B5" s="2"/>
      <c r="C5" s="3">
        <v>46189.6491316319</v>
      </c>
      <c r="D5" s="3"/>
      <c r="E5" s="2">
        <v>208</v>
      </c>
      <c r="F5" s="4" t="s">
        <v>151</v>
      </c>
      <c r="G5" s="2" t="s">
        <v>152</v>
      </c>
      <c r="H5" s="2" t="s">
        <v>130</v>
      </c>
      <c r="I5" s="2" t="s">
        <v>153</v>
      </c>
      <c r="J5" s="2" t="s">
        <v>154</v>
      </c>
      <c r="K5" s="2" t="s">
        <v>105</v>
      </c>
      <c r="L5" s="2">
        <v>703</v>
      </c>
      <c r="M5" s="2" t="s">
        <v>106</v>
      </c>
      <c r="N5" s="5">
        <v>46195</v>
      </c>
      <c r="O5" s="5">
        <v>46197</v>
      </c>
      <c r="P5" s="2">
        <v>2</v>
      </c>
      <c r="Q5" s="2" t="s">
        <v>155</v>
      </c>
      <c r="R5" s="2" t="s">
        <v>156</v>
      </c>
      <c r="S5" s="5">
        <v>23521</v>
      </c>
      <c r="T5" s="2" t="s">
        <v>157</v>
      </c>
      <c r="U5" s="2" t="s">
        <v>110</v>
      </c>
      <c r="V5" s="6" t="s">
        <v>158</v>
      </c>
      <c r="W5" s="2" t="s">
        <v>159</v>
      </c>
      <c r="X5" s="6" t="s">
        <v>160</v>
      </c>
      <c r="Y5" s="2" t="s">
        <v>161</v>
      </c>
      <c r="Z5" s="2" t="s">
        <v>162</v>
      </c>
      <c r="AA5" s="2" t="s">
        <v>162</v>
      </c>
      <c r="AB5" s="6" t="s">
        <v>116</v>
      </c>
      <c r="AC5" s="6"/>
      <c r="AD5" s="2" t="s">
        <v>163</v>
      </c>
      <c r="AE5" s="2" t="s">
        <v>164</v>
      </c>
      <c r="AF5" s="2"/>
      <c r="AG5" s="2" t="s">
        <v>165</v>
      </c>
      <c r="AH5" s="2" t="s">
        <v>120</v>
      </c>
      <c r="AI5" s="2" t="s">
        <v>166</v>
      </c>
      <c r="AJ5" s="2">
        <v>607</v>
      </c>
      <c r="AK5" s="7"/>
      <c r="AL5" s="7"/>
      <c r="AM5" s="2" t="s">
        <v>167</v>
      </c>
      <c r="AN5" s="2"/>
      <c r="AO5" s="2"/>
      <c r="AP5" s="2"/>
      <c r="AQ5" s="2"/>
      <c r="AR5" s="2"/>
      <c r="AS5" s="2"/>
      <c r="AT5" s="8"/>
      <c r="AU5" s="8">
        <v>92</v>
      </c>
      <c r="AV5" s="8">
        <v>62</v>
      </c>
      <c r="AW5" s="8">
        <v>0</v>
      </c>
      <c r="AX5" s="2" t="s">
        <v>116</v>
      </c>
      <c r="AY5" s="8">
        <v>45.5</v>
      </c>
      <c r="AZ5" s="8"/>
      <c r="BA5" s="7"/>
      <c r="BB5" s="8"/>
      <c r="BC5" s="2"/>
      <c r="BD5" s="2" t="s">
        <v>116</v>
      </c>
      <c r="BE5" s="2"/>
      <c r="BF5" s="2"/>
      <c r="BG5" s="7"/>
      <c r="BH5" s="8"/>
      <c r="BI5" s="2"/>
      <c r="BJ5" s="2" t="s">
        <v>116</v>
      </c>
      <c r="BK5" s="2"/>
      <c r="BL5" s="2"/>
      <c r="BM5" s="8"/>
      <c r="BN5" s="2"/>
      <c r="BO5" s="8">
        <v>30</v>
      </c>
      <c r="BP5" s="8"/>
      <c r="BQ5" s="8">
        <v>5.4</v>
      </c>
      <c r="BR5" s="2"/>
      <c r="BS5" s="2"/>
      <c r="BT5" s="8"/>
      <c r="BU5" s="2" t="s">
        <v>116</v>
      </c>
      <c r="BV5" s="8">
        <v>97.4</v>
      </c>
      <c r="BW5" s="2" t="s">
        <v>124</v>
      </c>
      <c r="BX5" s="2" t="s">
        <v>149</v>
      </c>
      <c r="BY5" s="2" t="s">
        <v>116</v>
      </c>
      <c r="BZ5" s="2" t="s">
        <v>116</v>
      </c>
      <c r="CA5" s="2" t="s">
        <v>116</v>
      </c>
      <c r="CB5" s="2"/>
      <c r="CC5" s="2"/>
      <c r="CD5" s="2"/>
      <c r="CE5" s="2" t="s">
        <v>126</v>
      </c>
      <c r="CF5" s="3">
        <v>46189.7634007292</v>
      </c>
      <c r="CG5" s="7"/>
      <c r="CH5" s="7" t="s">
        <v>116</v>
      </c>
      <c r="CI5" s="7" t="s">
        <v>116</v>
      </c>
      <c r="CJ5" s="2"/>
      <c r="CK5" s="2"/>
      <c r="CL5" s="2" t="s">
        <v>150</v>
      </c>
      <c r="CM5" s="2" t="s">
        <v>116</v>
      </c>
      <c r="CN5" s="2" t="s">
        <v>116</v>
      </c>
      <c r="CO5" s="2"/>
      <c r="CP5" s="2"/>
      <c r="CQ5" s="2"/>
      <c r="CR5" s="2" t="s">
        <v>116</v>
      </c>
      <c r="CS5" s="2" t="s">
        <v>116</v>
      </c>
      <c r="CT5" s="2"/>
      <c r="CU5" s="2"/>
      <c r="CV5" s="2"/>
    </row>
    <row r="6">
      <c r="A6" s="9">
        <v>18883804</v>
      </c>
      <c r="B6" s="9"/>
      <c r="C6" s="10">
        <v>46189.7716671296</v>
      </c>
      <c r="D6" s="10"/>
      <c r="E6" s="9">
        <v>2501</v>
      </c>
      <c r="F6" s="11" t="s">
        <v>168</v>
      </c>
      <c r="G6" s="9" t="s">
        <v>169</v>
      </c>
      <c r="H6" s="9" t="s">
        <v>130</v>
      </c>
      <c r="I6" s="9" t="s">
        <v>131</v>
      </c>
      <c r="J6" s="9" t="s">
        <v>170</v>
      </c>
      <c r="K6" s="9" t="s">
        <v>105</v>
      </c>
      <c r="L6" s="9">
        <v>703</v>
      </c>
      <c r="M6" s="9" t="s">
        <v>106</v>
      </c>
      <c r="N6" s="12">
        <v>46223</v>
      </c>
      <c r="O6" s="12">
        <v>46227</v>
      </c>
      <c r="P6" s="9">
        <v>4</v>
      </c>
      <c r="Q6" s="9" t="s">
        <v>171</v>
      </c>
      <c r="R6" s="9" t="s">
        <v>172</v>
      </c>
      <c r="S6" s="12">
        <v>22152</v>
      </c>
      <c r="T6" s="9" t="s">
        <v>173</v>
      </c>
      <c r="U6" s="9" t="s">
        <v>174</v>
      </c>
      <c r="V6" s="13" t="s">
        <v>175</v>
      </c>
      <c r="W6" s="9" t="s">
        <v>176</v>
      </c>
      <c r="X6" s="13" t="s">
        <v>177</v>
      </c>
      <c r="Y6" s="9" t="s">
        <v>178</v>
      </c>
      <c r="Z6" s="9" t="s">
        <v>162</v>
      </c>
      <c r="AA6" s="9" t="s">
        <v>162</v>
      </c>
      <c r="AB6" s="13" t="s">
        <v>116</v>
      </c>
      <c r="AC6" s="13"/>
      <c r="AD6" s="9" t="s">
        <v>179</v>
      </c>
      <c r="AE6" s="9" t="s">
        <v>118</v>
      </c>
      <c r="AF6" s="9"/>
      <c r="AG6" s="9"/>
      <c r="AH6" s="9" t="s">
        <v>180</v>
      </c>
      <c r="AI6" s="9" t="s">
        <v>181</v>
      </c>
      <c r="AJ6" s="9">
        <v>46321</v>
      </c>
      <c r="AK6" s="14"/>
      <c r="AL6" s="14"/>
      <c r="AM6" s="9" t="s">
        <v>148</v>
      </c>
      <c r="AN6" s="9"/>
      <c r="AO6" s="9"/>
      <c r="AP6" s="9"/>
      <c r="AQ6" s="9"/>
      <c r="AR6" s="9"/>
      <c r="AS6" s="9"/>
      <c r="AT6" s="15"/>
      <c r="AU6" s="15">
        <v>310</v>
      </c>
      <c r="AV6" s="15">
        <v>300</v>
      </c>
      <c r="AW6" s="15">
        <v>0</v>
      </c>
      <c r="AX6" s="9" t="s">
        <v>116</v>
      </c>
      <c r="AY6" s="15">
        <v>86.6</v>
      </c>
      <c r="AZ6" s="15"/>
      <c r="BA6" s="14"/>
      <c r="BB6" s="15"/>
      <c r="BC6" s="9"/>
      <c r="BD6" s="9" t="s">
        <v>116</v>
      </c>
      <c r="BE6" s="9"/>
      <c r="BF6" s="9"/>
      <c r="BG6" s="14"/>
      <c r="BH6" s="15"/>
      <c r="BI6" s="9"/>
      <c r="BJ6" s="9" t="s">
        <v>116</v>
      </c>
      <c r="BK6" s="9"/>
      <c r="BL6" s="9"/>
      <c r="BM6" s="15"/>
      <c r="BN6" s="9"/>
      <c r="BO6" s="15">
        <v>10</v>
      </c>
      <c r="BP6" s="15"/>
      <c r="BQ6" s="15">
        <v>1.6</v>
      </c>
      <c r="BR6" s="9"/>
      <c r="BS6" s="9"/>
      <c r="BT6" s="15"/>
      <c r="BU6" s="9" t="s">
        <v>116</v>
      </c>
      <c r="BV6" s="15">
        <v>311.6</v>
      </c>
      <c r="BW6" s="9" t="s">
        <v>124</v>
      </c>
      <c r="BX6" s="9" t="s">
        <v>149</v>
      </c>
      <c r="BY6" s="9" t="s">
        <v>116</v>
      </c>
      <c r="BZ6" s="9" t="s">
        <v>116</v>
      </c>
      <c r="CA6" s="9" t="s">
        <v>116</v>
      </c>
      <c r="CB6" s="9"/>
      <c r="CC6" s="9"/>
      <c r="CD6" s="9"/>
      <c r="CE6" s="9" t="s">
        <v>126</v>
      </c>
      <c r="CF6" s="10">
        <v>46190.4757285069</v>
      </c>
      <c r="CG6" s="14"/>
      <c r="CH6" s="14" t="s">
        <v>116</v>
      </c>
      <c r="CI6" s="14" t="s">
        <v>116</v>
      </c>
      <c r="CJ6" s="9"/>
      <c r="CK6" s="9"/>
      <c r="CL6" s="9" t="s">
        <v>150</v>
      </c>
      <c r="CM6" s="9" t="s">
        <v>116</v>
      </c>
      <c r="CN6" s="9" t="s">
        <v>116</v>
      </c>
      <c r="CO6" s="9"/>
      <c r="CP6" s="9"/>
      <c r="CQ6" s="9"/>
      <c r="CR6" s="9" t="s">
        <v>116</v>
      </c>
      <c r="CS6" s="9" t="s">
        <v>116</v>
      </c>
      <c r="CT6" s="9"/>
      <c r="CU6" s="9"/>
      <c r="CV6" s="9"/>
    </row>
  </sheetData>
  <conditionalFormatting sqref="A2:CV6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D4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5" customWidth="1"/>
    <col min="2" max="2" width="15" customWidth="1"/>
    <col min="3" max="3" width="15" customWidth="1"/>
    <col min="4" max="4" width="15" customWidth="1"/>
  </cols>
  <sheetData>
    <row r="1">
      <c r="A1" s="16" t="s">
        <v>105</v>
      </c>
      <c r="B1" s="16" t="s">
        <v>105</v>
      </c>
      <c r="C1" s="21" t="s">
        <v>182</v>
      </c>
      <c r="D1" s="21" t="s">
        <v>182</v>
      </c>
    </row>
    <row r="2">
      <c r="A2" s="17" t="s">
        <v>106</v>
      </c>
      <c r="B2" s="17" t="s">
        <v>106</v>
      </c>
      <c r="C2" s="21" t="s">
        <v>182</v>
      </c>
      <c r="D2" s="21" t="s">
        <v>182</v>
      </c>
    </row>
    <row r="3">
      <c r="A3" s="18" t="s">
        <v>183</v>
      </c>
      <c r="B3" s="18" t="s">
        <v>184</v>
      </c>
      <c r="C3" s="18" t="s">
        <v>183</v>
      </c>
      <c r="D3" s="18" t="s">
        <v>184</v>
      </c>
    </row>
    <row r="4">
      <c r="A4" s="19">
        <v>5</v>
      </c>
      <c r="B4" s="20">
        <v>982</v>
      </c>
      <c r="C4" s="19">
        <f> A4</f>
      </c>
      <c r="D4" s="22">
        <f> B4</f>
      </c>
    </row>
  </sheetData>
  <mergeCells>
    <mergeCell ref="A1:B1"/>
    <mergeCell ref="A2:B2"/>
    <mergeCell ref="C1:D2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8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  <col min="7" max="7" width="35" customWidth="1"/>
  </cols>
  <sheetData>
    <row r="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189</v>
      </c>
      <c r="G1" s="1" t="s">
        <v>189</v>
      </c>
    </row>
    <row r="2">
      <c r="A2" s="23" t="s">
        <v>185</v>
      </c>
      <c r="B2" s="23" t="s">
        <v>190</v>
      </c>
      <c r="C2" s="23" t="s">
        <v>191</v>
      </c>
      <c r="D2" s="23" t="s">
        <v>192</v>
      </c>
      <c r="E2" s="23" t="s">
        <v>193</v>
      </c>
      <c r="F2" s="23" t="s">
        <v>194</v>
      </c>
      <c r="G2" s="23" t="s">
        <v>195</v>
      </c>
    </row>
    <row r="3">
      <c r="A3" s="24" t="s">
        <v>196</v>
      </c>
      <c r="B3" s="24" t="s">
        <v>197</v>
      </c>
      <c r="C3" s="24" t="s">
        <v>198</v>
      </c>
      <c r="D3" s="24" t="s">
        <v>199</v>
      </c>
      <c r="E3" s="24" t="s">
        <v>200</v>
      </c>
      <c r="F3" s="24" t="s">
        <v>162</v>
      </c>
      <c r="G3" s="24" t="s">
        <v>201</v>
      </c>
    </row>
    <row r="4">
      <c r="D4" s="24" t="s">
        <v>202</v>
      </c>
      <c r="E4" s="24" t="s">
        <v>203</v>
      </c>
    </row>
    <row r="5">
      <c r="D5" s="24" t="s">
        <v>204</v>
      </c>
    </row>
    <row r="6">
      <c r="D6" s="24" t="s">
        <v>205</v>
      </c>
    </row>
    <row r="7">
      <c r="D7" s="24" t="s">
        <v>206</v>
      </c>
    </row>
    <row r="8">
      <c r="D8" s="24" t="s">
        <v>207</v>
      </c>
    </row>
  </sheetData>
  <mergeCells>
    <mergeCell ref="A1"/>
    <mergeCell ref="B1"/>
    <mergeCell ref="C1"/>
    <mergeCell ref="D1"/>
    <mergeCell ref="E1:G1"/>
  </mergeCells>
  <headerFooter/>
</worksheet>
</file>