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4 Juillet 2026" sheetId="3" r:id="rId4"/>
  </sheets>
  <calcPr fullCalcOnLoad="1"/>
</workbook>
</file>

<file path=xl/sharedStrings.xml><?xml version="1.0" encoding="utf-8"?>
<sst xmlns="http://schemas.openxmlformats.org/spreadsheetml/2006/main" count="222" uniqueCount="222">
  <si>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</si>
  <si>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</si>
  <si>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</si>
  <si>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</si>
  <si>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</si>
  <si>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</si>
  <si>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</si>
  <si>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</si>
  <si>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</si>
  <si>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</si>
  <si>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</si>
  <si>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</si>
  <si>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</si>
  <si>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</si>
  <si>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</si>
  <si>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</si>
  <si>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</si>
  <si>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</si>
  <si>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</si>
  <si>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</si>
  <si>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</si>
  <si>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</si>
  <si>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</si>
  <si>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</si>
  <si>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</si>
  <si>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</si>
  <si>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</si>
  <si>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</si>
  <si>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</si>
  <si>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</si>
  <si>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</si>
  <si>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</si>
  <si>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</si>
  <si>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</si>
  <si>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</si>
  <si>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</si>
  <si>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</si>
  <si>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</si>
  <si>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</si>
  <si>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</si>
  <si>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</si>
  <si>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</si>
  <si>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</si>
  <si>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</si>
  <si>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</si>
  <si>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</si>
  <si>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</si>
  <si>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</si>
  <si>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</si>
  <si>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</si>
  <si>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</si>
  <si>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</si>
  <si>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</si>
  <si>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</si>
  <si>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</si>
  <si>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</si>
  <si>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</si>
  <si>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</si>
  <si>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</si>
  <si>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</si>
  <si>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</si>
  <si>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</si>
  <si>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</si>
  <si>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</si>
  <si>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</si>
  <si>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</si>
  <si>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</si>
  <si>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</si>
  <si>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</si>
  <si>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</si>
  <si>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</si>
  <si>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</si>
  <si>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</si>
  <si>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</si>
  <si>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</si>
  <si>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</si>
  <si>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</si>
  <si>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</si>
  <si>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</si>
  <si>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</si>
  <si>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</si>
  <si>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</si>
  <si>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</si>
  <si>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</si>
  <si>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</si>
  <si>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</si>
  <si>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</si>
  <si>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</si>
  <si>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</si>
  <si>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</si>
  <si>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</si>
  <si>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</si>
  <si>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</si>
  <si>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</si>
  <si>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</si>
  <si>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</si>
  <si>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</si>
  <si>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</si>
  <si>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</si>
  <si>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</si>
  <si>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51155</t>
  </si>
  <si>
    <t>Camping Signol*****</t>
  </si>
  <si>
    <t>France</t>
  </si>
  <si>
    <t>Nouvelle-Aquitaine</t>
  </si>
  <si>
    <t>Charente-Maritime</t>
  </si>
  <si>
    <t>Pack E-Trafic</t>
  </si>
  <si>
    <t>Pack E-Trafic Campingdirect</t>
  </si>
  <si>
    <t>levillain</t>
  </si>
  <si>
    <t>jean françois</t>
  </si>
  <si>
    <t>contact@dal-peinture.fr</t>
  </si>
  <si>
    <t>oui</t>
  </si>
  <si>
    <t>0609154102</t>
  </si>
  <si>
    <t>32 rue de londres</t>
  </si>
  <si>
    <t>28110</t>
  </si>
  <si>
    <t>luçé</t>
  </si>
  <si>
    <t>FR</t>
  </si>
  <si>
    <t/>
  </si>
  <si>
    <t>odette brinon 14/07/1945</t>
  </si>
  <si>
    <t>2</t>
  </si>
  <si>
    <t>Location</t>
  </si>
  <si>
    <t>Chalet Horizon - 35m² - 2 chambres 4 pers.</t>
  </si>
  <si>
    <t>Grille PMS</t>
  </si>
  <si>
    <t>€</t>
  </si>
  <si>
    <t>Visa</t>
  </si>
  <si>
    <t>YES</t>
  </si>
  <si>
    <t>1</t>
  </si>
  <si>
    <t>72924</t>
  </si>
  <si>
    <t>Domaine la Garenne</t>
  </si>
  <si>
    <t>Auvergne-Rhône-Alpes</t>
  </si>
  <si>
    <t>Drôme</t>
  </si>
  <si>
    <t>Saadouni</t>
  </si>
  <si>
    <t>Thierry</t>
  </si>
  <si>
    <t>thierrysaadouni@yahoo.fr</t>
  </si>
  <si>
    <t>non</t>
  </si>
  <si>
    <t>0668661531</t>
  </si>
  <si>
    <t>75 route de Beaujeu</t>
  </si>
  <si>
    <t>69220</t>
  </si>
  <si>
    <t>Belleville en Beaujolais</t>
  </si>
  <si>
    <t>Jolyne Saadouni 22/03/2021 | Vicky Saadouni 22/03/2021</t>
  </si>
  <si>
    <t>3</t>
  </si>
  <si>
    <t>Mobil home 2 chambres 35m², climatisation, terrasse couverte 4 pers.</t>
  </si>
  <si>
    <t xml:space="preserve">98 | Location de Draps lit 1 personne | 2 | 18_x000D_
99 | Location de Draps lit 2 personnes | 1 | 20</t>
  </si>
  <si>
    <t>TARIFICATION A LA NUITÉE</t>
  </si>
  <si>
    <t>0</t>
  </si>
  <si>
    <t>Camping des Barolles</t>
  </si>
  <si>
    <t>Métropole de Lyon</t>
  </si>
  <si>
    <t>Pack E-Trafic Ucamping.com</t>
  </si>
  <si>
    <t>Krause</t>
  </si>
  <si>
    <t>Samuel</t>
  </si>
  <si>
    <t>sam_kra@icloud.com</t>
  </si>
  <si>
    <t>01705234318</t>
  </si>
  <si>
    <t>Gartenstr. 6</t>
  </si>
  <si>
    <t>56581</t>
  </si>
  <si>
    <t>Ehlscheid</t>
  </si>
  <si>
    <t>DE</t>
  </si>
  <si>
    <t>Miriam Krause 24/06/1995 | Noah Krause 27/11/2015 | Lina Krause 07/11/2020</t>
  </si>
  <si>
    <t>4</t>
  </si>
  <si>
    <t>Caravane : 2,3x7,5m</t>
  </si>
  <si>
    <t>Emplacement</t>
  </si>
  <si>
    <t>Forfait Tente / Véhicule en option 1/6 pers.</t>
  </si>
  <si>
    <t xml:space="preserve">201 | Kind 2 - 6 Jahre | 1 | 3,5_x000D_
1620 | Person + 18 Jahre | 1 | 7,78_x000D_
1788 | Kind 7 - 17 Jahre | 1 | 7</t>
  </si>
  <si>
    <t>VVF Pontivy</t>
  </si>
  <si>
    <t>Bretagne</t>
  </si>
  <si>
    <t>Morbihan</t>
  </si>
  <si>
    <t>BOSCHER</t>
  </si>
  <si>
    <t>Marie</t>
  </si>
  <si>
    <t>mlimodin29@gmail.com</t>
  </si>
  <si>
    <t>0609585651</t>
  </si>
  <si>
    <t>9 rue de l'Aqueduc Romain</t>
  </si>
  <si>
    <t>29270</t>
  </si>
  <si>
    <t>Carhaix-Plouguer</t>
  </si>
  <si>
    <t>Prune LIMODIN 30/08/2003 | Izia LIMODIN 12/10/2005 | Merlin LIMODIN 20/07/2009 | Loeïz LIMODIN 25/08/2011</t>
  </si>
  <si>
    <t>5</t>
  </si>
  <si>
    <t>Emplacement 100m2 sans borne électrique 1/6 pers.</t>
  </si>
  <si>
    <t>202 | Personne supplémentaire + 12 ans | 4 | 7</t>
  </si>
  <si>
    <t>TARIFICATION PMS A LA NUITÉE - IND_LOC</t>
  </si>
  <si>
    <t>78641</t>
  </si>
  <si>
    <t>Camping Delle Rose</t>
  </si>
  <si>
    <t>Italie</t>
  </si>
  <si>
    <t>Ligurie</t>
  </si>
  <si>
    <t>Imperia</t>
  </si>
  <si>
    <t>Massaro</t>
  </si>
  <si>
    <t>Gino</t>
  </si>
  <si>
    <t>ginomassaro@gmail.com</t>
  </si>
  <si>
    <t>+31646484542</t>
  </si>
  <si>
    <t>Biesbosch 83</t>
  </si>
  <si>
    <t>8032 VB</t>
  </si>
  <si>
    <t>Zwolle</t>
  </si>
  <si>
    <t>NL</t>
  </si>
  <si>
    <t>Amarante Massaro 15/01/2012 | Xshayarshan Massaro 28/02/2015</t>
  </si>
  <si>
    <t>Tente : 4x7m</t>
  </si>
  <si>
    <t>PIAZZOLA GIALLA PER TENDA TAGLIA PICCOLA E MEDIA 2/8 pers.</t>
  </si>
  <si>
    <t>11 | Extra volwassene | 1 | 70</t>
  </si>
  <si>
    <t>LISTINO ZONA NUOVA GIALLA</t>
  </si>
  <si>
    <t>InternationalBankTransfert</t>
  </si>
  <si>
    <t>CampingCard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</si>
  <si>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</si>
  <si>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</si>
  <si>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</si>
  <si>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</si>
  <si>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</si>
  <si>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</si>
  <si>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</si>
  <si>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</si>
  <si>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</si>
  <si>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</si>
  <si>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</si>
  <si>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</si>
  <si>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</si>
  <si>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</si>
  <si>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</si>
  <si>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23-Juil-2026 -&gt; 23-Juil-2026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</si>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</sst>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19416051</v>
      </c>
      <c r="B2" s="2"/>
      <c r="C2" s="3">
        <v>46226.4042971875</v>
      </c>
      <c r="D2" s="3"/>
      <c r="E2" s="2">
        <v>4845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46270</v>
      </c>
      <c r="O2" s="5">
        <v>46277</v>
      </c>
      <c r="P2" s="2">
        <v>7</v>
      </c>
      <c r="Q2" s="2" t="s">
        <v>107</v>
      </c>
      <c r="R2" s="2" t="s">
        <v>108</v>
      </c>
      <c r="S2" s="5">
        <v>18909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/>
      <c r="AH2" s="2" t="s">
        <v>119</v>
      </c>
      <c r="AI2" s="2" t="s">
        <v>120</v>
      </c>
      <c r="AJ2" s="2">
        <v>138788</v>
      </c>
      <c r="AK2" s="7"/>
      <c r="AL2" s="7"/>
      <c r="AM2" s="2" t="s">
        <v>121</v>
      </c>
      <c r="AN2" s="2"/>
      <c r="AO2" s="2"/>
      <c r="AP2" s="2"/>
      <c r="AQ2" s="2"/>
      <c r="AR2" s="2"/>
      <c r="AS2" s="2"/>
      <c r="AT2" s="8"/>
      <c r="AU2" s="8">
        <v>547</v>
      </c>
      <c r="AV2" s="8">
        <v>537</v>
      </c>
      <c r="AW2" s="8">
        <v>0</v>
      </c>
      <c r="AX2" s="2" t="s">
        <v>116</v>
      </c>
      <c r="AY2" s="8">
        <v>171.1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10</v>
      </c>
      <c r="BP2" s="8"/>
      <c r="BQ2" s="8"/>
      <c r="BR2" s="2"/>
      <c r="BS2" s="2"/>
      <c r="BT2" s="8"/>
      <c r="BU2" s="2" t="s">
        <v>116</v>
      </c>
      <c r="BV2" s="8">
        <v>547</v>
      </c>
      <c r="BW2" s="2" t="s">
        <v>122</v>
      </c>
      <c r="BX2" s="2" t="s">
        <v>123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124</v>
      </c>
      <c r="CF2" s="3">
        <v>46226.4042973032</v>
      </c>
      <c r="CG2" s="7"/>
      <c r="CH2" s="7" t="s">
        <v>116</v>
      </c>
      <c r="CI2" s="7" t="s">
        <v>116</v>
      </c>
      <c r="CJ2" s="2"/>
      <c r="CK2" s="2"/>
      <c r="CL2" s="2" t="s">
        <v>125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19420286</v>
      </c>
      <c r="B3" s="2"/>
      <c r="C3" s="3">
        <v>46226.6821288542</v>
      </c>
      <c r="D3" s="3"/>
      <c r="E3" s="2">
        <v>365</v>
      </c>
      <c r="F3" s="4" t="s">
        <v>126</v>
      </c>
      <c r="G3" s="2" t="s">
        <v>127</v>
      </c>
      <c r="H3" s="2" t="s">
        <v>102</v>
      </c>
      <c r="I3" s="2" t="s">
        <v>128</v>
      </c>
      <c r="J3" s="2" t="s">
        <v>129</v>
      </c>
      <c r="K3" s="2" t="s">
        <v>105</v>
      </c>
      <c r="L3" s="2">
        <v>703</v>
      </c>
      <c r="M3" s="2" t="s">
        <v>106</v>
      </c>
      <c r="N3" s="5">
        <v>46256</v>
      </c>
      <c r="O3" s="5">
        <v>46259</v>
      </c>
      <c r="P3" s="2">
        <v>3</v>
      </c>
      <c r="Q3" s="2" t="s">
        <v>130</v>
      </c>
      <c r="R3" s="2" t="s">
        <v>131</v>
      </c>
      <c r="S3" s="5">
        <v>29792</v>
      </c>
      <c r="T3" s="2" t="s">
        <v>132</v>
      </c>
      <c r="U3" s="2" t="s">
        <v>133</v>
      </c>
      <c r="V3" s="6" t="s">
        <v>134</v>
      </c>
      <c r="W3" s="2" t="s">
        <v>135</v>
      </c>
      <c r="X3" s="6" t="s">
        <v>136</v>
      </c>
      <c r="Y3" s="2" t="s">
        <v>137</v>
      </c>
      <c r="Z3" s="2" t="s">
        <v>115</v>
      </c>
      <c r="AA3" s="2" t="s">
        <v>115</v>
      </c>
      <c r="AB3" s="6" t="s">
        <v>116</v>
      </c>
      <c r="AC3" s="6"/>
      <c r="AD3" s="2" t="s">
        <v>138</v>
      </c>
      <c r="AE3" s="2" t="s">
        <v>139</v>
      </c>
      <c r="AF3" s="2"/>
      <c r="AG3" s="2"/>
      <c r="AH3" s="2" t="s">
        <v>119</v>
      </c>
      <c r="AI3" s="2" t="s">
        <v>140</v>
      </c>
      <c r="AJ3" s="2">
        <v>117064</v>
      </c>
      <c r="AK3" s="7" t="s">
        <v>141</v>
      </c>
      <c r="AL3" s="7" t="s">
        <v>116</v>
      </c>
      <c r="AM3" s="2" t="s">
        <v>142</v>
      </c>
      <c r="AN3" s="2"/>
      <c r="AO3" s="2"/>
      <c r="AP3" s="2"/>
      <c r="AQ3" s="2"/>
      <c r="AR3" s="2"/>
      <c r="AS3" s="2"/>
      <c r="AT3" s="8"/>
      <c r="AU3" s="8">
        <v>404</v>
      </c>
      <c r="AV3" s="8">
        <v>348</v>
      </c>
      <c r="AW3" s="8">
        <v>56</v>
      </c>
      <c r="AX3" s="2" t="s">
        <v>116</v>
      </c>
      <c r="AY3" s="8">
        <v>405.5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>
        <v>1.5</v>
      </c>
      <c r="BR3" s="2"/>
      <c r="BS3" s="2"/>
      <c r="BT3" s="8"/>
      <c r="BU3" s="2" t="s">
        <v>116</v>
      </c>
      <c r="BV3" s="8">
        <v>405.5</v>
      </c>
      <c r="BW3" s="2" t="s">
        <v>122</v>
      </c>
      <c r="BX3" s="2" t="s">
        <v>123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124</v>
      </c>
      <c r="CF3" s="3">
        <v>46226.684190544</v>
      </c>
      <c r="CG3" s="7"/>
      <c r="CH3" s="7" t="s">
        <v>116</v>
      </c>
      <c r="CI3" s="7" t="s">
        <v>116</v>
      </c>
      <c r="CJ3" s="2"/>
      <c r="CK3" s="2"/>
      <c r="CL3" s="2" t="s">
        <v>143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19420522</v>
      </c>
      <c r="B4" s="2"/>
      <c r="C4" s="3">
        <v>46226.6987621181</v>
      </c>
      <c r="D4" s="3"/>
      <c r="E4" s="2">
        <v>13261</v>
      </c>
      <c r="F4" s="4" t="s">
        <v>116</v>
      </c>
      <c r="G4" s="2" t="s">
        <v>144</v>
      </c>
      <c r="H4" s="2" t="s">
        <v>102</v>
      </c>
      <c r="I4" s="2" t="s">
        <v>128</v>
      </c>
      <c r="J4" s="2" t="s">
        <v>145</v>
      </c>
      <c r="K4" s="2" t="s">
        <v>105</v>
      </c>
      <c r="L4" s="2">
        <v>1552</v>
      </c>
      <c r="M4" s="2" t="s">
        <v>146</v>
      </c>
      <c r="N4" s="5">
        <v>46233</v>
      </c>
      <c r="O4" s="5">
        <v>46234</v>
      </c>
      <c r="P4" s="2">
        <v>1</v>
      </c>
      <c r="Q4" s="2" t="s">
        <v>147</v>
      </c>
      <c r="R4" s="2" t="s">
        <v>148</v>
      </c>
      <c r="S4" s="5">
        <v>34619</v>
      </c>
      <c r="T4" s="2" t="s">
        <v>149</v>
      </c>
      <c r="U4" s="2" t="s">
        <v>110</v>
      </c>
      <c r="V4" s="6" t="s">
        <v>150</v>
      </c>
      <c r="W4" s="2" t="s">
        <v>151</v>
      </c>
      <c r="X4" s="6" t="s">
        <v>152</v>
      </c>
      <c r="Y4" s="2" t="s">
        <v>153</v>
      </c>
      <c r="Z4" s="2" t="s">
        <v>154</v>
      </c>
      <c r="AA4" s="2" t="s">
        <v>154</v>
      </c>
      <c r="AB4" s="6" t="s">
        <v>116</v>
      </c>
      <c r="AC4" s="6"/>
      <c r="AD4" s="2" t="s">
        <v>155</v>
      </c>
      <c r="AE4" s="2" t="s">
        <v>156</v>
      </c>
      <c r="AF4" s="2"/>
      <c r="AG4" s="2" t="s">
        <v>157</v>
      </c>
      <c r="AH4" s="2" t="s">
        <v>158</v>
      </c>
      <c r="AI4" s="2" t="s">
        <v>159</v>
      </c>
      <c r="AJ4" s="2">
        <v>92089</v>
      </c>
      <c r="AK4" s="7" t="s">
        <v>116</v>
      </c>
      <c r="AL4" s="7" t="s">
        <v>160</v>
      </c>
      <c r="AM4" s="2" t="s">
        <v>142</v>
      </c>
      <c r="AN4" s="2"/>
      <c r="AO4" s="2"/>
      <c r="AP4" s="2"/>
      <c r="AQ4" s="2"/>
      <c r="AR4" s="2"/>
      <c r="AS4" s="2"/>
      <c r="AT4" s="8"/>
      <c r="AU4" s="8">
        <v>36.06</v>
      </c>
      <c r="AV4" s="8">
        <v>14.78</v>
      </c>
      <c r="AW4" s="8">
        <v>18.28</v>
      </c>
      <c r="AX4" s="2" t="s">
        <v>116</v>
      </c>
      <c r="AY4" s="8">
        <v>36.5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3</v>
      </c>
      <c r="BP4" s="8"/>
      <c r="BQ4" s="8">
        <v>0.44</v>
      </c>
      <c r="BR4" s="2"/>
      <c r="BS4" s="2"/>
      <c r="BT4" s="8"/>
      <c r="BU4" s="2" t="s">
        <v>116</v>
      </c>
      <c r="BV4" s="8">
        <v>36.5</v>
      </c>
      <c r="BW4" s="2" t="s">
        <v>122</v>
      </c>
      <c r="BX4" s="2" t="s">
        <v>123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124</v>
      </c>
      <c r="CF4" s="3">
        <v>46226.7014167824</v>
      </c>
      <c r="CG4" s="7"/>
      <c r="CH4" s="7" t="s">
        <v>116</v>
      </c>
      <c r="CI4" s="7" t="s">
        <v>116</v>
      </c>
      <c r="CJ4" s="2"/>
      <c r="CK4" s="2"/>
      <c r="CL4" s="2" t="s">
        <v>143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19426230</v>
      </c>
      <c r="B5" s="2"/>
      <c r="C5" s="3">
        <v>46226.9291289699</v>
      </c>
      <c r="D5" s="3"/>
      <c r="E5" s="2">
        <v>18515</v>
      </c>
      <c r="F5" s="4" t="s">
        <v>116</v>
      </c>
      <c r="G5" s="2" t="s">
        <v>161</v>
      </c>
      <c r="H5" s="2" t="s">
        <v>102</v>
      </c>
      <c r="I5" s="2" t="s">
        <v>162</v>
      </c>
      <c r="J5" s="2" t="s">
        <v>163</v>
      </c>
      <c r="K5" s="2" t="s">
        <v>105</v>
      </c>
      <c r="L5" s="2">
        <v>703</v>
      </c>
      <c r="M5" s="2" t="s">
        <v>106</v>
      </c>
      <c r="N5" s="5">
        <v>46227</v>
      </c>
      <c r="O5" s="5">
        <v>46228</v>
      </c>
      <c r="P5" s="2">
        <v>1</v>
      </c>
      <c r="Q5" s="2" t="s">
        <v>164</v>
      </c>
      <c r="R5" s="2" t="s">
        <v>165</v>
      </c>
      <c r="S5" s="5">
        <v>26800</v>
      </c>
      <c r="T5" s="2" t="s">
        <v>166</v>
      </c>
      <c r="U5" s="2" t="s">
        <v>133</v>
      </c>
      <c r="V5" s="6" t="s">
        <v>167</v>
      </c>
      <c r="W5" s="2" t="s">
        <v>168</v>
      </c>
      <c r="X5" s="6" t="s">
        <v>169</v>
      </c>
      <c r="Y5" s="2" t="s">
        <v>170</v>
      </c>
      <c r="Z5" s="2" t="s">
        <v>115</v>
      </c>
      <c r="AA5" s="2" t="s">
        <v>115</v>
      </c>
      <c r="AB5" s="6" t="s">
        <v>116</v>
      </c>
      <c r="AC5" s="6"/>
      <c r="AD5" s="2" t="s">
        <v>171</v>
      </c>
      <c r="AE5" s="2" t="s">
        <v>172</v>
      </c>
      <c r="AF5" s="2"/>
      <c r="AG5" s="2"/>
      <c r="AH5" s="2" t="s">
        <v>158</v>
      </c>
      <c r="AI5" s="2" t="s">
        <v>173</v>
      </c>
      <c r="AJ5" s="2">
        <v>144238</v>
      </c>
      <c r="AK5" s="7" t="s">
        <v>116</v>
      </c>
      <c r="AL5" s="7" t="s">
        <v>174</v>
      </c>
      <c r="AM5" s="2" t="s">
        <v>175</v>
      </c>
      <c r="AN5" s="2"/>
      <c r="AO5" s="2"/>
      <c r="AP5" s="2"/>
      <c r="AQ5" s="2"/>
      <c r="AR5" s="2"/>
      <c r="AS5" s="2"/>
      <c r="AT5" s="8"/>
      <c r="AU5" s="8">
        <v>48</v>
      </c>
      <c r="AV5" s="8">
        <v>20</v>
      </c>
      <c r="AW5" s="8">
        <v>28</v>
      </c>
      <c r="AX5" s="2" t="s">
        <v>116</v>
      </c>
      <c r="AY5" s="8">
        <v>48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0</v>
      </c>
      <c r="BP5" s="8"/>
      <c r="BQ5" s="8"/>
      <c r="BR5" s="2"/>
      <c r="BS5" s="2"/>
      <c r="BT5" s="8"/>
      <c r="BU5" s="2" t="s">
        <v>116</v>
      </c>
      <c r="BV5" s="8">
        <v>48</v>
      </c>
      <c r="BW5" s="2" t="s">
        <v>122</v>
      </c>
      <c r="BX5" s="2" t="s">
        <v>123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124</v>
      </c>
      <c r="CF5" s="3">
        <v>46226.9291290509</v>
      </c>
      <c r="CG5" s="7"/>
      <c r="CH5" s="7" t="s">
        <v>116</v>
      </c>
      <c r="CI5" s="7" t="s">
        <v>116</v>
      </c>
      <c r="CJ5" s="2"/>
      <c r="CK5" s="2"/>
      <c r="CL5" s="2" t="s">
        <v>125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19427051</v>
      </c>
      <c r="B6" s="9"/>
      <c r="C6" s="10">
        <v>46226.9643516204</v>
      </c>
      <c r="D6" s="10"/>
      <c r="E6" s="9">
        <v>5476</v>
      </c>
      <c r="F6" s="11" t="s">
        <v>176</v>
      </c>
      <c r="G6" s="9" t="s">
        <v>177</v>
      </c>
      <c r="H6" s="9" t="s">
        <v>178</v>
      </c>
      <c r="I6" s="9" t="s">
        <v>179</v>
      </c>
      <c r="J6" s="9" t="s">
        <v>180</v>
      </c>
      <c r="K6" s="9" t="s">
        <v>105</v>
      </c>
      <c r="L6" s="9">
        <v>703</v>
      </c>
      <c r="M6" s="9" t="s">
        <v>106</v>
      </c>
      <c r="N6" s="12">
        <v>46231</v>
      </c>
      <c r="O6" s="12">
        <v>46238</v>
      </c>
      <c r="P6" s="9">
        <v>7</v>
      </c>
      <c r="Q6" s="9" t="s">
        <v>181</v>
      </c>
      <c r="R6" s="9" t="s">
        <v>182</v>
      </c>
      <c r="S6" s="12">
        <v>25341</v>
      </c>
      <c r="T6" s="9" t="s">
        <v>183</v>
      </c>
      <c r="U6" s="9" t="s">
        <v>110</v>
      </c>
      <c r="V6" s="13" t="s">
        <v>184</v>
      </c>
      <c r="W6" s="9" t="s">
        <v>185</v>
      </c>
      <c r="X6" s="13" t="s">
        <v>186</v>
      </c>
      <c r="Y6" s="9" t="s">
        <v>187</v>
      </c>
      <c r="Z6" s="9" t="s">
        <v>115</v>
      </c>
      <c r="AA6" s="9" t="s">
        <v>188</v>
      </c>
      <c r="AB6" s="13" t="s">
        <v>116</v>
      </c>
      <c r="AC6" s="13"/>
      <c r="AD6" s="9" t="s">
        <v>189</v>
      </c>
      <c r="AE6" s="9" t="s">
        <v>139</v>
      </c>
      <c r="AF6" s="9"/>
      <c r="AG6" s="9" t="s">
        <v>190</v>
      </c>
      <c r="AH6" s="9" t="s">
        <v>158</v>
      </c>
      <c r="AI6" s="9" t="s">
        <v>191</v>
      </c>
      <c r="AJ6" s="9">
        <v>44409</v>
      </c>
      <c r="AK6" s="14" t="s">
        <v>116</v>
      </c>
      <c r="AL6" s="14" t="s">
        <v>192</v>
      </c>
      <c r="AM6" s="9" t="s">
        <v>193</v>
      </c>
      <c r="AN6" s="9"/>
      <c r="AO6" s="9"/>
      <c r="AP6" s="9"/>
      <c r="AQ6" s="9"/>
      <c r="AR6" s="9"/>
      <c r="AS6" s="9"/>
      <c r="AT6" s="15"/>
      <c r="AU6" s="15">
        <v>315</v>
      </c>
      <c r="AV6" s="15">
        <v>245</v>
      </c>
      <c r="AW6" s="15">
        <v>70</v>
      </c>
      <c r="AX6" s="9" t="s">
        <v>116</v>
      </c>
      <c r="AY6" s="15">
        <v>126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0</v>
      </c>
      <c r="BP6" s="15"/>
      <c r="BQ6" s="15"/>
      <c r="BR6" s="9"/>
      <c r="BS6" s="9"/>
      <c r="BT6" s="15"/>
      <c r="BU6" s="9" t="s">
        <v>116</v>
      </c>
      <c r="BV6" s="15">
        <v>315</v>
      </c>
      <c r="BW6" s="9" t="s">
        <v>122</v>
      </c>
      <c r="BX6" s="9" t="s">
        <v>194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124</v>
      </c>
      <c r="CF6" s="10">
        <v>46226.9671125</v>
      </c>
      <c r="CG6" s="14"/>
      <c r="CH6" s="14" t="s">
        <v>116</v>
      </c>
      <c r="CI6" s="14" t="s">
        <v>116</v>
      </c>
      <c r="CJ6" s="9"/>
      <c r="CK6" s="9"/>
      <c r="CL6" s="9" t="s">
        <v>143</v>
      </c>
      <c r="CM6" s="9" t="s">
        <v>116</v>
      </c>
      <c r="CN6" s="9" t="s">
        <v>116</v>
      </c>
      <c r="CO6" s="9"/>
      <c r="CP6" s="9"/>
      <c r="CQ6" s="9"/>
      <c r="CR6" s="9" t="s">
        <v>195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  <col min="6" max="6" width="15" customWidth="1"/>
  </cols>
  <sheetData>
    <row r="1">
      <c r="A1" s="16" t="s">
        <v>105</v>
      </c>
      <c r="B1" s="16" t="s">
        <v>105</v>
      </c>
      <c r="C1" s="16" t="s">
        <v>105</v>
      </c>
      <c r="D1" s="16" t="s">
        <v>105</v>
      </c>
      <c r="E1" s="21" t="s">
        <v>196</v>
      </c>
      <c r="F1" s="21" t="s">
        <v>196</v>
      </c>
    </row>
    <row r="2">
      <c r="A2" s="17" t="s">
        <v>106</v>
      </c>
      <c r="B2" s="17" t="s">
        <v>106</v>
      </c>
      <c r="C2" s="17" t="s">
        <v>146</v>
      </c>
      <c r="D2" s="17" t="s">
        <v>146</v>
      </c>
      <c r="E2" s="21" t="s">
        <v>196</v>
      </c>
      <c r="F2" s="21" t="s">
        <v>196</v>
      </c>
    </row>
    <row r="3">
      <c r="A3" s="18" t="s">
        <v>197</v>
      </c>
      <c r="B3" s="18" t="s">
        <v>198</v>
      </c>
      <c r="C3" s="18" t="s">
        <v>197</v>
      </c>
      <c r="D3" s="18" t="s">
        <v>198</v>
      </c>
      <c r="E3" s="18" t="s">
        <v>197</v>
      </c>
      <c r="F3" s="18" t="s">
        <v>198</v>
      </c>
    </row>
    <row r="4">
      <c r="A4" s="19">
        <v>4</v>
      </c>
      <c r="B4" s="20">
        <v>1314</v>
      </c>
      <c r="C4" s="19">
        <v>1</v>
      </c>
      <c r="D4" s="20">
        <v>36.06</v>
      </c>
      <c r="E4" s="19">
        <f> A4 + C4</f>
      </c>
      <c r="F4" s="22">
        <f> B4 + D4</f>
      </c>
    </row>
  </sheetData>
  <mergeCells>
    <mergeCell ref="A1:D1"/>
    <mergeCell ref="A2:B2"/>
    <mergeCell ref="C2:D2"/>
    <mergeCell ref="E1:F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199</v>
      </c>
      <c r="B1" s="1" t="s">
        <v>200</v>
      </c>
      <c r="C1" s="1" t="s">
        <v>201</v>
      </c>
      <c r="D1" s="1" t="s">
        <v>202</v>
      </c>
      <c r="E1" s="1" t="s">
        <v>203</v>
      </c>
      <c r="F1" s="1" t="s">
        <v>203</v>
      </c>
      <c r="G1" s="1" t="s">
        <v>203</v>
      </c>
    </row>
    <row r="2">
      <c r="A2" s="23" t="s">
        <v>199</v>
      </c>
      <c r="B2" s="23" t="s">
        <v>204</v>
      </c>
      <c r="C2" s="23" t="s">
        <v>205</v>
      </c>
      <c r="D2" s="23" t="s">
        <v>206</v>
      </c>
      <c r="E2" s="23" t="s">
        <v>207</v>
      </c>
      <c r="F2" s="23" t="s">
        <v>208</v>
      </c>
      <c r="G2" s="23" t="s">
        <v>209</v>
      </c>
    </row>
    <row r="3">
      <c r="A3" s="24" t="s">
        <v>210</v>
      </c>
      <c r="B3" s="24" t="s">
        <v>211</v>
      </c>
      <c r="C3" s="24" t="s">
        <v>212</v>
      </c>
      <c r="D3" s="24" t="s">
        <v>213</v>
      </c>
      <c r="E3" s="24" t="s">
        <v>214</v>
      </c>
      <c r="F3" s="24" t="s">
        <v>115</v>
      </c>
      <c r="G3" s="24" t="s">
        <v>215</v>
      </c>
    </row>
    <row r="4">
      <c r="D4" s="24" t="s">
        <v>216</v>
      </c>
      <c r="E4" s="24" t="s">
        <v>217</v>
      </c>
    </row>
    <row r="5">
      <c r="D5" s="24" t="s">
        <v>218</v>
      </c>
    </row>
    <row r="6">
      <c r="D6" s="24" t="s">
        <v>219</v>
      </c>
    </row>
    <row r="7">
      <c r="D7" s="24" t="s">
        <v>220</v>
      </c>
    </row>
    <row r="8">
      <c r="D8" s="24" t="s">
        <v>221</v>
      </c>
    </row>
  </sheetData>
  <mergeCells>
    <mergeCell ref="A1"/>
    <mergeCell ref="B1"/>
    <mergeCell ref="C1"/>
    <mergeCell ref="D1"/>
    <mergeCell ref="E1:G1"/>
  </mergeCells>
  <headerFooter/>
</worksheet>
</file>