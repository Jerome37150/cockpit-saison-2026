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7 Juin 2026" sheetId="3" r:id="rId4"/>
  </sheets>
  <calcPr fullCalcOnLoad="1"/>
</workbook>
</file>

<file path=xl/sharedStrings.xml><?xml version="1.0" encoding="utf-8"?>
<sst xmlns="http://schemas.openxmlformats.org/spreadsheetml/2006/main" count="225" uniqueCount="225">
  <si>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</si>
  <si>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</si>
  <si>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</si>
  <si>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</si>
  <si>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</si>
  <si>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</si>
  <si>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</si>
  <si>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</si>
  <si>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</si>
  <si>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</si>
  <si>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</si>
  <si>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</si>
  <si>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</si>
  <si>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</si>
  <si>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</si>
  <si>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</si>
  <si>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</si>
  <si>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</si>
  <si>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</si>
  <si>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</si>
  <si>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</si>
  <si>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</si>
  <si>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</si>
  <si>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</si>
  <si>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</si>
  <si>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</si>
  <si>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</si>
  <si>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</si>
  <si>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</si>
  <si>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</si>
  <si>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</si>
  <si>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</si>
  <si>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</si>
  <si>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</si>
  <si>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</si>
  <si>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</si>
  <si>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</si>
  <si>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</si>
  <si>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</si>
  <si>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</si>
  <si>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</si>
  <si>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</si>
  <si>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</si>
  <si>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</si>
  <si>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</si>
  <si>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</si>
  <si>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</si>
  <si>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</si>
  <si>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</si>
  <si>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</si>
  <si>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</si>
  <si>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</si>
  <si>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</si>
  <si>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</si>
  <si>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</si>
  <si>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</si>
  <si>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</si>
  <si>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</si>
  <si>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</si>
  <si>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</si>
  <si>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</si>
  <si>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</si>
  <si>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</si>
  <si>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</si>
  <si>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</si>
  <si>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</si>
  <si>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</si>
  <si>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</si>
  <si>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</si>
  <si>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</si>
  <si>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</si>
  <si>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</si>
  <si>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</si>
  <si>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</si>
  <si>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</si>
  <si>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</si>
  <si>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</si>
  <si>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</si>
  <si>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</si>
  <si>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</si>
  <si>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</si>
  <si>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</si>
  <si>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</si>
  <si>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</si>
  <si>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</si>
  <si>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</si>
  <si>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</si>
  <si>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</si>
  <si>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</si>
  <si>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</si>
  <si>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</si>
  <si>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</si>
  <si>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</si>
  <si>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</si>
  <si>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</si>
  <si>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</si>
  <si>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</si>
  <si>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</si>
  <si>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</si>
  <si>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</si>
  <si>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70571</t>
  </si>
  <si>
    <t>Camping Baie de Saint Pol</t>
  </si>
  <si>
    <t>France</t>
  </si>
  <si>
    <t>Bretagne</t>
  </si>
  <si>
    <t>Finistère</t>
  </si>
  <si>
    <t>Pack E-Trafic</t>
  </si>
  <si>
    <t>Pack E-Trafic Campingdirect</t>
  </si>
  <si>
    <t>Jouan</t>
  </si>
  <si>
    <t>Yves</t>
  </si>
  <si>
    <t>patyves29@hotmail.fr</t>
  </si>
  <si>
    <t>oui</t>
  </si>
  <si>
    <t>0626423411</t>
  </si>
  <si>
    <t>51 résidence de kerbriand</t>
  </si>
  <si>
    <t>29610</t>
  </si>
  <si>
    <t>PLOUIGNEAU</t>
  </si>
  <si>
    <t>FR</t>
  </si>
  <si>
    <t/>
  </si>
  <si>
    <t>Patricia Jouan 11/08/1971 | Alain Beuzit 09/12/1947 | Arlette Beuzit 09/01/1945</t>
  </si>
  <si>
    <t>4</t>
  </si>
  <si>
    <t>Camping car</t>
  </si>
  <si>
    <t>Emplacement</t>
  </si>
  <si>
    <t>Emplacement nu avec électricité - 1 véhicule 2/6 pers.</t>
  </si>
  <si>
    <t>793 | Personne supplémentaire de + 18 ans | 2 | 28</t>
  </si>
  <si>
    <t>2026 - TARIFICATION A LA NUITÉE</t>
  </si>
  <si>
    <t>-10%</t>
  </si>
  <si>
    <t>Offre BS 10% emplacement</t>
  </si>
  <si>
    <t>€</t>
  </si>
  <si>
    <t>Visa</t>
  </si>
  <si>
    <t>YES</t>
  </si>
  <si>
    <t>1</t>
  </si>
  <si>
    <t>CampingCard</t>
  </si>
  <si>
    <t>71140</t>
  </si>
  <si>
    <t>Camping de Retourtour</t>
  </si>
  <si>
    <t>Auvergne-Rhône-Alpes</t>
  </si>
  <si>
    <t>Ardèche</t>
  </si>
  <si>
    <t>CHENOIX</t>
  </si>
  <si>
    <t>CHRISTIAN</t>
  </si>
  <si>
    <t>c.chenoix@chenoix-maintenance.be</t>
  </si>
  <si>
    <t>non</t>
  </si>
  <si>
    <t>0475686354</t>
  </si>
  <si>
    <t>Route de Liege 66</t>
  </si>
  <si>
    <t>6960</t>
  </si>
  <si>
    <t>Manhay</t>
  </si>
  <si>
    <t>BE</t>
  </si>
  <si>
    <t xml:space="preserve">Bonjour,
Je viens pour participer à une activité organisée par Jérome Laffitte (qui ma renseigné votre camping) je suis avec un camping car et une remorque pour mon Buggy je suppose que les emplacements peuvent recevoir la remorque et le camping car,
Salutations.
Christian Chenoix
+32.475.68.63.54</t>
  </si>
  <si>
    <t>Forfait emplacement tente + vélo, ou auto, caravane ou camping-car 2/6 pers.</t>
  </si>
  <si>
    <t>50 | Electricité 13 A | 1 | 13,5</t>
  </si>
  <si>
    <t>TARIFICATION A LA NUITÉE</t>
  </si>
  <si>
    <t>0</t>
  </si>
  <si>
    <t>76146</t>
  </si>
  <si>
    <t>Camping Nostradamus</t>
  </si>
  <si>
    <t>Provence-Alpes-Côte d'Azur</t>
  </si>
  <si>
    <t>Bouches-du-Rhône</t>
  </si>
  <si>
    <t>Ghelfi</t>
  </si>
  <si>
    <t>Alessandro</t>
  </si>
  <si>
    <t>ghelfialessandro@hotmail.it</t>
  </si>
  <si>
    <t>00393480448333</t>
  </si>
  <si>
    <t>Via Luigi Cadorna, 37</t>
  </si>
  <si>
    <t>26013</t>
  </si>
  <si>
    <t>Crema</t>
  </si>
  <si>
    <t>IT</t>
  </si>
  <si>
    <t>Emma Fioretti 15/04/1997</t>
  </si>
  <si>
    <t>2</t>
  </si>
  <si>
    <t>Tente : 1,3x2,1m</t>
  </si>
  <si>
    <t>Emplacement pour randonneurs à pied ou en vélo 2/6 pers.</t>
  </si>
  <si>
    <t>448 | Attacco elettricità prese europee | 1 | 4</t>
  </si>
  <si>
    <t>emplacement 2 personnes</t>
  </si>
  <si>
    <t>Camping Seasonova La Pointe de Roscoff</t>
  </si>
  <si>
    <t>Marsick</t>
  </si>
  <si>
    <t>Anne</t>
  </si>
  <si>
    <t>anne.marsick@wanadoo.fr</t>
  </si>
  <si>
    <t>0686819019</t>
  </si>
  <si>
    <t>6 rue louis pasteur</t>
  </si>
  <si>
    <t>69600</t>
  </si>
  <si>
    <t>OULLINS</t>
  </si>
  <si>
    <t>thierry marsick 27/01/1968</t>
  </si>
  <si>
    <t>Tente</t>
  </si>
  <si>
    <t>Emplacement nu avec électricité pour Tentes et Vans 2/6 pers.</t>
  </si>
  <si>
    <t>TARIFICATION A LA NUITÉE 1 à 4 nuits</t>
  </si>
  <si>
    <t>75980</t>
  </si>
  <si>
    <t>Camping Il Rospo</t>
  </si>
  <si>
    <t>Italie</t>
  </si>
  <si>
    <t>Ligurie</t>
  </si>
  <si>
    <t>Gênes</t>
  </si>
  <si>
    <t>Hammon</t>
  </si>
  <si>
    <t>Johanna</t>
  </si>
  <si>
    <t>johannahammon@posteo.de</t>
  </si>
  <si>
    <t>0615080142</t>
  </si>
  <si>
    <t>Hauptstrasse 170</t>
  </si>
  <si>
    <t>4417</t>
  </si>
  <si>
    <t>Ziefen</t>
  </si>
  <si>
    <t>CH</t>
  </si>
  <si>
    <t>DE</t>
  </si>
  <si>
    <t>Lasse Schabert 02/11/1991 | Ylva Hammon 23/04/2013 | Liam Hammon 07/02/2016</t>
  </si>
  <si>
    <t>Tente : 5x5m</t>
  </si>
  <si>
    <t>Piazzola tenda grande 2/5 pers.</t>
  </si>
  <si>
    <t>45 | Zusätzliche Person | 2 | 56</t>
  </si>
  <si>
    <t>LISTINO A NOTTE</t>
  </si>
  <si>
    <t>InternationalBankTransfert</t>
  </si>
  <si>
    <t>Total</t>
  </si>
  <si>
    <t>Bookings</t>
  </si>
  <si>
    <t>CA</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</si>
  <si>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</si>
  <si>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</si>
  <si>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</si>
  <si>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</si>
  <si>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</si>
  <si>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</si>
  <si>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</si>
  <si>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</si>
  <si>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</si>
  <si>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</si>
  <si>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</si>
  <si>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</si>
  <si>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26-Juin-2026 -&gt; 26-Juin-2026</t>
  </si>
  <si>
    <t>Réservations</t>
  </si>
  <si>
    <t>Pack E-Trafic Alcampeggio #1603</t>
  </si>
  <si>
    <t>DetailSales</t>
  </si>
  <si>
    <t>Pack Trafic</t>
  </si>
  <si>
    <t>Pack E-Trafic Camping2be.com #1104</t>
  </si>
  <si>
    <t>Par moteur</t>
  </si>
  <si>
    <t>Pack E-Trafic Campingdirect #703</t>
  </si>
  <si>
    <t>Pack E-Trafic Camping-streetview.com #1172</t>
  </si>
  <si>
    <t>Pack E-Trafic Ibericamp #1445</t>
  </si>
  <si>
    <t>Pack E-Trafic Ucamping.com #1552</t>
  </si>
</sst>
</file>

<file path=xl/styles.xml><?xml version="1.0" encoding="utf-8"?>
<styleSheet xmlns="http://schemas.openxmlformats.org/spreadsheetml/2006/main">
  <numFmts count="5">
    <numFmt numFmtId="164" formatCode="dd/MM/yyyy"/>
    <numFmt numFmtId="165" formatCode="dd/MM/yyyy hh:mm"/>
    <numFmt numFmtId="166" formatCode="# ##0.00"/>
    <numFmt numFmtId="167" formatCode="# ##0.00 €"/>
    <numFmt numFmtId="168" formatCode="# ##0 €"/>
  </numFmts>
  <fonts count="2">
    <font>
      <sz val="11"/>
      <name val="Calibri"/>
    </font>
    <font>
      <b/>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5">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25">
    <xf numFmtId="0" fontId="0" xfId="0"/>
    <xf numFmtId="0" fontId="0" fillId="2" applyFill="1" borderId="3"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4" applyBorder="1"/>
    <xf numFmtId="165" applyNumberFormat="1" fontId="0" fillId="3" applyFill="1" borderId="4" applyBorder="1"/>
    <xf numFmtId="0" fontId="0" fillId="3" applyFill="1" borderId="4" applyBorder="1" applyAlignment="1">
      <alignment horizontal="right"/>
    </xf>
    <xf numFmtId="164" applyNumberFormat="1" fontId="0" fillId="3" applyFill="1" borderId="4" applyBorder="1"/>
    <xf numFmtId="49" applyNumberFormat="1" fontId="0" fillId="3" applyFill="1" borderId="4" applyBorder="1"/>
    <xf numFmtId="0" fontId="0" fillId="3" applyFill="1" borderId="4" applyBorder="1">
      <alignment wrapText="1"/>
    </xf>
    <xf numFmtId="166" applyNumberFormat="1" fontId="0" fillId="3" applyFill="1" borderId="4" applyBorder="1"/>
    <xf numFmtId="0" fontId="1" applyFont="1" fillId="2" applyFill="1" borderId="2" applyBorder="1" applyAlignment="1">
      <alignment horizontal="center"/>
    </xf>
    <xf numFmtId="0" fontId="1" applyFont="1" fillId="2" applyFill="1" borderId="2" applyBorder="1" applyAlignment="1">
      <alignment horizontal="center" vertical="center" wrapText="1"/>
    </xf>
    <xf numFmtId="0" fontId="0" fillId="2" applyFill="1" borderId="4" applyBorder="1" applyAlignment="1">
      <alignment horizontal="center"/>
    </xf>
    <xf numFmtId="0" fontId="0" fillId="4" applyFill="1" borderId="1" applyBorder="1"/>
    <xf numFmtId="167" applyNumberFormat="1" fontId="0" fillId="4" applyFill="1" borderId="1" applyBorder="1"/>
    <xf numFmtId="0" fontId="1" applyFont="1" fillId="2" applyFill="1" borderId="1" applyBorder="1" applyAlignment="1">
      <alignment horizontal="center" vertical="center"/>
    </xf>
    <xf numFmtId="168" applyNumberFormat="1" fontId="0" fillId="4" applyFill="1" borderId="1" applyBorder="1"/>
    <xf numFmtId="0" fontId="0" fillId="4" applyFill="1" borderId="3" applyBorder="1" applyAlignment="1">
      <alignment horizontal="center"/>
    </xf>
    <xf numFmtId="0" fontId="0" fillId="3" applyFill="1" borderId="3"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19012222</v>
      </c>
      <c r="B2" s="2"/>
      <c r="C2" s="3">
        <v>46199.3970971875</v>
      </c>
      <c r="D2" s="3"/>
      <c r="E2" s="2">
        <v>4831</v>
      </c>
      <c r="F2" s="4" t="s">
        <v>100</v>
      </c>
      <c r="G2" s="2" t="s">
        <v>101</v>
      </c>
      <c r="H2" s="2" t="s">
        <v>102</v>
      </c>
      <c r="I2" s="2" t="s">
        <v>103</v>
      </c>
      <c r="J2" s="2" t="s">
        <v>104</v>
      </c>
      <c r="K2" s="2" t="s">
        <v>105</v>
      </c>
      <c r="L2" s="2">
        <v>703</v>
      </c>
      <c r="M2" s="2" t="s">
        <v>106</v>
      </c>
      <c r="N2" s="5">
        <v>46209</v>
      </c>
      <c r="O2" s="5">
        <v>46213</v>
      </c>
      <c r="P2" s="2">
        <v>4</v>
      </c>
      <c r="Q2" s="2" t="s">
        <v>107</v>
      </c>
      <c r="R2" s="2" t="s">
        <v>108</v>
      </c>
      <c r="S2" s="5">
        <v>23878</v>
      </c>
      <c r="T2" s="2" t="s">
        <v>109</v>
      </c>
      <c r="U2" s="2" t="s">
        <v>110</v>
      </c>
      <c r="V2" s="6" t="s">
        <v>111</v>
      </c>
      <c r="W2" s="2" t="s">
        <v>112</v>
      </c>
      <c r="X2" s="6" t="s">
        <v>113</v>
      </c>
      <c r="Y2" s="2" t="s">
        <v>114</v>
      </c>
      <c r="Z2" s="2" t="s">
        <v>115</v>
      </c>
      <c r="AA2" s="2" t="s">
        <v>115</v>
      </c>
      <c r="AB2" s="6" t="s">
        <v>116</v>
      </c>
      <c r="AC2" s="6"/>
      <c r="AD2" s="2" t="s">
        <v>117</v>
      </c>
      <c r="AE2" s="2" t="s">
        <v>118</v>
      </c>
      <c r="AF2" s="2"/>
      <c r="AG2" s="2" t="s">
        <v>119</v>
      </c>
      <c r="AH2" s="2" t="s">
        <v>120</v>
      </c>
      <c r="AI2" s="2" t="s">
        <v>121</v>
      </c>
      <c r="AJ2" s="2">
        <v>116658</v>
      </c>
      <c r="AK2" s="7" t="s">
        <v>116</v>
      </c>
      <c r="AL2" s="7" t="s">
        <v>122</v>
      </c>
      <c r="AM2" s="2" t="s">
        <v>123</v>
      </c>
      <c r="AN2" s="2" t="s">
        <v>124</v>
      </c>
      <c r="AO2" s="2">
        <v>10.8</v>
      </c>
      <c r="AP2" s="2" t="s">
        <v>125</v>
      </c>
      <c r="AQ2" s="2"/>
      <c r="AR2" s="2"/>
      <c r="AS2" s="2"/>
      <c r="AT2" s="8"/>
      <c r="AU2" s="8">
        <v>172.2</v>
      </c>
      <c r="AV2" s="8">
        <v>97.2</v>
      </c>
      <c r="AW2" s="8">
        <v>56</v>
      </c>
      <c r="AX2" s="2" t="s">
        <v>116</v>
      </c>
      <c r="AY2" s="8">
        <v>201.16</v>
      </c>
      <c r="AZ2" s="8"/>
      <c r="BA2" s="7"/>
      <c r="BB2" s="8"/>
      <c r="BC2" s="2"/>
      <c r="BD2" s="2" t="s">
        <v>116</v>
      </c>
      <c r="BE2" s="2"/>
      <c r="BF2" s="2"/>
      <c r="BG2" s="7"/>
      <c r="BH2" s="8"/>
      <c r="BI2" s="2"/>
      <c r="BJ2" s="2" t="s">
        <v>116</v>
      </c>
      <c r="BK2" s="2"/>
      <c r="BL2" s="2"/>
      <c r="BM2" s="8"/>
      <c r="BN2" s="2"/>
      <c r="BO2" s="8">
        <v>19</v>
      </c>
      <c r="BP2" s="8"/>
      <c r="BQ2" s="8">
        <v>28.96</v>
      </c>
      <c r="BR2" s="2"/>
      <c r="BS2" s="2"/>
      <c r="BT2" s="8"/>
      <c r="BU2" s="2" t="s">
        <v>116</v>
      </c>
      <c r="BV2" s="8">
        <v>201.16</v>
      </c>
      <c r="BW2" s="2" t="s">
        <v>126</v>
      </c>
      <c r="BX2" s="2" t="s">
        <v>127</v>
      </c>
      <c r="BY2" s="2" t="s">
        <v>116</v>
      </c>
      <c r="BZ2" s="2" t="s">
        <v>116</v>
      </c>
      <c r="CA2" s="2" t="s">
        <v>116</v>
      </c>
      <c r="CB2" s="2"/>
      <c r="CC2" s="2"/>
      <c r="CD2" s="2"/>
      <c r="CE2" s="2" t="s">
        <v>128</v>
      </c>
      <c r="CF2" s="3">
        <v>46199.3970971875</v>
      </c>
      <c r="CG2" s="7"/>
      <c r="CH2" s="7" t="s">
        <v>116</v>
      </c>
      <c r="CI2" s="7" t="s">
        <v>116</v>
      </c>
      <c r="CJ2" s="2"/>
      <c r="CK2" s="2"/>
      <c r="CL2" s="2" t="s">
        <v>129</v>
      </c>
      <c r="CM2" s="2" t="s">
        <v>116</v>
      </c>
      <c r="CN2" s="2" t="s">
        <v>116</v>
      </c>
      <c r="CO2" s="2"/>
      <c r="CP2" s="2"/>
      <c r="CQ2" s="2"/>
      <c r="CR2" s="2" t="s">
        <v>130</v>
      </c>
      <c r="CS2" s="2" t="s">
        <v>116</v>
      </c>
      <c r="CT2" s="2"/>
      <c r="CU2" s="2"/>
      <c r="CV2" s="2"/>
    </row>
    <row r="3">
      <c r="A3" s="2">
        <v>19015930</v>
      </c>
      <c r="B3" s="2"/>
      <c r="C3" s="3">
        <v>46199.6185254282</v>
      </c>
      <c r="D3" s="3"/>
      <c r="E3" s="2">
        <v>5265</v>
      </c>
      <c r="F3" s="4" t="s">
        <v>131</v>
      </c>
      <c r="G3" s="2" t="s">
        <v>132</v>
      </c>
      <c r="H3" s="2" t="s">
        <v>102</v>
      </c>
      <c r="I3" s="2" t="s">
        <v>133</v>
      </c>
      <c r="J3" s="2" t="s">
        <v>134</v>
      </c>
      <c r="K3" s="2" t="s">
        <v>105</v>
      </c>
      <c r="L3" s="2">
        <v>703</v>
      </c>
      <c r="M3" s="2" t="s">
        <v>106</v>
      </c>
      <c r="N3" s="5">
        <v>46207</v>
      </c>
      <c r="O3" s="5">
        <v>46210</v>
      </c>
      <c r="P3" s="2">
        <v>3</v>
      </c>
      <c r="Q3" s="2" t="s">
        <v>135</v>
      </c>
      <c r="R3" s="2" t="s">
        <v>136</v>
      </c>
      <c r="S3" s="5">
        <v>24532</v>
      </c>
      <c r="T3" s="2" t="s">
        <v>137</v>
      </c>
      <c r="U3" s="2" t="s">
        <v>138</v>
      </c>
      <c r="V3" s="6" t="s">
        <v>139</v>
      </c>
      <c r="W3" s="2" t="s">
        <v>140</v>
      </c>
      <c r="X3" s="6" t="s">
        <v>141</v>
      </c>
      <c r="Y3" s="2" t="s">
        <v>142</v>
      </c>
      <c r="Z3" s="2" t="s">
        <v>143</v>
      </c>
      <c r="AA3" s="2" t="s">
        <v>115</v>
      </c>
      <c r="AB3" s="6" t="s">
        <v>116</v>
      </c>
      <c r="AC3" s="6"/>
      <c r="AD3" s="2" t="s">
        <v>116</v>
      </c>
      <c r="AE3" s="2" t="s">
        <v>129</v>
      </c>
      <c r="AF3" s="2" t="s">
        <v>144</v>
      </c>
      <c r="AG3" s="2" t="s">
        <v>119</v>
      </c>
      <c r="AH3" s="2" t="s">
        <v>120</v>
      </c>
      <c r="AI3" s="2" t="s">
        <v>145</v>
      </c>
      <c r="AJ3" s="2">
        <v>47270</v>
      </c>
      <c r="AK3" s="7" t="s">
        <v>146</v>
      </c>
      <c r="AL3" s="7" t="s">
        <v>116</v>
      </c>
      <c r="AM3" s="2" t="s">
        <v>147</v>
      </c>
      <c r="AN3" s="2"/>
      <c r="AO3" s="2"/>
      <c r="AP3" s="2"/>
      <c r="AQ3" s="2"/>
      <c r="AR3" s="2"/>
      <c r="AS3" s="2"/>
      <c r="AT3" s="8"/>
      <c r="AU3" s="8">
        <v>108.1</v>
      </c>
      <c r="AV3" s="8">
        <v>84.6</v>
      </c>
      <c r="AW3" s="8">
        <v>13.5</v>
      </c>
      <c r="AX3" s="2" t="s">
        <v>116</v>
      </c>
      <c r="AY3" s="8">
        <v>109.75</v>
      </c>
      <c r="AZ3" s="8"/>
      <c r="BA3" s="7"/>
      <c r="BB3" s="8"/>
      <c r="BC3" s="2"/>
      <c r="BD3" s="2" t="s">
        <v>116</v>
      </c>
      <c r="BE3" s="2"/>
      <c r="BF3" s="2"/>
      <c r="BG3" s="7"/>
      <c r="BH3" s="8"/>
      <c r="BI3" s="2"/>
      <c r="BJ3" s="2" t="s">
        <v>116</v>
      </c>
      <c r="BK3" s="2"/>
      <c r="BL3" s="2"/>
      <c r="BM3" s="8"/>
      <c r="BN3" s="2"/>
      <c r="BO3" s="8">
        <v>10</v>
      </c>
      <c r="BP3" s="8"/>
      <c r="BQ3" s="8">
        <v>1.65</v>
      </c>
      <c r="BR3" s="2"/>
      <c r="BS3" s="2"/>
      <c r="BT3" s="8"/>
      <c r="BU3" s="2" t="s">
        <v>116</v>
      </c>
      <c r="BV3" s="8">
        <v>109.75</v>
      </c>
      <c r="BW3" s="2" t="s">
        <v>126</v>
      </c>
      <c r="BX3" s="2" t="s">
        <v>127</v>
      </c>
      <c r="BY3" s="2" t="s">
        <v>116</v>
      </c>
      <c r="BZ3" s="2" t="s">
        <v>116</v>
      </c>
      <c r="CA3" s="2" t="s">
        <v>116</v>
      </c>
      <c r="CB3" s="2"/>
      <c r="CC3" s="2"/>
      <c r="CD3" s="2"/>
      <c r="CE3" s="2" t="s">
        <v>128</v>
      </c>
      <c r="CF3" s="3">
        <v>46199.6221263542</v>
      </c>
      <c r="CG3" s="7"/>
      <c r="CH3" s="7" t="s">
        <v>116</v>
      </c>
      <c r="CI3" s="7" t="s">
        <v>116</v>
      </c>
      <c r="CJ3" s="2"/>
      <c r="CK3" s="2"/>
      <c r="CL3" s="2" t="s">
        <v>148</v>
      </c>
      <c r="CM3" s="2" t="s">
        <v>116</v>
      </c>
      <c r="CN3" s="2" t="s">
        <v>116</v>
      </c>
      <c r="CO3" s="2"/>
      <c r="CP3" s="2"/>
      <c r="CQ3" s="2"/>
      <c r="CR3" s="2" t="s">
        <v>116</v>
      </c>
      <c r="CS3" s="2" t="s">
        <v>116</v>
      </c>
      <c r="CT3" s="2"/>
      <c r="CU3" s="2"/>
      <c r="CV3" s="2"/>
    </row>
    <row r="4">
      <c r="A4" s="2">
        <v>19018726</v>
      </c>
      <c r="B4" s="2"/>
      <c r="C4" s="3">
        <v>46199.7522611458</v>
      </c>
      <c r="D4" s="3"/>
      <c r="E4" s="2">
        <v>2435</v>
      </c>
      <c r="F4" s="4" t="s">
        <v>149</v>
      </c>
      <c r="G4" s="2" t="s">
        <v>150</v>
      </c>
      <c r="H4" s="2" t="s">
        <v>102</v>
      </c>
      <c r="I4" s="2" t="s">
        <v>151</v>
      </c>
      <c r="J4" s="2" t="s">
        <v>152</v>
      </c>
      <c r="K4" s="2" t="s">
        <v>105</v>
      </c>
      <c r="L4" s="2">
        <v>703</v>
      </c>
      <c r="M4" s="2" t="s">
        <v>106</v>
      </c>
      <c r="N4" s="5">
        <v>46212</v>
      </c>
      <c r="O4" s="5">
        <v>46213</v>
      </c>
      <c r="P4" s="2">
        <v>1</v>
      </c>
      <c r="Q4" s="2" t="s">
        <v>153</v>
      </c>
      <c r="R4" s="2" t="s">
        <v>154</v>
      </c>
      <c r="S4" s="5">
        <v>34631</v>
      </c>
      <c r="T4" s="2" t="s">
        <v>155</v>
      </c>
      <c r="U4" s="2" t="s">
        <v>138</v>
      </c>
      <c r="V4" s="6" t="s">
        <v>156</v>
      </c>
      <c r="W4" s="2" t="s">
        <v>157</v>
      </c>
      <c r="X4" s="6" t="s">
        <v>158</v>
      </c>
      <c r="Y4" s="2" t="s">
        <v>159</v>
      </c>
      <c r="Z4" s="2" t="s">
        <v>160</v>
      </c>
      <c r="AA4" s="2" t="s">
        <v>160</v>
      </c>
      <c r="AB4" s="6" t="s">
        <v>116</v>
      </c>
      <c r="AC4" s="6"/>
      <c r="AD4" s="2" t="s">
        <v>161</v>
      </c>
      <c r="AE4" s="2" t="s">
        <v>162</v>
      </c>
      <c r="AF4" s="2"/>
      <c r="AG4" s="2" t="s">
        <v>163</v>
      </c>
      <c r="AH4" s="2" t="s">
        <v>120</v>
      </c>
      <c r="AI4" s="2" t="s">
        <v>164</v>
      </c>
      <c r="AJ4" s="2">
        <v>121145</v>
      </c>
      <c r="AK4" s="7" t="s">
        <v>165</v>
      </c>
      <c r="AL4" s="7" t="s">
        <v>116</v>
      </c>
      <c r="AM4" s="2" t="s">
        <v>166</v>
      </c>
      <c r="AN4" s="2"/>
      <c r="AO4" s="2"/>
      <c r="AP4" s="2"/>
      <c r="AQ4" s="2"/>
      <c r="AR4" s="2"/>
      <c r="AS4" s="2"/>
      <c r="AT4" s="8"/>
      <c r="AU4" s="8">
        <v>34.14</v>
      </c>
      <c r="AV4" s="8">
        <v>30.14</v>
      </c>
      <c r="AW4" s="8">
        <v>4</v>
      </c>
      <c r="AX4" s="2" t="s">
        <v>116</v>
      </c>
      <c r="AY4" s="8">
        <v>13.66</v>
      </c>
      <c r="AZ4" s="8"/>
      <c r="BA4" s="7"/>
      <c r="BB4" s="8"/>
      <c r="BC4" s="2"/>
      <c r="BD4" s="2" t="s">
        <v>116</v>
      </c>
      <c r="BE4" s="2"/>
      <c r="BF4" s="2"/>
      <c r="BG4" s="7"/>
      <c r="BH4" s="8"/>
      <c r="BI4" s="2"/>
      <c r="BJ4" s="2" t="s">
        <v>116</v>
      </c>
      <c r="BK4" s="2"/>
      <c r="BL4" s="2"/>
      <c r="BM4" s="8"/>
      <c r="BN4" s="2"/>
      <c r="BO4" s="8">
        <v>0</v>
      </c>
      <c r="BP4" s="8"/>
      <c r="BQ4" s="8"/>
      <c r="BR4" s="2"/>
      <c r="BS4" s="2"/>
      <c r="BT4" s="8"/>
      <c r="BU4" s="2" t="s">
        <v>116</v>
      </c>
      <c r="BV4" s="8">
        <v>34.14</v>
      </c>
      <c r="BW4" s="2" t="s">
        <v>126</v>
      </c>
      <c r="BX4" s="2" t="s">
        <v>127</v>
      </c>
      <c r="BY4" s="2" t="s">
        <v>116</v>
      </c>
      <c r="BZ4" s="2" t="s">
        <v>116</v>
      </c>
      <c r="CA4" s="2" t="s">
        <v>116</v>
      </c>
      <c r="CB4" s="2"/>
      <c r="CC4" s="2"/>
      <c r="CD4" s="2"/>
      <c r="CE4" s="2" t="s">
        <v>128</v>
      </c>
      <c r="CF4" s="3">
        <v>46199.7728797454</v>
      </c>
      <c r="CG4" s="7"/>
      <c r="CH4" s="7" t="s">
        <v>116</v>
      </c>
      <c r="CI4" s="7" t="s">
        <v>116</v>
      </c>
      <c r="CJ4" s="2"/>
      <c r="CK4" s="2"/>
      <c r="CL4" s="2" t="s">
        <v>148</v>
      </c>
      <c r="CM4" s="2" t="s">
        <v>116</v>
      </c>
      <c r="CN4" s="2" t="s">
        <v>116</v>
      </c>
      <c r="CO4" s="2"/>
      <c r="CP4" s="2"/>
      <c r="CQ4" s="2"/>
      <c r="CR4" s="2" t="s">
        <v>116</v>
      </c>
      <c r="CS4" s="2" t="s">
        <v>116</v>
      </c>
      <c r="CT4" s="2"/>
      <c r="CU4" s="2"/>
      <c r="CV4" s="2"/>
    </row>
    <row r="5">
      <c r="A5" s="2">
        <v>19019164</v>
      </c>
      <c r="B5" s="2"/>
      <c r="C5" s="3">
        <v>46199.7716261227</v>
      </c>
      <c r="D5" s="3"/>
      <c r="E5" s="2">
        <v>17876</v>
      </c>
      <c r="F5" s="4" t="s">
        <v>116</v>
      </c>
      <c r="G5" s="2" t="s">
        <v>167</v>
      </c>
      <c r="H5" s="2" t="s">
        <v>102</v>
      </c>
      <c r="I5" s="2" t="s">
        <v>103</v>
      </c>
      <c r="J5" s="2" t="s">
        <v>104</v>
      </c>
      <c r="K5" s="2" t="s">
        <v>105</v>
      </c>
      <c r="L5" s="2">
        <v>703</v>
      </c>
      <c r="M5" s="2" t="s">
        <v>106</v>
      </c>
      <c r="N5" s="5">
        <v>46235</v>
      </c>
      <c r="O5" s="5">
        <v>46239</v>
      </c>
      <c r="P5" s="2">
        <v>4</v>
      </c>
      <c r="Q5" s="2" t="s">
        <v>168</v>
      </c>
      <c r="R5" s="2" t="s">
        <v>169</v>
      </c>
      <c r="S5" s="5">
        <v>25010</v>
      </c>
      <c r="T5" s="2" t="s">
        <v>170</v>
      </c>
      <c r="U5" s="2" t="s">
        <v>110</v>
      </c>
      <c r="V5" s="6" t="s">
        <v>171</v>
      </c>
      <c r="W5" s="2" t="s">
        <v>172</v>
      </c>
      <c r="X5" s="6" t="s">
        <v>173</v>
      </c>
      <c r="Y5" s="2" t="s">
        <v>174</v>
      </c>
      <c r="Z5" s="2" t="s">
        <v>115</v>
      </c>
      <c r="AA5" s="2" t="s">
        <v>115</v>
      </c>
      <c r="AB5" s="6" t="s">
        <v>116</v>
      </c>
      <c r="AC5" s="6"/>
      <c r="AD5" s="2" t="s">
        <v>175</v>
      </c>
      <c r="AE5" s="2" t="s">
        <v>162</v>
      </c>
      <c r="AF5" s="2"/>
      <c r="AG5" s="2" t="s">
        <v>176</v>
      </c>
      <c r="AH5" s="2" t="s">
        <v>120</v>
      </c>
      <c r="AI5" s="2" t="s">
        <v>177</v>
      </c>
      <c r="AJ5" s="2">
        <v>147130</v>
      </c>
      <c r="AK5" s="7"/>
      <c r="AL5" s="7"/>
      <c r="AM5" s="2" t="s">
        <v>178</v>
      </c>
      <c r="AN5" s="2"/>
      <c r="AO5" s="2"/>
      <c r="AP5" s="2"/>
      <c r="AQ5" s="2"/>
      <c r="AR5" s="2"/>
      <c r="AS5" s="2"/>
      <c r="AT5" s="8"/>
      <c r="AU5" s="8">
        <v>128</v>
      </c>
      <c r="AV5" s="8">
        <v>128</v>
      </c>
      <c r="AW5" s="8">
        <v>0</v>
      </c>
      <c r="AX5" s="2" t="s">
        <v>116</v>
      </c>
      <c r="AY5" s="8">
        <v>38.4</v>
      </c>
      <c r="AZ5" s="8"/>
      <c r="BA5" s="7"/>
      <c r="BB5" s="8"/>
      <c r="BC5" s="2"/>
      <c r="BD5" s="2" t="s">
        <v>116</v>
      </c>
      <c r="BE5" s="2"/>
      <c r="BF5" s="2"/>
      <c r="BG5" s="7"/>
      <c r="BH5" s="8"/>
      <c r="BI5" s="2"/>
      <c r="BJ5" s="2" t="s">
        <v>116</v>
      </c>
      <c r="BK5" s="2"/>
      <c r="BL5" s="2"/>
      <c r="BM5" s="8"/>
      <c r="BN5" s="2"/>
      <c r="BO5" s="8">
        <v>0</v>
      </c>
      <c r="BP5" s="8"/>
      <c r="BQ5" s="8">
        <v>8.48</v>
      </c>
      <c r="BR5" s="2"/>
      <c r="BS5" s="2"/>
      <c r="BT5" s="8"/>
      <c r="BU5" s="2" t="s">
        <v>116</v>
      </c>
      <c r="BV5" s="8">
        <v>136.48</v>
      </c>
      <c r="BW5" s="2" t="s">
        <v>126</v>
      </c>
      <c r="BX5" s="2" t="s">
        <v>127</v>
      </c>
      <c r="BY5" s="2" t="s">
        <v>116</v>
      </c>
      <c r="BZ5" s="2" t="s">
        <v>116</v>
      </c>
      <c r="CA5" s="2" t="s">
        <v>116</v>
      </c>
      <c r="CB5" s="2"/>
      <c r="CC5" s="2"/>
      <c r="CD5" s="2"/>
      <c r="CE5" s="2" t="s">
        <v>128</v>
      </c>
      <c r="CF5" s="3">
        <v>46199.787771331</v>
      </c>
      <c r="CG5" s="7"/>
      <c r="CH5" s="7" t="s">
        <v>116</v>
      </c>
      <c r="CI5" s="7" t="s">
        <v>116</v>
      </c>
      <c r="CJ5" s="2"/>
      <c r="CK5" s="2"/>
      <c r="CL5" s="2" t="s">
        <v>148</v>
      </c>
      <c r="CM5" s="2" t="s">
        <v>116</v>
      </c>
      <c r="CN5" s="2" t="s">
        <v>116</v>
      </c>
      <c r="CO5" s="2"/>
      <c r="CP5" s="2"/>
      <c r="CQ5" s="2"/>
      <c r="CR5" s="2" t="s">
        <v>116</v>
      </c>
      <c r="CS5" s="2" t="s">
        <v>116</v>
      </c>
      <c r="CT5" s="2"/>
      <c r="CU5" s="2"/>
      <c r="CV5" s="2"/>
    </row>
    <row r="6">
      <c r="A6" s="9">
        <v>19022127</v>
      </c>
      <c r="B6" s="9"/>
      <c r="C6" s="10">
        <v>46199.9457636227</v>
      </c>
      <c r="D6" s="10"/>
      <c r="E6" s="9">
        <v>3524</v>
      </c>
      <c r="F6" s="11" t="s">
        <v>179</v>
      </c>
      <c r="G6" s="9" t="s">
        <v>180</v>
      </c>
      <c r="H6" s="9" t="s">
        <v>181</v>
      </c>
      <c r="I6" s="9" t="s">
        <v>182</v>
      </c>
      <c r="J6" s="9" t="s">
        <v>183</v>
      </c>
      <c r="K6" s="9" t="s">
        <v>105</v>
      </c>
      <c r="L6" s="9">
        <v>703</v>
      </c>
      <c r="M6" s="9" t="s">
        <v>106</v>
      </c>
      <c r="N6" s="12">
        <v>46215</v>
      </c>
      <c r="O6" s="12">
        <v>46222</v>
      </c>
      <c r="P6" s="9">
        <v>7</v>
      </c>
      <c r="Q6" s="9" t="s">
        <v>184</v>
      </c>
      <c r="R6" s="9" t="s">
        <v>185</v>
      </c>
      <c r="S6" s="12">
        <v>33435</v>
      </c>
      <c r="T6" s="9" t="s">
        <v>186</v>
      </c>
      <c r="U6" s="9" t="s">
        <v>138</v>
      </c>
      <c r="V6" s="13" t="s">
        <v>187</v>
      </c>
      <c r="W6" s="9" t="s">
        <v>188</v>
      </c>
      <c r="X6" s="13" t="s">
        <v>189</v>
      </c>
      <c r="Y6" s="9" t="s">
        <v>190</v>
      </c>
      <c r="Z6" s="9" t="s">
        <v>191</v>
      </c>
      <c r="AA6" s="9" t="s">
        <v>192</v>
      </c>
      <c r="AB6" s="13" t="s">
        <v>116</v>
      </c>
      <c r="AC6" s="13"/>
      <c r="AD6" s="9" t="s">
        <v>193</v>
      </c>
      <c r="AE6" s="9" t="s">
        <v>118</v>
      </c>
      <c r="AF6" s="9"/>
      <c r="AG6" s="9" t="s">
        <v>194</v>
      </c>
      <c r="AH6" s="9" t="s">
        <v>120</v>
      </c>
      <c r="AI6" s="9" t="s">
        <v>195</v>
      </c>
      <c r="AJ6" s="9">
        <v>51122</v>
      </c>
      <c r="AK6" s="14" t="s">
        <v>116</v>
      </c>
      <c r="AL6" s="14" t="s">
        <v>196</v>
      </c>
      <c r="AM6" s="9" t="s">
        <v>197</v>
      </c>
      <c r="AN6" s="9"/>
      <c r="AO6" s="9"/>
      <c r="AP6" s="9"/>
      <c r="AQ6" s="9"/>
      <c r="AR6" s="9"/>
      <c r="AS6" s="9"/>
      <c r="AT6" s="15"/>
      <c r="AU6" s="15">
        <v>494</v>
      </c>
      <c r="AV6" s="15">
        <v>382</v>
      </c>
      <c r="AW6" s="15">
        <v>112</v>
      </c>
      <c r="AX6" s="9" t="s">
        <v>116</v>
      </c>
      <c r="AY6" s="15">
        <v>197.6</v>
      </c>
      <c r="AZ6" s="15"/>
      <c r="BA6" s="14"/>
      <c r="BB6" s="15"/>
      <c r="BC6" s="9"/>
      <c r="BD6" s="9" t="s">
        <v>116</v>
      </c>
      <c r="BE6" s="9"/>
      <c r="BF6" s="9"/>
      <c r="BG6" s="14"/>
      <c r="BH6" s="15"/>
      <c r="BI6" s="9"/>
      <c r="BJ6" s="9" t="s">
        <v>116</v>
      </c>
      <c r="BK6" s="9"/>
      <c r="BL6" s="9"/>
      <c r="BM6" s="15"/>
      <c r="BN6" s="9"/>
      <c r="BO6" s="15">
        <v>0</v>
      </c>
      <c r="BP6" s="15"/>
      <c r="BQ6" s="15"/>
      <c r="BR6" s="9"/>
      <c r="BS6" s="9"/>
      <c r="BT6" s="15"/>
      <c r="BU6" s="9" t="s">
        <v>116</v>
      </c>
      <c r="BV6" s="15">
        <v>494</v>
      </c>
      <c r="BW6" s="9" t="s">
        <v>126</v>
      </c>
      <c r="BX6" s="9" t="s">
        <v>198</v>
      </c>
      <c r="BY6" s="9" t="s">
        <v>116</v>
      </c>
      <c r="BZ6" s="9" t="s">
        <v>116</v>
      </c>
      <c r="CA6" s="9" t="s">
        <v>116</v>
      </c>
      <c r="CB6" s="9"/>
      <c r="CC6" s="9"/>
      <c r="CD6" s="9"/>
      <c r="CE6" s="9" t="s">
        <v>128</v>
      </c>
      <c r="CF6" s="10">
        <v>46199.9726539005</v>
      </c>
      <c r="CG6" s="14"/>
      <c r="CH6" s="14" t="s">
        <v>116</v>
      </c>
      <c r="CI6" s="14" t="s">
        <v>116</v>
      </c>
      <c r="CJ6" s="9"/>
      <c r="CK6" s="9"/>
      <c r="CL6" s="9" t="s">
        <v>148</v>
      </c>
      <c r="CM6" s="9" t="s">
        <v>116</v>
      </c>
      <c r="CN6" s="9" t="s">
        <v>116</v>
      </c>
      <c r="CO6" s="9"/>
      <c r="CP6" s="9"/>
      <c r="CQ6" s="9"/>
      <c r="CR6" s="9" t="s">
        <v>116</v>
      </c>
      <c r="CS6" s="9" t="s">
        <v>116</v>
      </c>
      <c r="CT6" s="9"/>
      <c r="CU6" s="9"/>
      <c r="CV6" s="9"/>
    </row>
  </sheetData>
  <conditionalFormatting sqref="A2:CV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D4"/>
  <sheetViews>
    <sheetView workbookViewId="0">
      <pane ySplit="1" topLeftCell="A2"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s>
  <sheetData>
    <row r="1">
      <c r="A1" s="16" t="s">
        <v>105</v>
      </c>
      <c r="B1" s="16" t="s">
        <v>105</v>
      </c>
      <c r="C1" s="21" t="s">
        <v>199</v>
      </c>
      <c r="D1" s="21" t="s">
        <v>199</v>
      </c>
    </row>
    <row r="2">
      <c r="A2" s="17" t="s">
        <v>106</v>
      </c>
      <c r="B2" s="17" t="s">
        <v>106</v>
      </c>
      <c r="C2" s="21" t="s">
        <v>199</v>
      </c>
      <c r="D2" s="21" t="s">
        <v>199</v>
      </c>
    </row>
    <row r="3">
      <c r="A3" s="18" t="s">
        <v>200</v>
      </c>
      <c r="B3" s="18" t="s">
        <v>201</v>
      </c>
      <c r="C3" s="18" t="s">
        <v>200</v>
      </c>
      <c r="D3" s="18" t="s">
        <v>201</v>
      </c>
    </row>
    <row r="4">
      <c r="A4" s="19">
        <v>5</v>
      </c>
      <c r="B4" s="20">
        <v>936.44</v>
      </c>
      <c r="C4" s="19">
        <f> A4</f>
      </c>
      <c r="D4" s="22">
        <f> B4</f>
      </c>
    </row>
  </sheetData>
  <mergeCells>
    <mergeCell ref="A1:B1"/>
    <mergeCell ref="A2:B2"/>
    <mergeCell ref="C1:D2"/>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202</v>
      </c>
      <c r="B1" s="1" t="s">
        <v>203</v>
      </c>
      <c r="C1" s="1" t="s">
        <v>204</v>
      </c>
      <c r="D1" s="1" t="s">
        <v>205</v>
      </c>
      <c r="E1" s="1" t="s">
        <v>206</v>
      </c>
      <c r="F1" s="1" t="s">
        <v>206</v>
      </c>
      <c r="G1" s="1" t="s">
        <v>206</v>
      </c>
    </row>
    <row r="2">
      <c r="A2" s="23" t="s">
        <v>202</v>
      </c>
      <c r="B2" s="23" t="s">
        <v>207</v>
      </c>
      <c r="C2" s="23" t="s">
        <v>208</v>
      </c>
      <c r="D2" s="23" t="s">
        <v>209</v>
      </c>
      <c r="E2" s="23" t="s">
        <v>210</v>
      </c>
      <c r="F2" s="23" t="s">
        <v>211</v>
      </c>
      <c r="G2" s="23" t="s">
        <v>212</v>
      </c>
    </row>
    <row r="3">
      <c r="A3" s="24" t="s">
        <v>213</v>
      </c>
      <c r="B3" s="24" t="s">
        <v>214</v>
      </c>
      <c r="C3" s="24" t="s">
        <v>215</v>
      </c>
      <c r="D3" s="24" t="s">
        <v>216</v>
      </c>
      <c r="E3" s="24" t="s">
        <v>217</v>
      </c>
      <c r="F3" s="24" t="s">
        <v>115</v>
      </c>
      <c r="G3" s="24" t="s">
        <v>218</v>
      </c>
    </row>
    <row r="4">
      <c r="D4" s="24" t="s">
        <v>219</v>
      </c>
      <c r="E4" s="24" t="s">
        <v>220</v>
      </c>
    </row>
    <row r="5">
      <c r="D5" s="24" t="s">
        <v>221</v>
      </c>
    </row>
    <row r="6">
      <c r="D6" s="24" t="s">
        <v>222</v>
      </c>
    </row>
    <row r="7">
      <c r="D7" s="24" t="s">
        <v>223</v>
      </c>
    </row>
    <row r="8">
      <c r="D8" s="24" t="s">
        <v>224</v>
      </c>
    </row>
  </sheetData>
  <mergeCells>
    <mergeCell ref="A1"/>
    <mergeCell ref="B1"/>
    <mergeCell ref="C1"/>
    <mergeCell ref="D1"/>
    <mergeCell ref="E1:G1"/>
  </mergeCells>
  <headerFooter/>
</worksheet>
</file>