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16 Juin 2026" sheetId="3" r:id="rId4"/>
  </sheets>
  <calcPr fullCalcOnLoad="1"/>
</workbook>
</file>

<file path=xl/sharedStrings.xml><?xml version="1.0" encoding="utf-8"?>
<sst xmlns="http://schemas.openxmlformats.org/spreadsheetml/2006/main" count="277" uniqueCount="277">
  <si>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</si>
  <si>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</si>
  <si>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</si>
  <si>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</si>
  <si>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</si>
  <si>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</si>
  <si>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</si>
  <si>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</si>
  <si>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</si>
  <si>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</si>
  <si>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</si>
  <si>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</si>
  <si>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</si>
  <si>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</si>
  <si>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</si>
  <si>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</si>
  <si>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</si>
  <si>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</si>
  <si>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</si>
  <si>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</si>
  <si>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</si>
  <si>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</si>
  <si>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</si>
  <si>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</si>
  <si>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</si>
  <si>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</si>
  <si>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</si>
  <si>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</si>
  <si>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</si>
  <si>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</si>
  <si>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</si>
  <si>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</si>
  <si>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</si>
  <si>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</si>
  <si>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</si>
  <si>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</si>
  <si>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</si>
  <si>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</si>
  <si>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</si>
  <si>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</si>
  <si>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</si>
  <si>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</si>
  <si>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</si>
  <si>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</si>
  <si>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</si>
  <si>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</si>
  <si>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</si>
  <si>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</si>
  <si>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</si>
  <si>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</si>
  <si>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</si>
  <si>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</si>
  <si>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</si>
  <si>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</si>
  <si>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</si>
  <si>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</si>
  <si>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</si>
  <si>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</si>
  <si>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</si>
  <si>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</si>
  <si>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</si>
  <si>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</si>
  <si>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</si>
  <si>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</si>
  <si>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</si>
  <si>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</si>
  <si>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</si>
  <si>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</si>
  <si>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</si>
  <si>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</si>
  <si>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</si>
  <si>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</si>
  <si>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</si>
  <si>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</si>
  <si>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</si>
  <si>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</si>
  <si>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</si>
  <si>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</si>
  <si>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</si>
  <si>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</si>
  <si>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</si>
  <si>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</si>
  <si>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</si>
  <si>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</si>
  <si>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</si>
  <si>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</si>
  <si>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</si>
  <si>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</si>
  <si>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</si>
  <si>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</si>
  <si>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</si>
  <si>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</si>
  <si>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</si>
  <si>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</si>
  <si>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</si>
  <si>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</si>
  <si>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</si>
  <si>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</si>
  <si>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</si>
  <si>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</si>
  <si>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96403</t>
  </si>
  <si>
    <t>Camping La Régate</t>
  </si>
  <si>
    <t>France</t>
  </si>
  <si>
    <t>Occitanie</t>
  </si>
  <si>
    <t>Ariège</t>
  </si>
  <si>
    <t>Pack E-Trafic</t>
  </si>
  <si>
    <t>Pack E-Trafic Campingdirect</t>
  </si>
  <si>
    <t>Dulaire</t>
  </si>
  <si>
    <t>Alain</t>
  </si>
  <si>
    <t>dulairealain@gmail.com</t>
  </si>
  <si>
    <t>non</t>
  </si>
  <si>
    <t>0611289451</t>
  </si>
  <si>
    <t>72 rue de Fongrave</t>
  </si>
  <si>
    <t>81800</t>
  </si>
  <si>
    <t>Rabastens</t>
  </si>
  <si>
    <t>FR</t>
  </si>
  <si>
    <t/>
  </si>
  <si>
    <t>Virginie Monserrat 02/09/1974</t>
  </si>
  <si>
    <t>2</t>
  </si>
  <si>
    <t>Camping car</t>
  </si>
  <si>
    <t>Emplacement</t>
  </si>
  <si>
    <t>Forfait nuit étape : emplacement 1 véhicule + 1 caravane ou 1 tente ou 1 camping-car 1/2 pers.</t>
  </si>
  <si>
    <t>448 | Branchement électrique prises européennes | 1 | 5</t>
  </si>
  <si>
    <t>TARIFICATION A LA NUITÉE</t>
  </si>
  <si>
    <t>€</t>
  </si>
  <si>
    <t>Visa</t>
  </si>
  <si>
    <t>YES</t>
  </si>
  <si>
    <t>0</t>
  </si>
  <si>
    <t>85705</t>
  </si>
  <si>
    <t>Camping Homair - Le Castellas</t>
  </si>
  <si>
    <t>Hérault</t>
  </si>
  <si>
    <t>CTV</t>
  </si>
  <si>
    <t>Noushka</t>
  </si>
  <si>
    <t>noushka@ctoutvert.com</t>
  </si>
  <si>
    <t>mobiletest</t>
  </si>
  <si>
    <t>adressTest</t>
  </si>
  <si>
    <t>31000</t>
  </si>
  <si>
    <t>townTest</t>
  </si>
  <si>
    <t>1</t>
  </si>
  <si>
    <t>Location</t>
  </si>
  <si>
    <t>Mobile Home Comfort - 3 chambres - Terrasse surélevée - Climatisation 6 pers.</t>
  </si>
  <si>
    <t>Grille PMS</t>
  </si>
  <si>
    <t>Assurance annulation : 8,4</t>
  </si>
  <si>
    <t>Cheque</t>
  </si>
  <si>
    <t>Locatifs</t>
  </si>
  <si>
    <t>61193</t>
  </si>
  <si>
    <t>Camping Lou Broustaricq</t>
  </si>
  <si>
    <t>Nouvelle-Aquitaine</t>
  </si>
  <si>
    <t>Landes</t>
  </si>
  <si>
    <t>Friend</t>
  </si>
  <si>
    <t>Charles</t>
  </si>
  <si>
    <t>friendcharles1@gmail.com</t>
  </si>
  <si>
    <t>07843491766</t>
  </si>
  <si>
    <t>Elm Cottage, Peppard Lane</t>
  </si>
  <si>
    <t>RG9 1LY</t>
  </si>
  <si>
    <t>Henley-on-Thames</t>
  </si>
  <si>
    <t>GB</t>
  </si>
  <si>
    <t>EN</t>
  </si>
  <si>
    <t>Katalin Friend 25/08/1985 | Sebastian Friend 24/04/2016 | Samuel Friend 15/01/2019</t>
  </si>
  <si>
    <t>4</t>
  </si>
  <si>
    <t>Tente : 3x3,5m</t>
  </si>
  <si>
    <t>Emplacement 1/6 pers.</t>
  </si>
  <si>
    <t>2245 | Compulsory eco-tax / pers. (enter the total number of people) | 1 | 7</t>
  </si>
  <si>
    <t>1874 | Child from 2 to 15 years old | 2 | 119</t>
  </si>
  <si>
    <t>-20%</t>
  </si>
  <si>
    <t>-20% off for bookings through our website or by phone!</t>
  </si>
  <si>
    <t>83100</t>
  </si>
  <si>
    <t>Camping Pré Rolland</t>
  </si>
  <si>
    <t>Auvergne-Rhône-Alpes</t>
  </si>
  <si>
    <t>Isère</t>
  </si>
  <si>
    <t>PELLOUX-PRAYER</t>
  </si>
  <si>
    <t>Claude</t>
  </si>
  <si>
    <t>claudepp@free.fr</t>
  </si>
  <si>
    <t>0781729285</t>
  </si>
  <si>
    <t>7 Impasse P. E. Marcelin Berthelot</t>
  </si>
  <si>
    <t>26100</t>
  </si>
  <si>
    <t>Romans sur Isère</t>
  </si>
  <si>
    <t>Anne-Marie PELLOUX-PRAYER 06/10/1970 | Oscar Marrel 16/04/2013 | Lena Marrel 03/01/2015</t>
  </si>
  <si>
    <t>Emplacement à proximité de Mlle PELLOUX-PRAYER Odile</t>
  </si>
  <si>
    <t>Camping car : 2x5,9m</t>
  </si>
  <si>
    <t>Emplacement de 1 à 6 pers (tente/caravane/camping-car/combi), 1 véhicule sur l'emplacement 1/6 pers.</t>
  </si>
  <si>
    <t>2160 | Enfant de 3 à 17 ans | 2 | 40</t>
  </si>
  <si>
    <t>EMPLACEMENT/ 2 PERSONNES/ 1 VEHICULE/ ELECTRICITE EN SUP</t>
  </si>
  <si>
    <t>Camping La Ferme de Bouzencourt</t>
  </si>
  <si>
    <t>Hauts-de-France</t>
  </si>
  <si>
    <t>Somme</t>
  </si>
  <si>
    <t>Schliestedt</t>
  </si>
  <si>
    <t>Sina</t>
  </si>
  <si>
    <t>sschliestedt@yahoo.com</t>
  </si>
  <si>
    <t>oui</t>
  </si>
  <si>
    <t>01732893052</t>
  </si>
  <si>
    <t>Bettina-von-Arnim-Weg 3</t>
  </si>
  <si>
    <t>33790</t>
  </si>
  <si>
    <t>Halle</t>
  </si>
  <si>
    <t>DE</t>
  </si>
  <si>
    <t>Martin Assies 13/06/1999 | Sina Schliestedt 13/06/1999</t>
  </si>
  <si>
    <t>3</t>
  </si>
  <si>
    <t>Caravane : 3x18m</t>
  </si>
  <si>
    <t>Emplacement caravane, camping-car, tente 1 pers.</t>
  </si>
  <si>
    <t>29 | Enfant - 5 ans | 2 | 18</t>
  </si>
  <si>
    <t>InternationalBankTransfert</t>
  </si>
  <si>
    <t>50368</t>
  </si>
  <si>
    <t>Camping les Dômes</t>
  </si>
  <si>
    <t>Puy-de-Dôme</t>
  </si>
  <si>
    <t>Stygall</t>
  </si>
  <si>
    <t>Valerie</t>
  </si>
  <si>
    <t>vstygall@gmail.com</t>
  </si>
  <si>
    <t>0638888681</t>
  </si>
  <si>
    <t>1 Rue De La Marche</t>
  </si>
  <si>
    <t>23190</t>
  </si>
  <si>
    <t>Champagnat</t>
  </si>
  <si>
    <t>Adrian Stygall 02/02/1959</t>
  </si>
  <si>
    <t>Van aménagé / Campervan : 2,5x6,5m</t>
  </si>
  <si>
    <t>Emplacement camping-car 1 pers.</t>
  </si>
  <si>
    <t xml:space="preserve">22 | Electricité 6 A | 1 | 9,6_x000D_
254 | Animal vacciné (tenu en laisse) | 2 | 0</t>
  </si>
  <si>
    <t>11 | Adulte supplémentaire | 1 | 11</t>
  </si>
  <si>
    <t>38882</t>
  </si>
  <si>
    <t>Camping 't Weergors</t>
  </si>
  <si>
    <t>Pays-Bas</t>
  </si>
  <si>
    <t>Hollande-Méridionale</t>
  </si>
  <si>
    <t>Pack E-Trafic Ucamping.com</t>
  </si>
  <si>
    <t>Bräuer</t>
  </si>
  <si>
    <t>Andreas</t>
  </si>
  <si>
    <t>andreasbraeuer89@gmail.com</t>
  </si>
  <si>
    <t>017643832236</t>
  </si>
  <si>
    <t>Schulstraße 2</t>
  </si>
  <si>
    <t>41516</t>
  </si>
  <si>
    <t>Grevenbroich</t>
  </si>
  <si>
    <t>Jenny Bräuer 27/08/1986 | Lenni Bräuer 19/10/2021 | Jona-Lynn Bräuer 31/05/2013 | Jordan-Tyler Bräuer 25/02/2016</t>
  </si>
  <si>
    <t>5</t>
  </si>
  <si>
    <t>Caravane : 2,2x7m</t>
  </si>
  <si>
    <t>Kampeerplaats tent / caravan / vouwwagen 2/6 pers.</t>
  </si>
  <si>
    <t xml:space="preserve">292 | Kind 3 - 12 Jahre | 2 | 25_x000D_
1066 | Person ab 12 Jahre | 1 | 50</t>
  </si>
  <si>
    <t>PMS prijstabel</t>
  </si>
  <si>
    <t>CampingCard</t>
  </si>
  <si>
    <t>35852</t>
  </si>
  <si>
    <t>Campingpark Eifel</t>
  </si>
  <si>
    <t>Allemagne</t>
  </si>
  <si>
    <t>Rhénanie-Palatinat</t>
  </si>
  <si>
    <t>Straub</t>
  </si>
  <si>
    <t>Sergej</t>
  </si>
  <si>
    <t>straub1@gmx.net</t>
  </si>
  <si>
    <t>01634539863</t>
  </si>
  <si>
    <t>Zum Domblick 8</t>
  </si>
  <si>
    <t>53567</t>
  </si>
  <si>
    <t>Asbach</t>
  </si>
  <si>
    <t>Elena Straub 25/02/1982 | Livia Straub 21/11/2013 | Simon Straub 21/09/2020</t>
  </si>
  <si>
    <t>Ferienhaus Typ B 38m² 1/4 Pers.</t>
  </si>
  <si>
    <t xml:space="preserve">256 | Strompauschale | 1 | 35_x000D_
310 | Endreinigung der Unterkunft (verpflichtend) | 1 | 80</t>
  </si>
  <si>
    <t>Saison Preise</t>
  </si>
  <si>
    <t>NationalBankTransfert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</si>
  <si>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</si>
  <si>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</si>
  <si>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</si>
  <si>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</si>
  <si>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</si>
  <si>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</si>
  <si>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</si>
  <si>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</si>
  <si>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</si>
  <si>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</si>
  <si>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</si>
  <si>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</si>
  <si>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</si>
  <si>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</si>
  <si>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</si>
  <si>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15-Juin-2026 -&gt; 15-Juin-2026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</si>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</sst>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25">
    <xf numFmtId="0" fontId="0" xfId="0"/>
    <xf numFmtId="0" fontId="0" fillId="2" applyFill="1" borderId="3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18862231</v>
      </c>
      <c r="B2" s="2"/>
      <c r="C2" s="3">
        <v>46188.4409409722</v>
      </c>
      <c r="D2" s="3"/>
      <c r="E2" s="2">
        <v>4962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46192</v>
      </c>
      <c r="O2" s="5">
        <v>46193</v>
      </c>
      <c r="P2" s="2">
        <v>1</v>
      </c>
      <c r="Q2" s="2" t="s">
        <v>107</v>
      </c>
      <c r="R2" s="2" t="s">
        <v>108</v>
      </c>
      <c r="S2" s="5">
        <v>21561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116</v>
      </c>
      <c r="AC2" s="6"/>
      <c r="AD2" s="2" t="s">
        <v>117</v>
      </c>
      <c r="AE2" s="2" t="s">
        <v>118</v>
      </c>
      <c r="AF2" s="2"/>
      <c r="AG2" s="2" t="s">
        <v>119</v>
      </c>
      <c r="AH2" s="2" t="s">
        <v>120</v>
      </c>
      <c r="AI2" s="2" t="s">
        <v>121</v>
      </c>
      <c r="AJ2" s="2">
        <v>39503</v>
      </c>
      <c r="AK2" s="7" t="s">
        <v>122</v>
      </c>
      <c r="AL2" s="7" t="s">
        <v>116</v>
      </c>
      <c r="AM2" s="2" t="s">
        <v>123</v>
      </c>
      <c r="AN2" s="2"/>
      <c r="AO2" s="2"/>
      <c r="AP2" s="2"/>
      <c r="AQ2" s="2"/>
      <c r="AR2" s="2"/>
      <c r="AS2" s="2"/>
      <c r="AT2" s="8"/>
      <c r="AU2" s="8">
        <v>22</v>
      </c>
      <c r="AV2" s="8">
        <v>12</v>
      </c>
      <c r="AW2" s="8">
        <v>5</v>
      </c>
      <c r="AX2" s="2" t="s">
        <v>116</v>
      </c>
      <c r="AY2" s="8">
        <v>10.1</v>
      </c>
      <c r="AZ2" s="8"/>
      <c r="BA2" s="7"/>
      <c r="BB2" s="8"/>
      <c r="BC2" s="2"/>
      <c r="BD2" s="2" t="s">
        <v>116</v>
      </c>
      <c r="BE2" s="2"/>
      <c r="BF2" s="2"/>
      <c r="BG2" s="7"/>
      <c r="BH2" s="8"/>
      <c r="BI2" s="2"/>
      <c r="BJ2" s="2" t="s">
        <v>116</v>
      </c>
      <c r="BK2" s="2"/>
      <c r="BL2" s="2"/>
      <c r="BM2" s="8"/>
      <c r="BN2" s="2"/>
      <c r="BO2" s="8">
        <v>5</v>
      </c>
      <c r="BP2" s="8"/>
      <c r="BQ2" s="8"/>
      <c r="BR2" s="2"/>
      <c r="BS2" s="2"/>
      <c r="BT2" s="8"/>
      <c r="BU2" s="2" t="s">
        <v>116</v>
      </c>
      <c r="BV2" s="8">
        <v>22</v>
      </c>
      <c r="BW2" s="2" t="s">
        <v>124</v>
      </c>
      <c r="BX2" s="2" t="s">
        <v>125</v>
      </c>
      <c r="BY2" s="2" t="s">
        <v>116</v>
      </c>
      <c r="BZ2" s="2" t="s">
        <v>116</v>
      </c>
      <c r="CA2" s="2" t="s">
        <v>116</v>
      </c>
      <c r="CB2" s="2"/>
      <c r="CC2" s="2"/>
      <c r="CD2" s="2"/>
      <c r="CE2" s="2" t="s">
        <v>126</v>
      </c>
      <c r="CF2" s="3">
        <v>46188.4699545949</v>
      </c>
      <c r="CG2" s="7"/>
      <c r="CH2" s="7" t="s">
        <v>116</v>
      </c>
      <c r="CI2" s="7" t="s">
        <v>116</v>
      </c>
      <c r="CJ2" s="2"/>
      <c r="CK2" s="2"/>
      <c r="CL2" s="2" t="s">
        <v>127</v>
      </c>
      <c r="CM2" s="2" t="s">
        <v>116</v>
      </c>
      <c r="CN2" s="2" t="s">
        <v>116</v>
      </c>
      <c r="CO2" s="2"/>
      <c r="CP2" s="2"/>
      <c r="CQ2" s="2"/>
      <c r="CR2" s="2" t="s">
        <v>116</v>
      </c>
      <c r="CS2" s="2" t="s">
        <v>116</v>
      </c>
      <c r="CT2" s="2"/>
      <c r="CU2" s="2"/>
      <c r="CV2" s="2"/>
    </row>
    <row r="3">
      <c r="A3" s="2">
        <v>18862964</v>
      </c>
      <c r="B3" s="2"/>
      <c r="C3" s="3">
        <v>46188.4773954861</v>
      </c>
      <c r="D3" s="3"/>
      <c r="E3" s="2">
        <v>2886</v>
      </c>
      <c r="F3" s="4" t="s">
        <v>128</v>
      </c>
      <c r="G3" s="2" t="s">
        <v>129</v>
      </c>
      <c r="H3" s="2" t="s">
        <v>102</v>
      </c>
      <c r="I3" s="2" t="s">
        <v>103</v>
      </c>
      <c r="J3" s="2" t="s">
        <v>130</v>
      </c>
      <c r="K3" s="2" t="s">
        <v>105</v>
      </c>
      <c r="L3" s="2">
        <v>703</v>
      </c>
      <c r="M3" s="2" t="s">
        <v>106</v>
      </c>
      <c r="N3" s="5">
        <v>46280</v>
      </c>
      <c r="O3" s="5">
        <v>46283</v>
      </c>
      <c r="P3" s="2">
        <v>3</v>
      </c>
      <c r="Q3" s="2" t="s">
        <v>131</v>
      </c>
      <c r="R3" s="2" t="s">
        <v>132</v>
      </c>
      <c r="S3" s="5">
        <v>31093</v>
      </c>
      <c r="T3" s="2" t="s">
        <v>133</v>
      </c>
      <c r="U3" s="2" t="s">
        <v>110</v>
      </c>
      <c r="V3" s="6" t="s">
        <v>134</v>
      </c>
      <c r="W3" s="2" t="s">
        <v>135</v>
      </c>
      <c r="X3" s="6" t="s">
        <v>136</v>
      </c>
      <c r="Y3" s="2" t="s">
        <v>137</v>
      </c>
      <c r="Z3" s="2" t="s">
        <v>115</v>
      </c>
      <c r="AA3" s="2" t="s">
        <v>115</v>
      </c>
      <c r="AB3" s="6" t="s">
        <v>116</v>
      </c>
      <c r="AC3" s="6"/>
      <c r="AD3" s="2" t="s">
        <v>116</v>
      </c>
      <c r="AE3" s="2" t="s">
        <v>138</v>
      </c>
      <c r="AF3" s="2"/>
      <c r="AG3" s="2"/>
      <c r="AH3" s="2" t="s">
        <v>139</v>
      </c>
      <c r="AI3" s="2" t="s">
        <v>140</v>
      </c>
      <c r="AJ3" s="2">
        <v>130014</v>
      </c>
      <c r="AK3" s="7"/>
      <c r="AL3" s="7"/>
      <c r="AM3" s="2" t="s">
        <v>141</v>
      </c>
      <c r="AN3" s="2"/>
      <c r="AO3" s="2"/>
      <c r="AP3" s="2"/>
      <c r="AQ3" s="2"/>
      <c r="AR3" s="2"/>
      <c r="AS3" s="2"/>
      <c r="AT3" s="8"/>
      <c r="AU3" s="8">
        <v>210</v>
      </c>
      <c r="AV3" s="8">
        <v>210</v>
      </c>
      <c r="AW3" s="8">
        <v>0</v>
      </c>
      <c r="AX3" s="2" t="s">
        <v>116</v>
      </c>
      <c r="AY3" s="8">
        <v>218.4</v>
      </c>
      <c r="AZ3" s="8"/>
      <c r="BA3" s="7"/>
      <c r="BB3" s="8"/>
      <c r="BC3" s="2"/>
      <c r="BD3" s="2" t="s">
        <v>116</v>
      </c>
      <c r="BE3" s="2"/>
      <c r="BF3" s="2"/>
      <c r="BG3" s="7"/>
      <c r="BH3" s="8"/>
      <c r="BI3" s="2"/>
      <c r="BJ3" s="2" t="s">
        <v>116</v>
      </c>
      <c r="BK3" s="2"/>
      <c r="BL3" s="2"/>
      <c r="BM3" s="8"/>
      <c r="BN3" s="2"/>
      <c r="BO3" s="8">
        <v>0</v>
      </c>
      <c r="BP3" s="8"/>
      <c r="BQ3" s="8"/>
      <c r="BR3" s="2"/>
      <c r="BS3" s="2"/>
      <c r="BT3" s="8">
        <v>8.4</v>
      </c>
      <c r="BU3" s="2" t="s">
        <v>142</v>
      </c>
      <c r="BV3" s="8">
        <v>218.4</v>
      </c>
      <c r="BW3" s="2" t="s">
        <v>124</v>
      </c>
      <c r="BX3" s="2" t="s">
        <v>143</v>
      </c>
      <c r="BY3" s="2" t="s">
        <v>116</v>
      </c>
      <c r="BZ3" s="2" t="s">
        <v>116</v>
      </c>
      <c r="CA3" s="2" t="s">
        <v>116</v>
      </c>
      <c r="CB3" s="2"/>
      <c r="CC3" s="2"/>
      <c r="CD3" s="2"/>
      <c r="CE3" s="2" t="s">
        <v>126</v>
      </c>
      <c r="CF3" s="3">
        <v>46188.4773954861</v>
      </c>
      <c r="CG3" s="7"/>
      <c r="CH3" s="7" t="s">
        <v>116</v>
      </c>
      <c r="CI3" s="7" t="s">
        <v>116</v>
      </c>
      <c r="CJ3" s="2"/>
      <c r="CK3" s="2"/>
      <c r="CL3" s="2" t="s">
        <v>138</v>
      </c>
      <c r="CM3" s="2" t="s">
        <v>116</v>
      </c>
      <c r="CN3" s="2" t="s">
        <v>116</v>
      </c>
      <c r="CO3" s="2"/>
      <c r="CP3" s="2"/>
      <c r="CQ3" s="2"/>
      <c r="CR3" s="2" t="s">
        <v>144</v>
      </c>
      <c r="CS3" s="2" t="s">
        <v>116</v>
      </c>
      <c r="CT3" s="2"/>
      <c r="CU3" s="2"/>
      <c r="CV3" s="2"/>
    </row>
    <row r="4">
      <c r="A4" s="2">
        <v>18863482</v>
      </c>
      <c r="B4" s="2"/>
      <c r="C4" s="3">
        <v>46188.5021146643</v>
      </c>
      <c r="D4" s="3"/>
      <c r="E4" s="2">
        <v>7649</v>
      </c>
      <c r="F4" s="4" t="s">
        <v>145</v>
      </c>
      <c r="G4" s="2" t="s">
        <v>146</v>
      </c>
      <c r="H4" s="2" t="s">
        <v>102</v>
      </c>
      <c r="I4" s="2" t="s">
        <v>147</v>
      </c>
      <c r="J4" s="2" t="s">
        <v>148</v>
      </c>
      <c r="K4" s="2" t="s">
        <v>105</v>
      </c>
      <c r="L4" s="2">
        <v>703</v>
      </c>
      <c r="M4" s="2" t="s">
        <v>106</v>
      </c>
      <c r="N4" s="5">
        <v>46242</v>
      </c>
      <c r="O4" s="5">
        <v>46256</v>
      </c>
      <c r="P4" s="2">
        <v>14</v>
      </c>
      <c r="Q4" s="2" t="s">
        <v>149</v>
      </c>
      <c r="R4" s="2" t="s">
        <v>150</v>
      </c>
      <c r="S4" s="5">
        <v>29308</v>
      </c>
      <c r="T4" s="2" t="s">
        <v>151</v>
      </c>
      <c r="U4" s="2" t="s">
        <v>110</v>
      </c>
      <c r="V4" s="6" t="s">
        <v>152</v>
      </c>
      <c r="W4" s="2" t="s">
        <v>153</v>
      </c>
      <c r="X4" s="6" t="s">
        <v>154</v>
      </c>
      <c r="Y4" s="2" t="s">
        <v>155</v>
      </c>
      <c r="Z4" s="2" t="s">
        <v>156</v>
      </c>
      <c r="AA4" s="2" t="s">
        <v>157</v>
      </c>
      <c r="AB4" s="6" t="s">
        <v>116</v>
      </c>
      <c r="AC4" s="6"/>
      <c r="AD4" s="2" t="s">
        <v>158</v>
      </c>
      <c r="AE4" s="2" t="s">
        <v>159</v>
      </c>
      <c r="AF4" s="2"/>
      <c r="AG4" s="2" t="s">
        <v>160</v>
      </c>
      <c r="AH4" s="2" t="s">
        <v>120</v>
      </c>
      <c r="AI4" s="2" t="s">
        <v>161</v>
      </c>
      <c r="AJ4" s="2">
        <v>64814</v>
      </c>
      <c r="AK4" s="7" t="s">
        <v>162</v>
      </c>
      <c r="AL4" s="7" t="s">
        <v>163</v>
      </c>
      <c r="AM4" s="2" t="s">
        <v>123</v>
      </c>
      <c r="AN4" s="2" t="s">
        <v>164</v>
      </c>
      <c r="AO4" s="2">
        <v>309.4</v>
      </c>
      <c r="AP4" s="2" t="s">
        <v>165</v>
      </c>
      <c r="AQ4" s="2"/>
      <c r="AR4" s="2"/>
      <c r="AS4" s="2"/>
      <c r="AT4" s="8"/>
      <c r="AU4" s="8">
        <v>1512.6</v>
      </c>
      <c r="AV4" s="8">
        <v>1237.6</v>
      </c>
      <c r="AW4" s="8">
        <v>245</v>
      </c>
      <c r="AX4" s="2" t="s">
        <v>116</v>
      </c>
      <c r="AY4" s="8">
        <v>474.78</v>
      </c>
      <c r="AZ4" s="8"/>
      <c r="BA4" s="7"/>
      <c r="BB4" s="8"/>
      <c r="BC4" s="2"/>
      <c r="BD4" s="2" t="s">
        <v>116</v>
      </c>
      <c r="BE4" s="2"/>
      <c r="BF4" s="2"/>
      <c r="BG4" s="7"/>
      <c r="BH4" s="8"/>
      <c r="BI4" s="2"/>
      <c r="BJ4" s="2" t="s">
        <v>116</v>
      </c>
      <c r="BK4" s="2"/>
      <c r="BL4" s="2"/>
      <c r="BM4" s="8"/>
      <c r="BN4" s="2"/>
      <c r="BO4" s="8">
        <v>30</v>
      </c>
      <c r="BP4" s="8"/>
      <c r="BQ4" s="8"/>
      <c r="BR4" s="2"/>
      <c r="BS4" s="2"/>
      <c r="BT4" s="8"/>
      <c r="BU4" s="2" t="s">
        <v>116</v>
      </c>
      <c r="BV4" s="8">
        <v>1512.6</v>
      </c>
      <c r="BW4" s="2" t="s">
        <v>124</v>
      </c>
      <c r="BX4" s="2" t="s">
        <v>125</v>
      </c>
      <c r="BY4" s="2" t="s">
        <v>116</v>
      </c>
      <c r="BZ4" s="2" t="s">
        <v>116</v>
      </c>
      <c r="CA4" s="2" t="s">
        <v>116</v>
      </c>
      <c r="CB4" s="2"/>
      <c r="CC4" s="2"/>
      <c r="CD4" s="2"/>
      <c r="CE4" s="2" t="s">
        <v>126</v>
      </c>
      <c r="CF4" s="3">
        <v>46188.5247175579</v>
      </c>
      <c r="CG4" s="7"/>
      <c r="CH4" s="7" t="s">
        <v>116</v>
      </c>
      <c r="CI4" s="7" t="s">
        <v>116</v>
      </c>
      <c r="CJ4" s="2"/>
      <c r="CK4" s="2"/>
      <c r="CL4" s="2" t="s">
        <v>127</v>
      </c>
      <c r="CM4" s="2" t="s">
        <v>116</v>
      </c>
      <c r="CN4" s="2" t="s">
        <v>116</v>
      </c>
      <c r="CO4" s="2"/>
      <c r="CP4" s="2"/>
      <c r="CQ4" s="2"/>
      <c r="CR4" s="2" t="s">
        <v>116</v>
      </c>
      <c r="CS4" s="2" t="s">
        <v>116</v>
      </c>
      <c r="CT4" s="2"/>
      <c r="CU4" s="2"/>
      <c r="CV4" s="2"/>
    </row>
    <row r="5">
      <c r="A5" s="2">
        <v>18865697</v>
      </c>
      <c r="B5" s="2"/>
      <c r="C5" s="3">
        <v>46188.6191677894</v>
      </c>
      <c r="D5" s="3"/>
      <c r="E5" s="2">
        <v>1744</v>
      </c>
      <c r="F5" s="4" t="s">
        <v>166</v>
      </c>
      <c r="G5" s="2" t="s">
        <v>167</v>
      </c>
      <c r="H5" s="2" t="s">
        <v>102</v>
      </c>
      <c r="I5" s="2" t="s">
        <v>168</v>
      </c>
      <c r="J5" s="2" t="s">
        <v>169</v>
      </c>
      <c r="K5" s="2" t="s">
        <v>105</v>
      </c>
      <c r="L5" s="2">
        <v>703</v>
      </c>
      <c r="M5" s="2" t="s">
        <v>106</v>
      </c>
      <c r="N5" s="5">
        <v>46227</v>
      </c>
      <c r="O5" s="5">
        <v>46232</v>
      </c>
      <c r="P5" s="2">
        <v>5</v>
      </c>
      <c r="Q5" s="2" t="s">
        <v>170</v>
      </c>
      <c r="R5" s="2" t="s">
        <v>171</v>
      </c>
      <c r="S5" s="5">
        <v>20333</v>
      </c>
      <c r="T5" s="2" t="s">
        <v>172</v>
      </c>
      <c r="U5" s="2" t="s">
        <v>110</v>
      </c>
      <c r="V5" s="6" t="s">
        <v>173</v>
      </c>
      <c r="W5" s="2" t="s">
        <v>174</v>
      </c>
      <c r="X5" s="6" t="s">
        <v>175</v>
      </c>
      <c r="Y5" s="2" t="s">
        <v>176</v>
      </c>
      <c r="Z5" s="2" t="s">
        <v>115</v>
      </c>
      <c r="AA5" s="2" t="s">
        <v>115</v>
      </c>
      <c r="AB5" s="6" t="s">
        <v>116</v>
      </c>
      <c r="AC5" s="6"/>
      <c r="AD5" s="2" t="s">
        <v>177</v>
      </c>
      <c r="AE5" s="2" t="s">
        <v>159</v>
      </c>
      <c r="AF5" s="2" t="s">
        <v>178</v>
      </c>
      <c r="AG5" s="2" t="s">
        <v>179</v>
      </c>
      <c r="AH5" s="2" t="s">
        <v>120</v>
      </c>
      <c r="AI5" s="2" t="s">
        <v>180</v>
      </c>
      <c r="AJ5" s="2">
        <v>6761</v>
      </c>
      <c r="AK5" s="7" t="s">
        <v>116</v>
      </c>
      <c r="AL5" s="7" t="s">
        <v>181</v>
      </c>
      <c r="AM5" s="2" t="s">
        <v>182</v>
      </c>
      <c r="AN5" s="2"/>
      <c r="AO5" s="2"/>
      <c r="AP5" s="2"/>
      <c r="AQ5" s="2"/>
      <c r="AR5" s="2"/>
      <c r="AS5" s="2"/>
      <c r="AT5" s="8"/>
      <c r="AU5" s="8">
        <v>249.5</v>
      </c>
      <c r="AV5" s="8">
        <v>166.5</v>
      </c>
      <c r="AW5" s="8">
        <v>80</v>
      </c>
      <c r="AX5" s="2" t="s">
        <v>116</v>
      </c>
      <c r="AY5" s="8">
        <v>76.95</v>
      </c>
      <c r="AZ5" s="8"/>
      <c r="BA5" s="7"/>
      <c r="BB5" s="8"/>
      <c r="BC5" s="2"/>
      <c r="BD5" s="2" t="s">
        <v>116</v>
      </c>
      <c r="BE5" s="2"/>
      <c r="BF5" s="2"/>
      <c r="BG5" s="7"/>
      <c r="BH5" s="8"/>
      <c r="BI5" s="2"/>
      <c r="BJ5" s="2" t="s">
        <v>116</v>
      </c>
      <c r="BK5" s="2"/>
      <c r="BL5" s="2"/>
      <c r="BM5" s="8"/>
      <c r="BN5" s="2"/>
      <c r="BO5" s="8">
        <v>3</v>
      </c>
      <c r="BP5" s="8"/>
      <c r="BQ5" s="8">
        <v>5</v>
      </c>
      <c r="BR5" s="2"/>
      <c r="BS5" s="2"/>
      <c r="BT5" s="8"/>
      <c r="BU5" s="2" t="s">
        <v>116</v>
      </c>
      <c r="BV5" s="8">
        <v>254.5</v>
      </c>
      <c r="BW5" s="2" t="s">
        <v>124</v>
      </c>
      <c r="BX5" s="2" t="s">
        <v>125</v>
      </c>
      <c r="BY5" s="2" t="s">
        <v>116</v>
      </c>
      <c r="BZ5" s="2" t="s">
        <v>116</v>
      </c>
      <c r="CA5" s="2" t="s">
        <v>116</v>
      </c>
      <c r="CB5" s="2"/>
      <c r="CC5" s="2"/>
      <c r="CD5" s="2"/>
      <c r="CE5" s="2" t="s">
        <v>126</v>
      </c>
      <c r="CF5" s="3">
        <v>46188.6919582176</v>
      </c>
      <c r="CG5" s="7"/>
      <c r="CH5" s="7" t="s">
        <v>116</v>
      </c>
      <c r="CI5" s="7" t="s">
        <v>116</v>
      </c>
      <c r="CJ5" s="2"/>
      <c r="CK5" s="2"/>
      <c r="CL5" s="2" t="s">
        <v>127</v>
      </c>
      <c r="CM5" s="2" t="s">
        <v>116</v>
      </c>
      <c r="CN5" s="2" t="s">
        <v>116</v>
      </c>
      <c r="CO5" s="2"/>
      <c r="CP5" s="2"/>
      <c r="CQ5" s="2"/>
      <c r="CR5" s="2" t="s">
        <v>116</v>
      </c>
      <c r="CS5" s="2" t="s">
        <v>116</v>
      </c>
      <c r="CT5" s="2"/>
      <c r="CU5" s="2"/>
      <c r="CV5" s="2"/>
    </row>
    <row r="6">
      <c r="A6" s="2">
        <v>18866379</v>
      </c>
      <c r="B6" s="2"/>
      <c r="C6" s="3">
        <v>46188.6522451042</v>
      </c>
      <c r="D6" s="3"/>
      <c r="E6" s="2">
        <v>5085</v>
      </c>
      <c r="F6" s="4" t="s">
        <v>116</v>
      </c>
      <c r="G6" s="2" t="s">
        <v>183</v>
      </c>
      <c r="H6" s="2" t="s">
        <v>102</v>
      </c>
      <c r="I6" s="2" t="s">
        <v>184</v>
      </c>
      <c r="J6" s="2" t="s">
        <v>185</v>
      </c>
      <c r="K6" s="2" t="s">
        <v>105</v>
      </c>
      <c r="L6" s="2">
        <v>703</v>
      </c>
      <c r="M6" s="2" t="s">
        <v>106</v>
      </c>
      <c r="N6" s="5">
        <v>46189</v>
      </c>
      <c r="O6" s="5">
        <v>46195</v>
      </c>
      <c r="P6" s="2">
        <v>6</v>
      </c>
      <c r="Q6" s="2" t="s">
        <v>186</v>
      </c>
      <c r="R6" s="2" t="s">
        <v>187</v>
      </c>
      <c r="S6" s="5">
        <v>33037</v>
      </c>
      <c r="T6" s="2" t="s">
        <v>188</v>
      </c>
      <c r="U6" s="2" t="s">
        <v>189</v>
      </c>
      <c r="V6" s="6" t="s">
        <v>190</v>
      </c>
      <c r="W6" s="2" t="s">
        <v>191</v>
      </c>
      <c r="X6" s="6" t="s">
        <v>192</v>
      </c>
      <c r="Y6" s="2" t="s">
        <v>193</v>
      </c>
      <c r="Z6" s="2" t="s">
        <v>194</v>
      </c>
      <c r="AA6" s="2" t="s">
        <v>115</v>
      </c>
      <c r="AB6" s="6" t="s">
        <v>116</v>
      </c>
      <c r="AC6" s="6"/>
      <c r="AD6" s="2" t="s">
        <v>195</v>
      </c>
      <c r="AE6" s="2" t="s">
        <v>196</v>
      </c>
      <c r="AF6" s="2"/>
      <c r="AG6" s="2" t="s">
        <v>197</v>
      </c>
      <c r="AH6" s="2" t="s">
        <v>120</v>
      </c>
      <c r="AI6" s="2" t="s">
        <v>198</v>
      </c>
      <c r="AJ6" s="2">
        <v>38907</v>
      </c>
      <c r="AK6" s="7" t="s">
        <v>116</v>
      </c>
      <c r="AL6" s="7" t="s">
        <v>199</v>
      </c>
      <c r="AM6" s="2" t="s">
        <v>123</v>
      </c>
      <c r="AN6" s="2"/>
      <c r="AO6" s="2"/>
      <c r="AP6" s="2"/>
      <c r="AQ6" s="2"/>
      <c r="AR6" s="2"/>
      <c r="AS6" s="2"/>
      <c r="AT6" s="8"/>
      <c r="AU6" s="8">
        <v>66</v>
      </c>
      <c r="AV6" s="8">
        <v>30</v>
      </c>
      <c r="AW6" s="8">
        <v>36</v>
      </c>
      <c r="AX6" s="2" t="s">
        <v>116</v>
      </c>
      <c r="AY6" s="8">
        <v>66</v>
      </c>
      <c r="AZ6" s="8"/>
      <c r="BA6" s="7"/>
      <c r="BB6" s="8"/>
      <c r="BC6" s="2"/>
      <c r="BD6" s="2" t="s">
        <v>116</v>
      </c>
      <c r="BE6" s="2"/>
      <c r="BF6" s="2"/>
      <c r="BG6" s="7"/>
      <c r="BH6" s="8"/>
      <c r="BI6" s="2"/>
      <c r="BJ6" s="2" t="s">
        <v>116</v>
      </c>
      <c r="BK6" s="2"/>
      <c r="BL6" s="2"/>
      <c r="BM6" s="8"/>
      <c r="BN6" s="2"/>
      <c r="BO6" s="8">
        <v>0</v>
      </c>
      <c r="BP6" s="8"/>
      <c r="BQ6" s="8"/>
      <c r="BR6" s="2"/>
      <c r="BS6" s="2"/>
      <c r="BT6" s="8"/>
      <c r="BU6" s="2" t="s">
        <v>116</v>
      </c>
      <c r="BV6" s="8">
        <v>66</v>
      </c>
      <c r="BW6" s="2" t="s">
        <v>124</v>
      </c>
      <c r="BX6" s="2" t="s">
        <v>200</v>
      </c>
      <c r="BY6" s="2" t="s">
        <v>116</v>
      </c>
      <c r="BZ6" s="2" t="s">
        <v>116</v>
      </c>
      <c r="CA6" s="2" t="s">
        <v>116</v>
      </c>
      <c r="CB6" s="2"/>
      <c r="CC6" s="2"/>
      <c r="CD6" s="2"/>
      <c r="CE6" s="2" t="s">
        <v>126</v>
      </c>
      <c r="CF6" s="3">
        <v>46189.4341087963</v>
      </c>
      <c r="CG6" s="7"/>
      <c r="CH6" s="7" t="s">
        <v>116</v>
      </c>
      <c r="CI6" s="7" t="s">
        <v>116</v>
      </c>
      <c r="CJ6" s="2"/>
      <c r="CK6" s="2"/>
      <c r="CL6" s="2" t="s">
        <v>127</v>
      </c>
      <c r="CM6" s="2" t="s">
        <v>116</v>
      </c>
      <c r="CN6" s="2" t="s">
        <v>116</v>
      </c>
      <c r="CO6" s="2"/>
      <c r="CP6" s="2"/>
      <c r="CQ6" s="2"/>
      <c r="CR6" s="2" t="s">
        <v>116</v>
      </c>
      <c r="CS6" s="2" t="s">
        <v>116</v>
      </c>
      <c r="CT6" s="2"/>
      <c r="CU6" s="2"/>
      <c r="CV6" s="2"/>
    </row>
    <row r="7">
      <c r="A7" s="2">
        <v>18869288</v>
      </c>
      <c r="B7" s="2"/>
      <c r="C7" s="3">
        <v>46188.7727076042</v>
      </c>
      <c r="D7" s="3"/>
      <c r="E7" s="2">
        <v>4680</v>
      </c>
      <c r="F7" s="4" t="s">
        <v>201</v>
      </c>
      <c r="G7" s="2" t="s">
        <v>202</v>
      </c>
      <c r="H7" s="2" t="s">
        <v>102</v>
      </c>
      <c r="I7" s="2" t="s">
        <v>168</v>
      </c>
      <c r="J7" s="2" t="s">
        <v>203</v>
      </c>
      <c r="K7" s="2" t="s">
        <v>105</v>
      </c>
      <c r="L7" s="2">
        <v>703</v>
      </c>
      <c r="M7" s="2" t="s">
        <v>106</v>
      </c>
      <c r="N7" s="5">
        <v>46189</v>
      </c>
      <c r="O7" s="5">
        <v>46191</v>
      </c>
      <c r="P7" s="2">
        <v>2</v>
      </c>
      <c r="Q7" s="2" t="s">
        <v>204</v>
      </c>
      <c r="R7" s="2" t="s">
        <v>205</v>
      </c>
      <c r="S7" s="5">
        <v>21059</v>
      </c>
      <c r="T7" s="2" t="s">
        <v>206</v>
      </c>
      <c r="U7" s="2" t="s">
        <v>110</v>
      </c>
      <c r="V7" s="6" t="s">
        <v>207</v>
      </c>
      <c r="W7" s="2" t="s">
        <v>208</v>
      </c>
      <c r="X7" s="6" t="s">
        <v>209</v>
      </c>
      <c r="Y7" s="2" t="s">
        <v>210</v>
      </c>
      <c r="Z7" s="2" t="s">
        <v>115</v>
      </c>
      <c r="AA7" s="2" t="s">
        <v>115</v>
      </c>
      <c r="AB7" s="6" t="s">
        <v>116</v>
      </c>
      <c r="AC7" s="6"/>
      <c r="AD7" s="2" t="s">
        <v>211</v>
      </c>
      <c r="AE7" s="2" t="s">
        <v>118</v>
      </c>
      <c r="AF7" s="2"/>
      <c r="AG7" s="2" t="s">
        <v>212</v>
      </c>
      <c r="AH7" s="2" t="s">
        <v>120</v>
      </c>
      <c r="AI7" s="2" t="s">
        <v>213</v>
      </c>
      <c r="AJ7" s="2">
        <v>48855</v>
      </c>
      <c r="AK7" s="7" t="s">
        <v>214</v>
      </c>
      <c r="AL7" s="7" t="s">
        <v>215</v>
      </c>
      <c r="AM7" s="2" t="s">
        <v>123</v>
      </c>
      <c r="AN7" s="2"/>
      <c r="AO7" s="2"/>
      <c r="AP7" s="2"/>
      <c r="AQ7" s="2"/>
      <c r="AR7" s="2"/>
      <c r="AS7" s="2"/>
      <c r="AT7" s="8"/>
      <c r="AU7" s="8">
        <v>49.6</v>
      </c>
      <c r="AV7" s="8">
        <v>24</v>
      </c>
      <c r="AW7" s="8">
        <v>20.6</v>
      </c>
      <c r="AX7" s="2" t="s">
        <v>116</v>
      </c>
      <c r="AY7" s="8">
        <v>52.24</v>
      </c>
      <c r="AZ7" s="8"/>
      <c r="BA7" s="7"/>
      <c r="BB7" s="8"/>
      <c r="BC7" s="2"/>
      <c r="BD7" s="2" t="s">
        <v>116</v>
      </c>
      <c r="BE7" s="2"/>
      <c r="BF7" s="2"/>
      <c r="BG7" s="7"/>
      <c r="BH7" s="8"/>
      <c r="BI7" s="2"/>
      <c r="BJ7" s="2" t="s">
        <v>116</v>
      </c>
      <c r="BK7" s="2"/>
      <c r="BL7" s="2"/>
      <c r="BM7" s="8"/>
      <c r="BN7" s="2"/>
      <c r="BO7" s="8">
        <v>5</v>
      </c>
      <c r="BP7" s="8"/>
      <c r="BQ7" s="8">
        <v>2.64</v>
      </c>
      <c r="BR7" s="2"/>
      <c r="BS7" s="2"/>
      <c r="BT7" s="8"/>
      <c r="BU7" s="2" t="s">
        <v>116</v>
      </c>
      <c r="BV7" s="8">
        <v>52.24</v>
      </c>
      <c r="BW7" s="2" t="s">
        <v>124</v>
      </c>
      <c r="BX7" s="2" t="s">
        <v>125</v>
      </c>
      <c r="BY7" s="2" t="s">
        <v>116</v>
      </c>
      <c r="BZ7" s="2" t="s">
        <v>116</v>
      </c>
      <c r="CA7" s="2" t="s">
        <v>116</v>
      </c>
      <c r="CB7" s="2"/>
      <c r="CC7" s="2"/>
      <c r="CD7" s="2"/>
      <c r="CE7" s="2" t="s">
        <v>126</v>
      </c>
      <c r="CF7" s="3">
        <v>46188.8133378125</v>
      </c>
      <c r="CG7" s="7"/>
      <c r="CH7" s="7" t="s">
        <v>116</v>
      </c>
      <c r="CI7" s="7" t="s">
        <v>116</v>
      </c>
      <c r="CJ7" s="2"/>
      <c r="CK7" s="2"/>
      <c r="CL7" s="2" t="s">
        <v>127</v>
      </c>
      <c r="CM7" s="2" t="s">
        <v>116</v>
      </c>
      <c r="CN7" s="2" t="s">
        <v>116</v>
      </c>
      <c r="CO7" s="2"/>
      <c r="CP7" s="2"/>
      <c r="CQ7" s="2"/>
      <c r="CR7" s="2" t="s">
        <v>116</v>
      </c>
      <c r="CS7" s="2" t="s">
        <v>116</v>
      </c>
      <c r="CT7" s="2"/>
      <c r="CU7" s="2"/>
      <c r="CV7" s="2"/>
    </row>
    <row r="8">
      <c r="A8" s="2">
        <v>18871037</v>
      </c>
      <c r="B8" s="2"/>
      <c r="C8" s="3">
        <v>46188.8405576389</v>
      </c>
      <c r="D8" s="3"/>
      <c r="E8" s="2">
        <v>4444</v>
      </c>
      <c r="F8" s="4" t="s">
        <v>216</v>
      </c>
      <c r="G8" s="2" t="s">
        <v>217</v>
      </c>
      <c r="H8" s="2" t="s">
        <v>218</v>
      </c>
      <c r="I8" s="2" t="s">
        <v>219</v>
      </c>
      <c r="J8" s="2" t="s">
        <v>116</v>
      </c>
      <c r="K8" s="2" t="s">
        <v>105</v>
      </c>
      <c r="L8" s="2">
        <v>1552</v>
      </c>
      <c r="M8" s="2" t="s">
        <v>220</v>
      </c>
      <c r="N8" s="5">
        <v>46221</v>
      </c>
      <c r="O8" s="5">
        <v>46231</v>
      </c>
      <c r="P8" s="2">
        <v>10</v>
      </c>
      <c r="Q8" s="2" t="s">
        <v>221</v>
      </c>
      <c r="R8" s="2" t="s">
        <v>222</v>
      </c>
      <c r="S8" s="5">
        <v>32656</v>
      </c>
      <c r="T8" s="2" t="s">
        <v>223</v>
      </c>
      <c r="U8" s="2" t="s">
        <v>189</v>
      </c>
      <c r="V8" s="6" t="s">
        <v>224</v>
      </c>
      <c r="W8" s="2" t="s">
        <v>225</v>
      </c>
      <c r="X8" s="6" t="s">
        <v>226</v>
      </c>
      <c r="Y8" s="2" t="s">
        <v>227</v>
      </c>
      <c r="Z8" s="2" t="s">
        <v>194</v>
      </c>
      <c r="AA8" s="2" t="s">
        <v>194</v>
      </c>
      <c r="AB8" s="6" t="s">
        <v>116</v>
      </c>
      <c r="AC8" s="6"/>
      <c r="AD8" s="2" t="s">
        <v>228</v>
      </c>
      <c r="AE8" s="2" t="s">
        <v>229</v>
      </c>
      <c r="AF8" s="2"/>
      <c r="AG8" s="2" t="s">
        <v>230</v>
      </c>
      <c r="AH8" s="2" t="s">
        <v>120</v>
      </c>
      <c r="AI8" s="2" t="s">
        <v>231</v>
      </c>
      <c r="AJ8" s="2">
        <v>31232</v>
      </c>
      <c r="AK8" s="7" t="s">
        <v>116</v>
      </c>
      <c r="AL8" s="7" t="s">
        <v>232</v>
      </c>
      <c r="AM8" s="2" t="s">
        <v>233</v>
      </c>
      <c r="AN8" s="2"/>
      <c r="AO8" s="2"/>
      <c r="AP8" s="2"/>
      <c r="AQ8" s="2"/>
      <c r="AR8" s="2"/>
      <c r="AS8" s="2"/>
      <c r="AT8" s="8"/>
      <c r="AU8" s="8">
        <v>430</v>
      </c>
      <c r="AV8" s="8">
        <v>330</v>
      </c>
      <c r="AW8" s="8">
        <v>100</v>
      </c>
      <c r="AX8" s="2" t="s">
        <v>116</v>
      </c>
      <c r="AY8" s="8">
        <v>215</v>
      </c>
      <c r="AZ8" s="8"/>
      <c r="BA8" s="7"/>
      <c r="BB8" s="8"/>
      <c r="BC8" s="2"/>
      <c r="BD8" s="2" t="s">
        <v>116</v>
      </c>
      <c r="BE8" s="2"/>
      <c r="BF8" s="2"/>
      <c r="BG8" s="7"/>
      <c r="BH8" s="8"/>
      <c r="BI8" s="2"/>
      <c r="BJ8" s="2" t="s">
        <v>116</v>
      </c>
      <c r="BK8" s="2"/>
      <c r="BL8" s="2"/>
      <c r="BM8" s="8"/>
      <c r="BN8" s="2"/>
      <c r="BO8" s="8">
        <v>0</v>
      </c>
      <c r="BP8" s="8"/>
      <c r="BQ8" s="8"/>
      <c r="BR8" s="2"/>
      <c r="BS8" s="2"/>
      <c r="BT8" s="8"/>
      <c r="BU8" s="2" t="s">
        <v>116</v>
      </c>
      <c r="BV8" s="8">
        <v>430</v>
      </c>
      <c r="BW8" s="2" t="s">
        <v>124</v>
      </c>
      <c r="BX8" s="2" t="s">
        <v>200</v>
      </c>
      <c r="BY8" s="2" t="s">
        <v>116</v>
      </c>
      <c r="BZ8" s="2" t="s">
        <v>116</v>
      </c>
      <c r="CA8" s="2" t="s">
        <v>116</v>
      </c>
      <c r="CB8" s="2"/>
      <c r="CC8" s="2"/>
      <c r="CD8" s="2"/>
      <c r="CE8" s="2" t="s">
        <v>126</v>
      </c>
      <c r="CF8" s="3">
        <v>46188.8405577199</v>
      </c>
      <c r="CG8" s="7"/>
      <c r="CH8" s="7" t="s">
        <v>116</v>
      </c>
      <c r="CI8" s="7" t="s">
        <v>116</v>
      </c>
      <c r="CJ8" s="2"/>
      <c r="CK8" s="2"/>
      <c r="CL8" s="2" t="s">
        <v>138</v>
      </c>
      <c r="CM8" s="2" t="s">
        <v>116</v>
      </c>
      <c r="CN8" s="2" t="s">
        <v>116</v>
      </c>
      <c r="CO8" s="2"/>
      <c r="CP8" s="2"/>
      <c r="CQ8" s="2"/>
      <c r="CR8" s="2" t="s">
        <v>234</v>
      </c>
      <c r="CS8" s="2" t="s">
        <v>116</v>
      </c>
      <c r="CT8" s="2"/>
      <c r="CU8" s="2"/>
      <c r="CV8" s="2"/>
    </row>
    <row r="9">
      <c r="A9" s="9">
        <v>18873399</v>
      </c>
      <c r="B9" s="9"/>
      <c r="C9" s="10">
        <v>46188.9128304398</v>
      </c>
      <c r="D9" s="10"/>
      <c r="E9" s="9">
        <v>6697</v>
      </c>
      <c r="F9" s="11" t="s">
        <v>235</v>
      </c>
      <c r="G9" s="9" t="s">
        <v>236</v>
      </c>
      <c r="H9" s="9" t="s">
        <v>237</v>
      </c>
      <c r="I9" s="9" t="s">
        <v>238</v>
      </c>
      <c r="J9" s="9" t="s">
        <v>116</v>
      </c>
      <c r="K9" s="9" t="s">
        <v>105</v>
      </c>
      <c r="L9" s="9">
        <v>703</v>
      </c>
      <c r="M9" s="9" t="s">
        <v>106</v>
      </c>
      <c r="N9" s="12">
        <v>46235</v>
      </c>
      <c r="O9" s="12">
        <v>46242</v>
      </c>
      <c r="P9" s="9">
        <v>7</v>
      </c>
      <c r="Q9" s="9" t="s">
        <v>239</v>
      </c>
      <c r="R9" s="9" t="s">
        <v>240</v>
      </c>
      <c r="S9" s="12">
        <v>29607</v>
      </c>
      <c r="T9" s="9" t="s">
        <v>241</v>
      </c>
      <c r="U9" s="9" t="s">
        <v>110</v>
      </c>
      <c r="V9" s="13" t="s">
        <v>242</v>
      </c>
      <c r="W9" s="9" t="s">
        <v>243</v>
      </c>
      <c r="X9" s="13" t="s">
        <v>244</v>
      </c>
      <c r="Y9" s="9" t="s">
        <v>245</v>
      </c>
      <c r="Z9" s="9" t="s">
        <v>194</v>
      </c>
      <c r="AA9" s="9" t="s">
        <v>194</v>
      </c>
      <c r="AB9" s="13" t="s">
        <v>116</v>
      </c>
      <c r="AC9" s="13"/>
      <c r="AD9" s="9" t="s">
        <v>246</v>
      </c>
      <c r="AE9" s="9" t="s">
        <v>159</v>
      </c>
      <c r="AF9" s="9"/>
      <c r="AG9" s="9"/>
      <c r="AH9" s="9" t="s">
        <v>139</v>
      </c>
      <c r="AI9" s="9" t="s">
        <v>247</v>
      </c>
      <c r="AJ9" s="9">
        <v>126801</v>
      </c>
      <c r="AK9" s="14" t="s">
        <v>248</v>
      </c>
      <c r="AL9" s="14" t="s">
        <v>116</v>
      </c>
      <c r="AM9" s="9" t="s">
        <v>249</v>
      </c>
      <c r="AN9" s="9"/>
      <c r="AO9" s="9"/>
      <c r="AP9" s="9"/>
      <c r="AQ9" s="9"/>
      <c r="AR9" s="9"/>
      <c r="AS9" s="9"/>
      <c r="AT9" s="15"/>
      <c r="AU9" s="15">
        <v>827.8</v>
      </c>
      <c r="AV9" s="15">
        <v>693</v>
      </c>
      <c r="AW9" s="15">
        <v>115</v>
      </c>
      <c r="AX9" s="9" t="s">
        <v>116</v>
      </c>
      <c r="AY9" s="15">
        <v>181.4</v>
      </c>
      <c r="AZ9" s="15"/>
      <c r="BA9" s="14"/>
      <c r="BB9" s="15"/>
      <c r="BC9" s="9"/>
      <c r="BD9" s="9" t="s">
        <v>116</v>
      </c>
      <c r="BE9" s="9"/>
      <c r="BF9" s="9"/>
      <c r="BG9" s="14"/>
      <c r="BH9" s="15"/>
      <c r="BI9" s="9"/>
      <c r="BJ9" s="9" t="s">
        <v>116</v>
      </c>
      <c r="BK9" s="9"/>
      <c r="BL9" s="9"/>
      <c r="BM9" s="15"/>
      <c r="BN9" s="9"/>
      <c r="BO9" s="15">
        <v>19.8</v>
      </c>
      <c r="BP9" s="15"/>
      <c r="BQ9" s="15"/>
      <c r="BR9" s="9"/>
      <c r="BS9" s="9"/>
      <c r="BT9" s="15"/>
      <c r="BU9" s="9" t="s">
        <v>116</v>
      </c>
      <c r="BV9" s="15">
        <v>827.8</v>
      </c>
      <c r="BW9" s="9" t="s">
        <v>124</v>
      </c>
      <c r="BX9" s="9" t="s">
        <v>250</v>
      </c>
      <c r="BY9" s="9" t="s">
        <v>116</v>
      </c>
      <c r="BZ9" s="9" t="s">
        <v>116</v>
      </c>
      <c r="CA9" s="9" t="s">
        <v>116</v>
      </c>
      <c r="CB9" s="9"/>
      <c r="CC9" s="9"/>
      <c r="CD9" s="9"/>
      <c r="CE9" s="9" t="s">
        <v>126</v>
      </c>
      <c r="CF9" s="10">
        <v>46189.3306967245</v>
      </c>
      <c r="CG9" s="14"/>
      <c r="CH9" s="14" t="s">
        <v>116</v>
      </c>
      <c r="CI9" s="14" t="s">
        <v>116</v>
      </c>
      <c r="CJ9" s="9"/>
      <c r="CK9" s="9"/>
      <c r="CL9" s="9" t="s">
        <v>127</v>
      </c>
      <c r="CM9" s="9" t="s">
        <v>116</v>
      </c>
      <c r="CN9" s="9" t="s">
        <v>116</v>
      </c>
      <c r="CO9" s="9"/>
      <c r="CP9" s="9"/>
      <c r="CQ9" s="9"/>
      <c r="CR9" s="9" t="s">
        <v>116</v>
      </c>
      <c r="CS9" s="9" t="s">
        <v>116</v>
      </c>
      <c r="CT9" s="9"/>
      <c r="CU9" s="9"/>
      <c r="CV9" s="9"/>
    </row>
  </sheetData>
  <conditionalFormatting sqref="A2:CV9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</cols>
  <sheetData>
    <row r="1">
      <c r="A1" s="16" t="s">
        <v>105</v>
      </c>
      <c r="B1" s="16" t="s">
        <v>105</v>
      </c>
      <c r="C1" s="16" t="s">
        <v>105</v>
      </c>
      <c r="D1" s="16" t="s">
        <v>105</v>
      </c>
      <c r="E1" s="21" t="s">
        <v>251</v>
      </c>
      <c r="F1" s="21" t="s">
        <v>251</v>
      </c>
    </row>
    <row r="2">
      <c r="A2" s="17" t="s">
        <v>106</v>
      </c>
      <c r="B2" s="17" t="s">
        <v>106</v>
      </c>
      <c r="C2" s="17" t="s">
        <v>220</v>
      </c>
      <c r="D2" s="17" t="s">
        <v>220</v>
      </c>
      <c r="E2" s="21" t="s">
        <v>251</v>
      </c>
      <c r="F2" s="21" t="s">
        <v>251</v>
      </c>
    </row>
    <row r="3">
      <c r="A3" s="18" t="s">
        <v>252</v>
      </c>
      <c r="B3" s="18" t="s">
        <v>253</v>
      </c>
      <c r="C3" s="18" t="s">
        <v>252</v>
      </c>
      <c r="D3" s="18" t="s">
        <v>253</v>
      </c>
      <c r="E3" s="18" t="s">
        <v>252</v>
      </c>
      <c r="F3" s="18" t="s">
        <v>253</v>
      </c>
    </row>
    <row r="4">
      <c r="A4" s="19">
        <v>7</v>
      </c>
      <c r="B4" s="20">
        <v>2937.5</v>
      </c>
      <c r="C4" s="19">
        <v>1</v>
      </c>
      <c r="D4" s="20">
        <v>430</v>
      </c>
      <c r="E4" s="19">
        <f> A4 + C4</f>
      </c>
      <c r="F4" s="22">
        <f> B4 + D4</f>
      </c>
    </row>
  </sheetData>
  <mergeCells>
    <mergeCell ref="A1:D1"/>
    <mergeCell ref="A2:B2"/>
    <mergeCell ref="C2:D2"/>
    <mergeCell ref="E1:F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254</v>
      </c>
      <c r="B1" s="1" t="s">
        <v>255</v>
      </c>
      <c r="C1" s="1" t="s">
        <v>256</v>
      </c>
      <c r="D1" s="1" t="s">
        <v>257</v>
      </c>
      <c r="E1" s="1" t="s">
        <v>258</v>
      </c>
      <c r="F1" s="1" t="s">
        <v>258</v>
      </c>
      <c r="G1" s="1" t="s">
        <v>258</v>
      </c>
    </row>
    <row r="2">
      <c r="A2" s="23" t="s">
        <v>254</v>
      </c>
      <c r="B2" s="23" t="s">
        <v>259</v>
      </c>
      <c r="C2" s="23" t="s">
        <v>260</v>
      </c>
      <c r="D2" s="23" t="s">
        <v>261</v>
      </c>
      <c r="E2" s="23" t="s">
        <v>262</v>
      </c>
      <c r="F2" s="23" t="s">
        <v>263</v>
      </c>
      <c r="G2" s="23" t="s">
        <v>264</v>
      </c>
    </row>
    <row r="3">
      <c r="A3" s="24" t="s">
        <v>265</v>
      </c>
      <c r="B3" s="24" t="s">
        <v>266</v>
      </c>
      <c r="C3" s="24" t="s">
        <v>267</v>
      </c>
      <c r="D3" s="24" t="s">
        <v>268</v>
      </c>
      <c r="E3" s="24" t="s">
        <v>269</v>
      </c>
      <c r="F3" s="24" t="s">
        <v>115</v>
      </c>
      <c r="G3" s="24" t="s">
        <v>270</v>
      </c>
    </row>
    <row r="4">
      <c r="D4" s="24" t="s">
        <v>271</v>
      </c>
      <c r="E4" s="24" t="s">
        <v>272</v>
      </c>
    </row>
    <row r="5">
      <c r="D5" s="24" t="s">
        <v>273</v>
      </c>
    </row>
    <row r="6">
      <c r="D6" s="24" t="s">
        <v>274</v>
      </c>
    </row>
    <row r="7">
      <c r="D7" s="24" t="s">
        <v>275</v>
      </c>
    </row>
    <row r="8">
      <c r="D8" s="24" t="s">
        <v>276</v>
      </c>
    </row>
  </sheetData>
  <mergeCells>
    <mergeCell ref="A1"/>
    <mergeCell ref="B1"/>
    <mergeCell ref="C1"/>
    <mergeCell ref="D1"/>
    <mergeCell ref="E1:G1"/>
  </mergeCells>
  <headerFooter/>
</worksheet>
</file>