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DetailSales" sheetId="1" r:id="rId1"/>
    <sheet name="Par moteur" sheetId="2" r:id="rId3"/>
    <sheet name="Summary 22 Juillet 2026" sheetId="3" r:id="rId4"/>
  </sheets>
  <calcPr fullCalcOnLoad="1"/>
</workbook>
</file>

<file path=xl/sharedStrings.xml><?xml version="1.0" encoding="utf-8"?>
<sst xmlns="http://schemas.openxmlformats.org/spreadsheetml/2006/main" count="247" uniqueCount="247">
  <si>
    <t>BookingId</t>
  </si>
  <si>
    <t>DossierId</t>
  </si>
  <si>
    <t>SaleDate</t>
  </si>
  <si>
    <t>UpdateDate</t>
  </si>
  <si>
    <t>EstablishmentId</t>
  </si>
  <si>
    <t>AnwbId</t>
  </si>
  <si>
    <t>EstablishmentName</t>
  </si>
  <si>
    <t>GeoZ1</t>
  </si>
  <si>
    <t>GeoZ2</t>
  </si>
  <si>
    <t>GeoZ3</t>
  </si>
  <si>
    <t>PackName</t>
  </si>
  <si>
    <t>EngineId</t>
  </si>
  <si>
    <t>EngineName</t>
  </si>
  <si>
    <t>BeginDate</t>
  </si>
  <si>
    <t>EndDate</t>
  </si>
  <si>
    <t>NightDuration</t>
  </si>
  <si>
    <t>ClientName</t>
  </si>
  <si>
    <t>ClientFirstName</t>
  </si>
  <si>
    <t>ClientBirthDate</t>
  </si>
  <si>
    <t>ClientEmail</t>
  </si>
  <si>
    <t>SubscriptionNews</t>
  </si>
  <si>
    <t>ClientTel</t>
  </si>
  <si>
    <t>ClientAdress</t>
  </si>
  <si>
    <t>ClientZip</t>
  </si>
  <si>
    <t>ClientCity</t>
  </si>
  <si>
    <t>ClientCountry</t>
  </si>
  <si>
    <t>ClientBookingLanguage</t>
  </si>
  <si>
    <t>ClientAnwbNumber</t>
  </si>
  <si>
    <t>WorksCouncilName</t>
  </si>
  <si>
    <t>AccompanyingPersons</t>
  </si>
  <si>
    <t>NbPerson</t>
  </si>
  <si>
    <t>ClientComment</t>
  </si>
  <si>
    <t>PitchEquipment</t>
  </si>
  <si>
    <t>ProductType</t>
  </si>
  <si>
    <t>ProductName</t>
  </si>
  <si>
    <t>ProductId</t>
  </si>
  <si>
    <t>ClassicOptions</t>
  </si>
  <si>
    <t>PersonOptions</t>
  </si>
  <si>
    <t>GridName</t>
  </si>
  <si>
    <t>OsAmount</t>
  </si>
  <si>
    <t>OsReduction</t>
  </si>
  <si>
    <t>OsName</t>
  </si>
  <si>
    <t>OsLibelleAutoId</t>
  </si>
  <si>
    <t>OverDiscountId</t>
  </si>
  <si>
    <t>DiscountCode</t>
  </si>
  <si>
    <t>DiscountFidelity</t>
  </si>
  <si>
    <t>TotalPrice</t>
  </si>
  <si>
    <t>PriceStay</t>
  </si>
  <si>
    <t>OptionsPrice</t>
  </si>
  <si>
    <t>OptionOfferedLabel</t>
  </si>
  <si>
    <t>TotalDeposit</t>
  </si>
  <si>
    <t>SecondPayment</t>
  </si>
  <si>
    <t>Subsidy1Label</t>
  </si>
  <si>
    <t>Subsidy1Amount</t>
  </si>
  <si>
    <t>Subsidy1ReceiverNumber</t>
  </si>
  <si>
    <t>Subsidy1ReceiversIdentity</t>
  </si>
  <si>
    <t>Subsidy1FamilialQuotient</t>
  </si>
  <si>
    <t>Subsidy1ConfidentialComment</t>
  </si>
  <si>
    <t>Subsidy2Label</t>
  </si>
  <si>
    <t>Subsidy2Amount</t>
  </si>
  <si>
    <t>Subsidy2ReceiverNumber</t>
  </si>
  <si>
    <t>Subsidy2ReceiversIdentity</t>
  </si>
  <si>
    <t>Subsidy2FamilialQuotient</t>
  </si>
  <si>
    <t>Subsidy2ConfidentialComment</t>
  </si>
  <si>
    <t>BalanceDue</t>
  </si>
  <si>
    <t>NewBalanceDue</t>
  </si>
  <si>
    <t>BookingFees</t>
  </si>
  <si>
    <t>UpdateFees</t>
  </si>
  <si>
    <t>IncludedSumTaxes</t>
  </si>
  <si>
    <t>Amountflex</t>
  </si>
  <si>
    <t>LabelFlex</t>
  </si>
  <si>
    <t>CancellationInsurance</t>
  </si>
  <si>
    <t>CancellationInsuranceDetail</t>
  </si>
  <si>
    <t>TotalPriceAllincluded</t>
  </si>
  <si>
    <t>Currency</t>
  </si>
  <si>
    <t>PaymentDepositDetail</t>
  </si>
  <si>
    <t>SecondPaymentDetail</t>
  </si>
  <si>
    <t>PaymentBalanceDetail</t>
  </si>
  <si>
    <t>PaymentNewBalanceDetail</t>
  </si>
  <si>
    <t>ArchivePaymentInformation</t>
  </si>
  <si>
    <t>Voucher</t>
  </si>
  <si>
    <t>VoucherAmount</t>
  </si>
  <si>
    <t>BookingState</t>
  </si>
  <si>
    <t>DateLastState</t>
  </si>
  <si>
    <t>EstablishmentComment</t>
  </si>
  <si>
    <t>UpdateComment</t>
  </si>
  <si>
    <t>DynamicCancel</t>
  </si>
  <si>
    <t>ProposalId</t>
  </si>
  <si>
    <t>OriginalBookingId</t>
  </si>
  <si>
    <t>IsFirmBooking</t>
  </si>
  <si>
    <t>BusinessFacilitator</t>
  </si>
  <si>
    <t>BusinessFacilitatorSkin6</t>
  </si>
  <si>
    <t>PartnerName</t>
  </si>
  <si>
    <t>PartnerId</t>
  </si>
  <si>
    <t>IdSkin</t>
  </si>
  <si>
    <t>TagMarketing</t>
  </si>
  <si>
    <t>AgentCallCenter</t>
  </si>
  <si>
    <t>OperationCodeVeepee</t>
  </si>
  <si>
    <t>MemberIdVeepee</t>
  </si>
  <si>
    <t>EntityIdVeepee</t>
  </si>
  <si>
    <t>206924</t>
  </si>
  <si>
    <t xml:space="preserve">Camping  des Landes d'Armagnac</t>
  </si>
  <si>
    <t>France</t>
  </si>
  <si>
    <t>Nouvelle-Aquitaine</t>
  </si>
  <si>
    <t>Landes</t>
  </si>
  <si>
    <t>Pack E-Trafic</t>
  </si>
  <si>
    <t>Pack E-Trafic Campingdirect</t>
  </si>
  <si>
    <t>Fuhrer</t>
  </si>
  <si>
    <t>Paul</t>
  </si>
  <si>
    <t>fluobold@gmail.com</t>
  </si>
  <si>
    <t>non</t>
  </si>
  <si>
    <t>0626962399</t>
  </si>
  <si>
    <t>2 rue des grillons</t>
  </si>
  <si>
    <t>74960</t>
  </si>
  <si>
    <t>ANNECY</t>
  </si>
  <si>
    <t>FR</t>
  </si>
  <si>
    <t/>
  </si>
  <si>
    <t>Emilie Oursel 18/12/1997</t>
  </si>
  <si>
    <t>2</t>
  </si>
  <si>
    <t>Tente : 2x2m</t>
  </si>
  <si>
    <t>Emplacement</t>
  </si>
  <si>
    <t>Emplacement - 2/6 pers.</t>
  </si>
  <si>
    <t>23 | Electricité 10 A | 1 | 3</t>
  </si>
  <si>
    <t>FORFAIT CYCLO-RANDONNEURS 2026</t>
  </si>
  <si>
    <t>€</t>
  </si>
  <si>
    <t>Visa</t>
  </si>
  <si>
    <t>YES</t>
  </si>
  <si>
    <t>0</t>
  </si>
  <si>
    <t>Camping Les Gravelets</t>
  </si>
  <si>
    <t>Normandie</t>
  </si>
  <si>
    <t>Manche</t>
  </si>
  <si>
    <t>ANDRE</t>
  </si>
  <si>
    <t>PHILIPPE</t>
  </si>
  <si>
    <t>andre.php@orange.fr</t>
  </si>
  <si>
    <t>oui</t>
  </si>
  <si>
    <t>0685894116</t>
  </si>
  <si>
    <t>154 RUE PIERRE MENDES FRANCE</t>
  </si>
  <si>
    <t>27130</t>
  </si>
  <si>
    <t>VERNEUIL SUR AVRE</t>
  </si>
  <si>
    <t>1</t>
  </si>
  <si>
    <t>Location</t>
  </si>
  <si>
    <t>POD 2 pers.</t>
  </si>
  <si>
    <t>TARIFICATION A LA NUITÉE</t>
  </si>
  <si>
    <t>merci pour votre réservation et à bientôt</t>
  </si>
  <si>
    <t>Camping Les Vignes</t>
  </si>
  <si>
    <t>Charente-Maritime</t>
  </si>
  <si>
    <t>Liedo Martín</t>
  </si>
  <si>
    <t>Ana</t>
  </si>
  <si>
    <t>anitaliedomartin@hotmail.com</t>
  </si>
  <si>
    <t>+34676847082</t>
  </si>
  <si>
    <t>Avenida Los Carrascalejos 49 B</t>
  </si>
  <si>
    <t>40194</t>
  </si>
  <si>
    <t>Palazuelos de Eresma (Segovia)</t>
  </si>
  <si>
    <t>ES</t>
  </si>
  <si>
    <t>Miguel Plaza Rubio 23/09/1980 | Alicia Liedo Plaza 25/01/2018 | Rocío Liedo Plaza 12/08/2021 | Jaime Liedo Plaza 24/07/2024</t>
  </si>
  <si>
    <t>5</t>
  </si>
  <si>
    <t>Mobilhome eau froide : 23 m² - 2 chambres 4/6 pers.</t>
  </si>
  <si>
    <t>TARIFICATION A LA SEMAINE</t>
  </si>
  <si>
    <t xml:space="preserve">Hola_x000D_
Su casa móvil ya está reservada. Nos vemos pronto. Raphaëlle, Camping Les Vignes.</t>
  </si>
  <si>
    <t>85258</t>
  </si>
  <si>
    <t>Camping les PEUPLIERS</t>
  </si>
  <si>
    <t>Gironde</t>
  </si>
  <si>
    <t>rousteau</t>
  </si>
  <si>
    <t>cécile</t>
  </si>
  <si>
    <t>rousteau.thierry.cecile@gmail.com</t>
  </si>
  <si>
    <t>0642851857</t>
  </si>
  <si>
    <t>260 bd du massacre</t>
  </si>
  <si>
    <t>44800</t>
  </si>
  <si>
    <t>St Herblain</t>
  </si>
  <si>
    <t>thierry rousteau 04/10/1962</t>
  </si>
  <si>
    <t>Mobilhome COTTAGE (4 adultes maxi) - 2 Chambres. 4/5 pers.</t>
  </si>
  <si>
    <t>TARIFICATION A LA SEMAINE 2026</t>
  </si>
  <si>
    <t>Camping du Trez</t>
  </si>
  <si>
    <t>Bretagne</t>
  </si>
  <si>
    <t>Finistère</t>
  </si>
  <si>
    <t>Tiedtke</t>
  </si>
  <si>
    <t>Daniel</t>
  </si>
  <si>
    <t>daniel.tiedtke@me.com</t>
  </si>
  <si>
    <t>015121180096</t>
  </si>
  <si>
    <t>Otto-Bussmann-Str. 50</t>
  </si>
  <si>
    <t>61118</t>
  </si>
  <si>
    <t>Bad Vilbel</t>
  </si>
  <si>
    <t>DE</t>
  </si>
  <si>
    <t>Julie Tiedtke 02/02/1988 | Arvid Tiedtke 14/03/2016 | Julius Tiedtke 06/09/2018 | Noah Tiedtke 10/05/2021</t>
  </si>
  <si>
    <t>Van aménagé / Campervan : 6,4x2m</t>
  </si>
  <si>
    <t>Emplacement 1/6 pers.</t>
  </si>
  <si>
    <t>256 | Strompauschale | 1 | 24</t>
  </si>
  <si>
    <t>58 | Kind unter 13 Jahre | 3 | 16,4</t>
  </si>
  <si>
    <t>TARIFICATION CAMPING CAR/VAN</t>
  </si>
  <si>
    <t>Assurance annulation : 6,23</t>
  </si>
  <si>
    <t>61097</t>
  </si>
  <si>
    <t>Camping Seasonova Les Mouettes</t>
  </si>
  <si>
    <t>Seine-Maritime</t>
  </si>
  <si>
    <t>TROUPLIN</t>
  </si>
  <si>
    <t>Anne</t>
  </si>
  <si>
    <t>anne.trouplin@laposte.net</t>
  </si>
  <si>
    <t>0664149225</t>
  </si>
  <si>
    <t>10 rue Michelet</t>
  </si>
  <si>
    <t>94120</t>
  </si>
  <si>
    <t>Fontenay sous Bois</t>
  </si>
  <si>
    <t>Thomas Belliot 16/03/2004</t>
  </si>
  <si>
    <t>BIVOUAC Nomade 2 pers.</t>
  </si>
  <si>
    <t>269 | Petit-déjeuner / personne | 2 | 9,9</t>
  </si>
  <si>
    <t>TARIFICATION A LA NUITÉE 2026</t>
  </si>
  <si>
    <t>49505</t>
  </si>
  <si>
    <t>Castel Camping Parc de Fierbois</t>
  </si>
  <si>
    <t>Centre-Val de Loire</t>
  </si>
  <si>
    <t>Indre-et-Loire</t>
  </si>
  <si>
    <t>Spanjaard</t>
  </si>
  <si>
    <t>Quincy</t>
  </si>
  <si>
    <t>jaappeterschuurman@gmail.com</t>
  </si>
  <si>
    <t>0641191108</t>
  </si>
  <si>
    <t>Marne 55</t>
  </si>
  <si>
    <t>9204 BD</t>
  </si>
  <si>
    <t>Drachten</t>
  </si>
  <si>
    <t>NL</t>
  </si>
  <si>
    <t>JP Schuurman 18/08/1983 | Nick De Vries 24/03/2014 | Jax De Vries 10/01/2016</t>
  </si>
  <si>
    <t>4</t>
  </si>
  <si>
    <t>Chalet - 3 chambres - 1 salle de bain - Confort - 6 pers.</t>
  </si>
  <si>
    <t>2049 | Linnenpakket voor tweepersoonsbed | 1 | 16</t>
  </si>
  <si>
    <t>IdealStripe</t>
  </si>
  <si>
    <t>Total</t>
  </si>
  <si>
    <t>Bookings</t>
  </si>
  <si>
    <t>CA</t>
  </si>
  <si>
    <t>Utilisateur SU</t>
  </si>
  <si>
    <t>Choix des dates</t>
  </si>
  <si>
    <t>Type de réservation</t>
  </si>
  <si>
    <t>Canaux de ventes</t>
  </si>
  <si>
    <t>Résultat</t>
  </si>
  <si>
    <t>Période d'achat</t>
  </si>
  <si>
    <t>Statut de la réservation</t>
  </si>
  <si>
    <t>Ventes du moteur</t>
  </si>
  <si>
    <t>Exporter vers Excel</t>
  </si>
  <si>
    <t>Langue des Tableaux</t>
  </si>
  <si>
    <t>Sauvegarde du profil</t>
  </si>
  <si>
    <t>User Monitoring #40</t>
  </si>
  <si>
    <t>21-Juil-2026 -&gt; 21-Juil-2026</t>
  </si>
  <si>
    <t>Réservations</t>
  </si>
  <si>
    <t>Pack E-Trafic Alcampeggio #1603</t>
  </si>
  <si>
    <t>DetailSales</t>
  </si>
  <si>
    <t>Pack Trafic</t>
  </si>
  <si>
    <t>Pack E-Trafic Camping2be.com #1104</t>
  </si>
  <si>
    <t>Par moteur</t>
  </si>
  <si>
    <t>Pack E-Trafic Campingdirect #703</t>
  </si>
  <si>
    <t>Pack E-Trafic Camping-streetview.com #1172</t>
  </si>
  <si>
    <t>Pack E-Trafic Ibericamp #1445</t>
  </si>
  <si>
    <t>Pack E-Trafic Ucamping.com #1552</t>
  </si>
</sst>
</file>

<file path=xl/styles.xml><?xml version="1.0" encoding="utf-8"?>
<styleSheet xmlns="http://schemas.openxmlformats.org/spreadsheetml/2006/main">
  <numFmts count="5">
    <numFmt numFmtId="164" formatCode="dd/MM/yyyy"/>
    <numFmt numFmtId="165" formatCode="dd/MM/yyyy hh:mm"/>
    <numFmt numFmtId="166" formatCode="# ##0.00"/>
    <numFmt numFmtId="167" formatCode="# ##0.00 €"/>
    <numFmt numFmtId="168" formatCode="# ##0 €"/>
  </numFmts>
  <fonts count="2">
    <font>
      <sz val="11"/>
      <name val="Calibri"/>
    </font>
    <font>
      <b/>
      <sz val="11"/>
      <name val="Calibri"/>
    </font>
  </fonts>
  <fills count="5">
    <fill>
      <patternFill patternType="none"/>
    </fill>
    <fill>
      <patternFill patternType="gray125"/>
    </fill>
    <fill>
      <patternFill patternType="solid">
        <fgColor rgb="FF8EA9DB" tint="0"/>
      </patternFill>
    </fill>
    <fill>
      <patternFill patternType="solid">
        <fgColor rgb="FFFFFFFF" tint="0"/>
      </patternFill>
    </fill>
    <fill>
      <patternFill patternType="solid">
        <fgColor rgb="FFD9E1F2" tint="0"/>
      </patternFill>
    </fill>
  </fills>
  <borders count="5">
    <border>
      <left/>
      <right/>
      <top/>
      <bottom/>
      <diagonal/>
    </border>
    <border>
      <left style="thin">
        <color rgb="FF000000" tint="0"/>
      </left>
      <right style="thin">
        <color rgb="FF000000" tint="0"/>
      </right>
      <top/>
      <bottom/>
      <diagonal/>
    </border>
    <border>
      <left style="thin">
        <color rgb="FF000000" tint="0"/>
      </left>
      <right style="thin">
        <color rgb="FF000000" tint="0"/>
      </right>
      <top style="thin">
        <color rgb="FF000000" tint="0"/>
      </top>
      <bottom/>
      <diagonal/>
    </border>
    <border>
      <left style="thin">
        <color rgb="FF000000" tint="0"/>
      </left>
      <right style="thin">
        <color rgb="FF000000" tint="0"/>
      </right>
      <top style="thin">
        <color rgb="FF000000" tint="0"/>
      </top>
      <bottom style="thin">
        <color rgb="FF000000" tint="0"/>
      </bottom>
      <diagonal/>
    </border>
    <border>
      <left style="thin">
        <color rgb="FF000000" tint="0"/>
      </left>
      <right style="thin">
        <color rgb="FF000000" tint="0"/>
      </right>
      <top/>
      <bottom style="thin">
        <color rgb="FF000000" tint="0"/>
      </bottom>
      <diagonal/>
    </border>
  </borders>
  <cellStyleXfs count="1">
    <xf numFmtId="0" fontId="0"/>
  </cellStyleXfs>
  <cellXfs count="25">
    <xf numFmtId="0" fontId="0" xfId="0"/>
    <xf numFmtId="0" fontId="0" fillId="2" applyFill="1" borderId="3" applyBorder="1" applyAlignment="1">
      <alignment horizontal="center"/>
    </xf>
    <xf numFmtId="0" fontId="0" fillId="3" applyFill="1" borderId="1" applyBorder="1"/>
    <xf numFmtId="165" applyNumberFormat="1" fontId="0" fillId="3" applyFill="1" borderId="1" applyBorder="1"/>
    <xf numFmtId="0" fontId="0" fillId="3" applyFill="1" borderId="1" applyBorder="1" applyAlignment="1">
      <alignment horizontal="right"/>
    </xf>
    <xf numFmtId="164" applyNumberFormat="1" fontId="0" fillId="3" applyFill="1" borderId="1" applyBorder="1"/>
    <xf numFmtId="49" applyNumberFormat="1" fontId="0" fillId="3" applyFill="1" borderId="1" applyBorder="1"/>
    <xf numFmtId="0" fontId="0" fillId="3" applyFill="1" borderId="1" applyBorder="1">
      <alignment wrapText="1"/>
    </xf>
    <xf numFmtId="166" applyNumberFormat="1" fontId="0" fillId="3" applyFill="1" borderId="1" applyBorder="1"/>
    <xf numFmtId="0" fontId="0" fillId="3" applyFill="1" borderId="4" applyBorder="1"/>
    <xf numFmtId="165" applyNumberFormat="1" fontId="0" fillId="3" applyFill="1" borderId="4" applyBorder="1"/>
    <xf numFmtId="0" fontId="0" fillId="3" applyFill="1" borderId="4" applyBorder="1" applyAlignment="1">
      <alignment horizontal="right"/>
    </xf>
    <xf numFmtId="164" applyNumberFormat="1" fontId="0" fillId="3" applyFill="1" borderId="4" applyBorder="1"/>
    <xf numFmtId="49" applyNumberFormat="1" fontId="0" fillId="3" applyFill="1" borderId="4" applyBorder="1"/>
    <xf numFmtId="0" fontId="0" fillId="3" applyFill="1" borderId="4" applyBorder="1">
      <alignment wrapText="1"/>
    </xf>
    <xf numFmtId="166" applyNumberFormat="1" fontId="0" fillId="3" applyFill="1" borderId="4" applyBorder="1"/>
    <xf numFmtId="0" fontId="1" applyFont="1" fillId="2" applyFill="1" borderId="2" applyBorder="1" applyAlignment="1">
      <alignment horizontal="center"/>
    </xf>
    <xf numFmtId="0" fontId="1" applyFont="1" fillId="2" applyFill="1" borderId="2" applyBorder="1" applyAlignment="1">
      <alignment horizontal="center" vertical="center" wrapText="1"/>
    </xf>
    <xf numFmtId="0" fontId="0" fillId="2" applyFill="1" borderId="4" applyBorder="1" applyAlignment="1">
      <alignment horizontal="center"/>
    </xf>
    <xf numFmtId="0" fontId="0" fillId="4" applyFill="1" borderId="1" applyBorder="1"/>
    <xf numFmtId="167" applyNumberFormat="1" fontId="0" fillId="4" applyFill="1" borderId="1" applyBorder="1"/>
    <xf numFmtId="0" fontId="1" applyFont="1" fillId="2" applyFill="1" borderId="1" applyBorder="1" applyAlignment="1">
      <alignment horizontal="center" vertical="center"/>
    </xf>
    <xf numFmtId="168" applyNumberFormat="1" fontId="0" fillId="4" applyFill="1" borderId="1" applyBorder="1"/>
    <xf numFmtId="0" fontId="0" fillId="4" applyFill="1" borderId="3" applyBorder="1" applyAlignment="1">
      <alignment horizontal="center"/>
    </xf>
    <xf numFmtId="0" fontId="0" fillId="3" applyFill="1" borderId="3" applyBorder="1"/>
  </cellXfs>
  <cellStyles count="1">
    <cellStyle name="Normal" xfId="0" builtinId="0"/>
  </cellStyles>
  <dxfs count="1">
    <dxf>
      <fill>
        <patternFill patternType="solid">
          <bgColor rgb="ffd9e1f2"/>
        </patternFill>
      </fill>
    </dxf>
  </d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CV9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10" customWidth="1"/>
    <col min="2" max="2" width="10" customWidth="1"/>
    <col min="3" max="3" width="20" customWidth="1"/>
    <col min="4" max="4" width="20" customWidth="1"/>
    <col min="5" max="5" width="10" customWidth="1"/>
    <col min="6" max="6" width="10" customWidth="1"/>
    <col min="7" max="7" width="60" customWidth="1"/>
    <col min="8" max="8" width="20" customWidth="1"/>
    <col min="9" max="9" width="45" customWidth="1"/>
    <col min="10" max="10" width="45" customWidth="1"/>
    <col min="11" max="11" width="60" customWidth="1"/>
    <col min="12" max="12" width="10" customWidth="1"/>
    <col min="13" max="13" width="60" customWidth="1"/>
    <col min="14" max="14" width="20" customWidth="1"/>
    <col min="15" max="15" width="20" customWidth="1"/>
    <col min="16" max="16" width="10" customWidth="1"/>
    <col min="17" max="17" width="45" customWidth="1"/>
    <col min="18" max="18" width="45" customWidth="1"/>
    <col min="19" max="19" width="20" customWidth="1"/>
    <col min="20" max="20" width="45" customWidth="1"/>
    <col min="21" max="21" width="10" customWidth="1"/>
    <col min="22" max="22" width="20" customWidth="1"/>
    <col min="23" max="23" width="45" customWidth="1"/>
    <col min="24" max="24" width="10" customWidth="1"/>
    <col min="25" max="25" width="45" customWidth="1"/>
    <col min="26" max="26" width="10" customWidth="1"/>
    <col min="27" max="27" width="10" customWidth="1"/>
    <col min="28" max="28" width="10" customWidth="1"/>
    <col min="29" max="29" width="45" customWidth="1"/>
    <col min="30" max="30" width="90" customWidth="1"/>
    <col min="31" max="31" width="10" customWidth="1"/>
    <col min="32" max="32" width="90" customWidth="1"/>
    <col min="33" max="33" width="60" customWidth="1"/>
    <col min="34" max="34" width="20" customWidth="1"/>
    <col min="35" max="35" width="60" customWidth="1"/>
    <col min="36" max="36" width="10" customWidth="1"/>
    <col min="37" max="37" width="90" customWidth="1"/>
    <col min="38" max="38" width="90" customWidth="1"/>
    <col min="40" max="40" width="60" customWidth="1"/>
    <col min="41" max="41" width="10" customWidth="1"/>
    <col min="42" max="42" width="10" customWidth="1"/>
    <col min="43" max="43" width="45" customWidth="1"/>
    <col min="44" max="44" width="10" customWidth="1"/>
    <col min="45" max="45" width="10" customWidth="1"/>
    <col min="46" max="46" width="20" customWidth="1"/>
    <col min="47" max="47" width="10" customWidth="1"/>
    <col min="48" max="48" width="10" customWidth="1"/>
    <col min="49" max="49" width="10" customWidth="1"/>
    <col min="50" max="50" width="10" customWidth="1"/>
    <col min="51" max="51" width="45" customWidth="1"/>
    <col min="52" max="52" width="10" customWidth="1"/>
    <col min="53" max="53" width="10" customWidth="1"/>
    <col min="54" max="54" width="45" customWidth="1"/>
    <col min="55" max="55" width="10" customWidth="1"/>
    <col min="56" max="56" width="45" customWidth="1"/>
    <col min="57" max="57" width="45" customWidth="1"/>
    <col min="58" max="58" width="10" customWidth="1"/>
    <col min="59" max="59" width="60" customWidth="1"/>
    <col min="60" max="60" width="45" customWidth="1"/>
    <col min="61" max="61" width="10" customWidth="1"/>
    <col min="62" max="62" width="45" customWidth="1"/>
    <col min="63" max="63" width="45" customWidth="1"/>
    <col min="64" max="64" width="10" customWidth="1"/>
    <col min="65" max="65" width="60" customWidth="1"/>
    <col min="66" max="66" width="10" customWidth="1"/>
    <col min="67" max="67" width="10" customWidth="1"/>
    <col min="68" max="68" width="10" customWidth="1"/>
    <col min="69" max="69" width="10" customWidth="1"/>
    <col min="70" max="70" width="10" customWidth="1"/>
    <col min="71" max="71" width="10" customWidth="1"/>
    <col min="72" max="72" width="45" customWidth="1"/>
    <col min="73" max="73" width="10" customWidth="1"/>
    <col min="74" max="74" width="60" customWidth="1"/>
    <col min="75" max="75" width="10" customWidth="1"/>
    <col min="76" max="76" width="10" customWidth="1"/>
    <col min="77" max="77" width="60" customWidth="1"/>
    <col min="78" max="78" width="60" customWidth="1"/>
    <col min="79" max="79" width="60" customWidth="1"/>
    <col min="80" max="80" width="60" customWidth="1"/>
    <col min="81" max="81" width="60" customWidth="1"/>
    <col min="82" max="82" width="20" customWidth="1"/>
    <col min="83" max="83" width="10" customWidth="1"/>
    <col min="84" max="84" width="20" customWidth="1"/>
    <col min="85" max="85" width="20" customWidth="1"/>
    <col min="86" max="86" width="90" customWidth="1"/>
    <col min="87" max="87" width="60" customWidth="1"/>
    <col min="89" max="89" width="10" customWidth="1"/>
    <col min="90" max="90" width="10" customWidth="1"/>
    <col min="91" max="91" width="10" customWidth="1"/>
    <col min="92" max="92" width="10" customWidth="1"/>
    <col min="93" max="93" width="45" customWidth="1"/>
    <col min="94" max="94" width="45" customWidth="1"/>
    <col min="95" max="95" width="45" customWidth="1"/>
    <col min="96" max="96" width="10" customWidth="1"/>
    <col min="97" max="97" width="10" customWidth="1"/>
    <col min="98" max="98" width="45" customWidth="1"/>
    <col min="99" max="99" width="45" customWidth="1"/>
    <col min="100" max="100" width="45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</row>
    <row r="2">
      <c r="A2" s="2">
        <v>19383889</v>
      </c>
      <c r="B2" s="2"/>
      <c r="C2" s="3">
        <v>46224.3592904282</v>
      </c>
      <c r="D2" s="3"/>
      <c r="E2" s="2">
        <v>7128</v>
      </c>
      <c r="F2" s="4" t="s">
        <v>100</v>
      </c>
      <c r="G2" s="2" t="s">
        <v>101</v>
      </c>
      <c r="H2" s="2" t="s">
        <v>102</v>
      </c>
      <c r="I2" s="2" t="s">
        <v>103</v>
      </c>
      <c r="J2" s="2" t="s">
        <v>104</v>
      </c>
      <c r="K2" s="2" t="s">
        <v>105</v>
      </c>
      <c r="L2" s="2">
        <v>703</v>
      </c>
      <c r="M2" s="2" t="s">
        <v>106</v>
      </c>
      <c r="N2" s="5">
        <v>46249</v>
      </c>
      <c r="O2" s="5">
        <v>46250</v>
      </c>
      <c r="P2" s="2">
        <v>1</v>
      </c>
      <c r="Q2" s="2" t="s">
        <v>107</v>
      </c>
      <c r="R2" s="2" t="s">
        <v>108</v>
      </c>
      <c r="S2" s="5">
        <v>30690</v>
      </c>
      <c r="T2" s="2" t="s">
        <v>109</v>
      </c>
      <c r="U2" s="2" t="s">
        <v>110</v>
      </c>
      <c r="V2" s="6" t="s">
        <v>111</v>
      </c>
      <c r="W2" s="2" t="s">
        <v>112</v>
      </c>
      <c r="X2" s="6" t="s">
        <v>113</v>
      </c>
      <c r="Y2" s="2" t="s">
        <v>114</v>
      </c>
      <c r="Z2" s="2" t="s">
        <v>115</v>
      </c>
      <c r="AA2" s="2" t="s">
        <v>115</v>
      </c>
      <c r="AB2" s="6" t="s">
        <v>116</v>
      </c>
      <c r="AC2" s="6"/>
      <c r="AD2" s="2" t="s">
        <v>117</v>
      </c>
      <c r="AE2" s="2" t="s">
        <v>118</v>
      </c>
      <c r="AF2" s="2"/>
      <c r="AG2" s="2" t="s">
        <v>119</v>
      </c>
      <c r="AH2" s="2" t="s">
        <v>120</v>
      </c>
      <c r="AI2" s="2" t="s">
        <v>121</v>
      </c>
      <c r="AJ2" s="2">
        <v>148740</v>
      </c>
      <c r="AK2" s="7" t="s">
        <v>122</v>
      </c>
      <c r="AL2" s="7" t="s">
        <v>116</v>
      </c>
      <c r="AM2" s="2" t="s">
        <v>123</v>
      </c>
      <c r="AN2" s="2"/>
      <c r="AO2" s="2"/>
      <c r="AP2" s="2"/>
      <c r="AQ2" s="2"/>
      <c r="AR2" s="2"/>
      <c r="AS2" s="2"/>
      <c r="AT2" s="8"/>
      <c r="AU2" s="8">
        <v>24</v>
      </c>
      <c r="AV2" s="8">
        <v>16</v>
      </c>
      <c r="AW2" s="8">
        <v>3</v>
      </c>
      <c r="AX2" s="2" t="s">
        <v>116</v>
      </c>
      <c r="AY2" s="8">
        <v>10.7</v>
      </c>
      <c r="AZ2" s="8"/>
      <c r="BA2" s="7"/>
      <c r="BB2" s="8"/>
      <c r="BC2" s="2"/>
      <c r="BD2" s="2" t="s">
        <v>116</v>
      </c>
      <c r="BE2" s="2"/>
      <c r="BF2" s="2"/>
      <c r="BG2" s="7"/>
      <c r="BH2" s="8"/>
      <c r="BI2" s="2"/>
      <c r="BJ2" s="2" t="s">
        <v>116</v>
      </c>
      <c r="BK2" s="2"/>
      <c r="BL2" s="2"/>
      <c r="BM2" s="8"/>
      <c r="BN2" s="2"/>
      <c r="BO2" s="8">
        <v>5</v>
      </c>
      <c r="BP2" s="8"/>
      <c r="BQ2" s="8"/>
      <c r="BR2" s="2"/>
      <c r="BS2" s="2"/>
      <c r="BT2" s="8"/>
      <c r="BU2" s="2" t="s">
        <v>116</v>
      </c>
      <c r="BV2" s="8">
        <v>24</v>
      </c>
      <c r="BW2" s="2" t="s">
        <v>124</v>
      </c>
      <c r="BX2" s="2" t="s">
        <v>125</v>
      </c>
      <c r="BY2" s="2" t="s">
        <v>116</v>
      </c>
      <c r="BZ2" s="2" t="s">
        <v>116</v>
      </c>
      <c r="CA2" s="2" t="s">
        <v>116</v>
      </c>
      <c r="CB2" s="2"/>
      <c r="CC2" s="2"/>
      <c r="CD2" s="2"/>
      <c r="CE2" s="2" t="s">
        <v>126</v>
      </c>
      <c r="CF2" s="3">
        <v>46224.4595053588</v>
      </c>
      <c r="CG2" s="7"/>
      <c r="CH2" s="7" t="s">
        <v>116</v>
      </c>
      <c r="CI2" s="7" t="s">
        <v>116</v>
      </c>
      <c r="CJ2" s="2"/>
      <c r="CK2" s="2"/>
      <c r="CL2" s="2" t="s">
        <v>127</v>
      </c>
      <c r="CM2" s="2" t="s">
        <v>116</v>
      </c>
      <c r="CN2" s="2" t="s">
        <v>116</v>
      </c>
      <c r="CO2" s="2"/>
      <c r="CP2" s="2"/>
      <c r="CQ2" s="2"/>
      <c r="CR2" s="2" t="s">
        <v>116</v>
      </c>
      <c r="CS2" s="2" t="s">
        <v>116</v>
      </c>
      <c r="CT2" s="2"/>
      <c r="CU2" s="2"/>
      <c r="CV2" s="2"/>
    </row>
    <row r="3">
      <c r="A3" s="2">
        <v>19383893</v>
      </c>
      <c r="B3" s="2"/>
      <c r="C3" s="3">
        <v>46224.3600534722</v>
      </c>
      <c r="D3" s="3"/>
      <c r="E3" s="2">
        <v>7128</v>
      </c>
      <c r="F3" s="4" t="s">
        <v>100</v>
      </c>
      <c r="G3" s="2" t="s">
        <v>101</v>
      </c>
      <c r="H3" s="2" t="s">
        <v>102</v>
      </c>
      <c r="I3" s="2" t="s">
        <v>103</v>
      </c>
      <c r="J3" s="2" t="s">
        <v>104</v>
      </c>
      <c r="K3" s="2" t="s">
        <v>105</v>
      </c>
      <c r="L3" s="2">
        <v>703</v>
      </c>
      <c r="M3" s="2" t="s">
        <v>106</v>
      </c>
      <c r="N3" s="5">
        <v>46249</v>
      </c>
      <c r="O3" s="5">
        <v>46250</v>
      </c>
      <c r="P3" s="2">
        <v>1</v>
      </c>
      <c r="Q3" s="2" t="s">
        <v>107</v>
      </c>
      <c r="R3" s="2" t="s">
        <v>108</v>
      </c>
      <c r="S3" s="5">
        <v>30690</v>
      </c>
      <c r="T3" s="2" t="s">
        <v>109</v>
      </c>
      <c r="U3" s="2" t="s">
        <v>110</v>
      </c>
      <c r="V3" s="6" t="s">
        <v>111</v>
      </c>
      <c r="W3" s="2" t="s">
        <v>112</v>
      </c>
      <c r="X3" s="6" t="s">
        <v>113</v>
      </c>
      <c r="Y3" s="2" t="s">
        <v>114</v>
      </c>
      <c r="Z3" s="2" t="s">
        <v>115</v>
      </c>
      <c r="AA3" s="2" t="s">
        <v>115</v>
      </c>
      <c r="AB3" s="6" t="s">
        <v>116</v>
      </c>
      <c r="AC3" s="6"/>
      <c r="AD3" s="2" t="s">
        <v>117</v>
      </c>
      <c r="AE3" s="2" t="s">
        <v>118</v>
      </c>
      <c r="AF3" s="2"/>
      <c r="AG3" s="2" t="s">
        <v>119</v>
      </c>
      <c r="AH3" s="2" t="s">
        <v>120</v>
      </c>
      <c r="AI3" s="2" t="s">
        <v>121</v>
      </c>
      <c r="AJ3" s="2">
        <v>148740</v>
      </c>
      <c r="AK3" s="7" t="s">
        <v>122</v>
      </c>
      <c r="AL3" s="7" t="s">
        <v>116</v>
      </c>
      <c r="AM3" s="2" t="s">
        <v>123</v>
      </c>
      <c r="AN3" s="2"/>
      <c r="AO3" s="2"/>
      <c r="AP3" s="2"/>
      <c r="AQ3" s="2"/>
      <c r="AR3" s="2"/>
      <c r="AS3" s="2"/>
      <c r="AT3" s="8"/>
      <c r="AU3" s="8">
        <v>24</v>
      </c>
      <c r="AV3" s="8">
        <v>16</v>
      </c>
      <c r="AW3" s="8">
        <v>3</v>
      </c>
      <c r="AX3" s="2" t="s">
        <v>116</v>
      </c>
      <c r="AY3" s="8">
        <v>10.7</v>
      </c>
      <c r="AZ3" s="8"/>
      <c r="BA3" s="7"/>
      <c r="BB3" s="8"/>
      <c r="BC3" s="2"/>
      <c r="BD3" s="2" t="s">
        <v>116</v>
      </c>
      <c r="BE3" s="2"/>
      <c r="BF3" s="2"/>
      <c r="BG3" s="7"/>
      <c r="BH3" s="8"/>
      <c r="BI3" s="2"/>
      <c r="BJ3" s="2" t="s">
        <v>116</v>
      </c>
      <c r="BK3" s="2"/>
      <c r="BL3" s="2"/>
      <c r="BM3" s="8"/>
      <c r="BN3" s="2"/>
      <c r="BO3" s="8">
        <v>5</v>
      </c>
      <c r="BP3" s="8"/>
      <c r="BQ3" s="8"/>
      <c r="BR3" s="2"/>
      <c r="BS3" s="2"/>
      <c r="BT3" s="8"/>
      <c r="BU3" s="2" t="s">
        <v>116</v>
      </c>
      <c r="BV3" s="8">
        <v>24</v>
      </c>
      <c r="BW3" s="2" t="s">
        <v>124</v>
      </c>
      <c r="BX3" s="2" t="s">
        <v>125</v>
      </c>
      <c r="BY3" s="2" t="s">
        <v>116</v>
      </c>
      <c r="BZ3" s="2" t="s">
        <v>116</v>
      </c>
      <c r="CA3" s="2" t="s">
        <v>116</v>
      </c>
      <c r="CB3" s="2"/>
      <c r="CC3" s="2"/>
      <c r="CD3" s="2"/>
      <c r="CE3" s="2" t="s">
        <v>126</v>
      </c>
      <c r="CF3" s="3">
        <v>46224.4587930556</v>
      </c>
      <c r="CG3" s="7"/>
      <c r="CH3" s="7" t="s">
        <v>116</v>
      </c>
      <c r="CI3" s="7" t="s">
        <v>116</v>
      </c>
      <c r="CJ3" s="2"/>
      <c r="CK3" s="2"/>
      <c r="CL3" s="2" t="s">
        <v>127</v>
      </c>
      <c r="CM3" s="2" t="s">
        <v>116</v>
      </c>
      <c r="CN3" s="2" t="s">
        <v>116</v>
      </c>
      <c r="CO3" s="2"/>
      <c r="CP3" s="2"/>
      <c r="CQ3" s="2"/>
      <c r="CR3" s="2" t="s">
        <v>116</v>
      </c>
      <c r="CS3" s="2" t="s">
        <v>116</v>
      </c>
      <c r="CT3" s="2"/>
      <c r="CU3" s="2"/>
      <c r="CV3" s="2"/>
    </row>
    <row r="4">
      <c r="A4" s="2">
        <v>19386814</v>
      </c>
      <c r="B4" s="2"/>
      <c r="C4" s="3">
        <v>46224.4987702893</v>
      </c>
      <c r="D4" s="3"/>
      <c r="E4" s="2">
        <v>16627</v>
      </c>
      <c r="F4" s="4" t="s">
        <v>116</v>
      </c>
      <c r="G4" s="2" t="s">
        <v>128</v>
      </c>
      <c r="H4" s="2" t="s">
        <v>102</v>
      </c>
      <c r="I4" s="2" t="s">
        <v>129</v>
      </c>
      <c r="J4" s="2" t="s">
        <v>130</v>
      </c>
      <c r="K4" s="2" t="s">
        <v>105</v>
      </c>
      <c r="L4" s="2">
        <v>703</v>
      </c>
      <c r="M4" s="2" t="s">
        <v>106</v>
      </c>
      <c r="N4" s="5">
        <v>46230</v>
      </c>
      <c r="O4" s="5">
        <v>46232</v>
      </c>
      <c r="P4" s="2">
        <v>2</v>
      </c>
      <c r="Q4" s="2" t="s">
        <v>131</v>
      </c>
      <c r="R4" s="2" t="s">
        <v>132</v>
      </c>
      <c r="S4" s="5">
        <v>23410</v>
      </c>
      <c r="T4" s="2" t="s">
        <v>133</v>
      </c>
      <c r="U4" s="2" t="s">
        <v>134</v>
      </c>
      <c r="V4" s="6" t="s">
        <v>135</v>
      </c>
      <c r="W4" s="2" t="s">
        <v>136</v>
      </c>
      <c r="X4" s="6" t="s">
        <v>137</v>
      </c>
      <c r="Y4" s="2" t="s">
        <v>138</v>
      </c>
      <c r="Z4" s="2" t="s">
        <v>115</v>
      </c>
      <c r="AA4" s="2" t="s">
        <v>115</v>
      </c>
      <c r="AB4" s="6" t="s">
        <v>116</v>
      </c>
      <c r="AC4" s="6"/>
      <c r="AD4" s="2" t="s">
        <v>116</v>
      </c>
      <c r="AE4" s="2" t="s">
        <v>139</v>
      </c>
      <c r="AF4" s="2"/>
      <c r="AG4" s="2"/>
      <c r="AH4" s="2" t="s">
        <v>140</v>
      </c>
      <c r="AI4" s="2" t="s">
        <v>141</v>
      </c>
      <c r="AJ4" s="2">
        <v>136170</v>
      </c>
      <c r="AK4" s="7"/>
      <c r="AL4" s="7"/>
      <c r="AM4" s="2" t="s">
        <v>142</v>
      </c>
      <c r="AN4" s="2"/>
      <c r="AO4" s="2"/>
      <c r="AP4" s="2"/>
      <c r="AQ4" s="2"/>
      <c r="AR4" s="2"/>
      <c r="AS4" s="2"/>
      <c r="AT4" s="8"/>
      <c r="AU4" s="8">
        <v>124</v>
      </c>
      <c r="AV4" s="8">
        <v>124</v>
      </c>
      <c r="AW4" s="8">
        <v>0</v>
      </c>
      <c r="AX4" s="2" t="s">
        <v>116</v>
      </c>
      <c r="AY4" s="8">
        <v>124.44</v>
      </c>
      <c r="AZ4" s="8"/>
      <c r="BA4" s="7"/>
      <c r="BB4" s="8"/>
      <c r="BC4" s="2"/>
      <c r="BD4" s="2" t="s">
        <v>116</v>
      </c>
      <c r="BE4" s="2"/>
      <c r="BF4" s="2"/>
      <c r="BG4" s="7"/>
      <c r="BH4" s="8"/>
      <c r="BI4" s="2"/>
      <c r="BJ4" s="2" t="s">
        <v>116</v>
      </c>
      <c r="BK4" s="2"/>
      <c r="BL4" s="2"/>
      <c r="BM4" s="8"/>
      <c r="BN4" s="2"/>
      <c r="BO4" s="8">
        <v>0</v>
      </c>
      <c r="BP4" s="8"/>
      <c r="BQ4" s="8">
        <v>0.44</v>
      </c>
      <c r="BR4" s="2"/>
      <c r="BS4" s="2"/>
      <c r="BT4" s="8"/>
      <c r="BU4" s="2" t="s">
        <v>116</v>
      </c>
      <c r="BV4" s="8">
        <v>124.44</v>
      </c>
      <c r="BW4" s="2" t="s">
        <v>124</v>
      </c>
      <c r="BX4" s="2" t="s">
        <v>125</v>
      </c>
      <c r="BY4" s="2" t="s">
        <v>116</v>
      </c>
      <c r="BZ4" s="2" t="s">
        <v>116</v>
      </c>
      <c r="CA4" s="2" t="s">
        <v>116</v>
      </c>
      <c r="CB4" s="2"/>
      <c r="CC4" s="2"/>
      <c r="CD4" s="2"/>
      <c r="CE4" s="2" t="s">
        <v>126</v>
      </c>
      <c r="CF4" s="3">
        <v>46224.5059173611</v>
      </c>
      <c r="CG4" s="7" t="s">
        <v>143</v>
      </c>
      <c r="CH4" s="7" t="s">
        <v>116</v>
      </c>
      <c r="CI4" s="7" t="s">
        <v>116</v>
      </c>
      <c r="CJ4" s="2"/>
      <c r="CK4" s="2"/>
      <c r="CL4" s="2" t="s">
        <v>127</v>
      </c>
      <c r="CM4" s="2" t="s">
        <v>116</v>
      </c>
      <c r="CN4" s="2" t="s">
        <v>116</v>
      </c>
      <c r="CO4" s="2"/>
      <c r="CP4" s="2"/>
      <c r="CQ4" s="2"/>
      <c r="CR4" s="2" t="s">
        <v>116</v>
      </c>
      <c r="CS4" s="2" t="s">
        <v>116</v>
      </c>
      <c r="CT4" s="2"/>
      <c r="CU4" s="2"/>
      <c r="CV4" s="2"/>
    </row>
    <row r="5">
      <c r="A5" s="2">
        <v>19388345</v>
      </c>
      <c r="B5" s="2"/>
      <c r="C5" s="3">
        <v>46224.5681414352</v>
      </c>
      <c r="D5" s="3"/>
      <c r="E5" s="2">
        <v>12808</v>
      </c>
      <c r="F5" s="4" t="s">
        <v>116</v>
      </c>
      <c r="G5" s="2" t="s">
        <v>144</v>
      </c>
      <c r="H5" s="2" t="s">
        <v>102</v>
      </c>
      <c r="I5" s="2" t="s">
        <v>103</v>
      </c>
      <c r="J5" s="2" t="s">
        <v>145</v>
      </c>
      <c r="K5" s="2" t="s">
        <v>105</v>
      </c>
      <c r="L5" s="2">
        <v>703</v>
      </c>
      <c r="M5" s="2" t="s">
        <v>106</v>
      </c>
      <c r="N5" s="5">
        <v>46256</v>
      </c>
      <c r="O5" s="5">
        <v>46263</v>
      </c>
      <c r="P5" s="2">
        <v>7</v>
      </c>
      <c r="Q5" s="2" t="s">
        <v>146</v>
      </c>
      <c r="R5" s="2" t="s">
        <v>147</v>
      </c>
      <c r="S5" s="5">
        <v>31353</v>
      </c>
      <c r="T5" s="2" t="s">
        <v>148</v>
      </c>
      <c r="U5" s="2" t="s">
        <v>134</v>
      </c>
      <c r="V5" s="6" t="s">
        <v>149</v>
      </c>
      <c r="W5" s="2" t="s">
        <v>150</v>
      </c>
      <c r="X5" s="6" t="s">
        <v>151</v>
      </c>
      <c r="Y5" s="2" t="s">
        <v>152</v>
      </c>
      <c r="Z5" s="2" t="s">
        <v>153</v>
      </c>
      <c r="AA5" s="2" t="s">
        <v>153</v>
      </c>
      <c r="AB5" s="6" t="s">
        <v>116</v>
      </c>
      <c r="AC5" s="6"/>
      <c r="AD5" s="2" t="s">
        <v>154</v>
      </c>
      <c r="AE5" s="2" t="s">
        <v>155</v>
      </c>
      <c r="AF5" s="2"/>
      <c r="AG5" s="2"/>
      <c r="AH5" s="2" t="s">
        <v>140</v>
      </c>
      <c r="AI5" s="2" t="s">
        <v>156</v>
      </c>
      <c r="AJ5" s="2">
        <v>51079</v>
      </c>
      <c r="AK5" s="7"/>
      <c r="AL5" s="7"/>
      <c r="AM5" s="2" t="s">
        <v>157</v>
      </c>
      <c r="AN5" s="2"/>
      <c r="AO5" s="2"/>
      <c r="AP5" s="2"/>
      <c r="AQ5" s="2"/>
      <c r="AR5" s="2"/>
      <c r="AS5" s="2"/>
      <c r="AT5" s="8"/>
      <c r="AU5" s="8">
        <v>324</v>
      </c>
      <c r="AV5" s="8">
        <v>324</v>
      </c>
      <c r="AW5" s="8">
        <v>0</v>
      </c>
      <c r="AX5" s="2" t="s">
        <v>116</v>
      </c>
      <c r="AY5" s="8">
        <v>81</v>
      </c>
      <c r="AZ5" s="8"/>
      <c r="BA5" s="7"/>
      <c r="BB5" s="8"/>
      <c r="BC5" s="2"/>
      <c r="BD5" s="2" t="s">
        <v>116</v>
      </c>
      <c r="BE5" s="2"/>
      <c r="BF5" s="2"/>
      <c r="BG5" s="7"/>
      <c r="BH5" s="8"/>
      <c r="BI5" s="2"/>
      <c r="BJ5" s="2" t="s">
        <v>116</v>
      </c>
      <c r="BK5" s="2"/>
      <c r="BL5" s="2"/>
      <c r="BM5" s="8"/>
      <c r="BN5" s="2"/>
      <c r="BO5" s="8">
        <v>0</v>
      </c>
      <c r="BP5" s="8"/>
      <c r="BQ5" s="8">
        <v>9.24</v>
      </c>
      <c r="BR5" s="2"/>
      <c r="BS5" s="2"/>
      <c r="BT5" s="8"/>
      <c r="BU5" s="2" t="s">
        <v>116</v>
      </c>
      <c r="BV5" s="8">
        <v>333.24</v>
      </c>
      <c r="BW5" s="2" t="s">
        <v>124</v>
      </c>
      <c r="BX5" s="2" t="s">
        <v>125</v>
      </c>
      <c r="BY5" s="2" t="s">
        <v>116</v>
      </c>
      <c r="BZ5" s="2" t="s">
        <v>116</v>
      </c>
      <c r="CA5" s="2" t="s">
        <v>116</v>
      </c>
      <c r="CB5" s="2"/>
      <c r="CC5" s="2"/>
      <c r="CD5" s="2"/>
      <c r="CE5" s="2" t="s">
        <v>126</v>
      </c>
      <c r="CF5" s="3">
        <v>46224.7213903588</v>
      </c>
      <c r="CG5" s="7" t="s">
        <v>158</v>
      </c>
      <c r="CH5" s="7" t="s">
        <v>116</v>
      </c>
      <c r="CI5" s="7" t="s">
        <v>116</v>
      </c>
      <c r="CJ5" s="2"/>
      <c r="CK5" s="2"/>
      <c r="CL5" s="2" t="s">
        <v>127</v>
      </c>
      <c r="CM5" s="2" t="s">
        <v>116</v>
      </c>
      <c r="CN5" s="2" t="s">
        <v>116</v>
      </c>
      <c r="CO5" s="2"/>
      <c r="CP5" s="2"/>
      <c r="CQ5" s="2"/>
      <c r="CR5" s="2" t="s">
        <v>116</v>
      </c>
      <c r="CS5" s="2" t="s">
        <v>116</v>
      </c>
      <c r="CT5" s="2"/>
      <c r="CU5" s="2"/>
      <c r="CV5" s="2"/>
    </row>
    <row r="6">
      <c r="A6" s="2">
        <v>19390731</v>
      </c>
      <c r="B6" s="2"/>
      <c r="C6" s="3">
        <v>46224.6694443634</v>
      </c>
      <c r="D6" s="3"/>
      <c r="E6" s="2">
        <v>2852</v>
      </c>
      <c r="F6" s="4" t="s">
        <v>159</v>
      </c>
      <c r="G6" s="2" t="s">
        <v>160</v>
      </c>
      <c r="H6" s="2" t="s">
        <v>102</v>
      </c>
      <c r="I6" s="2" t="s">
        <v>103</v>
      </c>
      <c r="J6" s="2" t="s">
        <v>161</v>
      </c>
      <c r="K6" s="2" t="s">
        <v>105</v>
      </c>
      <c r="L6" s="2">
        <v>703</v>
      </c>
      <c r="M6" s="2" t="s">
        <v>106</v>
      </c>
      <c r="N6" s="5">
        <v>46249</v>
      </c>
      <c r="O6" s="5">
        <v>46260</v>
      </c>
      <c r="P6" s="2">
        <v>11</v>
      </c>
      <c r="Q6" s="2" t="s">
        <v>162</v>
      </c>
      <c r="R6" s="2" t="s">
        <v>163</v>
      </c>
      <c r="S6" s="5">
        <v>24094</v>
      </c>
      <c r="T6" s="2" t="s">
        <v>164</v>
      </c>
      <c r="U6" s="2" t="s">
        <v>134</v>
      </c>
      <c r="V6" s="6" t="s">
        <v>165</v>
      </c>
      <c r="W6" s="2" t="s">
        <v>166</v>
      </c>
      <c r="X6" s="6" t="s">
        <v>167</v>
      </c>
      <c r="Y6" s="2" t="s">
        <v>168</v>
      </c>
      <c r="Z6" s="2" t="s">
        <v>115</v>
      </c>
      <c r="AA6" s="2" t="s">
        <v>115</v>
      </c>
      <c r="AB6" s="6" t="s">
        <v>116</v>
      </c>
      <c r="AC6" s="6"/>
      <c r="AD6" s="2" t="s">
        <v>169</v>
      </c>
      <c r="AE6" s="2" t="s">
        <v>118</v>
      </c>
      <c r="AF6" s="2"/>
      <c r="AG6" s="2"/>
      <c r="AH6" s="2" t="s">
        <v>140</v>
      </c>
      <c r="AI6" s="2" t="s">
        <v>170</v>
      </c>
      <c r="AJ6" s="2">
        <v>42794</v>
      </c>
      <c r="AK6" s="7"/>
      <c r="AL6" s="7"/>
      <c r="AM6" s="2" t="s">
        <v>171</v>
      </c>
      <c r="AN6" s="2"/>
      <c r="AO6" s="2"/>
      <c r="AP6" s="2"/>
      <c r="AQ6" s="2"/>
      <c r="AR6" s="2"/>
      <c r="AS6" s="2"/>
      <c r="AT6" s="8"/>
      <c r="AU6" s="8">
        <v>1144.29</v>
      </c>
      <c r="AV6" s="8">
        <v>1129.29</v>
      </c>
      <c r="AW6" s="8">
        <v>0</v>
      </c>
      <c r="AX6" s="2" t="s">
        <v>116</v>
      </c>
      <c r="AY6" s="8">
        <v>1163.21</v>
      </c>
      <c r="AZ6" s="8"/>
      <c r="BA6" s="7"/>
      <c r="BB6" s="8"/>
      <c r="BC6" s="2"/>
      <c r="BD6" s="2" t="s">
        <v>116</v>
      </c>
      <c r="BE6" s="2"/>
      <c r="BF6" s="2"/>
      <c r="BG6" s="7"/>
      <c r="BH6" s="8"/>
      <c r="BI6" s="2"/>
      <c r="BJ6" s="2" t="s">
        <v>116</v>
      </c>
      <c r="BK6" s="2"/>
      <c r="BL6" s="2"/>
      <c r="BM6" s="8"/>
      <c r="BN6" s="2"/>
      <c r="BO6" s="8">
        <v>15</v>
      </c>
      <c r="BP6" s="8"/>
      <c r="BQ6" s="8">
        <v>18.92</v>
      </c>
      <c r="BR6" s="2"/>
      <c r="BS6" s="2"/>
      <c r="BT6" s="8"/>
      <c r="BU6" s="2" t="s">
        <v>116</v>
      </c>
      <c r="BV6" s="8">
        <v>1163.21</v>
      </c>
      <c r="BW6" s="2" t="s">
        <v>124</v>
      </c>
      <c r="BX6" s="2" t="s">
        <v>125</v>
      </c>
      <c r="BY6" s="2" t="s">
        <v>116</v>
      </c>
      <c r="BZ6" s="2" t="s">
        <v>116</v>
      </c>
      <c r="CA6" s="2" t="s">
        <v>116</v>
      </c>
      <c r="CB6" s="2"/>
      <c r="CC6" s="2"/>
      <c r="CD6" s="2"/>
      <c r="CE6" s="2" t="s">
        <v>126</v>
      </c>
      <c r="CF6" s="3">
        <v>46224.6987255787</v>
      </c>
      <c r="CG6" s="7"/>
      <c r="CH6" s="7" t="s">
        <v>116</v>
      </c>
      <c r="CI6" s="7" t="s">
        <v>116</v>
      </c>
      <c r="CJ6" s="2"/>
      <c r="CK6" s="2"/>
      <c r="CL6" s="2" t="s">
        <v>127</v>
      </c>
      <c r="CM6" s="2" t="s">
        <v>116</v>
      </c>
      <c r="CN6" s="2" t="s">
        <v>116</v>
      </c>
      <c r="CO6" s="2"/>
      <c r="CP6" s="2"/>
      <c r="CQ6" s="2"/>
      <c r="CR6" s="2" t="s">
        <v>116</v>
      </c>
      <c r="CS6" s="2" t="s">
        <v>116</v>
      </c>
      <c r="CT6" s="2"/>
      <c r="CU6" s="2"/>
      <c r="CV6" s="2"/>
    </row>
    <row r="7">
      <c r="A7" s="2">
        <v>19391927</v>
      </c>
      <c r="B7" s="2"/>
      <c r="C7" s="3">
        <v>46224.7266690972</v>
      </c>
      <c r="D7" s="3"/>
      <c r="E7" s="2">
        <v>16605</v>
      </c>
      <c r="F7" s="4" t="s">
        <v>116</v>
      </c>
      <c r="G7" s="2" t="s">
        <v>172</v>
      </c>
      <c r="H7" s="2" t="s">
        <v>102</v>
      </c>
      <c r="I7" s="2" t="s">
        <v>173</v>
      </c>
      <c r="J7" s="2" t="s">
        <v>174</v>
      </c>
      <c r="K7" s="2" t="s">
        <v>105</v>
      </c>
      <c r="L7" s="2">
        <v>703</v>
      </c>
      <c r="M7" s="2" t="s">
        <v>106</v>
      </c>
      <c r="N7" s="5">
        <v>46227</v>
      </c>
      <c r="O7" s="5">
        <v>46231</v>
      </c>
      <c r="P7" s="2">
        <v>4</v>
      </c>
      <c r="Q7" s="2" t="s">
        <v>175</v>
      </c>
      <c r="R7" s="2" t="s">
        <v>176</v>
      </c>
      <c r="S7" s="5">
        <v>31985</v>
      </c>
      <c r="T7" s="2" t="s">
        <v>177</v>
      </c>
      <c r="U7" s="2" t="s">
        <v>110</v>
      </c>
      <c r="V7" s="6" t="s">
        <v>178</v>
      </c>
      <c r="W7" s="2" t="s">
        <v>179</v>
      </c>
      <c r="X7" s="6" t="s">
        <v>180</v>
      </c>
      <c r="Y7" s="2" t="s">
        <v>181</v>
      </c>
      <c r="Z7" s="2" t="s">
        <v>182</v>
      </c>
      <c r="AA7" s="2" t="s">
        <v>182</v>
      </c>
      <c r="AB7" s="6" t="s">
        <v>116</v>
      </c>
      <c r="AC7" s="6"/>
      <c r="AD7" s="2" t="s">
        <v>183</v>
      </c>
      <c r="AE7" s="2" t="s">
        <v>155</v>
      </c>
      <c r="AF7" s="2"/>
      <c r="AG7" s="2" t="s">
        <v>184</v>
      </c>
      <c r="AH7" s="2" t="s">
        <v>120</v>
      </c>
      <c r="AI7" s="2" t="s">
        <v>185</v>
      </c>
      <c r="AJ7" s="2">
        <v>105685</v>
      </c>
      <c r="AK7" s="7" t="s">
        <v>186</v>
      </c>
      <c r="AL7" s="7" t="s">
        <v>187</v>
      </c>
      <c r="AM7" s="2" t="s">
        <v>188</v>
      </c>
      <c r="AN7" s="2"/>
      <c r="AO7" s="2"/>
      <c r="AP7" s="2"/>
      <c r="AQ7" s="2"/>
      <c r="AR7" s="2"/>
      <c r="AS7" s="2"/>
      <c r="AT7" s="8"/>
      <c r="AU7" s="8">
        <v>188</v>
      </c>
      <c r="AV7" s="8">
        <v>104.8</v>
      </c>
      <c r="AW7" s="8">
        <v>73.2</v>
      </c>
      <c r="AX7" s="2" t="s">
        <v>116</v>
      </c>
      <c r="AY7" s="8">
        <v>194.23</v>
      </c>
      <c r="AZ7" s="8"/>
      <c r="BA7" s="7"/>
      <c r="BB7" s="8"/>
      <c r="BC7" s="2"/>
      <c r="BD7" s="2" t="s">
        <v>116</v>
      </c>
      <c r="BE7" s="2"/>
      <c r="BF7" s="2"/>
      <c r="BG7" s="7"/>
      <c r="BH7" s="8"/>
      <c r="BI7" s="2"/>
      <c r="BJ7" s="2" t="s">
        <v>116</v>
      </c>
      <c r="BK7" s="2"/>
      <c r="BL7" s="2"/>
      <c r="BM7" s="8"/>
      <c r="BN7" s="2"/>
      <c r="BO7" s="8">
        <v>10</v>
      </c>
      <c r="BP7" s="8"/>
      <c r="BQ7" s="8"/>
      <c r="BR7" s="2"/>
      <c r="BS7" s="2"/>
      <c r="BT7" s="8">
        <v>6.23</v>
      </c>
      <c r="BU7" s="2" t="s">
        <v>189</v>
      </c>
      <c r="BV7" s="8">
        <v>194.23</v>
      </c>
      <c r="BW7" s="2" t="s">
        <v>124</v>
      </c>
      <c r="BX7" s="2" t="s">
        <v>125</v>
      </c>
      <c r="BY7" s="2" t="s">
        <v>116</v>
      </c>
      <c r="BZ7" s="2" t="s">
        <v>116</v>
      </c>
      <c r="CA7" s="2" t="s">
        <v>116</v>
      </c>
      <c r="CB7" s="2"/>
      <c r="CC7" s="2"/>
      <c r="CD7" s="2"/>
      <c r="CE7" s="2" t="s">
        <v>126</v>
      </c>
      <c r="CF7" s="3">
        <v>46224.7712181713</v>
      </c>
      <c r="CG7" s="7"/>
      <c r="CH7" s="7" t="s">
        <v>116</v>
      </c>
      <c r="CI7" s="7" t="s">
        <v>116</v>
      </c>
      <c r="CJ7" s="2"/>
      <c r="CK7" s="2"/>
      <c r="CL7" s="2" t="s">
        <v>127</v>
      </c>
      <c r="CM7" s="2" t="s">
        <v>116</v>
      </c>
      <c r="CN7" s="2" t="s">
        <v>116</v>
      </c>
      <c r="CO7" s="2"/>
      <c r="CP7" s="2"/>
      <c r="CQ7" s="2"/>
      <c r="CR7" s="2" t="s">
        <v>116</v>
      </c>
      <c r="CS7" s="2" t="s">
        <v>116</v>
      </c>
      <c r="CT7" s="2"/>
      <c r="CU7" s="2"/>
      <c r="CV7" s="2"/>
    </row>
    <row r="8">
      <c r="A8" s="2">
        <v>19392650</v>
      </c>
      <c r="B8" s="2"/>
      <c r="C8" s="3">
        <v>46224.756947338</v>
      </c>
      <c r="D8" s="3"/>
      <c r="E8" s="2">
        <v>4606</v>
      </c>
      <c r="F8" s="4" t="s">
        <v>190</v>
      </c>
      <c r="G8" s="2" t="s">
        <v>191</v>
      </c>
      <c r="H8" s="2" t="s">
        <v>102</v>
      </c>
      <c r="I8" s="2" t="s">
        <v>129</v>
      </c>
      <c r="J8" s="2" t="s">
        <v>192</v>
      </c>
      <c r="K8" s="2" t="s">
        <v>105</v>
      </c>
      <c r="L8" s="2">
        <v>703</v>
      </c>
      <c r="M8" s="2" t="s">
        <v>106</v>
      </c>
      <c r="N8" s="5">
        <v>46250</v>
      </c>
      <c r="O8" s="5">
        <v>46251</v>
      </c>
      <c r="P8" s="2">
        <v>1</v>
      </c>
      <c r="Q8" s="2" t="s">
        <v>193</v>
      </c>
      <c r="R8" s="2" t="s">
        <v>194</v>
      </c>
      <c r="S8" s="5">
        <v>27544</v>
      </c>
      <c r="T8" s="2" t="s">
        <v>195</v>
      </c>
      <c r="U8" s="2" t="s">
        <v>110</v>
      </c>
      <c r="V8" s="6" t="s">
        <v>196</v>
      </c>
      <c r="W8" s="2" t="s">
        <v>197</v>
      </c>
      <c r="X8" s="6" t="s">
        <v>198</v>
      </c>
      <c r="Y8" s="2" t="s">
        <v>199</v>
      </c>
      <c r="Z8" s="2" t="s">
        <v>115</v>
      </c>
      <c r="AA8" s="2" t="s">
        <v>115</v>
      </c>
      <c r="AB8" s="6" t="s">
        <v>116</v>
      </c>
      <c r="AC8" s="6"/>
      <c r="AD8" s="2" t="s">
        <v>200</v>
      </c>
      <c r="AE8" s="2" t="s">
        <v>118</v>
      </c>
      <c r="AF8" s="2"/>
      <c r="AG8" s="2"/>
      <c r="AH8" s="2" t="s">
        <v>140</v>
      </c>
      <c r="AI8" s="2" t="s">
        <v>201</v>
      </c>
      <c r="AJ8" s="2">
        <v>99448</v>
      </c>
      <c r="AK8" s="7" t="s">
        <v>202</v>
      </c>
      <c r="AL8" s="7" t="s">
        <v>116</v>
      </c>
      <c r="AM8" s="2" t="s">
        <v>203</v>
      </c>
      <c r="AN8" s="2"/>
      <c r="AO8" s="2"/>
      <c r="AP8" s="2"/>
      <c r="AQ8" s="2"/>
      <c r="AR8" s="2"/>
      <c r="AS8" s="2"/>
      <c r="AT8" s="8"/>
      <c r="AU8" s="8">
        <v>84.8</v>
      </c>
      <c r="AV8" s="8">
        <v>65</v>
      </c>
      <c r="AW8" s="8">
        <v>19.8</v>
      </c>
      <c r="AX8" s="2" t="s">
        <v>116</v>
      </c>
      <c r="AY8" s="8">
        <v>86.52</v>
      </c>
      <c r="AZ8" s="8"/>
      <c r="BA8" s="7"/>
      <c r="BB8" s="8"/>
      <c r="BC8" s="2"/>
      <c r="BD8" s="2" t="s">
        <v>116</v>
      </c>
      <c r="BE8" s="2"/>
      <c r="BF8" s="2"/>
      <c r="BG8" s="7"/>
      <c r="BH8" s="8"/>
      <c r="BI8" s="2"/>
      <c r="BJ8" s="2" t="s">
        <v>116</v>
      </c>
      <c r="BK8" s="2"/>
      <c r="BL8" s="2"/>
      <c r="BM8" s="8"/>
      <c r="BN8" s="2"/>
      <c r="BO8" s="8">
        <v>0</v>
      </c>
      <c r="BP8" s="8"/>
      <c r="BQ8" s="8">
        <v>1.72</v>
      </c>
      <c r="BR8" s="2"/>
      <c r="BS8" s="2"/>
      <c r="BT8" s="8"/>
      <c r="BU8" s="2" t="s">
        <v>116</v>
      </c>
      <c r="BV8" s="8">
        <v>86.52</v>
      </c>
      <c r="BW8" s="2" t="s">
        <v>124</v>
      </c>
      <c r="BX8" s="2" t="s">
        <v>125</v>
      </c>
      <c r="BY8" s="2" t="s">
        <v>116</v>
      </c>
      <c r="BZ8" s="2" t="s">
        <v>116</v>
      </c>
      <c r="CA8" s="2" t="s">
        <v>116</v>
      </c>
      <c r="CB8" s="2"/>
      <c r="CC8" s="2"/>
      <c r="CD8" s="2"/>
      <c r="CE8" s="2" t="s">
        <v>126</v>
      </c>
      <c r="CF8" s="3">
        <v>46224.7782402778</v>
      </c>
      <c r="CG8" s="7"/>
      <c r="CH8" s="7" t="s">
        <v>116</v>
      </c>
      <c r="CI8" s="7" t="s">
        <v>116</v>
      </c>
      <c r="CJ8" s="2"/>
      <c r="CK8" s="2"/>
      <c r="CL8" s="2" t="s">
        <v>127</v>
      </c>
      <c r="CM8" s="2" t="s">
        <v>116</v>
      </c>
      <c r="CN8" s="2" t="s">
        <v>116</v>
      </c>
      <c r="CO8" s="2"/>
      <c r="CP8" s="2"/>
      <c r="CQ8" s="2"/>
      <c r="CR8" s="2" t="s">
        <v>116</v>
      </c>
      <c r="CS8" s="2" t="s">
        <v>116</v>
      </c>
      <c r="CT8" s="2"/>
      <c r="CU8" s="2"/>
      <c r="CV8" s="2"/>
    </row>
    <row r="9">
      <c r="A9" s="9">
        <v>19397575</v>
      </c>
      <c r="B9" s="9"/>
      <c r="C9" s="10">
        <v>46224.934019294</v>
      </c>
      <c r="D9" s="10"/>
      <c r="E9" s="9">
        <v>2416</v>
      </c>
      <c r="F9" s="11" t="s">
        <v>204</v>
      </c>
      <c r="G9" s="9" t="s">
        <v>205</v>
      </c>
      <c r="H9" s="9" t="s">
        <v>102</v>
      </c>
      <c r="I9" s="9" t="s">
        <v>206</v>
      </c>
      <c r="J9" s="9" t="s">
        <v>207</v>
      </c>
      <c r="K9" s="9" t="s">
        <v>105</v>
      </c>
      <c r="L9" s="9">
        <v>703</v>
      </c>
      <c r="M9" s="9" t="s">
        <v>106</v>
      </c>
      <c r="N9" s="12">
        <v>46230</v>
      </c>
      <c r="O9" s="12">
        <v>46241</v>
      </c>
      <c r="P9" s="9">
        <v>11</v>
      </c>
      <c r="Q9" s="9" t="s">
        <v>208</v>
      </c>
      <c r="R9" s="9" t="s">
        <v>209</v>
      </c>
      <c r="S9" s="12">
        <v>30341</v>
      </c>
      <c r="T9" s="9" t="s">
        <v>210</v>
      </c>
      <c r="U9" s="9" t="s">
        <v>134</v>
      </c>
      <c r="V9" s="13" t="s">
        <v>211</v>
      </c>
      <c r="W9" s="9" t="s">
        <v>212</v>
      </c>
      <c r="X9" s="13" t="s">
        <v>213</v>
      </c>
      <c r="Y9" s="9" t="s">
        <v>214</v>
      </c>
      <c r="Z9" s="9" t="s">
        <v>215</v>
      </c>
      <c r="AA9" s="9" t="s">
        <v>215</v>
      </c>
      <c r="AB9" s="13" t="s">
        <v>116</v>
      </c>
      <c r="AC9" s="13"/>
      <c r="AD9" s="9" t="s">
        <v>216</v>
      </c>
      <c r="AE9" s="9" t="s">
        <v>217</v>
      </c>
      <c r="AF9" s="9"/>
      <c r="AG9" s="9"/>
      <c r="AH9" s="9" t="s">
        <v>140</v>
      </c>
      <c r="AI9" s="9" t="s">
        <v>218</v>
      </c>
      <c r="AJ9" s="9">
        <v>97060</v>
      </c>
      <c r="AK9" s="14" t="s">
        <v>219</v>
      </c>
      <c r="AL9" s="14" t="s">
        <v>116</v>
      </c>
      <c r="AM9" s="9" t="s">
        <v>142</v>
      </c>
      <c r="AN9" s="9"/>
      <c r="AO9" s="9"/>
      <c r="AP9" s="9"/>
      <c r="AQ9" s="9"/>
      <c r="AR9" s="9"/>
      <c r="AS9" s="9"/>
      <c r="AT9" s="15"/>
      <c r="AU9" s="15">
        <v>2681</v>
      </c>
      <c r="AV9" s="15">
        <v>2640</v>
      </c>
      <c r="AW9" s="15">
        <v>16</v>
      </c>
      <c r="AX9" s="9" t="s">
        <v>116</v>
      </c>
      <c r="AY9" s="15">
        <v>2694.42</v>
      </c>
      <c r="AZ9" s="15"/>
      <c r="BA9" s="14"/>
      <c r="BB9" s="15"/>
      <c r="BC9" s="9"/>
      <c r="BD9" s="9" t="s">
        <v>116</v>
      </c>
      <c r="BE9" s="9"/>
      <c r="BF9" s="9"/>
      <c r="BG9" s="14"/>
      <c r="BH9" s="15"/>
      <c r="BI9" s="9"/>
      <c r="BJ9" s="9" t="s">
        <v>116</v>
      </c>
      <c r="BK9" s="9"/>
      <c r="BL9" s="9"/>
      <c r="BM9" s="15"/>
      <c r="BN9" s="9"/>
      <c r="BO9" s="15">
        <v>25</v>
      </c>
      <c r="BP9" s="15"/>
      <c r="BQ9" s="15">
        <v>13.42</v>
      </c>
      <c r="BR9" s="9"/>
      <c r="BS9" s="9"/>
      <c r="BT9" s="15"/>
      <c r="BU9" s="9" t="s">
        <v>116</v>
      </c>
      <c r="BV9" s="15">
        <v>2694.42</v>
      </c>
      <c r="BW9" s="9" t="s">
        <v>124</v>
      </c>
      <c r="BX9" s="9" t="s">
        <v>220</v>
      </c>
      <c r="BY9" s="9" t="s">
        <v>116</v>
      </c>
      <c r="BZ9" s="9" t="s">
        <v>116</v>
      </c>
      <c r="CA9" s="9" t="s">
        <v>116</v>
      </c>
      <c r="CB9" s="9"/>
      <c r="CC9" s="9"/>
      <c r="CD9" s="9"/>
      <c r="CE9" s="9" t="s">
        <v>126</v>
      </c>
      <c r="CF9" s="10">
        <v>46224.9340193287</v>
      </c>
      <c r="CG9" s="14"/>
      <c r="CH9" s="14" t="s">
        <v>116</v>
      </c>
      <c r="CI9" s="14" t="s">
        <v>116</v>
      </c>
      <c r="CJ9" s="9"/>
      <c r="CK9" s="9"/>
      <c r="CL9" s="9" t="s">
        <v>139</v>
      </c>
      <c r="CM9" s="9" t="s">
        <v>116</v>
      </c>
      <c r="CN9" s="9" t="s">
        <v>116</v>
      </c>
      <c r="CO9" s="9"/>
      <c r="CP9" s="9"/>
      <c r="CQ9" s="9"/>
      <c r="CR9" s="9" t="s">
        <v>116</v>
      </c>
      <c r="CS9" s="9" t="s">
        <v>116</v>
      </c>
      <c r="CT9" s="9"/>
      <c r="CU9" s="9"/>
      <c r="CV9" s="9"/>
    </row>
  </sheetData>
  <conditionalFormatting sqref="A2:CV9">
    <cfRule priority="1" type="expression" dxfId="0">
      <formula>MOD(ROW()-1,2)=1</formula>
    </cfRule>
  </conditionalFormatting>
  <headerFooter/>
</worksheet>
</file>

<file path=xl/worksheets/sheet2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D4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15" customWidth="1"/>
    <col min="2" max="2" width="15" customWidth="1"/>
    <col min="3" max="3" width="15" customWidth="1"/>
    <col min="4" max="4" width="15" customWidth="1"/>
  </cols>
  <sheetData>
    <row r="1">
      <c r="A1" s="16" t="s">
        <v>105</v>
      </c>
      <c r="B1" s="16" t="s">
        <v>105</v>
      </c>
      <c r="C1" s="21" t="s">
        <v>221</v>
      </c>
      <c r="D1" s="21" t="s">
        <v>221</v>
      </c>
    </row>
    <row r="2">
      <c r="A2" s="17" t="s">
        <v>106</v>
      </c>
      <c r="B2" s="17" t="s">
        <v>106</v>
      </c>
      <c r="C2" s="21" t="s">
        <v>221</v>
      </c>
      <c r="D2" s="21" t="s">
        <v>221</v>
      </c>
    </row>
    <row r="3">
      <c r="A3" s="18" t="s">
        <v>222</v>
      </c>
      <c r="B3" s="18" t="s">
        <v>223</v>
      </c>
      <c r="C3" s="18" t="s">
        <v>222</v>
      </c>
      <c r="D3" s="18" t="s">
        <v>223</v>
      </c>
    </row>
    <row r="4">
      <c r="A4" s="19">
        <v>8</v>
      </c>
      <c r="B4" s="20">
        <v>4594.09</v>
      </c>
      <c r="C4" s="19">
        <f> A4</f>
      </c>
      <c r="D4" s="22">
        <f> B4</f>
      </c>
    </row>
  </sheetData>
  <mergeCells>
    <mergeCell ref="A1:B1"/>
    <mergeCell ref="A2:B2"/>
    <mergeCell ref="C1:D2"/>
  </mergeCells>
  <headerFooter/>
</worksheet>
</file>

<file path=xl/worksheets/sheet3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G8"/>
  <sheetViews>
    <sheetView workbookViewId="0">
      <pane ySplit="2" topLeftCell="A3" state="frozen" activePane="bottomLeft"/>
      <selection pane="bottomLeft" activeCell="A1" sqref="A1"/>
    </sheetView>
  </sheetViews>
  <sheetFormatPr defaultRowHeight="15"/>
  <cols>
    <col min="1" max="1" width="35" customWidth="1"/>
    <col min="2" max="2" width="35" customWidth="1"/>
    <col min="3" max="3" width="35" customWidth="1"/>
    <col min="4" max="4" width="35" customWidth="1"/>
    <col min="5" max="5" width="35" customWidth="1"/>
    <col min="6" max="6" width="35" customWidth="1"/>
    <col min="7" max="7" width="35" customWidth="1"/>
  </cols>
  <sheetData>
    <row r="1">
      <c r="A1" s="1" t="s">
        <v>224</v>
      </c>
      <c r="B1" s="1" t="s">
        <v>225</v>
      </c>
      <c r="C1" s="1" t="s">
        <v>226</v>
      </c>
      <c r="D1" s="1" t="s">
        <v>227</v>
      </c>
      <c r="E1" s="1" t="s">
        <v>228</v>
      </c>
      <c r="F1" s="1" t="s">
        <v>228</v>
      </c>
      <c r="G1" s="1" t="s">
        <v>228</v>
      </c>
    </row>
    <row r="2">
      <c r="A2" s="23" t="s">
        <v>224</v>
      </c>
      <c r="B2" s="23" t="s">
        <v>229</v>
      </c>
      <c r="C2" s="23" t="s">
        <v>230</v>
      </c>
      <c r="D2" s="23" t="s">
        <v>231</v>
      </c>
      <c r="E2" s="23" t="s">
        <v>232</v>
      </c>
      <c r="F2" s="23" t="s">
        <v>233</v>
      </c>
      <c r="G2" s="23" t="s">
        <v>234</v>
      </c>
    </row>
    <row r="3">
      <c r="A3" s="24" t="s">
        <v>235</v>
      </c>
      <c r="B3" s="24" t="s">
        <v>236</v>
      </c>
      <c r="C3" s="24" t="s">
        <v>237</v>
      </c>
      <c r="D3" s="24" t="s">
        <v>238</v>
      </c>
      <c r="E3" s="24" t="s">
        <v>239</v>
      </c>
      <c r="F3" s="24" t="s">
        <v>115</v>
      </c>
      <c r="G3" s="24" t="s">
        <v>240</v>
      </c>
    </row>
    <row r="4">
      <c r="D4" s="24" t="s">
        <v>241</v>
      </c>
      <c r="E4" s="24" t="s">
        <v>242</v>
      </c>
    </row>
    <row r="5">
      <c r="D5" s="24" t="s">
        <v>243</v>
      </c>
    </row>
    <row r="6">
      <c r="D6" s="24" t="s">
        <v>244</v>
      </c>
    </row>
    <row r="7">
      <c r="D7" s="24" t="s">
        <v>245</v>
      </c>
    </row>
    <row r="8">
      <c r="D8" s="24" t="s">
        <v>246</v>
      </c>
    </row>
  </sheetData>
  <mergeCells>
    <mergeCell ref="A1"/>
    <mergeCell ref="B1"/>
    <mergeCell ref="C1"/>
    <mergeCell ref="D1"/>
    <mergeCell ref="E1:G1"/>
  </mergeCells>
  <headerFooter/>
</worksheet>
</file>