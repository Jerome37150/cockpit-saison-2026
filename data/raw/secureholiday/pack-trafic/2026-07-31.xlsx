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01 Août 2026" sheetId="3" r:id="rId4"/>
  </sheets>
  <calcPr fullCalcOnLoad="1"/>
</workbook>
</file>

<file path=xl/sharedStrings.xml><?xml version="1.0" encoding="utf-8"?>
<sst xmlns="http://schemas.openxmlformats.org/spreadsheetml/2006/main" count="254" uniqueCount="254">
  <si>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</si>
  <si>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</si>
  <si>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</si>
  <si>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</si>
  <si>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</si>
  <si>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</si>
  <si>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</si>
  <si>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</si>
  <si>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</si>
  <si>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</si>
  <si>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</si>
  <si>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</si>
  <si>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</si>
  <si>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</si>
  <si>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</si>
  <si>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</si>
  <si>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</si>
  <si>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</si>
  <si>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</si>
  <si>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</si>
  <si>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</si>
  <si>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</si>
  <si>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</si>
  <si>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</si>
  <si>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</si>
  <si>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</si>
  <si>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</si>
  <si>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</si>
  <si>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</si>
  <si>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</si>
  <si>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</si>
  <si>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</si>
  <si>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</si>
  <si>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</si>
  <si>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</si>
  <si>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</si>
  <si>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</si>
  <si>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</si>
  <si>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</si>
  <si>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</si>
  <si>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</si>
  <si>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</si>
  <si>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</si>
  <si>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</si>
  <si>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</si>
  <si>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</si>
  <si>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</si>
  <si>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</si>
  <si>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</si>
  <si>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</si>
  <si>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</si>
  <si>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</si>
  <si>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</si>
  <si>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</si>
  <si>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</si>
  <si>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</si>
  <si>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</si>
  <si>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</si>
  <si>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</si>
  <si>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</si>
  <si>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</si>
  <si>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</si>
  <si>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</si>
  <si>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</si>
  <si>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</si>
  <si>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</si>
  <si>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</si>
  <si>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</si>
  <si>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</si>
  <si>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</si>
  <si>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</si>
  <si>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</si>
  <si>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</si>
  <si>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</si>
  <si>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</si>
  <si>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</si>
  <si>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</si>
  <si>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</si>
  <si>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</si>
  <si>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</si>
  <si>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</si>
  <si>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</si>
  <si>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</si>
  <si>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</si>
  <si>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</si>
  <si>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</si>
  <si>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</si>
  <si>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</si>
  <si>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</si>
  <si>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</si>
  <si>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</si>
  <si>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</si>
  <si>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</si>
  <si>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</si>
  <si>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</si>
  <si>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</si>
  <si>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</si>
  <si>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</si>
  <si>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</si>
  <si>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</si>
  <si>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47819</t>
  </si>
  <si>
    <t>Camping de la Forêt</t>
  </si>
  <si>
    <t>France</t>
  </si>
  <si>
    <t>Normandie</t>
  </si>
  <si>
    <t>Seine-Maritime</t>
  </si>
  <si>
    <t>Pack E-Trafic</t>
  </si>
  <si>
    <t>Pack E-Trafic Campingdirect</t>
  </si>
  <si>
    <t>Colombera</t>
  </si>
  <si>
    <t>Gianluca</t>
  </si>
  <si>
    <t>gianluca.colombera@gmail.com</t>
  </si>
  <si>
    <t>non</t>
  </si>
  <si>
    <t>3476401344</t>
  </si>
  <si>
    <t>22 Viale Vittorio Veneto</t>
  </si>
  <si>
    <t>31100</t>
  </si>
  <si>
    <t>Treviso</t>
  </si>
  <si>
    <t>IT</t>
  </si>
  <si>
    <t/>
  </si>
  <si>
    <t>Selene Nuccilli 26/08/1974 | Leonardo Colombera 04/09/2010 | Giovanni Colombera 19/01/2018</t>
  </si>
  <si>
    <t>4</t>
  </si>
  <si>
    <t>Tente : 3x5m</t>
  </si>
  <si>
    <t>Emplacement</t>
  </si>
  <si>
    <t>Forfait emplacement 2/6 pers.</t>
  </si>
  <si>
    <t xml:space="preserve">442 | Adulto | 1 | 36_x000D_
700 | Bambino da 3 a 9 anni | 1 | 28</t>
  </si>
  <si>
    <t>TARIFICATION A LA NUITÉE</t>
  </si>
  <si>
    <t>€</t>
  </si>
  <si>
    <t>Visa</t>
  </si>
  <si>
    <t>YES</t>
  </si>
  <si>
    <t>0</t>
  </si>
  <si>
    <t>202568</t>
  </si>
  <si>
    <t>Recreatiepark en Jachthaven De Scherpenhof</t>
  </si>
  <si>
    <t>Pays-Bas</t>
  </si>
  <si>
    <t>Gueldre</t>
  </si>
  <si>
    <t>van ravesteijn</t>
  </si>
  <si>
    <t>marcel</t>
  </si>
  <si>
    <t>mvr191@gmail.com</t>
  </si>
  <si>
    <t>oui</t>
  </si>
  <si>
    <t>0617420548</t>
  </si>
  <si>
    <t>westhavenkade 20</t>
  </si>
  <si>
    <t>3131 ac</t>
  </si>
  <si>
    <t>vlaardingen</t>
  </si>
  <si>
    <t>NL</t>
  </si>
  <si>
    <t>lydia van der does 20/02/2026</t>
  </si>
  <si>
    <t>2</t>
  </si>
  <si>
    <t>Caravane : 1,5x3m</t>
  </si>
  <si>
    <t>Standplaats Camping 2 : auto + tent / caravan of camper + elektriciteit + water 1/6 pers.</t>
  </si>
  <si>
    <t>PMS prijs</t>
  </si>
  <si>
    <t>NationalBankTransfert</t>
  </si>
  <si>
    <t>1</t>
  </si>
  <si>
    <t>Camping Verbela village</t>
  </si>
  <si>
    <t>Provence-Alpes-Côte d'Azur</t>
  </si>
  <si>
    <t>Bouches-du-Rhône</t>
  </si>
  <si>
    <t>BELJIC</t>
  </si>
  <si>
    <t>DRAGAN</t>
  </si>
  <si>
    <t>dragproduction@gmail.com</t>
  </si>
  <si>
    <t>0698267700</t>
  </si>
  <si>
    <t>162 avenue d'epernay</t>
  </si>
  <si>
    <t>51100</t>
  </si>
  <si>
    <t>REIMS</t>
  </si>
  <si>
    <t>FR</t>
  </si>
  <si>
    <t>Luka BELJIC 02/10/2020 | Mila BELJIC 17/07/2023</t>
  </si>
  <si>
    <t>3</t>
  </si>
  <si>
    <t>Location</t>
  </si>
  <si>
    <t>Chalet Lodge 27m2 avec salle de bain - 2 chambres 4 pers.</t>
  </si>
  <si>
    <t>-15%</t>
  </si>
  <si>
    <t>Sur vos séjours de 3 nuits minimum</t>
  </si>
  <si>
    <t>100373</t>
  </si>
  <si>
    <t>Flower Camping La Chênaie</t>
  </si>
  <si>
    <t>Entwistle</t>
  </si>
  <si>
    <t>Susan</t>
  </si>
  <si>
    <t>esue360@icloud.com</t>
  </si>
  <si>
    <t>07966292661</t>
  </si>
  <si>
    <t>Spring Cottage Hindon Road</t>
  </si>
  <si>
    <t>SP3 6AA</t>
  </si>
  <si>
    <t>East Knoyle</t>
  </si>
  <si>
    <t>GB</t>
  </si>
  <si>
    <t>EN</t>
  </si>
  <si>
    <t>Alan Entwistle 08/07/1953</t>
  </si>
  <si>
    <t>Quiet position if possible..many thanks</t>
  </si>
  <si>
    <t>Caravane : 2,3x7,4m</t>
  </si>
  <si>
    <t>Forfait Premium : emplacement 16A équipé d'une Freecamp (cabane avec sanitaires) 2/6 pers.</t>
  </si>
  <si>
    <t xml:space="preserve">12 | Animal | 1 | 20_x000D_
2846 | End of stay housekeeping (except for bin and dishes) | 1 | 40</t>
  </si>
  <si>
    <t>Freecamp</t>
  </si>
  <si>
    <t>48347</t>
  </si>
  <si>
    <t>Camping Le Ranch</t>
  </si>
  <si>
    <t>Manche</t>
  </si>
  <si>
    <t>GATOUX</t>
  </si>
  <si>
    <t>Sophie</t>
  </si>
  <si>
    <t>sgatoux@gmail.com</t>
  </si>
  <si>
    <t>0671510988</t>
  </si>
  <si>
    <t>3 AV DU MAL DE LATTRE DE TASSIGNY</t>
  </si>
  <si>
    <t>62000</t>
  </si>
  <si>
    <t>ARRAS</t>
  </si>
  <si>
    <t>Sébastien FAUQUEUR 23/12/1986 | Arthur FAUQUEUR 27/02/2019 | Louis FAUQUEUR 07/06/2021</t>
  </si>
  <si>
    <t>Mobil home - 2 chambres sans vue mer 4/6 pers.</t>
  </si>
  <si>
    <t>TARIFICATION A LA SEMAINE</t>
  </si>
  <si>
    <t>96393</t>
  </si>
  <si>
    <t>Camping La Playa Ibiza</t>
  </si>
  <si>
    <t>Espagne</t>
  </si>
  <si>
    <t>Îles Baléares</t>
  </si>
  <si>
    <t>Pack E-Trafic Ucamping.com</t>
  </si>
  <si>
    <t>Fährmann</t>
  </si>
  <si>
    <t>Melanie</t>
  </si>
  <si>
    <t>faehrmann@mail.de</t>
  </si>
  <si>
    <t>+4915735773174</t>
  </si>
  <si>
    <t>Mertensstraße 41</t>
  </si>
  <si>
    <t>13587</t>
  </si>
  <si>
    <t>Berlin</t>
  </si>
  <si>
    <t>DE</t>
  </si>
  <si>
    <t>Caravana Nostalgia 1/2 pers.</t>
  </si>
  <si>
    <t>15 | Kühlfach-Vermietung | 1 | 70</t>
  </si>
  <si>
    <t>Tabla PMS</t>
  </si>
  <si>
    <t>InternationalBankTransfert</t>
  </si>
  <si>
    <t>65201</t>
  </si>
  <si>
    <t>Camping Village de La Guyonnière</t>
  </si>
  <si>
    <t>Pays de la Loire</t>
  </si>
  <si>
    <t>Vendée</t>
  </si>
  <si>
    <t>gomes furtado</t>
  </si>
  <si>
    <t>jose maria</t>
  </si>
  <si>
    <t>zegomes5@hotmail.com</t>
  </si>
  <si>
    <t>0695144664</t>
  </si>
  <si>
    <t>1 Rue du chemin neuf</t>
  </si>
  <si>
    <t>95130</t>
  </si>
  <si>
    <t>Franconville</t>
  </si>
  <si>
    <t>jocelina fatima pinto gomes 13/05/1989 | Thais Francisca gomes furtado 06/10/2014 | Theo Mario gomes furtado 02/07/2025</t>
  </si>
  <si>
    <t>COTTAGE - 4 PERS. 4 pers.</t>
  </si>
  <si>
    <t>-10%</t>
  </si>
  <si>
    <t>**Attention: dernières disponibilités</t>
  </si>
  <si>
    <t>Locatifs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</si>
  <si>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</si>
  <si>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</si>
  <si>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</si>
  <si>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</si>
  <si>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</si>
  <si>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</si>
  <si>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</si>
  <si>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</si>
  <si>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</si>
  <si>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</si>
  <si>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</si>
  <si>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</si>
  <si>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</si>
  <si>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</si>
  <si>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</si>
  <si>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31-Juil-2026 -&gt; 31-Juil-2026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</si>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</sst>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19540762</v>
      </c>
      <c r="B2" s="2"/>
      <c r="C2" s="3">
        <v>46234.3933217593</v>
      </c>
      <c r="D2" s="3"/>
      <c r="E2" s="2">
        <v>2349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46241</v>
      </c>
      <c r="O2" s="5">
        <v>46245</v>
      </c>
      <c r="P2" s="2">
        <v>4</v>
      </c>
      <c r="Q2" s="2" t="s">
        <v>107</v>
      </c>
      <c r="R2" s="2" t="s">
        <v>108</v>
      </c>
      <c r="S2" s="5">
        <v>26868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/>
      <c r="AG2" s="2" t="s">
        <v>119</v>
      </c>
      <c r="AH2" s="2" t="s">
        <v>120</v>
      </c>
      <c r="AI2" s="2" t="s">
        <v>121</v>
      </c>
      <c r="AJ2" s="2">
        <v>135087</v>
      </c>
      <c r="AK2" s="7" t="s">
        <v>116</v>
      </c>
      <c r="AL2" s="7" t="s">
        <v>122</v>
      </c>
      <c r="AM2" s="2" t="s">
        <v>123</v>
      </c>
      <c r="AN2" s="2"/>
      <c r="AO2" s="2"/>
      <c r="AP2" s="2"/>
      <c r="AQ2" s="2"/>
      <c r="AR2" s="2"/>
      <c r="AS2" s="2"/>
      <c r="AT2" s="8"/>
      <c r="AU2" s="8">
        <v>174</v>
      </c>
      <c r="AV2" s="8">
        <v>104</v>
      </c>
      <c r="AW2" s="8">
        <v>64</v>
      </c>
      <c r="AX2" s="2" t="s">
        <v>116</v>
      </c>
      <c r="AY2" s="8">
        <v>56.4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6</v>
      </c>
      <c r="BP2" s="8"/>
      <c r="BQ2" s="8"/>
      <c r="BR2" s="2"/>
      <c r="BS2" s="2"/>
      <c r="BT2" s="8"/>
      <c r="BU2" s="2" t="s">
        <v>116</v>
      </c>
      <c r="BV2" s="8">
        <v>174</v>
      </c>
      <c r="BW2" s="2" t="s">
        <v>124</v>
      </c>
      <c r="BX2" s="2" t="s">
        <v>125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126</v>
      </c>
      <c r="CF2" s="3">
        <v>46234.4085380787</v>
      </c>
      <c r="CG2" s="7"/>
      <c r="CH2" s="7" t="s">
        <v>116</v>
      </c>
      <c r="CI2" s="7" t="s">
        <v>116</v>
      </c>
      <c r="CJ2" s="2"/>
      <c r="CK2" s="2"/>
      <c r="CL2" s="2" t="s">
        <v>127</v>
      </c>
      <c r="CM2" s="2" t="s">
        <v>116</v>
      </c>
      <c r="CN2" s="2" t="s">
        <v>116</v>
      </c>
      <c r="CO2" s="2"/>
      <c r="CP2" s="2"/>
      <c r="CQ2" s="2"/>
      <c r="CR2" s="2" t="s">
        <v>116</v>
      </c>
      <c r="CS2" s="2" t="s">
        <v>116</v>
      </c>
      <c r="CT2" s="2"/>
      <c r="CU2" s="2"/>
      <c r="CV2" s="2"/>
    </row>
    <row r="3">
      <c r="A3" s="2">
        <v>19546075</v>
      </c>
      <c r="B3" s="2"/>
      <c r="C3" s="3">
        <v>46234.6399451389</v>
      </c>
      <c r="D3" s="3"/>
      <c r="E3" s="2">
        <v>1659</v>
      </c>
      <c r="F3" s="4" t="s">
        <v>128</v>
      </c>
      <c r="G3" s="2" t="s">
        <v>129</v>
      </c>
      <c r="H3" s="2" t="s">
        <v>130</v>
      </c>
      <c r="I3" s="2" t="s">
        <v>131</v>
      </c>
      <c r="J3" s="2" t="s">
        <v>116</v>
      </c>
      <c r="K3" s="2" t="s">
        <v>105</v>
      </c>
      <c r="L3" s="2">
        <v>703</v>
      </c>
      <c r="M3" s="2" t="s">
        <v>106</v>
      </c>
      <c r="N3" s="5">
        <v>46235</v>
      </c>
      <c r="O3" s="5">
        <v>46236</v>
      </c>
      <c r="P3" s="2">
        <v>1</v>
      </c>
      <c r="Q3" s="2" t="s">
        <v>132</v>
      </c>
      <c r="R3" s="2" t="s">
        <v>133</v>
      </c>
      <c r="S3" s="5">
        <v>25086</v>
      </c>
      <c r="T3" s="2" t="s">
        <v>134</v>
      </c>
      <c r="U3" s="2" t="s">
        <v>135</v>
      </c>
      <c r="V3" s="6" t="s">
        <v>136</v>
      </c>
      <c r="W3" s="2" t="s">
        <v>137</v>
      </c>
      <c r="X3" s="6" t="s">
        <v>138</v>
      </c>
      <c r="Y3" s="2" t="s">
        <v>139</v>
      </c>
      <c r="Z3" s="2" t="s">
        <v>140</v>
      </c>
      <c r="AA3" s="2" t="s">
        <v>140</v>
      </c>
      <c r="AB3" s="6" t="s">
        <v>116</v>
      </c>
      <c r="AC3" s="6"/>
      <c r="AD3" s="2" t="s">
        <v>141</v>
      </c>
      <c r="AE3" s="2" t="s">
        <v>142</v>
      </c>
      <c r="AF3" s="2"/>
      <c r="AG3" s="2" t="s">
        <v>143</v>
      </c>
      <c r="AH3" s="2" t="s">
        <v>120</v>
      </c>
      <c r="AI3" s="2" t="s">
        <v>144</v>
      </c>
      <c r="AJ3" s="2">
        <v>85753</v>
      </c>
      <c r="AK3" s="7"/>
      <c r="AL3" s="7"/>
      <c r="AM3" s="2" t="s">
        <v>145</v>
      </c>
      <c r="AN3" s="2"/>
      <c r="AO3" s="2"/>
      <c r="AP3" s="2"/>
      <c r="AQ3" s="2"/>
      <c r="AR3" s="2"/>
      <c r="AS3" s="2"/>
      <c r="AT3" s="8"/>
      <c r="AU3" s="8">
        <v>35.7</v>
      </c>
      <c r="AV3" s="8">
        <v>27.2</v>
      </c>
      <c r="AW3" s="8">
        <v>0</v>
      </c>
      <c r="AX3" s="2" t="s">
        <v>116</v>
      </c>
      <c r="AY3" s="8">
        <v>35.7</v>
      </c>
      <c r="AZ3" s="8"/>
      <c r="BA3" s="7"/>
      <c r="BB3" s="8"/>
      <c r="BC3" s="2"/>
      <c r="BD3" s="2" t="s">
        <v>116</v>
      </c>
      <c r="BE3" s="2"/>
      <c r="BF3" s="2"/>
      <c r="BG3" s="7"/>
      <c r="BH3" s="8"/>
      <c r="BI3" s="2"/>
      <c r="BJ3" s="2" t="s">
        <v>116</v>
      </c>
      <c r="BK3" s="2"/>
      <c r="BL3" s="2"/>
      <c r="BM3" s="8"/>
      <c r="BN3" s="2"/>
      <c r="BO3" s="8">
        <v>8.5</v>
      </c>
      <c r="BP3" s="8"/>
      <c r="BQ3" s="8"/>
      <c r="BR3" s="2"/>
      <c r="BS3" s="2"/>
      <c r="BT3" s="8"/>
      <c r="BU3" s="2" t="s">
        <v>116</v>
      </c>
      <c r="BV3" s="8">
        <v>35.7</v>
      </c>
      <c r="BW3" s="2" t="s">
        <v>124</v>
      </c>
      <c r="BX3" s="2" t="s">
        <v>146</v>
      </c>
      <c r="BY3" s="2" t="s">
        <v>116</v>
      </c>
      <c r="BZ3" s="2" t="s">
        <v>116</v>
      </c>
      <c r="CA3" s="2" t="s">
        <v>116</v>
      </c>
      <c r="CB3" s="2"/>
      <c r="CC3" s="2"/>
      <c r="CD3" s="2"/>
      <c r="CE3" s="2" t="s">
        <v>126</v>
      </c>
      <c r="CF3" s="3">
        <v>46234.6399452199</v>
      </c>
      <c r="CG3" s="7"/>
      <c r="CH3" s="7" t="s">
        <v>116</v>
      </c>
      <c r="CI3" s="7" t="s">
        <v>116</v>
      </c>
      <c r="CJ3" s="2"/>
      <c r="CK3" s="2"/>
      <c r="CL3" s="2" t="s">
        <v>147</v>
      </c>
      <c r="CM3" s="2" t="s">
        <v>116</v>
      </c>
      <c r="CN3" s="2" t="s">
        <v>116</v>
      </c>
      <c r="CO3" s="2"/>
      <c r="CP3" s="2"/>
      <c r="CQ3" s="2"/>
      <c r="CR3" s="2" t="s">
        <v>116</v>
      </c>
      <c r="CS3" s="2" t="s">
        <v>116</v>
      </c>
      <c r="CT3" s="2"/>
      <c r="CU3" s="2"/>
      <c r="CV3" s="2"/>
    </row>
    <row r="4">
      <c r="A4" s="2">
        <v>19546641</v>
      </c>
      <c r="B4" s="2"/>
      <c r="C4" s="3">
        <v>46234.6653085995</v>
      </c>
      <c r="D4" s="3"/>
      <c r="E4" s="2">
        <v>17209</v>
      </c>
      <c r="F4" s="4" t="s">
        <v>116</v>
      </c>
      <c r="G4" s="2" t="s">
        <v>148</v>
      </c>
      <c r="H4" s="2" t="s">
        <v>102</v>
      </c>
      <c r="I4" s="2" t="s">
        <v>149</v>
      </c>
      <c r="J4" s="2" t="s">
        <v>150</v>
      </c>
      <c r="K4" s="2" t="s">
        <v>105</v>
      </c>
      <c r="L4" s="2">
        <v>703</v>
      </c>
      <c r="M4" s="2" t="s">
        <v>106</v>
      </c>
      <c r="N4" s="5">
        <v>46242</v>
      </c>
      <c r="O4" s="5">
        <v>46248</v>
      </c>
      <c r="P4" s="2">
        <v>6</v>
      </c>
      <c r="Q4" s="2" t="s">
        <v>151</v>
      </c>
      <c r="R4" s="2" t="s">
        <v>152</v>
      </c>
      <c r="S4" s="5">
        <v>31950</v>
      </c>
      <c r="T4" s="2" t="s">
        <v>153</v>
      </c>
      <c r="U4" s="2" t="s">
        <v>110</v>
      </c>
      <c r="V4" s="6" t="s">
        <v>154</v>
      </c>
      <c r="W4" s="2" t="s">
        <v>155</v>
      </c>
      <c r="X4" s="6" t="s">
        <v>156</v>
      </c>
      <c r="Y4" s="2" t="s">
        <v>157</v>
      </c>
      <c r="Z4" s="2" t="s">
        <v>158</v>
      </c>
      <c r="AA4" s="2" t="s">
        <v>158</v>
      </c>
      <c r="AB4" s="6" t="s">
        <v>116</v>
      </c>
      <c r="AC4" s="6"/>
      <c r="AD4" s="2" t="s">
        <v>159</v>
      </c>
      <c r="AE4" s="2" t="s">
        <v>160</v>
      </c>
      <c r="AF4" s="2"/>
      <c r="AG4" s="2"/>
      <c r="AH4" s="2" t="s">
        <v>161</v>
      </c>
      <c r="AI4" s="2" t="s">
        <v>162</v>
      </c>
      <c r="AJ4" s="2">
        <v>122446</v>
      </c>
      <c r="AK4" s="7"/>
      <c r="AL4" s="7"/>
      <c r="AM4" s="2" t="s">
        <v>123</v>
      </c>
      <c r="AN4" s="2" t="s">
        <v>163</v>
      </c>
      <c r="AO4" s="2">
        <v>117</v>
      </c>
      <c r="AP4" s="2" t="s">
        <v>164</v>
      </c>
      <c r="AQ4" s="2"/>
      <c r="AR4" s="2"/>
      <c r="AS4" s="2"/>
      <c r="AT4" s="8"/>
      <c r="AU4" s="8">
        <v>678</v>
      </c>
      <c r="AV4" s="8">
        <v>663</v>
      </c>
      <c r="AW4" s="8">
        <v>0</v>
      </c>
      <c r="AX4" s="2" t="s">
        <v>116</v>
      </c>
      <c r="AY4" s="8">
        <v>682.62</v>
      </c>
      <c r="AZ4" s="8"/>
      <c r="BA4" s="7"/>
      <c r="BB4" s="8"/>
      <c r="BC4" s="2"/>
      <c r="BD4" s="2" t="s">
        <v>116</v>
      </c>
      <c r="BE4" s="2"/>
      <c r="BF4" s="2"/>
      <c r="BG4" s="7"/>
      <c r="BH4" s="8"/>
      <c r="BI4" s="2"/>
      <c r="BJ4" s="2" t="s">
        <v>116</v>
      </c>
      <c r="BK4" s="2"/>
      <c r="BL4" s="2"/>
      <c r="BM4" s="8"/>
      <c r="BN4" s="2"/>
      <c r="BO4" s="8">
        <v>15</v>
      </c>
      <c r="BP4" s="8"/>
      <c r="BQ4" s="8">
        <v>4.62</v>
      </c>
      <c r="BR4" s="2"/>
      <c r="BS4" s="2"/>
      <c r="BT4" s="8"/>
      <c r="BU4" s="2" t="s">
        <v>116</v>
      </c>
      <c r="BV4" s="8">
        <v>682.62</v>
      </c>
      <c r="BW4" s="2" t="s">
        <v>124</v>
      </c>
      <c r="BX4" s="2" t="s">
        <v>125</v>
      </c>
      <c r="BY4" s="2" t="s">
        <v>116</v>
      </c>
      <c r="BZ4" s="2" t="s">
        <v>116</v>
      </c>
      <c r="CA4" s="2" t="s">
        <v>116</v>
      </c>
      <c r="CB4" s="2"/>
      <c r="CC4" s="2"/>
      <c r="CD4" s="2"/>
      <c r="CE4" s="2" t="s">
        <v>126</v>
      </c>
      <c r="CF4" s="3">
        <v>46234.6717546643</v>
      </c>
      <c r="CG4" s="7"/>
      <c r="CH4" s="7" t="s">
        <v>116</v>
      </c>
      <c r="CI4" s="7" t="s">
        <v>116</v>
      </c>
      <c r="CJ4" s="2"/>
      <c r="CK4" s="2"/>
      <c r="CL4" s="2" t="s">
        <v>127</v>
      </c>
      <c r="CM4" s="2" t="s">
        <v>116</v>
      </c>
      <c r="CN4" s="2" t="s">
        <v>116</v>
      </c>
      <c r="CO4" s="2"/>
      <c r="CP4" s="2"/>
      <c r="CQ4" s="2"/>
      <c r="CR4" s="2" t="s">
        <v>116</v>
      </c>
      <c r="CS4" s="2" t="s">
        <v>116</v>
      </c>
      <c r="CT4" s="2"/>
      <c r="CU4" s="2"/>
      <c r="CV4" s="2"/>
    </row>
    <row r="5">
      <c r="A5" s="2">
        <v>19547394</v>
      </c>
      <c r="B5" s="2"/>
      <c r="C5" s="3">
        <v>46234.695038044</v>
      </c>
      <c r="D5" s="3"/>
      <c r="E5" s="2">
        <v>5032</v>
      </c>
      <c r="F5" s="4" t="s">
        <v>165</v>
      </c>
      <c r="G5" s="2" t="s">
        <v>166</v>
      </c>
      <c r="H5" s="2" t="s">
        <v>102</v>
      </c>
      <c r="I5" s="2" t="s">
        <v>103</v>
      </c>
      <c r="J5" s="2" t="s">
        <v>104</v>
      </c>
      <c r="K5" s="2" t="s">
        <v>105</v>
      </c>
      <c r="L5" s="2">
        <v>703</v>
      </c>
      <c r="M5" s="2" t="s">
        <v>106</v>
      </c>
      <c r="N5" s="5">
        <v>46287</v>
      </c>
      <c r="O5" s="5">
        <v>46292</v>
      </c>
      <c r="P5" s="2">
        <v>5</v>
      </c>
      <c r="Q5" s="2" t="s">
        <v>167</v>
      </c>
      <c r="R5" s="2" t="s">
        <v>168</v>
      </c>
      <c r="S5" s="5">
        <v>16756</v>
      </c>
      <c r="T5" s="2" t="s">
        <v>169</v>
      </c>
      <c r="U5" s="2" t="s">
        <v>135</v>
      </c>
      <c r="V5" s="6" t="s">
        <v>170</v>
      </c>
      <c r="W5" s="2" t="s">
        <v>171</v>
      </c>
      <c r="X5" s="6" t="s">
        <v>172</v>
      </c>
      <c r="Y5" s="2" t="s">
        <v>173</v>
      </c>
      <c r="Z5" s="2" t="s">
        <v>174</v>
      </c>
      <c r="AA5" s="2" t="s">
        <v>175</v>
      </c>
      <c r="AB5" s="6" t="s">
        <v>116</v>
      </c>
      <c r="AC5" s="6"/>
      <c r="AD5" s="2" t="s">
        <v>176</v>
      </c>
      <c r="AE5" s="2" t="s">
        <v>142</v>
      </c>
      <c r="AF5" s="2" t="s">
        <v>177</v>
      </c>
      <c r="AG5" s="2" t="s">
        <v>178</v>
      </c>
      <c r="AH5" s="2" t="s">
        <v>120</v>
      </c>
      <c r="AI5" s="2" t="s">
        <v>179</v>
      </c>
      <c r="AJ5" s="2">
        <v>116381</v>
      </c>
      <c r="AK5" s="7" t="s">
        <v>180</v>
      </c>
      <c r="AL5" s="7" t="s">
        <v>116</v>
      </c>
      <c r="AM5" s="2" t="s">
        <v>123</v>
      </c>
      <c r="AN5" s="2"/>
      <c r="AO5" s="2"/>
      <c r="AP5" s="2"/>
      <c r="AQ5" s="2"/>
      <c r="AR5" s="2"/>
      <c r="AS5" s="2"/>
      <c r="AT5" s="8"/>
      <c r="AU5" s="8">
        <v>236</v>
      </c>
      <c r="AV5" s="8">
        <v>176</v>
      </c>
      <c r="AW5" s="8">
        <v>60</v>
      </c>
      <c r="AX5" s="2" t="s">
        <v>116</v>
      </c>
      <c r="AY5" s="8">
        <v>70.8</v>
      </c>
      <c r="AZ5" s="8"/>
      <c r="BA5" s="7"/>
      <c r="BB5" s="8"/>
      <c r="BC5" s="2"/>
      <c r="BD5" s="2" t="s">
        <v>116</v>
      </c>
      <c r="BE5" s="2"/>
      <c r="BF5" s="2"/>
      <c r="BG5" s="7"/>
      <c r="BH5" s="8"/>
      <c r="BI5" s="2"/>
      <c r="BJ5" s="2" t="s">
        <v>116</v>
      </c>
      <c r="BK5" s="2"/>
      <c r="BL5" s="2"/>
      <c r="BM5" s="8"/>
      <c r="BN5" s="2"/>
      <c r="BO5" s="8">
        <v>0</v>
      </c>
      <c r="BP5" s="8"/>
      <c r="BQ5" s="8">
        <v>6.6</v>
      </c>
      <c r="BR5" s="2"/>
      <c r="BS5" s="2"/>
      <c r="BT5" s="8"/>
      <c r="BU5" s="2" t="s">
        <v>116</v>
      </c>
      <c r="BV5" s="8">
        <v>242.6</v>
      </c>
      <c r="BW5" s="2" t="s">
        <v>124</v>
      </c>
      <c r="BX5" s="2" t="s">
        <v>125</v>
      </c>
      <c r="BY5" s="2" t="s">
        <v>116</v>
      </c>
      <c r="BZ5" s="2" t="s">
        <v>116</v>
      </c>
      <c r="CA5" s="2" t="s">
        <v>116</v>
      </c>
      <c r="CB5" s="2"/>
      <c r="CC5" s="2"/>
      <c r="CD5" s="2"/>
      <c r="CE5" s="2" t="s">
        <v>126</v>
      </c>
      <c r="CF5" s="3">
        <v>46234.7016695255</v>
      </c>
      <c r="CG5" s="7"/>
      <c r="CH5" s="7" t="s">
        <v>116</v>
      </c>
      <c r="CI5" s="7" t="s">
        <v>116</v>
      </c>
      <c r="CJ5" s="2"/>
      <c r="CK5" s="2"/>
      <c r="CL5" s="2" t="s">
        <v>127</v>
      </c>
      <c r="CM5" s="2" t="s">
        <v>116</v>
      </c>
      <c r="CN5" s="2" t="s">
        <v>116</v>
      </c>
      <c r="CO5" s="2"/>
      <c r="CP5" s="2"/>
      <c r="CQ5" s="2"/>
      <c r="CR5" s="2" t="s">
        <v>181</v>
      </c>
      <c r="CS5" s="2" t="s">
        <v>116</v>
      </c>
      <c r="CT5" s="2"/>
      <c r="CU5" s="2"/>
      <c r="CV5" s="2"/>
    </row>
    <row r="6">
      <c r="A6" s="2">
        <v>19547664</v>
      </c>
      <c r="B6" s="2"/>
      <c r="C6" s="3">
        <v>46234.7065509606</v>
      </c>
      <c r="D6" s="3"/>
      <c r="E6" s="2">
        <v>5069</v>
      </c>
      <c r="F6" s="4" t="s">
        <v>182</v>
      </c>
      <c r="G6" s="2" t="s">
        <v>183</v>
      </c>
      <c r="H6" s="2" t="s">
        <v>102</v>
      </c>
      <c r="I6" s="2" t="s">
        <v>103</v>
      </c>
      <c r="J6" s="2" t="s">
        <v>184</v>
      </c>
      <c r="K6" s="2" t="s">
        <v>105</v>
      </c>
      <c r="L6" s="2">
        <v>703</v>
      </c>
      <c r="M6" s="2" t="s">
        <v>106</v>
      </c>
      <c r="N6" s="5">
        <v>46242</v>
      </c>
      <c r="O6" s="5">
        <v>46249</v>
      </c>
      <c r="P6" s="2">
        <v>7</v>
      </c>
      <c r="Q6" s="2" t="s">
        <v>185</v>
      </c>
      <c r="R6" s="2" t="s">
        <v>186</v>
      </c>
      <c r="S6" s="5">
        <v>32377</v>
      </c>
      <c r="T6" s="2" t="s">
        <v>187</v>
      </c>
      <c r="U6" s="2" t="s">
        <v>135</v>
      </c>
      <c r="V6" s="6" t="s">
        <v>188</v>
      </c>
      <c r="W6" s="2" t="s">
        <v>189</v>
      </c>
      <c r="X6" s="6" t="s">
        <v>190</v>
      </c>
      <c r="Y6" s="2" t="s">
        <v>191</v>
      </c>
      <c r="Z6" s="2" t="s">
        <v>158</v>
      </c>
      <c r="AA6" s="2" t="s">
        <v>158</v>
      </c>
      <c r="AB6" s="6" t="s">
        <v>116</v>
      </c>
      <c r="AC6" s="6"/>
      <c r="AD6" s="2" t="s">
        <v>192</v>
      </c>
      <c r="AE6" s="2" t="s">
        <v>118</v>
      </c>
      <c r="AF6" s="2"/>
      <c r="AG6" s="2"/>
      <c r="AH6" s="2" t="s">
        <v>161</v>
      </c>
      <c r="AI6" s="2" t="s">
        <v>193</v>
      </c>
      <c r="AJ6" s="2">
        <v>39907</v>
      </c>
      <c r="AK6" s="7"/>
      <c r="AL6" s="7"/>
      <c r="AM6" s="2" t="s">
        <v>194</v>
      </c>
      <c r="AN6" s="2"/>
      <c r="AO6" s="2"/>
      <c r="AP6" s="2"/>
      <c r="AQ6" s="2"/>
      <c r="AR6" s="2"/>
      <c r="AS6" s="2"/>
      <c r="AT6" s="8"/>
      <c r="AU6" s="8">
        <v>1260</v>
      </c>
      <c r="AV6" s="8">
        <v>1250</v>
      </c>
      <c r="AW6" s="8">
        <v>0</v>
      </c>
      <c r="AX6" s="2" t="s">
        <v>116</v>
      </c>
      <c r="AY6" s="8">
        <v>1269.24</v>
      </c>
      <c r="AZ6" s="8"/>
      <c r="BA6" s="7"/>
      <c r="BB6" s="8"/>
      <c r="BC6" s="2"/>
      <c r="BD6" s="2" t="s">
        <v>116</v>
      </c>
      <c r="BE6" s="2"/>
      <c r="BF6" s="2"/>
      <c r="BG6" s="7"/>
      <c r="BH6" s="8"/>
      <c r="BI6" s="2"/>
      <c r="BJ6" s="2" t="s">
        <v>116</v>
      </c>
      <c r="BK6" s="2"/>
      <c r="BL6" s="2"/>
      <c r="BM6" s="8"/>
      <c r="BN6" s="2"/>
      <c r="BO6" s="8">
        <v>10</v>
      </c>
      <c r="BP6" s="8"/>
      <c r="BQ6" s="8">
        <v>9.24</v>
      </c>
      <c r="BR6" s="2"/>
      <c r="BS6" s="2"/>
      <c r="BT6" s="8"/>
      <c r="BU6" s="2" t="s">
        <v>116</v>
      </c>
      <c r="BV6" s="8">
        <v>1269.24</v>
      </c>
      <c r="BW6" s="2" t="s">
        <v>124</v>
      </c>
      <c r="BX6" s="2" t="s">
        <v>125</v>
      </c>
      <c r="BY6" s="2" t="s">
        <v>116</v>
      </c>
      <c r="BZ6" s="2" t="s">
        <v>116</v>
      </c>
      <c r="CA6" s="2" t="s">
        <v>116</v>
      </c>
      <c r="CB6" s="2"/>
      <c r="CC6" s="2"/>
      <c r="CD6" s="2"/>
      <c r="CE6" s="2" t="s">
        <v>126</v>
      </c>
      <c r="CF6" s="3">
        <v>46234.7176304398</v>
      </c>
      <c r="CG6" s="7"/>
      <c r="CH6" s="7" t="s">
        <v>116</v>
      </c>
      <c r="CI6" s="7" t="s">
        <v>116</v>
      </c>
      <c r="CJ6" s="2"/>
      <c r="CK6" s="2"/>
      <c r="CL6" s="2" t="s">
        <v>127</v>
      </c>
      <c r="CM6" s="2" t="s">
        <v>116</v>
      </c>
      <c r="CN6" s="2" t="s">
        <v>116</v>
      </c>
      <c r="CO6" s="2"/>
      <c r="CP6" s="2"/>
      <c r="CQ6" s="2"/>
      <c r="CR6" s="2" t="s">
        <v>116</v>
      </c>
      <c r="CS6" s="2" t="s">
        <v>116</v>
      </c>
      <c r="CT6" s="2"/>
      <c r="CU6" s="2"/>
      <c r="CV6" s="2"/>
    </row>
    <row r="7">
      <c r="A7" s="2">
        <v>19549000</v>
      </c>
      <c r="B7" s="2"/>
      <c r="C7" s="3">
        <v>46234.7625965278</v>
      </c>
      <c r="D7" s="3"/>
      <c r="E7" s="2">
        <v>1821</v>
      </c>
      <c r="F7" s="4" t="s">
        <v>195</v>
      </c>
      <c r="G7" s="2" t="s">
        <v>196</v>
      </c>
      <c r="H7" s="2" t="s">
        <v>197</v>
      </c>
      <c r="I7" s="2" t="s">
        <v>198</v>
      </c>
      <c r="J7" s="2" t="s">
        <v>116</v>
      </c>
      <c r="K7" s="2" t="s">
        <v>105</v>
      </c>
      <c r="L7" s="2">
        <v>1552</v>
      </c>
      <c r="M7" s="2" t="s">
        <v>199</v>
      </c>
      <c r="N7" s="5">
        <v>46262</v>
      </c>
      <c r="O7" s="5">
        <v>46269</v>
      </c>
      <c r="P7" s="2">
        <v>7</v>
      </c>
      <c r="Q7" s="2" t="s">
        <v>200</v>
      </c>
      <c r="R7" s="2" t="s">
        <v>201</v>
      </c>
      <c r="S7" s="5">
        <v>35550</v>
      </c>
      <c r="T7" s="2" t="s">
        <v>202</v>
      </c>
      <c r="U7" s="2" t="s">
        <v>110</v>
      </c>
      <c r="V7" s="6" t="s">
        <v>203</v>
      </c>
      <c r="W7" s="2" t="s">
        <v>204</v>
      </c>
      <c r="X7" s="6" t="s">
        <v>205</v>
      </c>
      <c r="Y7" s="2" t="s">
        <v>206</v>
      </c>
      <c r="Z7" s="2" t="s">
        <v>207</v>
      </c>
      <c r="AA7" s="2" t="s">
        <v>207</v>
      </c>
      <c r="AB7" s="6" t="s">
        <v>116</v>
      </c>
      <c r="AC7" s="6"/>
      <c r="AD7" s="2" t="s">
        <v>116</v>
      </c>
      <c r="AE7" s="2" t="s">
        <v>147</v>
      </c>
      <c r="AF7" s="2"/>
      <c r="AG7" s="2"/>
      <c r="AH7" s="2" t="s">
        <v>161</v>
      </c>
      <c r="AI7" s="2" t="s">
        <v>208</v>
      </c>
      <c r="AJ7" s="2">
        <v>130333</v>
      </c>
      <c r="AK7" s="7" t="s">
        <v>209</v>
      </c>
      <c r="AL7" s="7" t="s">
        <v>116</v>
      </c>
      <c r="AM7" s="2" t="s">
        <v>210</v>
      </c>
      <c r="AN7" s="2"/>
      <c r="AO7" s="2"/>
      <c r="AP7" s="2"/>
      <c r="AQ7" s="2"/>
      <c r="AR7" s="2"/>
      <c r="AS7" s="2"/>
      <c r="AT7" s="8"/>
      <c r="AU7" s="8">
        <v>840</v>
      </c>
      <c r="AV7" s="8">
        <v>770</v>
      </c>
      <c r="AW7" s="8">
        <v>70</v>
      </c>
      <c r="AX7" s="2" t="s">
        <v>116</v>
      </c>
      <c r="AY7" s="8">
        <v>840</v>
      </c>
      <c r="AZ7" s="8"/>
      <c r="BA7" s="7"/>
      <c r="BB7" s="8"/>
      <c r="BC7" s="2"/>
      <c r="BD7" s="2" t="s">
        <v>116</v>
      </c>
      <c r="BE7" s="2"/>
      <c r="BF7" s="2"/>
      <c r="BG7" s="7"/>
      <c r="BH7" s="8"/>
      <c r="BI7" s="2"/>
      <c r="BJ7" s="2" t="s">
        <v>116</v>
      </c>
      <c r="BK7" s="2"/>
      <c r="BL7" s="2"/>
      <c r="BM7" s="8"/>
      <c r="BN7" s="2"/>
      <c r="BO7" s="8">
        <v>0</v>
      </c>
      <c r="BP7" s="8"/>
      <c r="BQ7" s="8"/>
      <c r="BR7" s="2"/>
      <c r="BS7" s="2"/>
      <c r="BT7" s="8"/>
      <c r="BU7" s="2" t="s">
        <v>116</v>
      </c>
      <c r="BV7" s="8">
        <v>840</v>
      </c>
      <c r="BW7" s="2" t="s">
        <v>124</v>
      </c>
      <c r="BX7" s="2" t="s">
        <v>211</v>
      </c>
      <c r="BY7" s="2" t="s">
        <v>116</v>
      </c>
      <c r="BZ7" s="2" t="s">
        <v>116</v>
      </c>
      <c r="CA7" s="2" t="s">
        <v>116</v>
      </c>
      <c r="CB7" s="2"/>
      <c r="CC7" s="2"/>
      <c r="CD7" s="2"/>
      <c r="CE7" s="2" t="s">
        <v>126</v>
      </c>
      <c r="CF7" s="3">
        <v>46234.7625966088</v>
      </c>
      <c r="CG7" s="7"/>
      <c r="CH7" s="7" t="s">
        <v>116</v>
      </c>
      <c r="CI7" s="7" t="s">
        <v>116</v>
      </c>
      <c r="CJ7" s="2"/>
      <c r="CK7" s="2"/>
      <c r="CL7" s="2" t="s">
        <v>147</v>
      </c>
      <c r="CM7" s="2" t="s">
        <v>116</v>
      </c>
      <c r="CN7" s="2" t="s">
        <v>116</v>
      </c>
      <c r="CO7" s="2"/>
      <c r="CP7" s="2"/>
      <c r="CQ7" s="2"/>
      <c r="CR7" s="2" t="s">
        <v>116</v>
      </c>
      <c r="CS7" s="2" t="s">
        <v>116</v>
      </c>
      <c r="CT7" s="2"/>
      <c r="CU7" s="2"/>
      <c r="CV7" s="2"/>
    </row>
    <row r="8">
      <c r="A8" s="9">
        <v>19551884</v>
      </c>
      <c r="B8" s="9"/>
      <c r="C8" s="10">
        <v>46234.8910101852</v>
      </c>
      <c r="D8" s="10"/>
      <c r="E8" s="9">
        <v>591</v>
      </c>
      <c r="F8" s="11" t="s">
        <v>212</v>
      </c>
      <c r="G8" s="9" t="s">
        <v>213</v>
      </c>
      <c r="H8" s="9" t="s">
        <v>102</v>
      </c>
      <c r="I8" s="9" t="s">
        <v>214</v>
      </c>
      <c r="J8" s="9" t="s">
        <v>215</v>
      </c>
      <c r="K8" s="9" t="s">
        <v>105</v>
      </c>
      <c r="L8" s="9">
        <v>703</v>
      </c>
      <c r="M8" s="9" t="s">
        <v>106</v>
      </c>
      <c r="N8" s="12">
        <v>46256</v>
      </c>
      <c r="O8" s="12">
        <v>46263</v>
      </c>
      <c r="P8" s="9">
        <v>7</v>
      </c>
      <c r="Q8" s="9" t="s">
        <v>216</v>
      </c>
      <c r="R8" s="9" t="s">
        <v>217</v>
      </c>
      <c r="S8" s="12">
        <v>30131</v>
      </c>
      <c r="T8" s="9" t="s">
        <v>218</v>
      </c>
      <c r="U8" s="9" t="s">
        <v>110</v>
      </c>
      <c r="V8" s="13" t="s">
        <v>219</v>
      </c>
      <c r="W8" s="9" t="s">
        <v>220</v>
      </c>
      <c r="X8" s="13" t="s">
        <v>221</v>
      </c>
      <c r="Y8" s="9" t="s">
        <v>222</v>
      </c>
      <c r="Z8" s="9" t="s">
        <v>158</v>
      </c>
      <c r="AA8" s="9" t="s">
        <v>158</v>
      </c>
      <c r="AB8" s="13" t="s">
        <v>116</v>
      </c>
      <c r="AC8" s="13"/>
      <c r="AD8" s="9" t="s">
        <v>223</v>
      </c>
      <c r="AE8" s="9" t="s">
        <v>118</v>
      </c>
      <c r="AF8" s="9"/>
      <c r="AG8" s="9"/>
      <c r="AH8" s="9" t="s">
        <v>161</v>
      </c>
      <c r="AI8" s="9" t="s">
        <v>224</v>
      </c>
      <c r="AJ8" s="9">
        <v>103399</v>
      </c>
      <c r="AK8" s="14"/>
      <c r="AL8" s="14"/>
      <c r="AM8" s="9" t="s">
        <v>194</v>
      </c>
      <c r="AN8" s="9" t="s">
        <v>225</v>
      </c>
      <c r="AO8" s="9">
        <v>70</v>
      </c>
      <c r="AP8" s="9" t="s">
        <v>226</v>
      </c>
      <c r="AQ8" s="9">
        <v>164</v>
      </c>
      <c r="AR8" s="9"/>
      <c r="AS8" s="9"/>
      <c r="AT8" s="15"/>
      <c r="AU8" s="15">
        <v>650</v>
      </c>
      <c r="AV8" s="15">
        <v>630</v>
      </c>
      <c r="AW8" s="15">
        <v>0</v>
      </c>
      <c r="AX8" s="9" t="s">
        <v>116</v>
      </c>
      <c r="AY8" s="15">
        <v>650</v>
      </c>
      <c r="AZ8" s="15"/>
      <c r="BA8" s="14"/>
      <c r="BB8" s="15"/>
      <c r="BC8" s="9"/>
      <c r="BD8" s="9" t="s">
        <v>116</v>
      </c>
      <c r="BE8" s="9"/>
      <c r="BF8" s="9"/>
      <c r="BG8" s="14"/>
      <c r="BH8" s="15"/>
      <c r="BI8" s="9"/>
      <c r="BJ8" s="9" t="s">
        <v>116</v>
      </c>
      <c r="BK8" s="9"/>
      <c r="BL8" s="9"/>
      <c r="BM8" s="15"/>
      <c r="BN8" s="9"/>
      <c r="BO8" s="15">
        <v>20</v>
      </c>
      <c r="BP8" s="15"/>
      <c r="BQ8" s="15"/>
      <c r="BR8" s="9"/>
      <c r="BS8" s="9"/>
      <c r="BT8" s="15"/>
      <c r="BU8" s="9" t="s">
        <v>116</v>
      </c>
      <c r="BV8" s="15">
        <v>650</v>
      </c>
      <c r="BW8" s="9" t="s">
        <v>124</v>
      </c>
      <c r="BX8" s="9" t="s">
        <v>125</v>
      </c>
      <c r="BY8" s="9" t="s">
        <v>116</v>
      </c>
      <c r="BZ8" s="9" t="s">
        <v>116</v>
      </c>
      <c r="CA8" s="9" t="s">
        <v>116</v>
      </c>
      <c r="CB8" s="9"/>
      <c r="CC8" s="9"/>
      <c r="CD8" s="9"/>
      <c r="CE8" s="9" t="s">
        <v>126</v>
      </c>
      <c r="CF8" s="10">
        <v>46235.3019576042</v>
      </c>
      <c r="CG8" s="14"/>
      <c r="CH8" s="14" t="s">
        <v>116</v>
      </c>
      <c r="CI8" s="14" t="s">
        <v>116</v>
      </c>
      <c r="CJ8" s="9"/>
      <c r="CK8" s="9"/>
      <c r="CL8" s="9" t="s">
        <v>127</v>
      </c>
      <c r="CM8" s="9" t="s">
        <v>116</v>
      </c>
      <c r="CN8" s="9" t="s">
        <v>116</v>
      </c>
      <c r="CO8" s="9"/>
      <c r="CP8" s="9"/>
      <c r="CQ8" s="9"/>
      <c r="CR8" s="9" t="s">
        <v>227</v>
      </c>
      <c r="CS8" s="9" t="s">
        <v>116</v>
      </c>
      <c r="CT8" s="9"/>
      <c r="CU8" s="9"/>
      <c r="CV8" s="9"/>
    </row>
  </sheetData>
  <conditionalFormatting sqref="A2:CV8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</cols>
  <sheetData>
    <row r="1">
      <c r="A1" s="16" t="s">
        <v>105</v>
      </c>
      <c r="B1" s="16" t="s">
        <v>105</v>
      </c>
      <c r="C1" s="16" t="s">
        <v>105</v>
      </c>
      <c r="D1" s="16" t="s">
        <v>105</v>
      </c>
      <c r="E1" s="21" t="s">
        <v>228</v>
      </c>
      <c r="F1" s="21" t="s">
        <v>228</v>
      </c>
    </row>
    <row r="2">
      <c r="A2" s="17" t="s">
        <v>106</v>
      </c>
      <c r="B2" s="17" t="s">
        <v>106</v>
      </c>
      <c r="C2" s="17" t="s">
        <v>199</v>
      </c>
      <c r="D2" s="17" t="s">
        <v>199</v>
      </c>
      <c r="E2" s="21" t="s">
        <v>228</v>
      </c>
      <c r="F2" s="21" t="s">
        <v>228</v>
      </c>
    </row>
    <row r="3">
      <c r="A3" s="18" t="s">
        <v>229</v>
      </c>
      <c r="B3" s="18" t="s">
        <v>230</v>
      </c>
      <c r="C3" s="18" t="s">
        <v>229</v>
      </c>
      <c r="D3" s="18" t="s">
        <v>230</v>
      </c>
      <c r="E3" s="18" t="s">
        <v>229</v>
      </c>
      <c r="F3" s="18" t="s">
        <v>230</v>
      </c>
    </row>
    <row r="4">
      <c r="A4" s="19">
        <v>6</v>
      </c>
      <c r="B4" s="20">
        <v>3033.7</v>
      </c>
      <c r="C4" s="19">
        <v>1</v>
      </c>
      <c r="D4" s="20">
        <v>840</v>
      </c>
      <c r="E4" s="19">
        <f> A4 + C4</f>
      </c>
      <c r="F4" s="22">
        <f> B4 + D4</f>
      </c>
    </row>
  </sheetData>
  <mergeCells>
    <mergeCell ref="A1:D1"/>
    <mergeCell ref="A2:B2"/>
    <mergeCell ref="C2:D2"/>
    <mergeCell ref="E1:F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231</v>
      </c>
      <c r="B1" s="1" t="s">
        <v>232</v>
      </c>
      <c r="C1" s="1" t="s">
        <v>233</v>
      </c>
      <c r="D1" s="1" t="s">
        <v>234</v>
      </c>
      <c r="E1" s="1" t="s">
        <v>235</v>
      </c>
      <c r="F1" s="1" t="s">
        <v>235</v>
      </c>
      <c r="G1" s="1" t="s">
        <v>235</v>
      </c>
    </row>
    <row r="2">
      <c r="A2" s="23" t="s">
        <v>231</v>
      </c>
      <c r="B2" s="23" t="s">
        <v>236</v>
      </c>
      <c r="C2" s="23" t="s">
        <v>237</v>
      </c>
      <c r="D2" s="23" t="s">
        <v>238</v>
      </c>
      <c r="E2" s="23" t="s">
        <v>239</v>
      </c>
      <c r="F2" s="23" t="s">
        <v>240</v>
      </c>
      <c r="G2" s="23" t="s">
        <v>241</v>
      </c>
    </row>
    <row r="3">
      <c r="A3" s="24" t="s">
        <v>242</v>
      </c>
      <c r="B3" s="24" t="s">
        <v>243</v>
      </c>
      <c r="C3" s="24" t="s">
        <v>244</v>
      </c>
      <c r="D3" s="24" t="s">
        <v>245</v>
      </c>
      <c r="E3" s="24" t="s">
        <v>246</v>
      </c>
      <c r="F3" s="24" t="s">
        <v>158</v>
      </c>
      <c r="G3" s="24" t="s">
        <v>247</v>
      </c>
    </row>
    <row r="4">
      <c r="D4" s="24" t="s">
        <v>248</v>
      </c>
      <c r="E4" s="24" t="s">
        <v>249</v>
      </c>
    </row>
    <row r="5">
      <c r="D5" s="24" t="s">
        <v>250</v>
      </c>
    </row>
    <row r="6">
      <c r="D6" s="24" t="s">
        <v>251</v>
      </c>
    </row>
    <row r="7">
      <c r="D7" s="24" t="s">
        <v>252</v>
      </c>
    </row>
    <row r="8">
      <c r="D8" s="24" t="s">
        <v>253</v>
      </c>
    </row>
  </sheetData>
  <mergeCells>
    <mergeCell ref="A1"/>
    <mergeCell ref="B1"/>
    <mergeCell ref="C1"/>
    <mergeCell ref="D1"/>
    <mergeCell ref="E1:G1"/>
  </mergeCells>
  <headerFooter/>
</worksheet>
</file>