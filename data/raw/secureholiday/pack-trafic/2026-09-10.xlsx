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1 Septembre 2026" sheetId="3" r:id="rId4"/>
  </sheets>
  <calcPr fullCalcOnLoad="1"/>
</workbook>
</file>

<file path=xl/sharedStrings.xml><?xml version="1.0" encoding="utf-8"?>
<sst xmlns="http://schemas.openxmlformats.org/spreadsheetml/2006/main" count="207" uniqueCount="207">
  <si>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</si>
  <si>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</si>
  <si>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</si>
  <si>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</si>
  <si>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</si>
  <si>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</si>
  <si>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</si>
  <si>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</si>
  <si>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</si>
  <si>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</si>
  <si>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</si>
  <si>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</si>
  <si>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</si>
  <si>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</si>
  <si>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</si>
  <si>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</si>
  <si>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</si>
  <si>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</si>
  <si>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</si>
  <si>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</si>
  <si>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</si>
  <si>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</si>
  <si>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</si>
  <si>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</si>
  <si>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</si>
  <si>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</si>
  <si>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</si>
  <si>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</si>
  <si>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</si>
  <si>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</si>
  <si>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</si>
  <si>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</si>
  <si>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</si>
  <si>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</si>
  <si>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</si>
  <si>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</si>
  <si>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</si>
  <si>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</si>
  <si>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</si>
  <si>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</si>
  <si>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</si>
  <si>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</si>
  <si>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</si>
  <si>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</si>
  <si>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</si>
  <si>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</si>
  <si>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</si>
  <si>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</si>
  <si>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</si>
  <si>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</si>
  <si>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</si>
  <si>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</si>
  <si>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</si>
  <si>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</si>
  <si>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</si>
  <si>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</si>
  <si>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</si>
  <si>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</si>
  <si>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</si>
  <si>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</si>
  <si>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</si>
  <si>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</si>
  <si>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</si>
  <si>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</si>
  <si>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</si>
  <si>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</si>
  <si>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</si>
  <si>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</si>
  <si>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</si>
  <si>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</si>
  <si>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</si>
  <si>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</si>
  <si>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</si>
  <si>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</si>
  <si>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</si>
  <si>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</si>
  <si>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</si>
  <si>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</si>
  <si>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</si>
  <si>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</si>
  <si>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</si>
  <si>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</si>
  <si>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</si>
  <si>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</si>
  <si>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</si>
  <si>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</si>
  <si>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</si>
  <si>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</si>
  <si>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</si>
  <si>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</si>
  <si>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</si>
  <si>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</si>
  <si>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</si>
  <si>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</si>
  <si>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</si>
  <si>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</si>
  <si>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</si>
  <si>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</si>
  <si>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</si>
  <si>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</si>
  <si>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49721</t>
  </si>
  <si>
    <t>La Colombière</t>
  </si>
  <si>
    <t>France</t>
  </si>
  <si>
    <t>Auvergne-Rhône-Alpes</t>
  </si>
  <si>
    <t>Haute-Savoie</t>
  </si>
  <si>
    <t>Pack E-Trafic</t>
  </si>
  <si>
    <t>Pack E-Trafic Campingdirect</t>
  </si>
  <si>
    <t>BAREILLE</t>
  </si>
  <si>
    <t>Bernadette</t>
  </si>
  <si>
    <t>bernadettebareille@orange.fr</t>
  </si>
  <si>
    <t>non</t>
  </si>
  <si>
    <t>0642098910</t>
  </si>
  <si>
    <t>11, Rue du Champ Boulet</t>
  </si>
  <si>
    <t>21820</t>
  </si>
  <si>
    <t>Labergement-lès-Seurre</t>
  </si>
  <si>
    <t>FR</t>
  </si>
  <si>
    <t/>
  </si>
  <si>
    <t>GILBERT BAREILLE 10/01/1960 | REMY BAREILLE 30/07/1963 | ISABELLE BAREILLE 26/04/1964 | QUENTIN BAREILLE 22/07/1999</t>
  </si>
  <si>
    <t>5</t>
  </si>
  <si>
    <t>Location</t>
  </si>
  <si>
    <t>Mobilhome Privilege FAMILY 6 pers.</t>
  </si>
  <si>
    <t>SEJOUR 1 NUIT 2026</t>
  </si>
  <si>
    <t>€</t>
  </si>
  <si>
    <t>Visa</t>
  </si>
  <si>
    <t>YES</t>
  </si>
  <si>
    <t>Chère Famille, Votre réservation est confirmée. La réception est ouverte jusqu'à 19h pour vous accueillir. Je vous souhaite une belle journée 😊. Steven</t>
  </si>
  <si>
    <t>0</t>
  </si>
  <si>
    <t>Loc PetFriendly | Loc MH | Location | Loc privilège</t>
  </si>
  <si>
    <t>61097</t>
  </si>
  <si>
    <t>Camping Seasonova Les Mouettes</t>
  </si>
  <si>
    <t>Normandie</t>
  </si>
  <si>
    <t>Seine-Maritime</t>
  </si>
  <si>
    <t>Pack E-Trafic Ucamping.com</t>
  </si>
  <si>
    <t>Schmitt</t>
  </si>
  <si>
    <t>Gerd</t>
  </si>
  <si>
    <t>gerd-schmitt@gmx.de</t>
  </si>
  <si>
    <t>01728602485</t>
  </si>
  <si>
    <t>Jungenhofener Weg 3</t>
  </si>
  <si>
    <t>96114</t>
  </si>
  <si>
    <t>Hirschaid</t>
  </si>
  <si>
    <t>DE</t>
  </si>
  <si>
    <t>Elena Schmitt 18/10/1979</t>
  </si>
  <si>
    <t>2</t>
  </si>
  <si>
    <t xml:space="preserve">Hello, 
we are staying at the moment here at your beautiful place (place 44) and want to stay one more night. Is it possible to stay also on place 44?
Greetings Gerd and Elena</t>
  </si>
  <si>
    <t>Camping car : 2,2x6,5m</t>
  </si>
  <si>
    <t>Emplacement</t>
  </si>
  <si>
    <t>FORFAIT CONFORT : Emplacement + 2 personnes + 1 véhicule + 1 tente ou caravane + Electricité 2/6 pers.</t>
  </si>
  <si>
    <t>Forfait Confort 2026</t>
  </si>
  <si>
    <t xml:space="preserve">Hello, ok at the same place n°44._x000D_
Good afternoon._x000D_
Sandra</t>
  </si>
  <si>
    <t>83363</t>
  </si>
  <si>
    <t>Camping L'Agrion Bleu</t>
  </si>
  <si>
    <t>Nouvelle-Aquitaine</t>
  </si>
  <si>
    <t>Dordogne</t>
  </si>
  <si>
    <t>Huijser</t>
  </si>
  <si>
    <t>J A</t>
  </si>
  <si>
    <t>thon57@xs4all.nl</t>
  </si>
  <si>
    <t>oui</t>
  </si>
  <si>
    <t>+31616788954</t>
  </si>
  <si>
    <t>Boerhoorn 35</t>
  </si>
  <si>
    <t>7861BV</t>
  </si>
  <si>
    <t>Oosterhesselen</t>
  </si>
  <si>
    <t>NL</t>
  </si>
  <si>
    <t>C A van Ingen 22/07/1955</t>
  </si>
  <si>
    <t>Graag een vlakke plek</t>
  </si>
  <si>
    <t>Caravane</t>
  </si>
  <si>
    <t>Forfait Grand Confort (1 emplacement 2 adultes électricité 10A + eau et assainissement) 2/6 pers.</t>
  </si>
  <si>
    <t>TARIFICATION A LA NUITÉE</t>
  </si>
  <si>
    <t>202593</t>
  </si>
  <si>
    <t xml:space="preserve">Camping Le Panoramique </t>
  </si>
  <si>
    <t>Puy-de-Dôme</t>
  </si>
  <si>
    <t>PEILLET</t>
  </si>
  <si>
    <t>Philippe</t>
  </si>
  <si>
    <t>philippe.peillet0220@orange.fr</t>
  </si>
  <si>
    <t>0673861882</t>
  </si>
  <si>
    <t>2 Impasse lumière</t>
  </si>
  <si>
    <t>24320</t>
  </si>
  <si>
    <t>CHERVAL</t>
  </si>
  <si>
    <t>1</t>
  </si>
  <si>
    <t>Emplacement: voiture + tente/caravane ou camping-car 1/7 pers.</t>
  </si>
  <si>
    <t>PRIX SEJOUR 2 PERS SANS ELECTRICITE</t>
  </si>
  <si>
    <t>Bienvenue au camping LE PANORAMIQUE 🌞🏕️</t>
  </si>
  <si>
    <t>Total</t>
  </si>
  <si>
    <t>Bookings</t>
  </si>
  <si>
    <t>CA</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</si>
  <si>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</si>
  <si>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</si>
  <si>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</si>
  <si>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</si>
  <si>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</si>
  <si>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</si>
  <si>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</si>
  <si>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</si>
  <si>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</si>
  <si>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</si>
  <si>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</si>
  <si>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</si>
  <si>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10-Sept-2026 -&gt; 10-Sept-2026</t>
  </si>
  <si>
    <t>Réservations</t>
  </si>
  <si>
    <t>Pack E-Trafic Alcampeggio #1603</t>
  </si>
  <si>
    <t>DetailSales</t>
  </si>
  <si>
    <t>Pack Trafic</t>
  </si>
  <si>
    <t>Pack E-Trafic Camping2be.com #1104</t>
  </si>
  <si>
    <t>Par moteur</t>
  </si>
  <si>
    <t>Pack E-Trafic Campingdirect #703</t>
  </si>
  <si>
    <t>Pack E-Trafic Camping-streetview.com #1172</t>
  </si>
  <si>
    <t>Pack E-Trafic Ibericamp #1445</t>
  </si>
  <si>
    <t>Pack E-Trafic Ucamping.com #1552</t>
  </si>
</sst>
</file>

<file path=xl/styles.xml><?xml version="1.0" encoding="utf-8"?>
<styleSheet xmlns="http://schemas.openxmlformats.org/spreadsheetml/2006/main">
  <numFmts count="5">
    <numFmt numFmtId="164" formatCode="dd/MM/yyyy"/>
    <numFmt numFmtId="165" formatCode="dd/MM/yyyy hh:mm"/>
    <numFmt numFmtId="166" formatCode="# ##0.00"/>
    <numFmt numFmtId="167" formatCode="# ##0.00 €"/>
    <numFmt numFmtId="168" formatCode="# ##0 €"/>
  </numFmts>
  <fonts count="2">
    <font>
      <sz val="11"/>
      <name val="Calibri"/>
    </font>
    <font>
      <b/>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5">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25">
    <xf numFmtId="0" fontId="0" xfId="0"/>
    <xf numFmtId="0" fontId="0" fillId="2" applyFill="1" borderId="3"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4" applyBorder="1"/>
    <xf numFmtId="165" applyNumberFormat="1" fontId="0" fillId="3" applyFill="1" borderId="4" applyBorder="1"/>
    <xf numFmtId="0" fontId="0" fillId="3" applyFill="1" borderId="4" applyBorder="1" applyAlignment="1">
      <alignment horizontal="right"/>
    </xf>
    <xf numFmtId="164" applyNumberFormat="1" fontId="0" fillId="3" applyFill="1" borderId="4" applyBorder="1"/>
    <xf numFmtId="49" applyNumberFormat="1" fontId="0" fillId="3" applyFill="1" borderId="4" applyBorder="1"/>
    <xf numFmtId="0" fontId="0" fillId="3" applyFill="1" borderId="4" applyBorder="1">
      <alignment wrapText="1"/>
    </xf>
    <xf numFmtId="166" applyNumberFormat="1" fontId="0" fillId="3" applyFill="1" borderId="4" applyBorder="1"/>
    <xf numFmtId="0" fontId="1" applyFont="1" fillId="2" applyFill="1" borderId="2" applyBorder="1" applyAlignment="1">
      <alignment horizontal="center"/>
    </xf>
    <xf numFmtId="0" fontId="1" applyFont="1" fillId="2" applyFill="1" borderId="2" applyBorder="1" applyAlignment="1">
      <alignment horizontal="center" vertical="center" wrapText="1"/>
    </xf>
    <xf numFmtId="0" fontId="0" fillId="2" applyFill="1" borderId="4" applyBorder="1" applyAlignment="1">
      <alignment horizontal="center"/>
    </xf>
    <xf numFmtId="0" fontId="0" fillId="4" applyFill="1" borderId="1" applyBorder="1"/>
    <xf numFmtId="167" applyNumberFormat="1" fontId="0" fillId="4" applyFill="1" borderId="1" applyBorder="1"/>
    <xf numFmtId="0" fontId="1" applyFont="1" fillId="2" applyFill="1" borderId="1" applyBorder="1" applyAlignment="1">
      <alignment horizontal="center" vertical="center"/>
    </xf>
    <xf numFmtId="168" applyNumberFormat="1" fontId="0" fillId="4" applyFill="1" borderId="1" applyBorder="1"/>
    <xf numFmtId="0" fontId="0" fillId="4" applyFill="1" borderId="3" applyBorder="1" applyAlignment="1">
      <alignment horizontal="center"/>
    </xf>
    <xf numFmtId="0" fontId="0" fillId="3" applyFill="1" borderId="3"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19968979</v>
      </c>
      <c r="B2" s="2"/>
      <c r="C2" s="3">
        <v>46275.4746527778</v>
      </c>
      <c r="D2" s="3"/>
      <c r="E2" s="2">
        <v>250</v>
      </c>
      <c r="F2" s="4" t="s">
        <v>100</v>
      </c>
      <c r="G2" s="2" t="s">
        <v>101</v>
      </c>
      <c r="H2" s="2" t="s">
        <v>102</v>
      </c>
      <c r="I2" s="2" t="s">
        <v>103</v>
      </c>
      <c r="J2" s="2" t="s">
        <v>104</v>
      </c>
      <c r="K2" s="2" t="s">
        <v>105</v>
      </c>
      <c r="L2" s="2">
        <v>703</v>
      </c>
      <c r="M2" s="2" t="s">
        <v>106</v>
      </c>
      <c r="N2" s="5">
        <v>46279</v>
      </c>
      <c r="O2" s="5">
        <v>46280</v>
      </c>
      <c r="P2" s="2">
        <v>1</v>
      </c>
      <c r="Q2" s="2" t="s">
        <v>107</v>
      </c>
      <c r="R2" s="2" t="s">
        <v>108</v>
      </c>
      <c r="S2" s="5">
        <v>23555</v>
      </c>
      <c r="T2" s="2" t="s">
        <v>109</v>
      </c>
      <c r="U2" s="2" t="s">
        <v>110</v>
      </c>
      <c r="V2" s="6" t="s">
        <v>111</v>
      </c>
      <c r="W2" s="2" t="s">
        <v>112</v>
      </c>
      <c r="X2" s="6" t="s">
        <v>113</v>
      </c>
      <c r="Y2" s="2" t="s">
        <v>114</v>
      </c>
      <c r="Z2" s="2" t="s">
        <v>115</v>
      </c>
      <c r="AA2" s="2" t="s">
        <v>115</v>
      </c>
      <c r="AB2" s="6" t="s">
        <v>116</v>
      </c>
      <c r="AC2" s="6"/>
      <c r="AD2" s="2" t="s">
        <v>117</v>
      </c>
      <c r="AE2" s="2" t="s">
        <v>118</v>
      </c>
      <c r="AF2" s="2"/>
      <c r="AG2" s="2"/>
      <c r="AH2" s="2" t="s">
        <v>119</v>
      </c>
      <c r="AI2" s="2" t="s">
        <v>120</v>
      </c>
      <c r="AJ2" s="2">
        <v>32261</v>
      </c>
      <c r="AK2" s="7" t="s">
        <v>116</v>
      </c>
      <c r="AL2" s="7" t="s">
        <v>116</v>
      </c>
      <c r="AM2" s="2" t="s">
        <v>121</v>
      </c>
      <c r="AN2" s="2"/>
      <c r="AO2" s="2"/>
      <c r="AP2" s="2"/>
      <c r="AQ2" s="2"/>
      <c r="AR2" s="2"/>
      <c r="AS2" s="2"/>
      <c r="AT2" s="8"/>
      <c r="AU2" s="8">
        <v>168</v>
      </c>
      <c r="AV2" s="8">
        <v>153</v>
      </c>
      <c r="AW2" s="8">
        <v>0</v>
      </c>
      <c r="AX2" s="2" t="s">
        <v>116</v>
      </c>
      <c r="AY2" s="8">
        <v>168</v>
      </c>
      <c r="AZ2" s="8"/>
      <c r="BA2" s="7"/>
      <c r="BB2" s="8"/>
      <c r="BC2" s="2"/>
      <c r="BD2" s="2" t="s">
        <v>116</v>
      </c>
      <c r="BE2" s="2"/>
      <c r="BF2" s="2"/>
      <c r="BG2" s="7"/>
      <c r="BH2" s="8"/>
      <c r="BI2" s="2"/>
      <c r="BJ2" s="2" t="s">
        <v>116</v>
      </c>
      <c r="BK2" s="2"/>
      <c r="BL2" s="2"/>
      <c r="BM2" s="8"/>
      <c r="BN2" s="2"/>
      <c r="BO2" s="8">
        <v>15</v>
      </c>
      <c r="BP2" s="8"/>
      <c r="BQ2" s="8"/>
      <c r="BR2" s="2"/>
      <c r="BS2" s="2"/>
      <c r="BT2" s="8"/>
      <c r="BU2" s="2" t="s">
        <v>116</v>
      </c>
      <c r="BV2" s="8">
        <v>168</v>
      </c>
      <c r="BW2" s="2" t="s">
        <v>122</v>
      </c>
      <c r="BX2" s="2" t="s">
        <v>123</v>
      </c>
      <c r="BY2" s="2" t="s">
        <v>116</v>
      </c>
      <c r="BZ2" s="2" t="s">
        <v>116</v>
      </c>
      <c r="CA2" s="2" t="s">
        <v>116</v>
      </c>
      <c r="CB2" s="2"/>
      <c r="CC2" s="2"/>
      <c r="CD2" s="2"/>
      <c r="CE2" s="2" t="s">
        <v>124</v>
      </c>
      <c r="CF2" s="3">
        <v>46275.4872118866</v>
      </c>
      <c r="CG2" s="7" t="s">
        <v>125</v>
      </c>
      <c r="CH2" s="7" t="s">
        <v>116</v>
      </c>
      <c r="CI2" s="7" t="s">
        <v>116</v>
      </c>
      <c r="CJ2" s="2"/>
      <c r="CK2" s="2"/>
      <c r="CL2" s="2" t="s">
        <v>126</v>
      </c>
      <c r="CM2" s="2" t="s">
        <v>116</v>
      </c>
      <c r="CN2" s="2" t="s">
        <v>116</v>
      </c>
      <c r="CO2" s="2"/>
      <c r="CP2" s="2"/>
      <c r="CQ2" s="2"/>
      <c r="CR2" s="2" t="s">
        <v>127</v>
      </c>
      <c r="CS2" s="2" t="s">
        <v>116</v>
      </c>
      <c r="CT2" s="2"/>
      <c r="CU2" s="2"/>
      <c r="CV2" s="2"/>
    </row>
    <row r="3">
      <c r="A3" s="2">
        <v>19969416</v>
      </c>
      <c r="B3" s="2"/>
      <c r="C3" s="3">
        <v>46275.5135590625</v>
      </c>
      <c r="D3" s="3"/>
      <c r="E3" s="2">
        <v>4606</v>
      </c>
      <c r="F3" s="4" t="s">
        <v>128</v>
      </c>
      <c r="G3" s="2" t="s">
        <v>129</v>
      </c>
      <c r="H3" s="2" t="s">
        <v>102</v>
      </c>
      <c r="I3" s="2" t="s">
        <v>130</v>
      </c>
      <c r="J3" s="2" t="s">
        <v>131</v>
      </c>
      <c r="K3" s="2" t="s">
        <v>105</v>
      </c>
      <c r="L3" s="2">
        <v>1552</v>
      </c>
      <c r="M3" s="2" t="s">
        <v>132</v>
      </c>
      <c r="N3" s="5">
        <v>46276</v>
      </c>
      <c r="O3" s="5">
        <v>46277</v>
      </c>
      <c r="P3" s="2">
        <v>1</v>
      </c>
      <c r="Q3" s="2" t="s">
        <v>133</v>
      </c>
      <c r="R3" s="2" t="s">
        <v>134</v>
      </c>
      <c r="S3" s="5">
        <v>29146</v>
      </c>
      <c r="T3" s="2" t="s">
        <v>135</v>
      </c>
      <c r="U3" s="2" t="s">
        <v>110</v>
      </c>
      <c r="V3" s="6" t="s">
        <v>136</v>
      </c>
      <c r="W3" s="2" t="s">
        <v>137</v>
      </c>
      <c r="X3" s="6" t="s">
        <v>138</v>
      </c>
      <c r="Y3" s="2" t="s">
        <v>139</v>
      </c>
      <c r="Z3" s="2" t="s">
        <v>115</v>
      </c>
      <c r="AA3" s="2" t="s">
        <v>140</v>
      </c>
      <c r="AB3" s="6" t="s">
        <v>116</v>
      </c>
      <c r="AC3" s="6"/>
      <c r="AD3" s="2" t="s">
        <v>141</v>
      </c>
      <c r="AE3" s="2" t="s">
        <v>142</v>
      </c>
      <c r="AF3" s="2" t="s">
        <v>143</v>
      </c>
      <c r="AG3" s="2" t="s">
        <v>144</v>
      </c>
      <c r="AH3" s="2" t="s">
        <v>145</v>
      </c>
      <c r="AI3" s="2" t="s">
        <v>146</v>
      </c>
      <c r="AJ3" s="2">
        <v>46673</v>
      </c>
      <c r="AK3" s="7"/>
      <c r="AL3" s="7"/>
      <c r="AM3" s="2" t="s">
        <v>147</v>
      </c>
      <c r="AN3" s="2"/>
      <c r="AO3" s="2"/>
      <c r="AP3" s="2"/>
      <c r="AQ3" s="2"/>
      <c r="AR3" s="2"/>
      <c r="AS3" s="2"/>
      <c r="AT3" s="8"/>
      <c r="AU3" s="8">
        <v>25</v>
      </c>
      <c r="AV3" s="8">
        <v>25</v>
      </c>
      <c r="AW3" s="8">
        <v>0</v>
      </c>
      <c r="AX3" s="2" t="s">
        <v>116</v>
      </c>
      <c r="AY3" s="8">
        <v>26.72</v>
      </c>
      <c r="AZ3" s="8"/>
      <c r="BA3" s="7"/>
      <c r="BB3" s="8"/>
      <c r="BC3" s="2"/>
      <c r="BD3" s="2" t="s">
        <v>116</v>
      </c>
      <c r="BE3" s="2"/>
      <c r="BF3" s="2"/>
      <c r="BG3" s="7"/>
      <c r="BH3" s="8"/>
      <c r="BI3" s="2"/>
      <c r="BJ3" s="2" t="s">
        <v>116</v>
      </c>
      <c r="BK3" s="2"/>
      <c r="BL3" s="2"/>
      <c r="BM3" s="8"/>
      <c r="BN3" s="2"/>
      <c r="BO3" s="8">
        <v>0</v>
      </c>
      <c r="BP3" s="8"/>
      <c r="BQ3" s="8">
        <v>1.72</v>
      </c>
      <c r="BR3" s="2"/>
      <c r="BS3" s="2"/>
      <c r="BT3" s="8"/>
      <c r="BU3" s="2" t="s">
        <v>116</v>
      </c>
      <c r="BV3" s="8">
        <v>26.72</v>
      </c>
      <c r="BW3" s="2" t="s">
        <v>122</v>
      </c>
      <c r="BX3" s="2" t="s">
        <v>123</v>
      </c>
      <c r="BY3" s="2" t="s">
        <v>116</v>
      </c>
      <c r="BZ3" s="2" t="s">
        <v>116</v>
      </c>
      <c r="CA3" s="2" t="s">
        <v>116</v>
      </c>
      <c r="CB3" s="2"/>
      <c r="CC3" s="2"/>
      <c r="CD3" s="2"/>
      <c r="CE3" s="2" t="s">
        <v>124</v>
      </c>
      <c r="CF3" s="3">
        <v>46275.5212137384</v>
      </c>
      <c r="CG3" s="7" t="s">
        <v>148</v>
      </c>
      <c r="CH3" s="7" t="s">
        <v>116</v>
      </c>
      <c r="CI3" s="7" t="s">
        <v>116</v>
      </c>
      <c r="CJ3" s="2"/>
      <c r="CK3" s="2"/>
      <c r="CL3" s="2" t="s">
        <v>126</v>
      </c>
      <c r="CM3" s="2" t="s">
        <v>116</v>
      </c>
      <c r="CN3" s="2" t="s">
        <v>116</v>
      </c>
      <c r="CO3" s="2"/>
      <c r="CP3" s="2"/>
      <c r="CQ3" s="2"/>
      <c r="CR3" s="2" t="s">
        <v>116</v>
      </c>
      <c r="CS3" s="2" t="s">
        <v>116</v>
      </c>
      <c r="CT3" s="2"/>
      <c r="CU3" s="2"/>
      <c r="CV3" s="2"/>
    </row>
    <row r="4">
      <c r="A4" s="2">
        <v>19969544</v>
      </c>
      <c r="B4" s="2"/>
      <c r="C4" s="3">
        <v>46275.5259364236</v>
      </c>
      <c r="D4" s="3"/>
      <c r="E4" s="2">
        <v>3914</v>
      </c>
      <c r="F4" s="4" t="s">
        <v>149</v>
      </c>
      <c r="G4" s="2" t="s">
        <v>150</v>
      </c>
      <c r="H4" s="2" t="s">
        <v>102</v>
      </c>
      <c r="I4" s="2" t="s">
        <v>151</v>
      </c>
      <c r="J4" s="2" t="s">
        <v>152</v>
      </c>
      <c r="K4" s="2" t="s">
        <v>105</v>
      </c>
      <c r="L4" s="2">
        <v>703</v>
      </c>
      <c r="M4" s="2" t="s">
        <v>106</v>
      </c>
      <c r="N4" s="5">
        <v>46280</v>
      </c>
      <c r="O4" s="5">
        <v>46287</v>
      </c>
      <c r="P4" s="2">
        <v>7</v>
      </c>
      <c r="Q4" s="2" t="s">
        <v>153</v>
      </c>
      <c r="R4" s="2" t="s">
        <v>154</v>
      </c>
      <c r="S4" s="5">
        <v>20900</v>
      </c>
      <c r="T4" s="2" t="s">
        <v>155</v>
      </c>
      <c r="U4" s="2" t="s">
        <v>156</v>
      </c>
      <c r="V4" s="6" t="s">
        <v>157</v>
      </c>
      <c r="W4" s="2" t="s">
        <v>158</v>
      </c>
      <c r="X4" s="6" t="s">
        <v>159</v>
      </c>
      <c r="Y4" s="2" t="s">
        <v>160</v>
      </c>
      <c r="Z4" s="2" t="s">
        <v>161</v>
      </c>
      <c r="AA4" s="2" t="s">
        <v>161</v>
      </c>
      <c r="AB4" s="6" t="s">
        <v>116</v>
      </c>
      <c r="AC4" s="6"/>
      <c r="AD4" s="2" t="s">
        <v>162</v>
      </c>
      <c r="AE4" s="2" t="s">
        <v>142</v>
      </c>
      <c r="AF4" s="2" t="s">
        <v>163</v>
      </c>
      <c r="AG4" s="2" t="s">
        <v>164</v>
      </c>
      <c r="AH4" s="2" t="s">
        <v>145</v>
      </c>
      <c r="AI4" s="2" t="s">
        <v>165</v>
      </c>
      <c r="AJ4" s="2">
        <v>23720</v>
      </c>
      <c r="AK4" s="7"/>
      <c r="AL4" s="7"/>
      <c r="AM4" s="2" t="s">
        <v>166</v>
      </c>
      <c r="AN4" s="2"/>
      <c r="AO4" s="2"/>
      <c r="AP4" s="2"/>
      <c r="AQ4" s="2"/>
      <c r="AR4" s="2"/>
      <c r="AS4" s="2"/>
      <c r="AT4" s="8"/>
      <c r="AU4" s="8">
        <v>155</v>
      </c>
      <c r="AV4" s="8">
        <v>154</v>
      </c>
      <c r="AW4" s="8">
        <v>0</v>
      </c>
      <c r="AX4" s="2" t="s">
        <v>116</v>
      </c>
      <c r="AY4" s="8">
        <v>39.5</v>
      </c>
      <c r="AZ4" s="8"/>
      <c r="BA4" s="7"/>
      <c r="BB4" s="8"/>
      <c r="BC4" s="2"/>
      <c r="BD4" s="2" t="s">
        <v>116</v>
      </c>
      <c r="BE4" s="2"/>
      <c r="BF4" s="2"/>
      <c r="BG4" s="7"/>
      <c r="BH4" s="8"/>
      <c r="BI4" s="2"/>
      <c r="BJ4" s="2" t="s">
        <v>116</v>
      </c>
      <c r="BK4" s="2"/>
      <c r="BL4" s="2"/>
      <c r="BM4" s="8"/>
      <c r="BN4" s="2"/>
      <c r="BO4" s="8">
        <v>1</v>
      </c>
      <c r="BP4" s="8"/>
      <c r="BQ4" s="8">
        <v>17.5</v>
      </c>
      <c r="BR4" s="2"/>
      <c r="BS4" s="2"/>
      <c r="BT4" s="8"/>
      <c r="BU4" s="2" t="s">
        <v>116</v>
      </c>
      <c r="BV4" s="8">
        <v>172.5</v>
      </c>
      <c r="BW4" s="2" t="s">
        <v>122</v>
      </c>
      <c r="BX4" s="2" t="s">
        <v>123</v>
      </c>
      <c r="BY4" s="2" t="s">
        <v>116</v>
      </c>
      <c r="BZ4" s="2" t="s">
        <v>116</v>
      </c>
      <c r="CA4" s="2" t="s">
        <v>116</v>
      </c>
      <c r="CB4" s="2"/>
      <c r="CC4" s="2"/>
      <c r="CD4" s="2"/>
      <c r="CE4" s="2" t="s">
        <v>124</v>
      </c>
      <c r="CF4" s="3">
        <v>46275.6046722222</v>
      </c>
      <c r="CG4" s="7"/>
      <c r="CH4" s="7" t="s">
        <v>116</v>
      </c>
      <c r="CI4" s="7" t="s">
        <v>116</v>
      </c>
      <c r="CJ4" s="2"/>
      <c r="CK4" s="2"/>
      <c r="CL4" s="2" t="s">
        <v>126</v>
      </c>
      <c r="CM4" s="2" t="s">
        <v>116</v>
      </c>
      <c r="CN4" s="2" t="s">
        <v>116</v>
      </c>
      <c r="CO4" s="2"/>
      <c r="CP4" s="2"/>
      <c r="CQ4" s="2"/>
      <c r="CR4" s="2" t="s">
        <v>116</v>
      </c>
      <c r="CS4" s="2" t="s">
        <v>116</v>
      </c>
      <c r="CT4" s="2"/>
      <c r="CU4" s="2"/>
      <c r="CV4" s="2"/>
    </row>
    <row r="5">
      <c r="A5" s="9">
        <v>19970404</v>
      </c>
      <c r="B5" s="9"/>
      <c r="C5" s="10">
        <v>46275.6156305903</v>
      </c>
      <c r="D5" s="10"/>
      <c r="E5" s="9">
        <v>5065</v>
      </c>
      <c r="F5" s="11" t="s">
        <v>167</v>
      </c>
      <c r="G5" s="9" t="s">
        <v>168</v>
      </c>
      <c r="H5" s="9" t="s">
        <v>102</v>
      </c>
      <c r="I5" s="9" t="s">
        <v>103</v>
      </c>
      <c r="J5" s="9" t="s">
        <v>169</v>
      </c>
      <c r="K5" s="9" t="s">
        <v>105</v>
      </c>
      <c r="L5" s="9">
        <v>703</v>
      </c>
      <c r="M5" s="9" t="s">
        <v>106</v>
      </c>
      <c r="N5" s="12">
        <v>46277</v>
      </c>
      <c r="O5" s="12">
        <v>46278</v>
      </c>
      <c r="P5" s="9">
        <v>1</v>
      </c>
      <c r="Q5" s="9" t="s">
        <v>170</v>
      </c>
      <c r="R5" s="9" t="s">
        <v>171</v>
      </c>
      <c r="S5" s="12">
        <v>23670</v>
      </c>
      <c r="T5" s="9" t="s">
        <v>172</v>
      </c>
      <c r="U5" s="9" t="s">
        <v>110</v>
      </c>
      <c r="V5" s="13" t="s">
        <v>173</v>
      </c>
      <c r="W5" s="9" t="s">
        <v>174</v>
      </c>
      <c r="X5" s="13" t="s">
        <v>175</v>
      </c>
      <c r="Y5" s="9" t="s">
        <v>176</v>
      </c>
      <c r="Z5" s="9" t="s">
        <v>115</v>
      </c>
      <c r="AA5" s="9" t="s">
        <v>115</v>
      </c>
      <c r="AB5" s="13" t="s">
        <v>116</v>
      </c>
      <c r="AC5" s="13"/>
      <c r="AD5" s="9" t="s">
        <v>116</v>
      </c>
      <c r="AE5" s="9" t="s">
        <v>177</v>
      </c>
      <c r="AF5" s="9"/>
      <c r="AG5" s="9"/>
      <c r="AH5" s="9" t="s">
        <v>145</v>
      </c>
      <c r="AI5" s="9" t="s">
        <v>178</v>
      </c>
      <c r="AJ5" s="9">
        <v>38963</v>
      </c>
      <c r="AK5" s="14"/>
      <c r="AL5" s="14"/>
      <c r="AM5" s="9" t="s">
        <v>179</v>
      </c>
      <c r="AN5" s="9"/>
      <c r="AO5" s="9"/>
      <c r="AP5" s="9"/>
      <c r="AQ5" s="9"/>
      <c r="AR5" s="9"/>
      <c r="AS5" s="9"/>
      <c r="AT5" s="15"/>
      <c r="AU5" s="15">
        <v>18</v>
      </c>
      <c r="AV5" s="15">
        <v>18</v>
      </c>
      <c r="AW5" s="15">
        <v>0</v>
      </c>
      <c r="AX5" s="9" t="s">
        <v>116</v>
      </c>
      <c r="AY5" s="15">
        <v>18</v>
      </c>
      <c r="AZ5" s="15"/>
      <c r="BA5" s="14"/>
      <c r="BB5" s="15"/>
      <c r="BC5" s="9"/>
      <c r="BD5" s="9" t="s">
        <v>116</v>
      </c>
      <c r="BE5" s="9"/>
      <c r="BF5" s="9"/>
      <c r="BG5" s="14"/>
      <c r="BH5" s="15"/>
      <c r="BI5" s="9"/>
      <c r="BJ5" s="9" t="s">
        <v>116</v>
      </c>
      <c r="BK5" s="9"/>
      <c r="BL5" s="9"/>
      <c r="BM5" s="15"/>
      <c r="BN5" s="9"/>
      <c r="BO5" s="15">
        <v>0</v>
      </c>
      <c r="BP5" s="15"/>
      <c r="BQ5" s="15"/>
      <c r="BR5" s="9"/>
      <c r="BS5" s="9"/>
      <c r="BT5" s="15"/>
      <c r="BU5" s="9" t="s">
        <v>116</v>
      </c>
      <c r="BV5" s="15">
        <v>18</v>
      </c>
      <c r="BW5" s="9" t="s">
        <v>122</v>
      </c>
      <c r="BX5" s="9" t="s">
        <v>123</v>
      </c>
      <c r="BY5" s="9" t="s">
        <v>116</v>
      </c>
      <c r="BZ5" s="9" t="s">
        <v>116</v>
      </c>
      <c r="CA5" s="9" t="s">
        <v>116</v>
      </c>
      <c r="CB5" s="9"/>
      <c r="CC5" s="9"/>
      <c r="CD5" s="9"/>
      <c r="CE5" s="9" t="s">
        <v>124</v>
      </c>
      <c r="CF5" s="10">
        <v>46275.6178396181</v>
      </c>
      <c r="CG5" s="14" t="s">
        <v>180</v>
      </c>
      <c r="CH5" s="14" t="s">
        <v>116</v>
      </c>
      <c r="CI5" s="14" t="s">
        <v>116</v>
      </c>
      <c r="CJ5" s="9"/>
      <c r="CK5" s="9"/>
      <c r="CL5" s="9" t="s">
        <v>126</v>
      </c>
      <c r="CM5" s="9" t="s">
        <v>116</v>
      </c>
      <c r="CN5" s="9" t="s">
        <v>116</v>
      </c>
      <c r="CO5" s="9"/>
      <c r="CP5" s="9"/>
      <c r="CQ5" s="9"/>
      <c r="CR5" s="9" t="s">
        <v>116</v>
      </c>
      <c r="CS5" s="9" t="s">
        <v>116</v>
      </c>
      <c r="CT5" s="9"/>
      <c r="CU5" s="9"/>
      <c r="CV5" s="9"/>
    </row>
  </sheetData>
  <conditionalFormatting sqref="A2:CV5">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1" topLeftCell="A2" state="frozen" activePane="bottomLeft"/>
      <selection pane="bottomLeft" activeCell="A1" sqref="A1"/>
    </sheetView>
  </sheetViews>
  <sheetFormatPr defaultRowHeight="15"/>
  <cols>
    <col min="1" max="1" width="15" customWidth="1"/>
    <col min="2" max="2" width="15" customWidth="1"/>
    <col min="3" max="3" width="15" customWidth="1"/>
    <col min="4" max="4" width="15" customWidth="1"/>
    <col min="5" max="5" width="15" customWidth="1"/>
    <col min="6" max="6" width="15" customWidth="1"/>
  </cols>
  <sheetData>
    <row r="1">
      <c r="A1" s="16" t="s">
        <v>105</v>
      </c>
      <c r="B1" s="16" t="s">
        <v>105</v>
      </c>
      <c r="C1" s="16" t="s">
        <v>105</v>
      </c>
      <c r="D1" s="16" t="s">
        <v>105</v>
      </c>
      <c r="E1" s="21" t="s">
        <v>181</v>
      </c>
      <c r="F1" s="21" t="s">
        <v>181</v>
      </c>
    </row>
    <row r="2">
      <c r="A2" s="17" t="s">
        <v>106</v>
      </c>
      <c r="B2" s="17" t="s">
        <v>106</v>
      </c>
      <c r="C2" s="17" t="s">
        <v>132</v>
      </c>
      <c r="D2" s="17" t="s">
        <v>132</v>
      </c>
      <c r="E2" s="21" t="s">
        <v>181</v>
      </c>
      <c r="F2" s="21" t="s">
        <v>181</v>
      </c>
    </row>
    <row r="3">
      <c r="A3" s="18" t="s">
        <v>182</v>
      </c>
      <c r="B3" s="18" t="s">
        <v>183</v>
      </c>
      <c r="C3" s="18" t="s">
        <v>182</v>
      </c>
      <c r="D3" s="18" t="s">
        <v>183</v>
      </c>
      <c r="E3" s="18" t="s">
        <v>182</v>
      </c>
      <c r="F3" s="18" t="s">
        <v>183</v>
      </c>
    </row>
    <row r="4">
      <c r="A4" s="19">
        <v>3</v>
      </c>
      <c r="B4" s="20">
        <v>341</v>
      </c>
      <c r="C4" s="19">
        <v>1</v>
      </c>
      <c r="D4" s="20">
        <v>25</v>
      </c>
      <c r="E4" s="19">
        <f> A4 + C4</f>
      </c>
      <c r="F4" s="22">
        <f> B4 + D4</f>
      </c>
    </row>
  </sheetData>
  <mergeCells>
    <mergeCell ref="A1:D1"/>
    <mergeCell ref="A2:B2"/>
    <mergeCell ref="C2:D2"/>
    <mergeCell ref="E1:F2"/>
  </mergeCells>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8"/>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184</v>
      </c>
      <c r="B1" s="1" t="s">
        <v>185</v>
      </c>
      <c r="C1" s="1" t="s">
        <v>186</v>
      </c>
      <c r="D1" s="1" t="s">
        <v>187</v>
      </c>
      <c r="E1" s="1" t="s">
        <v>188</v>
      </c>
      <c r="F1" s="1" t="s">
        <v>188</v>
      </c>
      <c r="G1" s="1" t="s">
        <v>188</v>
      </c>
    </row>
    <row r="2">
      <c r="A2" s="23" t="s">
        <v>184</v>
      </c>
      <c r="B2" s="23" t="s">
        <v>189</v>
      </c>
      <c r="C2" s="23" t="s">
        <v>190</v>
      </c>
      <c r="D2" s="23" t="s">
        <v>191</v>
      </c>
      <c r="E2" s="23" t="s">
        <v>192</v>
      </c>
      <c r="F2" s="23" t="s">
        <v>193</v>
      </c>
      <c r="G2" s="23" t="s">
        <v>194</v>
      </c>
    </row>
    <row r="3">
      <c r="A3" s="24" t="s">
        <v>195</v>
      </c>
      <c r="B3" s="24" t="s">
        <v>196</v>
      </c>
      <c r="C3" s="24" t="s">
        <v>197</v>
      </c>
      <c r="D3" s="24" t="s">
        <v>198</v>
      </c>
      <c r="E3" s="24" t="s">
        <v>199</v>
      </c>
      <c r="F3" s="24" t="s">
        <v>115</v>
      </c>
      <c r="G3" s="24" t="s">
        <v>200</v>
      </c>
    </row>
    <row r="4">
      <c r="D4" s="24" t="s">
        <v>201</v>
      </c>
      <c r="E4" s="24" t="s">
        <v>202</v>
      </c>
    </row>
    <row r="5">
      <c r="D5" s="24" t="s">
        <v>203</v>
      </c>
    </row>
    <row r="6">
      <c r="D6" s="24" t="s">
        <v>204</v>
      </c>
    </row>
    <row r="7">
      <c r="D7" s="24" t="s">
        <v>205</v>
      </c>
    </row>
    <row r="8">
      <c r="D8" s="24" t="s">
        <v>206</v>
      </c>
    </row>
  </sheetData>
  <mergeCells>
    <mergeCell ref="A1"/>
    <mergeCell ref="B1"/>
    <mergeCell ref="C1"/>
    <mergeCell ref="D1"/>
    <mergeCell ref="E1:G1"/>
  </mergeCells>
  <headerFooter/>
</worksheet>
</file>