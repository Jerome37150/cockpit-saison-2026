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Global!$A$2:$AM$35</definedName>
    <definedName name="_xlnm._FilterDatabase" localSheetId="2" hidden="1">Establishment!$A$2:$AN$1056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<sst xmlns="http://schemas.openxmlformats.org/spreadsheetml/2006/main" count="1400" uniqueCount="1400">
  <si>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</si>
  <si>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</si>
  <si>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</si>
  <si>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</si>
  <si>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</si>
  <si>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</si>
  <si>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</si>
  <si>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</si>
  <si>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</si>
  <si>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</si>
  <si>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</si>
  <si>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</si>
  <si>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</si>
  <si>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</si>
  <si>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</si>
  <si>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</si>
  <si>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</si>
  <si>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</si>
  <si>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</si>
  <si>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</si>
  <si>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</si>
  <si>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</si>
  <si>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</si>
  <si>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</si>
  <si>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</si>
  <si>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</si>
  <si>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</si>
  <si>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</si>
  <si>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</si>
  <si>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</si>
  <si>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</si>
  <si>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</si>
  <si>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</si>
  <si>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</si>
  <si>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</si>
  <si>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</si>
  <si>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</si>
  <si>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</si>
  <si>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</si>
  <si>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</si>
  <si>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</si>
  <si>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</si>
  <si>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</si>
  <si>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</si>
  <si>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</si>
  <si>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</si>
  <si>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</si>
  <si>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</si>
  <si>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</si>
  <si>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</si>
  <si>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</si>
  <si>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</si>
  <si>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</si>
  <si>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</si>
  <si>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Campingfrankreich.net</t>
  </si>
  <si>
    <t>PPC Première Page</t>
  </si>
  <si>
    <t>PPC Campio et Stellplatz App</t>
  </si>
  <si>
    <t>PPC camping-slovenie.nl</t>
  </si>
  <si>
    <t>PPC Camperguru</t>
  </si>
  <si>
    <t>PPC CampPilot - StayFree-Vanlife</t>
  </si>
  <si>
    <t>TOTAL</t>
  </si>
  <si>
    <t>IdSh</t>
  </si>
  <si>
    <t>EstablishmentName</t>
  </si>
  <si>
    <t>Country</t>
  </si>
  <si>
    <t>Region</t>
  </si>
  <si>
    <t>Department</t>
  </si>
  <si>
    <t>Camping L'Isle Verte</t>
  </si>
  <si>
    <t>France</t>
  </si>
  <si>
    <t>Pays de la Loire</t>
  </si>
  <si>
    <t>Maine-et-Loire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</si>
  <si>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</si>
  <si>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</si>
  <si>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</si>
  <si>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</si>
  <si>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</si>
  <si>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</si>
  <si>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</si>
  <si>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</si>
  <si>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 xml:space="preserve">Camping  Holiday Green</t>
  </si>
  <si>
    <t>Provence-Alpes-Côte d'Azur</t>
  </si>
  <si>
    <t>Var</t>
  </si>
  <si>
    <t>Domaine de Bélézy</t>
  </si>
  <si>
    <t>Vaucluse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</si>
  <si>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</si>
  <si>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</si>
  <si>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</si>
  <si>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</si>
  <si>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</si>
  <si>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</si>
  <si>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</si>
  <si>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</si>
  <si>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</si>
  <si>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</si>
  <si>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</si>
  <si>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Le Coin Tranquille C'est Si Bon</t>
  </si>
  <si>
    <t>Isère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</si>
  <si>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</si>
  <si>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</si>
  <si>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</si>
  <si>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</si>
  <si>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</si>
  <si>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</si>
  <si>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Les Lanchettes</t>
  </si>
  <si>
    <t>Savoie</t>
  </si>
  <si>
    <t>Sites et Paysages de Penboch</t>
  </si>
  <si>
    <t>Bretagne</t>
  </si>
  <si>
    <t>Morbihan</t>
  </si>
  <si>
    <t>ROMANEE La Citadelle</t>
  </si>
  <si>
    <t>Centre-Val de Loire</t>
  </si>
  <si>
    <t>Indre-et-Loire</t>
  </si>
  <si>
    <t>Lou P'tit Poun</t>
  </si>
  <si>
    <t>Nouvelle-Aquitaine</t>
  </si>
  <si>
    <t>Landes</t>
  </si>
  <si>
    <t>Camping La Grande Tortue</t>
  </si>
  <si>
    <t>Loir-et-Cher</t>
  </si>
  <si>
    <t>Camping Terra Verdon</t>
  </si>
  <si>
    <t>Alpes-de-Haute-Provence</t>
  </si>
  <si>
    <t>Camping Naturiste Arnaoutchot</t>
  </si>
  <si>
    <t>Centre de Vacances Naturiste le Colombier</t>
  </si>
  <si>
    <t>YELLOH! VILLAGE - LE BRASILIA</t>
  </si>
  <si>
    <t>Pyrénées-Orientales</t>
  </si>
  <si>
    <t>DOMAINE NATURISTE RIVA BELLA</t>
  </si>
  <si>
    <t>Camping Domaine Saint Laurent</t>
  </si>
  <si>
    <t>Aude</t>
  </si>
  <si>
    <t>Creuse Nature Naturisme</t>
  </si>
  <si>
    <t>Creuse</t>
  </si>
  <si>
    <t>Domaine Les Nids du Lac</t>
  </si>
  <si>
    <t>Vosges</t>
  </si>
  <si>
    <t>Camping Club Tikayan La Vallée du Paradis</t>
  </si>
  <si>
    <t>Castel Camping Les Bois du Bardelet</t>
  </si>
  <si>
    <t>Loiret</t>
  </si>
  <si>
    <t>Camping Qualité Le Paisserou</t>
  </si>
  <si>
    <t>Aveyron</t>
  </si>
  <si>
    <t>Camping Le Val Saint Jean</t>
  </si>
  <si>
    <t>Cantal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</si>
  <si>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</si>
  <si>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</si>
  <si>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</si>
  <si>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</si>
  <si>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</si>
  <si>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</si>
  <si>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</si>
  <si>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Bourgogne-Franche-Comté</t>
  </si>
  <si>
    <t>Jura</t>
  </si>
  <si>
    <t>La Colombière</t>
  </si>
  <si>
    <t>Haute-Savoie</t>
  </si>
  <si>
    <t>Domaine résidentiel naturiste La Jenny</t>
  </si>
  <si>
    <t>Gironde</t>
  </si>
  <si>
    <t>Château le Verdoyer</t>
  </si>
  <si>
    <t>Dordogne</t>
  </si>
  <si>
    <t>Camping La Marjorie</t>
  </si>
  <si>
    <t>L'Escale Village</t>
  </si>
  <si>
    <t>Flower Camping Caravaning Les Aubépines</t>
  </si>
  <si>
    <t>Somme</t>
  </si>
  <si>
    <t>Euronat Village Naturiste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</si>
  <si>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</si>
  <si>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</si>
  <si>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</si>
  <si>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</si>
  <si>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</si>
  <si>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</si>
  <si>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</si>
  <si>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Camping Amfora</t>
  </si>
  <si>
    <t>Espagne</t>
  </si>
  <si>
    <t>Catalogne</t>
  </si>
  <si>
    <t>Gérone</t>
  </si>
  <si>
    <t>Camping Les Mouettes</t>
  </si>
  <si>
    <t>Camping La Gallouette</t>
  </si>
  <si>
    <t>Wecamp Pedraforca</t>
  </si>
  <si>
    <t>Barcelone</t>
  </si>
  <si>
    <t>Camping Platja Cambrils</t>
  </si>
  <si>
    <t>Tarragone</t>
  </si>
  <si>
    <t>Camping Bungalows Don Cactus</t>
  </si>
  <si>
    <t>Andalousie</t>
  </si>
  <si>
    <t>Grenade</t>
  </si>
  <si>
    <t>Camping Roche</t>
  </si>
  <si>
    <t>Cadix</t>
  </si>
  <si>
    <t>Camping La Rueda</t>
  </si>
  <si>
    <t>Camping Cabopino</t>
  </si>
  <si>
    <t>Malaga</t>
  </si>
  <si>
    <t>Camping El Far</t>
  </si>
  <si>
    <t>Camping Laguna Playa</t>
  </si>
  <si>
    <t>Interpals Eco Resort</t>
  </si>
  <si>
    <t>Camping Balcon de Pitres</t>
  </si>
  <si>
    <t>Camping Los Escullos</t>
  </si>
  <si>
    <t>Alméria</t>
  </si>
  <si>
    <t>Camping Le Vieux Port Resort &amp; Spa</t>
  </si>
  <si>
    <t>Siblu – Mar Estang</t>
  </si>
  <si>
    <t>Camping Homair - Le Ried</t>
  </si>
  <si>
    <t>Bas-Rhin</t>
  </si>
  <si>
    <t>Camping LE CHATEAU</t>
  </si>
  <si>
    <t>Camping Le Caussanel</t>
  </si>
  <si>
    <t>Sandaya Le P'tit Bois</t>
  </si>
  <si>
    <t>Ille-et-Vilaine</t>
  </si>
  <si>
    <t>Airotel 2 Plages &amp; Océan</t>
  </si>
  <si>
    <t>Charente-Maritime</t>
  </si>
  <si>
    <t>Camping L'Hirondelle France *****</t>
  </si>
  <si>
    <t>Drôme</t>
  </si>
  <si>
    <t>Le Moulin</t>
  </si>
  <si>
    <t>Haute-Garonne</t>
  </si>
  <si>
    <t>Camping Le Paradis</t>
  </si>
  <si>
    <t>Camping Sunêlia Le Séquoia</t>
  </si>
  <si>
    <t>Lot</t>
  </si>
  <si>
    <t>Camping LA PRESQU'ILE DE GIENS</t>
  </si>
  <si>
    <t>Flower Camping la Pinède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</si>
  <si>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</si>
  <si>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</si>
  <si>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</si>
  <si>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</si>
  <si>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</si>
  <si>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</si>
  <si>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CHM Monta</t>
  </si>
  <si>
    <t>Camping le Moulin</t>
  </si>
  <si>
    <t>Camping Naturiste Les Aillos</t>
  </si>
  <si>
    <t>Camping Urbasa Bioitza</t>
  </si>
  <si>
    <t>Navarre</t>
  </si>
  <si>
    <t>Orbaibar</t>
  </si>
  <si>
    <t>Camping le Futuriste</t>
  </si>
  <si>
    <t>Vienne</t>
  </si>
  <si>
    <t>Esterel Caravaning</t>
  </si>
  <si>
    <t>Domaine de la Bergerie</t>
  </si>
  <si>
    <t>Le Pertuis du Rofo</t>
  </si>
  <si>
    <t>Camping Catinaccio Rosengarten</t>
  </si>
  <si>
    <t>Trentin-Haut-Adige</t>
  </si>
  <si>
    <t>Provincia di Trento</t>
  </si>
  <si>
    <t>Castel Camping Château de Poinsouze</t>
  </si>
  <si>
    <t>Siblu – Domaine de Kerlann</t>
  </si>
  <si>
    <t>Finistère</t>
  </si>
  <si>
    <t>Siblu – La Réserve</t>
  </si>
  <si>
    <t>Siblu – Le Lac des Rêves</t>
  </si>
  <si>
    <t>Camping du Lac de Saint Cyr</t>
  </si>
  <si>
    <t>Camping Parc Bellevue</t>
  </si>
  <si>
    <t>Domaine Aramis</t>
  </si>
  <si>
    <t>Gers</t>
  </si>
  <si>
    <t>RCN Val de Cantobre</t>
  </si>
  <si>
    <t>Flower Camping Le Haut Dick</t>
  </si>
  <si>
    <t>Camping Le Deffay</t>
  </si>
  <si>
    <t>Loire-Atlantique</t>
  </si>
  <si>
    <t>Flower Camping La Guichardière</t>
  </si>
  <si>
    <t>Camping de Mindin - Camping Qualité</t>
  </si>
  <si>
    <t>Camping Sandaya Le Moulin de l'Eclis</t>
  </si>
  <si>
    <t>Camping Le Welcome</t>
  </si>
  <si>
    <t>Camping L'Eden</t>
  </si>
  <si>
    <t>Camping la Chabotière</t>
  </si>
  <si>
    <t>Sarthe</t>
  </si>
  <si>
    <t>Camping Eleovic</t>
  </si>
  <si>
    <t>Camping Homair - Domaine de la Brèche</t>
  </si>
  <si>
    <t>Camping Aux Coeurs Vendéens</t>
  </si>
  <si>
    <t>Flower Camping Le Petit Paris</t>
  </si>
  <si>
    <t>Camping Les Charmes</t>
  </si>
  <si>
    <t>Flower Camping Au Bois Des Biches</t>
  </si>
  <si>
    <t>Camping Eden Villages Le Caravan'Ile</t>
  </si>
  <si>
    <t>Camping Homair - Château de Fonrives</t>
  </si>
  <si>
    <t>Lot-et-Garonne</t>
  </si>
  <si>
    <t>Camping LES CERISIERS</t>
  </si>
  <si>
    <t>Camping ROC DE L'ARCHE</t>
  </si>
  <si>
    <t>Camping Les Erables</t>
  </si>
  <si>
    <t>Camping Les Bords du Tarn</t>
  </si>
  <si>
    <t>Camping LE ROC QUI PARLE</t>
  </si>
  <si>
    <t>Flower Camping PEYRELADE</t>
  </si>
  <si>
    <t>Camping BELLERIVE</t>
  </si>
  <si>
    <t xml:space="preserve">Camping Domaine de  La SERRE</t>
  </si>
  <si>
    <t>Ariège</t>
  </si>
  <si>
    <t>Camping Le Roc del Rey</t>
  </si>
  <si>
    <t>Camping DU LAC</t>
  </si>
  <si>
    <t>Camping Les 4 Saisons</t>
  </si>
  <si>
    <t>Yelloh ! Village Les Mouettes</t>
  </si>
  <si>
    <t>Camping la Prade</t>
  </si>
  <si>
    <t>Tarn</t>
  </si>
  <si>
    <t>Camping LE CLOS DE LA LERE</t>
  </si>
  <si>
    <t>Tarn-et-Garonne</t>
  </si>
  <si>
    <t>Camping écovillage SOLEIL DU PIBESTE</t>
  </si>
  <si>
    <t>Hautes-Pyrénées</t>
  </si>
  <si>
    <t xml:space="preserve"> AZUN NATURE Chalets-Camping &amp; Spa</t>
  </si>
  <si>
    <t>Camping LE MONLOO</t>
  </si>
  <si>
    <t>Flower Camping Pyrénées Natura</t>
  </si>
  <si>
    <t>Camping LE RUISSEAU</t>
  </si>
  <si>
    <t>Camping La Forêt</t>
  </si>
  <si>
    <t>Camping PLEIN SOLEIL</t>
  </si>
  <si>
    <t>Camping Pradelongue</t>
  </si>
  <si>
    <t>Camping NAMASTE</t>
  </si>
  <si>
    <t>Camping Les Berges du Célé</t>
  </si>
  <si>
    <t>Camping RIVIERE DE CABESSUT</t>
  </si>
  <si>
    <t>Flower Camping l'Escale du Perthuis</t>
  </si>
  <si>
    <t>Camping LES CHENES CLAIRS</t>
  </si>
  <si>
    <t>Sites et Paysages Les Hirondelles</t>
  </si>
  <si>
    <t>CAMPING LE CLOS BOUYSSAC</t>
  </si>
  <si>
    <t>Camping du PIGEONNIER</t>
  </si>
  <si>
    <t>Camping LE ROC</t>
  </si>
  <si>
    <t>Camping Les Cigales</t>
  </si>
  <si>
    <t>Camping LA TRUFFIERE à Saint Cirq Lapopie</t>
  </si>
  <si>
    <t>Camping Les Borgnes</t>
  </si>
  <si>
    <t>Sunêlia Mas de Nicolas</t>
  </si>
  <si>
    <t>Bouches-du-Rhône</t>
  </si>
  <si>
    <t>Camping Jardins de Kergal</t>
  </si>
  <si>
    <t>Camping La Pineda de Salou</t>
  </si>
  <si>
    <t>Ushuaïa Villages - Camping l'Estuaire ***</t>
  </si>
  <si>
    <t>Camping Les Jardins d'Agathe Maeva Escapades</t>
  </si>
  <si>
    <t>Camping de la Liez</t>
  </si>
  <si>
    <t>Haute-Marne</t>
  </si>
  <si>
    <t>Camping Port'Land</t>
  </si>
  <si>
    <t>Calvados</t>
  </si>
  <si>
    <t>YELLOH! VILLAGE - LES PINS</t>
  </si>
  <si>
    <t>Côtes-d'Armor</t>
  </si>
  <si>
    <t>Flower Camping Le Grand Large</t>
  </si>
  <si>
    <t>YELLOH! VILLAGE - L'OCEAN BRETON</t>
  </si>
  <si>
    <t>Siblu – Le Conguel</t>
  </si>
  <si>
    <t>Camping Homair - Les Menhirs</t>
  </si>
  <si>
    <t>Camping DOMAINE D'INLY</t>
  </si>
  <si>
    <t>ROMANEE Chatelet</t>
  </si>
  <si>
    <t>ROMANEE Kervilor</t>
  </si>
  <si>
    <t>Camping - Club Mahana</t>
  </si>
  <si>
    <t>Camping Les Ecureuils</t>
  </si>
  <si>
    <t>Camping Lloret Blau</t>
  </si>
  <si>
    <t>Auberge &amp; Camping Sabatoux</t>
  </si>
  <si>
    <t>Camping Boslust</t>
  </si>
  <si>
    <t>Pays-Bas</t>
  </si>
  <si>
    <t>Gueldre</t>
  </si>
  <si>
    <t>UNKNOWN</t>
  </si>
  <si>
    <t>Chadotel Les Jardins Catalans</t>
  </si>
  <si>
    <t>Camping L'Orangerie de Beauregard</t>
  </si>
  <si>
    <t>Camping Lacasa</t>
  </si>
  <si>
    <t>Corse-du-Sud</t>
  </si>
  <si>
    <t>Camping le Mas des Roses</t>
  </si>
  <si>
    <t>Camping de la Corsive</t>
  </si>
  <si>
    <t>Camping la Mer Blanche</t>
  </si>
  <si>
    <t>Camping Ecoresponsable Le Rêve</t>
  </si>
  <si>
    <t xml:space="preserve">-- DOMAINE MON CALME --   Camping &amp; Appart Hôtel</t>
  </si>
  <si>
    <t>Hermitage des Dunes</t>
  </si>
  <si>
    <t>Vakantiepark Bonte Vlucht</t>
  </si>
  <si>
    <t>Utrecht</t>
  </si>
  <si>
    <t>Résidences &amp; Camping Le Napoléon</t>
  </si>
  <si>
    <t>Hautes-Alpes</t>
  </si>
  <si>
    <t>Camping Seasonova Sous le Moulin</t>
  </si>
  <si>
    <t>Camping Clair Matin</t>
  </si>
  <si>
    <t>Camping le Vercors</t>
  </si>
  <si>
    <t>Camping Le Colporteur</t>
  </si>
  <si>
    <t>Camping Le Château de Rochetaillée</t>
  </si>
  <si>
    <t>Camping Domaine Beauséjour</t>
  </si>
  <si>
    <t>Camping Le Champ Long</t>
  </si>
  <si>
    <t>Camping Belvédère de l'Obiou</t>
  </si>
  <si>
    <t>Camping Au Pré Du Lac</t>
  </si>
  <si>
    <t>Camping D'Herbelon</t>
  </si>
  <si>
    <t>Camping Les Puits Tournants</t>
  </si>
  <si>
    <t>Camping de PEYROCHE</t>
  </si>
  <si>
    <t>Camping L'Oasis du Berry</t>
  </si>
  <si>
    <t>Indre</t>
  </si>
  <si>
    <t xml:space="preserve">Camping Club Les Brunelles - MS Vacances </t>
  </si>
  <si>
    <t>Camping Rosa</t>
  </si>
  <si>
    <t>Ligurie</t>
  </si>
  <si>
    <t>Imperia</t>
  </si>
  <si>
    <t>Camping Les Pêcheurs</t>
  </si>
  <si>
    <t>Camping La Playa Ibiza</t>
  </si>
  <si>
    <t>Îles Baléares</t>
  </si>
  <si>
    <t>Camping Sunêlia Villaggio dei Fiori</t>
  </si>
  <si>
    <t>Camping Les Galets</t>
  </si>
  <si>
    <t>Castel Camping Les Ormes, Domaine &amp; Resort</t>
  </si>
  <si>
    <t>Le Saint Martin</t>
  </si>
  <si>
    <t>Camping &amp; Spa Airotel L'Océan</t>
  </si>
  <si>
    <t>Siblu - Mer et Soleil d'Oleron</t>
  </si>
  <si>
    <t>Camping Etang des Haizes</t>
  </si>
  <si>
    <t>Camping Saint Paul</t>
  </si>
  <si>
    <t>Eure</t>
  </si>
  <si>
    <t>Camping AR KLEGUER</t>
  </si>
  <si>
    <t>Camping DE LA PISCINE</t>
  </si>
  <si>
    <t>Camping l'Étoile d'Or</t>
  </si>
  <si>
    <t>Camping Le Dauphin</t>
  </si>
  <si>
    <t>Airotel Camping Le Soleil</t>
  </si>
  <si>
    <t>Camping Le Domaine de Champé</t>
  </si>
  <si>
    <t>Camping Europe</t>
  </si>
  <si>
    <t>Camping Les Marsouins - Ciela Village</t>
  </si>
  <si>
    <t>Camping La Sirène</t>
  </si>
  <si>
    <t>Camping Le Rhône</t>
  </si>
  <si>
    <t>Camping MARIUS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</si>
  <si>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</si>
  <si>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</si>
  <si>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</si>
  <si>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</si>
  <si>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</si>
  <si>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</si>
  <si>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Camping Sun Océan</t>
  </si>
  <si>
    <t>International Camping</t>
  </si>
  <si>
    <t>Camping Prades Park</t>
  </si>
  <si>
    <t>Flower Camping La Chataigneraie</t>
  </si>
  <si>
    <t>Torre Pendente Camping Village</t>
  </si>
  <si>
    <t>Toscane</t>
  </si>
  <si>
    <t>Pisa</t>
  </si>
  <si>
    <t>Camping Le Ruou</t>
  </si>
  <si>
    <t>Camping Las Palmeras</t>
  </si>
  <si>
    <t>Camping Altomira</t>
  </si>
  <si>
    <t>Communauté Valencienne</t>
  </si>
  <si>
    <t>Castellón</t>
  </si>
  <si>
    <t>Camping de la Forêt</t>
  </si>
  <si>
    <t>Seine-Maritime</t>
  </si>
  <si>
    <t>Alannia Guardamar</t>
  </si>
  <si>
    <t>Alicante</t>
  </si>
  <si>
    <t>Villaggio Camping Valdeiva</t>
  </si>
  <si>
    <t>La Spezia</t>
  </si>
  <si>
    <t>Camping Ile de la Comtesse</t>
  </si>
  <si>
    <t>Ain</t>
  </si>
  <si>
    <t>Camping Les Bords de Loue</t>
  </si>
  <si>
    <t>Camping Resort la Forêt</t>
  </si>
  <si>
    <t>YELLOH! VILLAGE - LE FAYOLAN</t>
  </si>
  <si>
    <t>Château Camping La Grange Fort</t>
  </si>
  <si>
    <t>Puy-de-Dôme</t>
  </si>
  <si>
    <t>Camping Parc de Fierbois</t>
  </si>
  <si>
    <t>Camping Le Moulin de Serre</t>
  </si>
  <si>
    <t>Domaine des Chênes</t>
  </si>
  <si>
    <t>Camping Domaine Arleblanc</t>
  </si>
  <si>
    <t>Camping Le Pequelet</t>
  </si>
  <si>
    <t>Camping U Casone</t>
  </si>
  <si>
    <t>Camping Merko Lacarra</t>
  </si>
  <si>
    <t>Pyrénées-Atlantiques</t>
  </si>
  <si>
    <t>Camping Resort Les Champs Blancs</t>
  </si>
  <si>
    <t>Camping Mas Nou</t>
  </si>
  <si>
    <t>Villaggio Camping Adria</t>
  </si>
  <si>
    <t>Émilie-Romagne</t>
  </si>
  <si>
    <t>Ravenna</t>
  </si>
  <si>
    <t>TAIGA Costa Calida</t>
  </si>
  <si>
    <t>Région de Murcie</t>
  </si>
  <si>
    <t>ROMANEE Ferme de la Serraz</t>
  </si>
  <si>
    <t>YELLOH! VILLAGE - DOMAINE DE L'OREE</t>
  </si>
  <si>
    <t>Camping Campix</t>
  </si>
  <si>
    <t>Oise</t>
  </si>
  <si>
    <t>Camping Bagatelle</t>
  </si>
  <si>
    <t>Camping Les Loges</t>
  </si>
  <si>
    <t>Camping del Mar</t>
  </si>
  <si>
    <t>Base de Loisirs - Camping du Lac Cormoranche</t>
  </si>
  <si>
    <t>SAS Camping de Valsaintes</t>
  </si>
  <si>
    <t>Camping LES OMBRAGES</t>
  </si>
  <si>
    <t>Domaine de la Plage</t>
  </si>
  <si>
    <t>Huttopia Meursault</t>
  </si>
  <si>
    <t>Côte-d'Or</t>
  </si>
  <si>
    <t>Camping Le Glandasse</t>
  </si>
  <si>
    <t>Flower Camping LES TRUFFIERES</t>
  </si>
  <si>
    <t>Camping le Pilat</t>
  </si>
  <si>
    <t>Flower Camping Les Rives de l'Aygues</t>
  </si>
  <si>
    <t>CAMPING LES CLOS</t>
  </si>
  <si>
    <t>Camping Le Panoramic</t>
  </si>
  <si>
    <t>Camping Bravoplaya</t>
  </si>
  <si>
    <t>CAMPING VILLAGE BADIACCIA</t>
  </si>
  <si>
    <t>Ombrie</t>
  </si>
  <si>
    <t>Perugia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</si>
  <si>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</si>
  <si>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</si>
  <si>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</si>
  <si>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</si>
  <si>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</si>
  <si>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</si>
  <si>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Cala llevado - Sea Green by Sunêlia</t>
  </si>
  <si>
    <t>Camping LAS LOMAS</t>
  </si>
  <si>
    <t>Camping les Embruns</t>
  </si>
  <si>
    <t>Castel Camping Domaine de la Ville Huchet</t>
  </si>
  <si>
    <t>Camping du Pont d'Avignon</t>
  </si>
  <si>
    <t>Camping Club Plage Sud - MS Vacances</t>
  </si>
  <si>
    <t>Camping les Charmilles</t>
  </si>
  <si>
    <t>Camping LA GARENNE</t>
  </si>
  <si>
    <t>Camping Sandaya Île Des Papes</t>
  </si>
  <si>
    <t>Camping Les Sous Bois du Lac</t>
  </si>
  <si>
    <t>Lozère</t>
  </si>
  <si>
    <t>Riva di Ugento Beach Camping Resort</t>
  </si>
  <si>
    <t>Pouilles</t>
  </si>
  <si>
    <t>Lecce</t>
  </si>
  <si>
    <t>Campasun Camping Du Soleil</t>
  </si>
  <si>
    <t>Camping Val de l'Eyre</t>
  </si>
  <si>
    <t>Camping Notre Dame</t>
  </si>
  <si>
    <t>Camping la Ferme de Mayocq</t>
  </si>
  <si>
    <t>Holiday Village &amp; Camping Nettuno</t>
  </si>
  <si>
    <t>Campanie</t>
  </si>
  <si>
    <t>Napoli</t>
  </si>
  <si>
    <t>Camping La Pindière</t>
  </si>
  <si>
    <t>Sandaya Domaine de la Dragonnière</t>
  </si>
  <si>
    <t>Camping Homair - La Vallée</t>
  </si>
  <si>
    <t>Yukadi Village Le Logis</t>
  </si>
  <si>
    <t>Camping Californie Plage</t>
  </si>
  <si>
    <t>Camping de la Base Nautique</t>
  </si>
  <si>
    <t>CAMPING BON PORT</t>
  </si>
  <si>
    <t xml:space="preserve">Camping de Belle Hutte </t>
  </si>
  <si>
    <t>Camping Les Sablettes</t>
  </si>
  <si>
    <t>Camping Belle Etoile</t>
  </si>
  <si>
    <t>Camping Le Rancho</t>
  </si>
  <si>
    <t>Camping Les Micocouliers</t>
  </si>
  <si>
    <t>Camping Rioclar</t>
  </si>
  <si>
    <t>Camping Sunêlia L'Aiguille Creuse</t>
  </si>
  <si>
    <t>Camping de l'Île du Chéran</t>
  </si>
  <si>
    <t>Camping Cap Sud</t>
  </si>
  <si>
    <t>La Rocca Camping</t>
  </si>
  <si>
    <t>CAMPING BELLEVUE MER</t>
  </si>
  <si>
    <t>Camping Kerlaz</t>
  </si>
  <si>
    <t>Camping La Chapelle Saint Claude</t>
  </si>
  <si>
    <t>Camping Homair - Le Castellas</t>
  </si>
  <si>
    <t>Camping Mas des Lavandes</t>
  </si>
  <si>
    <t>Camping - Caravaning Les Peupliers</t>
  </si>
  <si>
    <t>Camping Seasonova du Chêne</t>
  </si>
  <si>
    <t>Camping OLVA LES EUCALYPTUS</t>
  </si>
  <si>
    <t>Camping Village Spinnaker</t>
  </si>
  <si>
    <t>Sardaigne</t>
  </si>
  <si>
    <t>Oristano</t>
  </si>
  <si>
    <t>Camping La Cascade</t>
  </si>
  <si>
    <t>Papillon Country Resort</t>
  </si>
  <si>
    <t>Overijssel</t>
  </si>
  <si>
    <t>Camping les Cerisiers - Hôtel le Vallon</t>
  </si>
  <si>
    <t>Camping La Blaquière</t>
  </si>
  <si>
    <t>Camping Hohenbusch</t>
  </si>
  <si>
    <t>Belgique</t>
  </si>
  <si>
    <t>Wallonie</t>
  </si>
  <si>
    <t>Liège</t>
  </si>
  <si>
    <t>Camping Saint Disdille</t>
  </si>
  <si>
    <t>Camping de Chênefleur</t>
  </si>
  <si>
    <t>Luxembourg</t>
  </si>
  <si>
    <t>Ferienparadies Natterer See</t>
  </si>
  <si>
    <t>Autriche</t>
  </si>
  <si>
    <t>Tyrol</t>
  </si>
  <si>
    <t>Bezirk Innsbruck-Land</t>
  </si>
  <si>
    <t>Camping Beauregard</t>
  </si>
  <si>
    <t>Camping Homair - Domaine de Chaussy</t>
  </si>
  <si>
    <t>YELLOH! VILLAGE - Camping Plage du Dramont</t>
  </si>
  <si>
    <t>Mini-Camping en Kloostertuin Werendijke</t>
  </si>
  <si>
    <t>Zélande</t>
  </si>
  <si>
    <t>Camping de Tournus</t>
  </si>
  <si>
    <t>Saône-et-Loire</t>
  </si>
  <si>
    <t>Flower Camping Le Riviera</t>
  </si>
  <si>
    <t>Flower Camping Le Jardin de Sully</t>
  </si>
  <si>
    <t>Chadotel L'Océano d'Or</t>
  </si>
  <si>
    <t>Le Moulin de Sainte Anne</t>
  </si>
  <si>
    <t>Camping Le Varquez-sur-Mer</t>
  </si>
  <si>
    <t>Camping Vilanova Park</t>
  </si>
  <si>
    <t>Camping Beau Rivage</t>
  </si>
  <si>
    <t>Stel Camping &amp; Resort</t>
  </si>
  <si>
    <t>Alannia ELS PRATS</t>
  </si>
  <si>
    <t>International Village Sport &amp; Spa</t>
  </si>
  <si>
    <t>Camping du Pont Vert</t>
  </si>
  <si>
    <t>CAMPING LES SOURCES</t>
  </si>
  <si>
    <t>Camping Eden Villages Cap de Bréhat</t>
  </si>
  <si>
    <t>Camping Le Rocher de la Cave</t>
  </si>
  <si>
    <t>DOMAINE DU HAUT DES BLUCHES</t>
  </si>
  <si>
    <t>Camping Homair - La Baie de Kernic</t>
  </si>
  <si>
    <t>Camping Homair - Les Gorges de Provence</t>
  </si>
  <si>
    <t>Camping Seasonova Les Prés du Verdon</t>
  </si>
  <si>
    <t>Camping Mirabel Les Prairies de la Mer</t>
  </si>
  <si>
    <t>Camping de la Plage Bénodet</t>
  </si>
  <si>
    <t>Camping Sandaya Le Littoral</t>
  </si>
  <si>
    <t>Camping Sunêlia Les Sablons</t>
  </si>
  <si>
    <t>Siblu – Les Sables du Midi</t>
  </si>
  <si>
    <t>Camping Le Cernie</t>
  </si>
  <si>
    <t>Nuoro</t>
  </si>
  <si>
    <t>Camping du lac d'Aydat</t>
  </si>
  <si>
    <t>Residence Punta Spin</t>
  </si>
  <si>
    <t>Frioul-Vénétie julienne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</si>
  <si>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</si>
  <si>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</si>
  <si>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</si>
  <si>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</si>
  <si>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</si>
  <si>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</si>
  <si>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Domaine de la Noguière</t>
  </si>
  <si>
    <t>Camping Seasonova Vittel</t>
  </si>
  <si>
    <t>Campingplatz Schwarzwaldhorn</t>
  </si>
  <si>
    <t>Allemagne</t>
  </si>
  <si>
    <t>Bade-Wurtemberg</t>
  </si>
  <si>
    <t>Baia Holiday Cavallino</t>
  </si>
  <si>
    <t>Venise</t>
  </si>
  <si>
    <t>Baia Holiday Mare Pineta</t>
  </si>
  <si>
    <t>Baia Holiday Baia Blu la Tortuga</t>
  </si>
  <si>
    <t>Sassari</t>
  </si>
  <si>
    <t>Baia Holiday Poljana</t>
  </si>
  <si>
    <t>Croatie</t>
  </si>
  <si>
    <t>Comitat de Primorje-Gorski Kotar</t>
  </si>
  <si>
    <t>Camping Le Val d'Amour</t>
  </si>
  <si>
    <t>Campingplatz am Useriner See - mit FKK</t>
  </si>
  <si>
    <t>Mecklembourg-Poméranie-Occidentale</t>
  </si>
  <si>
    <t>FKK Campingplatz am Rätzsee</t>
  </si>
  <si>
    <t>Campingpark am Weissen See</t>
  </si>
  <si>
    <t>Campingplatz am Ziernsee</t>
  </si>
  <si>
    <t>Campingplatz Zwenzower Ufer</t>
  </si>
  <si>
    <t>Campingplatz am Drewensee</t>
  </si>
  <si>
    <t>Camping- und Ferienpark Havelberge</t>
  </si>
  <si>
    <t>Camping La Croix du Bois Sacker</t>
  </si>
  <si>
    <t>Moselle</t>
  </si>
  <si>
    <t>Alpen-Caravanpark Tennsee</t>
  </si>
  <si>
    <t>Bavière</t>
  </si>
  <si>
    <t>Haute-Bavière</t>
  </si>
  <si>
    <t>Complejo Turístico Puente de las Herrerías</t>
  </si>
  <si>
    <t>Jaén</t>
  </si>
  <si>
    <t>Camping La Buganvilla</t>
  </si>
  <si>
    <t>Camping Les 2 Lacs</t>
  </si>
  <si>
    <t>Camping Les Arches</t>
  </si>
  <si>
    <t>Camping les Peupliers</t>
  </si>
  <si>
    <t>Camping Les Chênes Verts</t>
  </si>
  <si>
    <t>CAMPING LE VIEUX VALLON</t>
  </si>
  <si>
    <t>Camping du Pont</t>
  </si>
  <si>
    <t>CAMPING LE CHASSEZAC</t>
  </si>
  <si>
    <t>Camping Le Barutel</t>
  </si>
  <si>
    <t>Camping Le Clapas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</si>
  <si>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</si>
  <si>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</si>
  <si>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</si>
  <si>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</si>
  <si>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</si>
  <si>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</si>
  <si>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</si>
  <si>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Il Rospo</t>
  </si>
  <si>
    <t>Gênes</t>
  </si>
  <si>
    <t>Camping Le Lauradiol</t>
  </si>
  <si>
    <t>Camping La Grand'Terre</t>
  </si>
  <si>
    <t>Komfortcamp KlüthseeCamp und Naturcamp Seeblick</t>
  </si>
  <si>
    <t>Schleswig-Holstein</t>
  </si>
  <si>
    <t>Camping Les Cerisiers du Jaur</t>
  </si>
  <si>
    <t>Camping du Grand Fay</t>
  </si>
  <si>
    <t>Flower Camping des Vallées</t>
  </si>
  <si>
    <t>le Petit Liou Sites &amp; Paysages</t>
  </si>
  <si>
    <t>Les Hameaux de Pomette - Terres de France</t>
  </si>
  <si>
    <t>Les Hameaux de Miel - Terres de France</t>
  </si>
  <si>
    <t>Corrèze</t>
  </si>
  <si>
    <t>Les Hameaux des Marines - Terres de France</t>
  </si>
  <si>
    <t>Village Vacances de Combelles</t>
  </si>
  <si>
    <t>Camping Kost-Ar-Moor</t>
  </si>
  <si>
    <t>Camping Del Sole Village</t>
  </si>
  <si>
    <t>Lombardie</t>
  </si>
  <si>
    <t>Brescia</t>
  </si>
  <si>
    <t>Camping Le Village De L'Armorique</t>
  </si>
  <si>
    <t>SAGONE RESORT</t>
  </si>
  <si>
    <t>Camping La Liccia</t>
  </si>
  <si>
    <t>Camping Seasonova Le Brabois</t>
  </si>
  <si>
    <t>Meurthe-et-Moselle</t>
  </si>
  <si>
    <t>Camping Pertamina Village U Farniente</t>
  </si>
  <si>
    <t>Flower Camping LA STENIOLE</t>
  </si>
  <si>
    <t>Union Lido Camping Lodging Hotel</t>
  </si>
  <si>
    <t>Maistra Camping Polari</t>
  </si>
  <si>
    <t>Comitat d'Istrie</t>
  </si>
  <si>
    <t>Maistra Camping Porto Sole</t>
  </si>
  <si>
    <t>Maistra Camping Koversada Covered Campsite</t>
  </si>
  <si>
    <t>Maistra Camping Vestar</t>
  </si>
  <si>
    <t>Maistra Camping Amarin</t>
  </si>
  <si>
    <t>Flower Camping Les Paillotes en Ardèche (Adults Only 16+)</t>
  </si>
  <si>
    <t>Camping du Buisson</t>
  </si>
  <si>
    <t>Camping Homair - Saint Avit Loisirs</t>
  </si>
  <si>
    <t>Camping Universal</t>
  </si>
  <si>
    <t>Camping Les Alizés</t>
  </si>
  <si>
    <t>Camping Champ Tillet</t>
  </si>
  <si>
    <t>Siblu – Camping Lauwersoog</t>
  </si>
  <si>
    <t>Groningue</t>
  </si>
  <si>
    <t>Riva Nuova Camping Village</t>
  </si>
  <si>
    <t>Abruzzes</t>
  </si>
  <si>
    <t>Teramo</t>
  </si>
  <si>
    <t>Camping Chadeyron</t>
  </si>
  <si>
    <t>Camping Montagne des Vosges</t>
  </si>
  <si>
    <t>Camping MAUI</t>
  </si>
  <si>
    <t>Les Etangs du Moulin</t>
  </si>
  <si>
    <t>Aisne</t>
  </si>
  <si>
    <t>Camping Pont d'Ardaix</t>
  </si>
  <si>
    <t>Lérida</t>
  </si>
  <si>
    <t>Camp du Domaine</t>
  </si>
  <si>
    <t>Camping Le Perpetuum</t>
  </si>
  <si>
    <t>Camping La Bouysse</t>
  </si>
  <si>
    <t>Camping les Cinq Châteaux</t>
  </si>
  <si>
    <t>Camping Le Garrit</t>
  </si>
  <si>
    <t>Camping La Peyrugue</t>
  </si>
  <si>
    <t>Camping Le Pech de Caumont</t>
  </si>
  <si>
    <t>Camping La Rivière</t>
  </si>
  <si>
    <t>Slow Village | Séveilles</t>
  </si>
  <si>
    <t xml:space="preserve">CAMPING LA LENOTTE </t>
  </si>
  <si>
    <t>Camping Le Port de Limeuil</t>
  </si>
  <si>
    <t>Camping La Butte</t>
  </si>
  <si>
    <t>Camping Au Fil de l'Eau</t>
  </si>
  <si>
    <t>Camping L'Agrion Bleu</t>
  </si>
  <si>
    <t>Camping la Ferme de Perdigat</t>
  </si>
  <si>
    <t>Camping APV La Pélonie</t>
  </si>
  <si>
    <t>Domaine Périgord Vacances</t>
  </si>
  <si>
    <t>Le Plein Air des Bories</t>
  </si>
  <si>
    <t>Camping-Caravaneige l'Iscle de Prelles</t>
  </si>
  <si>
    <t>Camp Redon</t>
  </si>
  <si>
    <t>Camping Chalets Résidentiels SAINT JAMES LES PINS</t>
  </si>
  <si>
    <t>Camping Village Glamping Torre del Porticciolo</t>
  </si>
  <si>
    <t>CAMPING VORAPARC</t>
  </si>
  <si>
    <t>Camping Le Moulin de Cantizac</t>
  </si>
  <si>
    <t>Camping Linda</t>
  </si>
  <si>
    <t>Camping Gîte Le Verger - Baratier 05</t>
  </si>
  <si>
    <t>CAMPING LES VIOLETTES</t>
  </si>
  <si>
    <t>Camping Le Champ Neuf</t>
  </si>
  <si>
    <t>Camping Domaine de Corneuil</t>
  </si>
  <si>
    <t>Baia Holiday Laguna Blu</t>
  </si>
  <si>
    <t>Camping les 3 Sablières</t>
  </si>
  <si>
    <t>Château de Lacomté</t>
  </si>
  <si>
    <t>Camping Les Dunes</t>
  </si>
  <si>
    <t>Camping Port Pothuau</t>
  </si>
  <si>
    <t>Camping Homair - La Plage d'Argens</t>
  </si>
  <si>
    <t>Camping Tikayan Domaine du Golfe de Saint Tropez</t>
  </si>
  <si>
    <t>Camping Santa Maria di Leuca</t>
  </si>
  <si>
    <t>Camping LA TOUR FONDUE</t>
  </si>
  <si>
    <t>Camping Les Playes</t>
  </si>
  <si>
    <t>Camping Le Clos de Barbey</t>
  </si>
  <si>
    <t>Flower Camping La Vidaresse</t>
  </si>
  <si>
    <t>Camping Liesbos</t>
  </si>
  <si>
    <t>Brabant-Septentrional</t>
  </si>
  <si>
    <t>Camping de Zeehoeve</t>
  </si>
  <si>
    <t>Frise</t>
  </si>
  <si>
    <t>Camping-Village Marina d'Erba Rossa</t>
  </si>
  <si>
    <t>Camping les Rives du Lac</t>
  </si>
  <si>
    <t>Camping du Col</t>
  </si>
  <si>
    <t>Camplodge 3 Vallées</t>
  </si>
  <si>
    <t>Camping Les Deux Vallées</t>
  </si>
  <si>
    <t>Camping Covelo</t>
  </si>
  <si>
    <t>Old Camping Las Hortensias</t>
  </si>
  <si>
    <t>Asturies</t>
  </si>
  <si>
    <t>Camping Les Plans</t>
  </si>
  <si>
    <t>Camping Le Relais du Léman</t>
  </si>
  <si>
    <t>Camping Vieille Église</t>
  </si>
  <si>
    <t>Camping de Saumont</t>
  </si>
  <si>
    <t>Nibelungen-Camping Am Schwimmbad</t>
  </si>
  <si>
    <t>Hesse</t>
  </si>
  <si>
    <t>Domaine de l'Oiselière</t>
  </si>
  <si>
    <t>Le Bois du Coderc</t>
  </si>
  <si>
    <t>Camping Les Airelles</t>
  </si>
  <si>
    <t>Chadotel Le Roussillon</t>
  </si>
  <si>
    <t>Camping Edy</t>
  </si>
  <si>
    <t>Il Villaggio di Giuele - Eurocamping Calvisio</t>
  </si>
  <si>
    <t>Savone</t>
  </si>
  <si>
    <t>Camping Siena Colleverde</t>
  </si>
  <si>
    <t>Siena</t>
  </si>
  <si>
    <t>Camping Le Ventadour</t>
  </si>
  <si>
    <t>Flower Camping Lou Cabasson</t>
  </si>
  <si>
    <t>Le Lac d'Orient</t>
  </si>
  <si>
    <t>Aube</t>
  </si>
  <si>
    <t>Camping La Boulinière</t>
  </si>
  <si>
    <t>Camping Mare Monti</t>
  </si>
  <si>
    <t>Camping La Farigoulette</t>
  </si>
  <si>
    <t>St. Michael Camping Village iNTERNATiONAL</t>
  </si>
  <si>
    <t>Camping Les Embruns</t>
  </si>
  <si>
    <t>Campeggio Smeraldo</t>
  </si>
  <si>
    <t>Camping Village Santapomata</t>
  </si>
  <si>
    <t>Grosseto</t>
  </si>
  <si>
    <t>Camping Village Baia Azzurra</t>
  </si>
  <si>
    <t>Arden Parks Baalse Hei</t>
  </si>
  <si>
    <t>Flandre</t>
  </si>
  <si>
    <t>Anvers</t>
  </si>
  <si>
    <t>Camping des Gorges</t>
  </si>
  <si>
    <t>SUN CAMPING</t>
  </si>
  <si>
    <t>Camping Le Château</t>
  </si>
  <si>
    <t>Camping Tunnel International</t>
  </si>
  <si>
    <t>Vallée d'Aoste</t>
  </si>
  <si>
    <t>Camping Le Fun</t>
  </si>
  <si>
    <t>Camping Clair de Lune</t>
  </si>
  <si>
    <t>Camping Acacias</t>
  </si>
  <si>
    <t>Camping 't Weergors</t>
  </si>
  <si>
    <t>Hollande-Méridionale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</si>
  <si>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</si>
  <si>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</si>
  <si>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</si>
  <si>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</si>
  <si>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</si>
  <si>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</si>
  <si>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Domaine des Mimosas</t>
  </si>
  <si>
    <t>RCN Vakantiepark Zeewolde</t>
  </si>
  <si>
    <t>Flevoland</t>
  </si>
  <si>
    <t>Camping Playa de Poniente</t>
  </si>
  <si>
    <t>RCN Vakantiepark het Grote Bos</t>
  </si>
  <si>
    <t>PRL Aux Etangs du Bos</t>
  </si>
  <si>
    <t>Camping L'Escapade</t>
  </si>
  <si>
    <t>RCN Vakantiepark de Schotsman</t>
  </si>
  <si>
    <t>Naturéo Seignosse</t>
  </si>
  <si>
    <t>Camping les Castors ***</t>
  </si>
  <si>
    <t>Camping La Presqu'île de Champaubert</t>
  </si>
  <si>
    <t>Camping Tamaris Plage</t>
  </si>
  <si>
    <t>Camping Aquarius</t>
  </si>
  <si>
    <t>Camping Seasonova Les Mouettes</t>
  </si>
  <si>
    <t>Camping Ramstein-Plage</t>
  </si>
  <si>
    <t>Camping Les Breuils</t>
  </si>
  <si>
    <t>Meuse</t>
  </si>
  <si>
    <t>Siblu – Domaine de Litteau</t>
  </si>
  <si>
    <t xml:space="preserve">Camping Le Luberon </t>
  </si>
  <si>
    <t>Le Bois Guillaume</t>
  </si>
  <si>
    <t>Yonne</t>
  </si>
  <si>
    <t>Castel Domaine de Sévenier &amp; Spa</t>
  </si>
  <si>
    <t>Flower Le Domaine du Rompval</t>
  </si>
  <si>
    <t>Camping les Dômes</t>
  </si>
  <si>
    <t>Flower Camping Le Clos Auroy</t>
  </si>
  <si>
    <t>Le Hameau des Genêts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</si>
  <si>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</si>
  <si>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</si>
  <si>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</si>
  <si>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</si>
  <si>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</si>
  <si>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Huttopia Arcachon</t>
  </si>
  <si>
    <t>Camping Le Rochat-Belle-Isle</t>
  </si>
  <si>
    <t>Il Tridente Camping Village</t>
  </si>
  <si>
    <t>Camping Pen Palud</t>
  </si>
  <si>
    <t>Camping Le Marqueval</t>
  </si>
  <si>
    <t>Camping Castell Montgrí</t>
  </si>
  <si>
    <t>Camping des Glaciers</t>
  </si>
  <si>
    <t>Entremont</t>
  </si>
  <si>
    <t>Camping Sainte-Victoire</t>
  </si>
  <si>
    <t>Camping Saint Gabriel</t>
  </si>
  <si>
    <t>Camping de Ceyreste</t>
  </si>
  <si>
    <t>Camping Les Madières</t>
  </si>
  <si>
    <t>Camping LE CABELLOU PLAGE*****</t>
  </si>
  <si>
    <t>Camping La Vallée du Ninian</t>
  </si>
  <si>
    <t>Camping La Clé de Saône</t>
  </si>
  <si>
    <t>Domaine des Chênes Blancs</t>
  </si>
  <si>
    <t>Camping Baie de Saint Pol</t>
  </si>
  <si>
    <t>Camping des Chaumières</t>
  </si>
  <si>
    <t>Camping de la Pelouse</t>
  </si>
  <si>
    <t>Camping La Ferme de Lann Hoedic</t>
  </si>
  <si>
    <t>Camping Sandaya Amis De La Plage</t>
  </si>
  <si>
    <t>Camping Homair - La Pinède</t>
  </si>
  <si>
    <t>Flower Camping Le Nauzan Plage</t>
  </si>
  <si>
    <t>Camping de Kervoen</t>
  </si>
  <si>
    <t>Camping de l'Allée</t>
  </si>
  <si>
    <t>Camping Les Terrasses de Bertheaume</t>
  </si>
  <si>
    <t>Le Haut Chandelalar</t>
  </si>
  <si>
    <t>Camping LA CHAPOULIÈRE</t>
  </si>
  <si>
    <t>COUNTRY PARK TOUQUIN</t>
  </si>
  <si>
    <t>Île-de-France</t>
  </si>
  <si>
    <t>Seine-et-Marne</t>
  </si>
  <si>
    <t>Camping de la Croix Saint Martin</t>
  </si>
  <si>
    <t>Allier</t>
  </si>
  <si>
    <t>Flower Camping l'Ile des Trois Rois</t>
  </si>
  <si>
    <t>Camping Le Village du Port</t>
  </si>
  <si>
    <t>Camping Ile de Boulancourt</t>
  </si>
  <si>
    <t>Flower Camping le Kergariou</t>
  </si>
  <si>
    <t>Camping Le Pommier</t>
  </si>
  <si>
    <t>Camping de Thoissey - Val de Saône</t>
  </si>
  <si>
    <t>Camping Emeraude - Sea Green by Sunêlia</t>
  </si>
  <si>
    <t>Camping de la Baie de Somme</t>
  </si>
  <si>
    <t>Camping Tikayan La Prairie</t>
  </si>
  <si>
    <t>Camping OAKi</t>
  </si>
  <si>
    <t>Camping La Régate</t>
  </si>
  <si>
    <t>Camping Yelloh! Village Saint Pabu Plage</t>
  </si>
  <si>
    <t>Bontempo Village Piriac</t>
  </si>
  <si>
    <t>CAMPING LES TRUFFIERES***</t>
  </si>
  <si>
    <t>YELLOH VILLAGE La Plage Fleurie</t>
  </si>
  <si>
    <t>Camping du Vieux Verger</t>
  </si>
  <si>
    <t>Camping La Source</t>
  </si>
  <si>
    <t>Camping Les Fontaines</t>
  </si>
  <si>
    <t>Château des Tilleuls</t>
  </si>
  <si>
    <t>Camping Belle Roche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</si>
  <si>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</si>
  <si>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</si>
  <si>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</si>
  <si>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</si>
  <si>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</si>
  <si>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Camping Paradis d'Arvor</t>
  </si>
  <si>
    <t>Camping de La Roche Percée</t>
  </si>
  <si>
    <t>Isis En Cévennes</t>
  </si>
  <si>
    <t>Camping La Rouillère</t>
  </si>
  <si>
    <t>Camping de Villey le Sec</t>
  </si>
  <si>
    <t>Camping Les Castors</t>
  </si>
  <si>
    <t>Camping Sunêlia La Clémentine</t>
  </si>
  <si>
    <t xml:space="preserve">Camping Le Panoramique </t>
  </si>
  <si>
    <t>Camping La Ferme de Bouzencourt</t>
  </si>
  <si>
    <t>Camping du Mettey****</t>
  </si>
  <si>
    <t>MIRAMARE Village - Apartments - Camping</t>
  </si>
  <si>
    <t>Livorno</t>
  </si>
  <si>
    <t>Camping Léman Plage</t>
  </si>
  <si>
    <t>Camping La Ferme</t>
  </si>
  <si>
    <t>Camping Le Petit Lac</t>
  </si>
  <si>
    <t>Camping Neptune</t>
  </si>
  <si>
    <t>Camping Le Coin Charmant</t>
  </si>
  <si>
    <t>Campasun Camping Parc Mogador</t>
  </si>
  <si>
    <t>Chadotel Le Trivoly</t>
  </si>
  <si>
    <t>Camping Isábena</t>
  </si>
  <si>
    <t>Aragon</t>
  </si>
  <si>
    <t>Huesca</t>
  </si>
  <si>
    <t>Camping de L'Ile Verte</t>
  </si>
  <si>
    <t>Domaine des BLACHAS</t>
  </si>
  <si>
    <t>Camping Smile et Braudières</t>
  </si>
  <si>
    <t>Camping Lou Rouchetou</t>
  </si>
  <si>
    <t>Camping L'Ombrage</t>
  </si>
  <si>
    <t>Flower Camping Les Bouleaux</t>
  </si>
  <si>
    <t>Haut-Rhin</t>
  </si>
  <si>
    <t>Club del Sole Due Laghi Levico Family Collection</t>
  </si>
  <si>
    <t>Camping de la Treille</t>
  </si>
  <si>
    <t>Capfun - Camping Pomme de Pin</t>
  </si>
  <si>
    <t>Plein Air Locations - Camping Les Genêts</t>
  </si>
  <si>
    <t>Camping Homair - La Grainetière</t>
  </si>
  <si>
    <t>Camping Nature L'Airial****</t>
  </si>
  <si>
    <t>Camping Homair - Loyada</t>
  </si>
  <si>
    <t>Camping Le Floride</t>
  </si>
  <si>
    <t>Camping Park Er Lann***</t>
  </si>
  <si>
    <t>Camping Les Eychecadous</t>
  </si>
  <si>
    <t>Camping Moulin de Piot</t>
  </si>
  <si>
    <t>Camping Village Parco della Gallinara</t>
  </si>
  <si>
    <t>Latium</t>
  </si>
  <si>
    <t>Roma Capitale</t>
  </si>
  <si>
    <t>CAMPING DE LA ROUVRE</t>
  </si>
  <si>
    <t>Orne</t>
  </si>
  <si>
    <t>Camping Delle Rose</t>
  </si>
  <si>
    <t>CAMPING DE LA CLAIRETTE</t>
  </si>
  <si>
    <t>Camping Les Vernières</t>
  </si>
  <si>
    <t>Flower Camping Le Conleau</t>
  </si>
  <si>
    <t>Flower Camping du Lac de La Chausselière</t>
  </si>
  <si>
    <t>Camping les Joncs du Roch</t>
  </si>
  <si>
    <t>Camping Le Reclus</t>
  </si>
  <si>
    <t>Camping Le Kervastard</t>
  </si>
  <si>
    <t>Camping de la Haute Sioule</t>
  </si>
  <si>
    <t>Familiecamping De Molenhoek</t>
  </si>
  <si>
    <t>Siblu Duinzicht</t>
  </si>
  <si>
    <t>Camping Valkenburg - Maastricht</t>
  </si>
  <si>
    <t>Limbourg</t>
  </si>
  <si>
    <t>Camping Scholtenhagen</t>
  </si>
  <si>
    <t>Camping Aan Veluwe</t>
  </si>
  <si>
    <t>Recreatiepark De Koornmolen</t>
  </si>
  <si>
    <t>Recreatiepark Beringerzand</t>
  </si>
  <si>
    <t>Camping Hitjesvijver</t>
  </si>
  <si>
    <t>Natuurlijk de Veenhoop</t>
  </si>
  <si>
    <t>Vakantiepark De Zeeuwse Parel</t>
  </si>
  <si>
    <t>Alpencamping Nenzing</t>
  </si>
  <si>
    <t>Vorarlberg</t>
  </si>
  <si>
    <t>Bezirk Bludenz</t>
  </si>
  <si>
    <t xml:space="preserve">Club del Sole Le Mimose Family Resort </t>
  </si>
  <si>
    <t>Marches</t>
  </si>
  <si>
    <t>Fermo</t>
  </si>
  <si>
    <t>Camping Park Weiherhof</t>
  </si>
  <si>
    <t>Rhénanie-Palatinat</t>
  </si>
  <si>
    <t>Camping Seeblick Toni</t>
  </si>
  <si>
    <t>Bezirk Kufstein</t>
  </si>
  <si>
    <t>Camping du Val</t>
  </si>
  <si>
    <t>Tamarit Beach Resort</t>
  </si>
  <si>
    <t>Prümtal-Camping Oberweis</t>
  </si>
  <si>
    <t>Camping Capalonga</t>
  </si>
  <si>
    <t>Camping L'Arbre d'Or</t>
  </si>
  <si>
    <t>Camping Moulin de Chaules</t>
  </si>
  <si>
    <t>Camping Seiser Alm</t>
  </si>
  <si>
    <t>Haut-Adige</t>
  </si>
  <si>
    <t>Domaine De La Vingeanne</t>
  </si>
  <si>
    <t>Camping Village Tahiti</t>
  </si>
  <si>
    <t>Ferrara</t>
  </si>
  <si>
    <t>Camping Kleinenzhof</t>
  </si>
  <si>
    <t>Ferienpark Terrassencamping Süd-See</t>
  </si>
  <si>
    <t>Camping Le Val d'Hérault</t>
  </si>
  <si>
    <t>Camping de L'Arche</t>
  </si>
  <si>
    <t>Camping Bellsol</t>
  </si>
  <si>
    <t>Camping Roca Grossa</t>
  </si>
  <si>
    <t>Yelloh! Village Parc Sainte Brigitte</t>
  </si>
  <si>
    <t>Camping Vall d'Or</t>
  </si>
  <si>
    <t>Flower Camping Le Clot du Jay</t>
  </si>
  <si>
    <t>Flower Camping Le Saint Michelet</t>
  </si>
  <si>
    <t>Campasun Camping Les Hautes Prairies</t>
  </si>
  <si>
    <t>Camping Le Pont d'Allagnon</t>
  </si>
  <si>
    <t>Camping de Paris</t>
  </si>
  <si>
    <t>Camping Eden Villages Manoir de Ker An Poul</t>
  </si>
  <si>
    <t>Campofelice Camping Village</t>
  </si>
  <si>
    <t>Tessin</t>
  </si>
  <si>
    <t>District de Locarno</t>
  </si>
  <si>
    <t>Camping Seasonova Les Vosges du Nord</t>
  </si>
  <si>
    <t>International Camping Olympia</t>
  </si>
  <si>
    <t>Belluno</t>
  </si>
  <si>
    <t>Camping Ötztal Längenfeld</t>
  </si>
  <si>
    <t>Bezirk Imst</t>
  </si>
  <si>
    <t>Campingpark Bad Liebenzell</t>
  </si>
  <si>
    <t>Flower Camping International de la Hallerais</t>
  </si>
  <si>
    <t>Domaine de Trestraou</t>
  </si>
  <si>
    <t>Campingpark Eifel</t>
  </si>
  <si>
    <t>Camping Olachgut</t>
  </si>
  <si>
    <t>Styrie</t>
  </si>
  <si>
    <t>Bezirk Murau</t>
  </si>
  <si>
    <t>Camping de Boÿse</t>
  </si>
  <si>
    <t>Camping de Kersentic</t>
  </si>
  <si>
    <t>Camping**** et Base de Loisirs La Plaine Tonique</t>
  </si>
  <si>
    <t>Ostseecampingplatz Familie Heide</t>
  </si>
  <si>
    <t>Centro Vacanze Villaggio San Francesco</t>
  </si>
  <si>
    <t>Centro Vacanze Pra' delle Torri</t>
  </si>
  <si>
    <t>Camping Capo Vieste</t>
  </si>
  <si>
    <t>Foggia</t>
  </si>
  <si>
    <t xml:space="preserve">Camping  des Landes d'Armagnac</t>
  </si>
  <si>
    <t>Langstone Manor Holiday Park</t>
  </si>
  <si>
    <t>Angleterre</t>
  </si>
  <si>
    <t>Devon</t>
  </si>
  <si>
    <t xml:space="preserve">Camping Le Bois Joli Vendée lagon  **** Maeva Escapades</t>
  </si>
  <si>
    <t>Camping APV Antioche</t>
  </si>
  <si>
    <t>Camping Adria</t>
  </si>
  <si>
    <t>Slovénie</t>
  </si>
  <si>
    <t>Camping Village Mar Y Sierra</t>
  </si>
  <si>
    <t>Pesaro e Urbino</t>
  </si>
  <si>
    <t>Camping Les Albères</t>
  </si>
  <si>
    <t>Alfsee Ferien- und Erlebnispark</t>
  </si>
  <si>
    <t>Basse-Saxe</t>
  </si>
  <si>
    <t>Stover Strand Camping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</si>
  <si>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</si>
  <si>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</si>
  <si>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</si>
  <si>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</si>
  <si>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</si>
  <si>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Sabbiadoro</t>
  </si>
  <si>
    <t>Camping Les Casteillets</t>
  </si>
  <si>
    <t>Domaine du Moulin Neuf - Terres de France</t>
  </si>
  <si>
    <t>Camping Des 2 Rives</t>
  </si>
  <si>
    <t>Camping Eden Villages Bela Basque</t>
  </si>
  <si>
    <t>Camping Aquarev</t>
  </si>
  <si>
    <t>Camping La Sapinette</t>
  </si>
  <si>
    <t xml:space="preserve"> Camping Les Étangs Mina</t>
  </si>
  <si>
    <t>HYGGE Strand Camping</t>
  </si>
  <si>
    <t>Danemark</t>
  </si>
  <si>
    <t>Jutland central</t>
  </si>
  <si>
    <t>Odder Kommune</t>
  </si>
  <si>
    <t>Emmerbølle Strand Camping - Feriepark Langeland</t>
  </si>
  <si>
    <t>Danemark-du-Sud</t>
  </si>
  <si>
    <t>Langeland Kommune</t>
  </si>
  <si>
    <t>Vestbirk Camping</t>
  </si>
  <si>
    <t>Horsens Kommune</t>
  </si>
  <si>
    <t>Nysted Camping</t>
  </si>
  <si>
    <t>Region Sjælland</t>
  </si>
  <si>
    <t>Guldborgsund Kommune</t>
  </si>
  <si>
    <t>Wecamp San Sebastián</t>
  </si>
  <si>
    <t>Pays basque autonome</t>
  </si>
  <si>
    <t>Guipuscoa</t>
  </si>
  <si>
    <t>Camping L'Esplanade</t>
  </si>
  <si>
    <t>Camping Simplonblick</t>
  </si>
  <si>
    <t>Rarogne occidental</t>
  </si>
  <si>
    <t>Camping Goolderheide</t>
  </si>
  <si>
    <t>Camping Merendella</t>
  </si>
  <si>
    <t>Villenpark Sanghen</t>
  </si>
  <si>
    <t>Flower Camping La Grande Plage</t>
  </si>
  <si>
    <t>Camping La Touesse</t>
  </si>
  <si>
    <t>Camping Playa de Oyambre</t>
  </si>
  <si>
    <t>Cantabrie</t>
  </si>
  <si>
    <t>Cantabria</t>
  </si>
  <si>
    <t>TAIGA Puerto Santa María</t>
  </si>
  <si>
    <t>Natur Camping Usedom</t>
  </si>
  <si>
    <t xml:space="preserve">CAMPING LA CERISE </t>
  </si>
  <si>
    <t>Camping Ettelbruck</t>
  </si>
  <si>
    <t>Canton Diekirch</t>
  </si>
  <si>
    <t>Camping Les Chemins Du Mont St Michel</t>
  </si>
  <si>
    <t>Camping Vert Auxois</t>
  </si>
  <si>
    <t>Camping La Trillonnière</t>
  </si>
  <si>
    <t>Rhône</t>
  </si>
  <si>
    <t>Camping Le Schlossberg</t>
  </si>
  <si>
    <t>Camping Brione</t>
  </si>
  <si>
    <t>Camping Club Naturista Pizzo Greco</t>
  </si>
  <si>
    <t>Calabre</t>
  </si>
  <si>
    <t>Crotone</t>
  </si>
  <si>
    <t>Domaine du Lac de Condé</t>
  </si>
  <si>
    <t>Camping Les Rivières</t>
  </si>
  <si>
    <t>Moselcamping Kröver Berg</t>
  </si>
  <si>
    <t>Wecamp Cudillero</t>
  </si>
  <si>
    <t>Camping La Clairière</t>
  </si>
  <si>
    <t>Camping La Ferme du Bord de Mer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</si>
  <si>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</si>
  <si>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</si>
  <si>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</si>
  <si>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</si>
  <si>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</si>
  <si>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</si>
  <si>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Porte des Vosges</t>
  </si>
  <si>
    <t>Camping Le Picard</t>
  </si>
  <si>
    <t>Camping Panorama del Chianti</t>
  </si>
  <si>
    <t>Firenze</t>
  </si>
  <si>
    <t>Camping Qualité l'Eden de la Vanoise</t>
  </si>
  <si>
    <t>Camping Le Bivouac</t>
  </si>
  <si>
    <t>TAIGA Almeria Playa</t>
  </si>
  <si>
    <t>Camping Les Ulèzes</t>
  </si>
  <si>
    <t>Camping Lac des Brenets</t>
  </si>
  <si>
    <t>Neuchâtel</t>
  </si>
  <si>
    <t>Camping Au Mica</t>
  </si>
  <si>
    <t>Camping Les 2 Plages</t>
  </si>
  <si>
    <t>Camping Lido</t>
  </si>
  <si>
    <t>Camping L'Ile Chambod</t>
  </si>
  <si>
    <t>Camping Atlantica</t>
  </si>
  <si>
    <t>RCN Camping Laacher See</t>
  </si>
  <si>
    <t>Kompas Camping Westende</t>
  </si>
  <si>
    <t>Flandre-Occidentale</t>
  </si>
  <si>
    <t>Camping Geelenhoof</t>
  </si>
  <si>
    <t>Slow Village | La Roque sur Cèze</t>
  </si>
  <si>
    <t>Camping Pueblo Blanco</t>
  </si>
  <si>
    <t>Camping du Brec</t>
  </si>
  <si>
    <t>YELLOH! VILLAGE - LES BALEARES SON BOU</t>
  </si>
  <si>
    <t>Flower Camping La Forêt</t>
  </si>
  <si>
    <t>Marne</t>
  </si>
  <si>
    <t>Camping de la Bucherie</t>
  </si>
  <si>
    <t>Trendcamping Wolfach</t>
  </si>
  <si>
    <t>Camping Laspaúles</t>
  </si>
  <si>
    <t>Camping De Watertoren</t>
  </si>
  <si>
    <t>Strandparc Nulde</t>
  </si>
  <si>
    <t>Camping Joncar Mar</t>
  </si>
  <si>
    <t>Camping Le Vallon aux Merlettes</t>
  </si>
  <si>
    <t>Camping Seasonova Les Plages de Loire</t>
  </si>
  <si>
    <t>Camping ABC am Großensee/Hamburg</t>
  </si>
  <si>
    <t>Waldbad Isny GmbH &amp; Co. KG</t>
  </si>
  <si>
    <t>Camping Arquin</t>
  </si>
  <si>
    <t>Flower Camping Le Bois d'Amour</t>
  </si>
  <si>
    <t>Camping Fargogne</t>
  </si>
  <si>
    <t>Camping La Corconne</t>
  </si>
  <si>
    <t>Camping Terme 3000</t>
  </si>
  <si>
    <t>Camping Castillo de Baños</t>
  </si>
  <si>
    <t>Country Park Crécy La Chapelle</t>
  </si>
  <si>
    <t>Domaine Saint Martin</t>
  </si>
  <si>
    <t>Wecamp Jávea</t>
  </si>
  <si>
    <t>Camping Au Bon Endroit</t>
  </si>
  <si>
    <t>Campingpark Gartow</t>
  </si>
  <si>
    <t>Campingplatz Eulenburg</t>
  </si>
  <si>
    <t>Camping Pré Vologne</t>
  </si>
  <si>
    <t>Camping La Masseria</t>
  </si>
  <si>
    <t>Camping Le Diben</t>
  </si>
  <si>
    <t>CAMPING MENDI AZPIAN</t>
  </si>
  <si>
    <t>Camping Les Chapelains</t>
  </si>
  <si>
    <t>Camping De Grienduil</t>
  </si>
  <si>
    <t>YELLOH! VILLAGE - LA ROCHE POSAY VACANCES</t>
  </si>
  <si>
    <t>Domaine du Trappeur</t>
  </si>
  <si>
    <t>Camping Au Bois Du Cé, PUY DU FOU ®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</si>
  <si>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</si>
  <si>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</si>
  <si>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</si>
  <si>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</si>
  <si>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LES JARDINS D'ESTAVAR</t>
  </si>
  <si>
    <t>Camping Homair - Atlantic Club Montalivet</t>
  </si>
  <si>
    <t>Camping Le Rey</t>
  </si>
  <si>
    <t>Campo di Liccia</t>
  </si>
  <si>
    <t>Camping Homair - Le Soleil de la Méditerranée</t>
  </si>
  <si>
    <t>CAMPING LE NID DU PARC</t>
  </si>
  <si>
    <t>Camping Les Arbousiers</t>
  </si>
  <si>
    <t>Camping l'Océane</t>
  </si>
  <si>
    <t>Camping Les Bouleaux</t>
  </si>
  <si>
    <t>Camping La Rivière Dorée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</si>
  <si>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</si>
  <si>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</si>
  <si>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</si>
  <si>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</si>
  <si>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</si>
  <si>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</si>
  <si>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</si>
  <si>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</si>
  <si>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</si>
  <si>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de Sion</t>
  </si>
  <si>
    <t>Flower Camping du Lac de la Seigneurie</t>
  </si>
  <si>
    <t>Territoire-de-Belfort</t>
  </si>
  <si>
    <t>NANTES CAMPING</t>
  </si>
  <si>
    <t>CAMPING LES RIVES DE VILAINE</t>
  </si>
  <si>
    <t>Camping Sandaya Soulac Plage</t>
  </si>
  <si>
    <t>Siblu - Les Embruns</t>
  </si>
  <si>
    <t>Camping d'Auberoche</t>
  </si>
  <si>
    <t>Camping &amp; Bungalows Estanyet</t>
  </si>
  <si>
    <t>Camping Royal</t>
  </si>
  <si>
    <t>Piémont</t>
  </si>
  <si>
    <t>Novare</t>
  </si>
  <si>
    <t>Camping Paradies Franken</t>
  </si>
  <si>
    <t>Elbadoc Camping Village</t>
  </si>
  <si>
    <t>Vital CAMP Bayerbach</t>
  </si>
  <si>
    <t>Camping Calpemar</t>
  </si>
  <si>
    <t>TAIGA Lake Caspe</t>
  </si>
  <si>
    <t>Saragosse</t>
  </si>
  <si>
    <t>Freizeitpark Am Emsdeich</t>
  </si>
  <si>
    <t>Camping Bor</t>
  </si>
  <si>
    <t>Agricamper Torre Sabea</t>
  </si>
  <si>
    <t>Camping du moulin de Thoard</t>
  </si>
  <si>
    <t>Éco-Camping La Porte d'Autan</t>
  </si>
  <si>
    <t>Camping Rialto Village</t>
  </si>
  <si>
    <t>Village Nature Zen</t>
  </si>
  <si>
    <t xml:space="preserve">Henne Strand Resort </t>
  </si>
  <si>
    <t>Henne Strand</t>
  </si>
  <si>
    <t>Domaine des Pins</t>
  </si>
  <si>
    <t>Camping Le Mont Joli Bois</t>
  </si>
  <si>
    <t>Camping de La Falaise</t>
  </si>
  <si>
    <t>Nicoll's Camp/Pins</t>
  </si>
  <si>
    <t>CAMPING TORRACCIA</t>
  </si>
  <si>
    <t>Bi Village</t>
  </si>
  <si>
    <t>Camping l'Océan</t>
  </si>
  <si>
    <t>Camping de la Plage - Alpes, Vercors et Trièves</t>
  </si>
  <si>
    <t>Chadotel Tahiti Village</t>
  </si>
  <si>
    <t>Camping Homair - Le Petit Mousse</t>
  </si>
  <si>
    <t>Alannia Costa Dorada</t>
  </si>
  <si>
    <t>Camping de l'Orival</t>
  </si>
  <si>
    <t>LieuDieu, Domaine de Campagne</t>
  </si>
  <si>
    <t>Camping des Barolles</t>
  </si>
  <si>
    <t>Camping Les 12 Cols</t>
  </si>
  <si>
    <t>Camping de la Belle Etoile</t>
  </si>
  <si>
    <t>Loire</t>
  </si>
  <si>
    <t>Camping La Siesta</t>
  </si>
  <si>
    <t>Camping Seasonova Etennemare</t>
  </si>
  <si>
    <t>Iron Gate Marina 3B</t>
  </si>
  <si>
    <t>Camping Eden Villages Palmyre Loisirs</t>
  </si>
  <si>
    <t>Camping de la Moselle</t>
  </si>
  <si>
    <t>Camping CROMENACH</t>
  </si>
  <si>
    <t xml:space="preserve">Camping du Lac au Duc </t>
  </si>
  <si>
    <t>Flower Camping La Grande Lande</t>
  </si>
  <si>
    <t>WEST CAMPING</t>
  </si>
  <si>
    <t>Flower Camping La Blanche Hermine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</si>
  <si>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</si>
  <si>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</si>
  <si>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</si>
  <si>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</si>
  <si>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</si>
  <si>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</si>
  <si>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L'Escale de Loire</t>
  </si>
  <si>
    <t>Village Vacances du Lac de Menet</t>
  </si>
  <si>
    <t>Camping Alegría del Mar</t>
  </si>
  <si>
    <t>Camping Resort Els Pins</t>
  </si>
  <si>
    <t>Camping Kanopée Village</t>
  </si>
  <si>
    <t>Campilo</t>
  </si>
  <si>
    <t>Flower Camping Le Pré des Sables</t>
  </si>
  <si>
    <t>IDEAL CAMPING</t>
  </si>
  <si>
    <t xml:space="preserve">Camping  L'Hermitage</t>
  </si>
  <si>
    <t>Huttopia Parque de Doñana</t>
  </si>
  <si>
    <t>Huelva</t>
  </si>
  <si>
    <t>Domaine du Château - Epinal</t>
  </si>
  <si>
    <t>Camping de la Colline</t>
  </si>
  <si>
    <t>Flower Camping Provence Vallée</t>
  </si>
  <si>
    <t>Camping le Damier</t>
  </si>
  <si>
    <t>ROMANEE L'Evasion</t>
  </si>
  <si>
    <t>Camping Dordogne Las Patrasses</t>
  </si>
  <si>
    <t>Parenthèses imaginaires</t>
  </si>
  <si>
    <t>Camping Maupassant</t>
  </si>
  <si>
    <t>TAIGA Delta de l'Ebre</t>
  </si>
  <si>
    <t>Insel-Camp Fehmarn</t>
  </si>
  <si>
    <t>Camping Homair - Côté Mer</t>
  </si>
  <si>
    <t>Flower Camping Les Plages de l'Ain</t>
  </si>
  <si>
    <t>Camping Le Médiéval</t>
  </si>
  <si>
    <t>Horsens City camping ApS</t>
  </si>
  <si>
    <t>Plein Air Locations - Camping Palmyre Loisirs</t>
  </si>
  <si>
    <t>Natura Resort Pescalis - Terres de France</t>
  </si>
  <si>
    <t>Deux-Sèvres</t>
  </si>
  <si>
    <t>Camping Papillon Rochefort</t>
  </si>
  <si>
    <t>Namur</t>
  </si>
  <si>
    <t>Family's Camping Le Savoy</t>
  </si>
  <si>
    <t>Domaine des Grands Pins</t>
  </si>
  <si>
    <t>Camping du Lac</t>
  </si>
  <si>
    <t>Camping &amp; Bungalows Zumaia</t>
  </si>
  <si>
    <t>Camping le Picardy</t>
  </si>
  <si>
    <t>Camping Aqua 3 Masses</t>
  </si>
  <si>
    <t>Camping Des Familles</t>
  </si>
  <si>
    <t>Flower Camping LES BERGES DE LA DORDOGNE</t>
  </si>
  <si>
    <t>Camping Laguna Village</t>
  </si>
  <si>
    <t>Camping Campo dei Fiori</t>
  </si>
  <si>
    <t>Camping Seasonova Les 7 Iles</t>
  </si>
  <si>
    <t>Tigullio Camping Resort</t>
  </si>
  <si>
    <t>Rosenvold Strand Camping</t>
  </si>
  <si>
    <t>Hedensted Kommune</t>
  </si>
  <si>
    <t>Camping La Résidence du Lac</t>
  </si>
  <si>
    <t>Resort de Otterberg</t>
  </si>
  <si>
    <t>Drenthe</t>
  </si>
  <si>
    <t>Camping Tikayan Félix de la Bastide</t>
  </si>
  <si>
    <t>Lilybeo Village Camping &amp; Residence</t>
  </si>
  <si>
    <t>Trapani</t>
  </si>
  <si>
    <t>Camping de l'Ile</t>
  </si>
  <si>
    <t>Camping Le Pont d'Yeu</t>
  </si>
  <si>
    <t>Baia Holiday Roma Capitol</t>
  </si>
  <si>
    <t>Camping Park Mara</t>
  </si>
  <si>
    <t>Camping Le Bois des Ecureuils</t>
  </si>
  <si>
    <t>Camping Pinar de San José</t>
  </si>
  <si>
    <t>Camping La Pinède</t>
  </si>
  <si>
    <t>Camping La Pause Atypi'k</t>
  </si>
  <si>
    <t>Siblu – Les Rives de Condrieu</t>
  </si>
  <si>
    <t>Camping La Roussie</t>
  </si>
  <si>
    <t>Camping Parc de la Dranse</t>
  </si>
  <si>
    <t>Saxida Wine &amp; Camping Resort</t>
  </si>
  <si>
    <t>Paradies-Camp</t>
  </si>
  <si>
    <t>Camping Seasonova Ile de Ré</t>
  </si>
  <si>
    <t>Camping Hello Soleil</t>
  </si>
  <si>
    <t>Camping Park Baita Dolomiti Village</t>
  </si>
  <si>
    <t>Les Bois de Prayssac</t>
  </si>
  <si>
    <t>Camping de Regenboog</t>
  </si>
  <si>
    <t>Tchéquie</t>
  </si>
  <si>
    <t>Ústecký kraj</t>
  </si>
  <si>
    <t>Campingplatz Landidyll</t>
  </si>
  <si>
    <t>Saxe</t>
  </si>
  <si>
    <t>Camping Domaine du Mès</t>
  </si>
  <si>
    <t>Camping Röse</t>
  </si>
  <si>
    <t>Camping La Mola</t>
  </si>
  <si>
    <t>Appart'Hotel le Splendid - Terres de France</t>
  </si>
  <si>
    <t>Camping Du Lac Terre d'Auge, Pont-L'Evêque</t>
  </si>
  <si>
    <t>Camping Abijune</t>
  </si>
  <si>
    <t>Campingpark im Bergischen Land</t>
  </si>
  <si>
    <t>Rhénanie-du-Nord-Westphalie</t>
  </si>
  <si>
    <t>Långasjönäs Camping &amp; Holiday Village</t>
  </si>
  <si>
    <t>Suède</t>
  </si>
  <si>
    <t>Comté de Blekinge</t>
  </si>
  <si>
    <t>Forest Camping Mozirje</t>
  </si>
  <si>
    <t>Mozirje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</si>
  <si>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</si>
  <si>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</si>
  <si>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</si>
  <si>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</si>
  <si>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</si>
  <si>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Camping Milella</t>
  </si>
  <si>
    <t>Ushuaïa Villages - Camping Domaine du Blanc Pignon **</t>
  </si>
  <si>
    <t>Camping Cantabria</t>
  </si>
  <si>
    <t>Campingplatz HOCHoben</t>
  </si>
  <si>
    <t>Seecamping Kleblach-Lind</t>
  </si>
  <si>
    <t>Camping Ar Roc'h</t>
  </si>
  <si>
    <t xml:space="preserve">Sandaya Toscana Bella </t>
  </si>
  <si>
    <t>River Camping Bled</t>
  </si>
  <si>
    <t>Opatija Camping</t>
  </si>
  <si>
    <t>Campasun Camping de l’Etang de La Bonde</t>
  </si>
  <si>
    <t>Domaine du Golf - Terres de France</t>
  </si>
  <si>
    <t>Camping Veli Joze</t>
  </si>
  <si>
    <t>Camper Park Playas de Luz</t>
  </si>
  <si>
    <t>Flower Camping InNature</t>
  </si>
  <si>
    <t>Camping l'Air du Temps</t>
  </si>
  <si>
    <t>Camping de la Prairie</t>
  </si>
  <si>
    <t>Pielachtal Camping</t>
  </si>
  <si>
    <t>Basse-Autriche</t>
  </si>
  <si>
    <t>Bezirk St. Pölten</t>
  </si>
  <si>
    <t>Camping Tikayan Beauséjour</t>
  </si>
  <si>
    <t>TAIGA Conil</t>
  </si>
  <si>
    <t>Camping La Vaugelette</t>
  </si>
  <si>
    <t>Camping Homair - Le Val de Durance</t>
  </si>
  <si>
    <t>Camping Homair - Les Naïades</t>
  </si>
  <si>
    <t>Camping Homair - Les Lacs du Verdon</t>
  </si>
  <si>
    <t>Camping Homair - Le Domaine de Ker Ys</t>
  </si>
  <si>
    <t>Huttopia Forêt des Vosges</t>
  </si>
  <si>
    <t>Agricampeggio La Stadera</t>
  </si>
  <si>
    <t>Forlì-Cesena</t>
  </si>
  <si>
    <t>Camping la'bel balagne</t>
  </si>
  <si>
    <t>Domaine du Téno</t>
  </si>
  <si>
    <t>Domaine les Cottages de la Baule</t>
  </si>
  <si>
    <t>Domaine de l'Orée d'Arzal</t>
  </si>
  <si>
    <t>Camping Vallée de l'Our s.a.r.l.</t>
  </si>
  <si>
    <t>Camping Montorfano</t>
  </si>
  <si>
    <t>Côme</t>
  </si>
  <si>
    <t>Camping Cala Pola</t>
  </si>
  <si>
    <t>Heidepark Veluwschkarakter</t>
  </si>
  <si>
    <t xml:space="preserve">Moselcampingplatz Alf </t>
  </si>
  <si>
    <t>Camping l’Eglantier</t>
  </si>
  <si>
    <t>Camping Municipal de l'Étang</t>
  </si>
  <si>
    <t>Camping Manu</t>
  </si>
  <si>
    <t xml:space="preserve"> Domaine Saint-Amand </t>
  </si>
  <si>
    <t>camping Le Petit Canada</t>
  </si>
  <si>
    <t>Résidence de La Cabre d'Or - Terres de France</t>
  </si>
  <si>
    <t>Agricampeggio Abbruzzetti</t>
  </si>
  <si>
    <t>Camping Le Pinada</t>
  </si>
  <si>
    <t>Camping Alfacs</t>
  </si>
  <si>
    <t>VVF Larmor Plage</t>
  </si>
  <si>
    <t>Les Clos de Gascogne</t>
  </si>
  <si>
    <t xml:space="preserve">Wecamp Cadaqués </t>
  </si>
  <si>
    <t>Siblu - Camping in de Bongerd</t>
  </si>
  <si>
    <t>Camping Homair - La Baie des Anges</t>
  </si>
  <si>
    <t>Camping-Village Acqua E Sole</t>
  </si>
  <si>
    <t>U Pinarellu</t>
  </si>
  <si>
    <t>Camping Porto Vecchio</t>
  </si>
  <si>
    <t>MeerReise Camping</t>
  </si>
  <si>
    <t>Camping Côté Vercors</t>
  </si>
  <si>
    <t xml:space="preserve"> Camping Le Clos de Savoye </t>
  </si>
  <si>
    <t>Camping La Vallée</t>
  </si>
  <si>
    <t xml:space="preserve"> Camping les Voiles </t>
  </si>
  <si>
    <t xml:space="preserve"> Camping Tente Simone </t>
  </si>
  <si>
    <t>TAIGA Tarifa Punta Paloma</t>
  </si>
  <si>
    <t>Camping Costabella</t>
  </si>
  <si>
    <t>Camping und Pension Bergheimat</t>
  </si>
  <si>
    <t>Camping Sandaya Val André</t>
  </si>
  <si>
    <t>Basecamps</t>
  </si>
  <si>
    <t>Wecamp Cádiz</t>
  </si>
  <si>
    <t>TAIGA Bassegoda Park</t>
  </si>
  <si>
    <t>Camping Essenza Alpina</t>
  </si>
  <si>
    <t xml:space="preserve">Flower Camping Les Iles </t>
  </si>
  <si>
    <t>Camping Homair - Les Vignes</t>
  </si>
  <si>
    <t>Plein Air Locations - Domaine du Lac</t>
  </si>
  <si>
    <t xml:space="preserve">Camping Los Olivos de Xivert </t>
  </si>
  <si>
    <t>Camping Denntal</t>
  </si>
  <si>
    <t xml:space="preserve">Camping Bedura Park </t>
  </si>
  <si>
    <t>Camping El Madroñal</t>
  </si>
  <si>
    <t xml:space="preserve">Camping Costa del Sol Glamping Village </t>
  </si>
  <si>
    <t>VVF Pontivy</t>
  </si>
  <si>
    <t>Plein Air Locations - Camping Ur Onea</t>
  </si>
  <si>
    <t>Camping La Papelutte</t>
  </si>
  <si>
    <t>Campingresort Hinterstoder</t>
  </si>
  <si>
    <t>Haute-Autriche</t>
  </si>
  <si>
    <t>Bezirk Kirchdorf</t>
  </si>
  <si>
    <t>Campings Liberté - Lacanau</t>
  </si>
  <si>
    <t>Campings Liberté - Verdon</t>
  </si>
  <si>
    <t xml:space="preserve"> Camping Dörpen </t>
  </si>
  <si>
    <t xml:space="preserve">Versants </t>
  </si>
  <si>
    <t>Camping Des Deux Séquoias</t>
  </si>
  <si>
    <t>VVF Créances</t>
  </si>
  <si>
    <t>Campingplatz Dümmersee</t>
  </si>
  <si>
    <t>Villaggio Turistico La Cecinella</t>
  </si>
  <si>
    <t>Camping Calella</t>
  </si>
  <si>
    <t>Agricampeggio Bosco di Marino</t>
  </si>
  <si>
    <t>Treviso</t>
  </si>
  <si>
    <t>Camping Homair - Sol à Gogo</t>
  </si>
  <si>
    <t>HolaCamp La Franca</t>
  </si>
  <si>
    <t>Camping Le Chaponnet</t>
  </si>
  <si>
    <t xml:space="preserve">Camping El Toro Azul </t>
  </si>
  <si>
    <t>Camping Homair - Domaine de Soleil Plage</t>
  </si>
  <si>
    <t>Camping Homair - Les Pommiers du Mont Saint Michel</t>
  </si>
  <si>
    <t>Camping Homair - Le Parc de la Fecht</t>
  </si>
  <si>
    <t>Camping Homair - L'Ile du Rhin</t>
  </si>
  <si>
    <t>Camping Homair - Plage et Bord Mer</t>
  </si>
  <si>
    <t>Camping Homair - Domaine du Logis</t>
  </si>
  <si>
    <t>Camping Le Ban de Laviot</t>
  </si>
  <si>
    <t>UserName</t>
  </si>
  <si>
    <t>superuser.jeromeNax</t>
  </si>
  <si>
    <t>Extraction Date</t>
  </si>
  <si>
    <t>31/10/2026 11:40:30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</si>
  <si>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</si>
  <si>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</si>
  <si>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</si>
  <si>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2139, 2191, 2192, 2193</t>
  </si>
  <si>
    <t>EstablishmentIdList</t>
  </si>
  <si>
    <t>ForfaitIdList</t>
  </si>
  <si>
    <t>Period 1</t>
  </si>
  <si>
    <t>30/10/2026 00h00 - 30/10/2026 23h59</t>
  </si>
  <si>
    <t>Database PsLineIn</t>
  </si>
  <si>
    <t>2309</t>
  </si>
  <si>
    <t>Database PsLineOut</t>
  </si>
  <si>
    <t>1482</t>
  </si>
  <si>
    <t>Database Extraction Duration</t>
  </si>
  <si>
    <t>1,172 seconds</t>
  </si>
  <si>
    <t>C# Calcul Duration</t>
  </si>
  <si>
    <t>0,03 seconds</t>
  </si>
  <si>
    <t>C# ExcelFormating Duration</t>
  </si>
  <si>
    <t>1,735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</si>
</sst>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7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586</v>
      </c>
      <c r="D3" s="5">
        <v>54</v>
      </c>
      <c r="E3" s="6">
        <v>969</v>
      </c>
      <c r="F3" s="5">
        <v>540</v>
      </c>
      <c r="G3" s="5">
        <v>36</v>
      </c>
      <c r="H3" s="5">
        <v>213</v>
      </c>
      <c r="I3" s="5">
        <v>100</v>
      </c>
      <c r="J3" s="5">
        <v>60</v>
      </c>
      <c r="K3" s="5">
        <v>20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893</v>
      </c>
      <c r="U3" s="5">
        <v>498</v>
      </c>
      <c r="V3" s="5">
        <v>27</v>
      </c>
      <c r="W3" s="5">
        <v>200</v>
      </c>
      <c r="X3" s="5">
        <v>91</v>
      </c>
      <c r="Y3" s="5">
        <v>57</v>
      </c>
      <c r="Z3" s="5">
        <v>20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1.37</v>
      </c>
      <c r="AK3" s="5">
        <v>1</v>
      </c>
      <c r="AL3" s="5">
        <v>8</v>
      </c>
      <c r="AM3" s="28">
        <v>19.22</v>
      </c>
    </row>
    <row r="4">
      <c r="A4" s="24">
        <v>850</v>
      </c>
      <c r="B4" s="9" t="s">
        <v>28</v>
      </c>
      <c r="C4" s="10">
        <v>8</v>
      </c>
      <c r="D4" s="10">
        <v>5</v>
      </c>
      <c r="E4" s="11">
        <v>12</v>
      </c>
      <c r="F4" s="10">
        <v>12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8</v>
      </c>
      <c r="U4" s="10">
        <v>8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1.5</v>
      </c>
      <c r="AK4" s="10">
        <v>1</v>
      </c>
      <c r="AL4" s="10">
        <v>2</v>
      </c>
      <c r="AM4" s="29">
        <v>1.8</v>
      </c>
    </row>
    <row r="5">
      <c r="A5" s="23">
        <v>892</v>
      </c>
      <c r="B5" s="4" t="s">
        <v>29</v>
      </c>
      <c r="C5" s="5">
        <v>20</v>
      </c>
      <c r="D5" s="5">
        <v>20</v>
      </c>
      <c r="E5" s="6">
        <v>30</v>
      </c>
      <c r="F5" s="5">
        <v>30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21</v>
      </c>
      <c r="U5" s="5">
        <v>21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1.5</v>
      </c>
      <c r="AK5" s="5">
        <v>1</v>
      </c>
      <c r="AL5" s="5">
        <v>6</v>
      </c>
      <c r="AM5" s="28">
        <v>6.77</v>
      </c>
    </row>
    <row r="6">
      <c r="A6" s="24">
        <v>976</v>
      </c>
      <c r="B6" s="9" t="s">
        <v>30</v>
      </c>
      <c r="C6" s="10">
        <v>6</v>
      </c>
      <c r="D6" s="10">
        <v>6</v>
      </c>
      <c r="E6" s="11">
        <v>6</v>
      </c>
      <c r="F6" s="10">
        <v>6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6</v>
      </c>
      <c r="U6" s="10">
        <v>6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</v>
      </c>
      <c r="AK6" s="10">
        <v>1</v>
      </c>
      <c r="AL6" s="10">
        <v>1</v>
      </c>
      <c r="AM6" s="29">
        <v>1.87</v>
      </c>
    </row>
    <row r="7">
      <c r="A7" s="23">
        <v>1104</v>
      </c>
      <c r="B7" s="4" t="s">
        <v>31</v>
      </c>
      <c r="C7" s="5">
        <v>22</v>
      </c>
      <c r="D7" s="7">
        <v>0</v>
      </c>
      <c r="E7" s="6">
        <v>26</v>
      </c>
      <c r="F7" s="5">
        <v>19</v>
      </c>
      <c r="G7" s="7">
        <v>0</v>
      </c>
      <c r="H7" s="5">
        <v>1</v>
      </c>
      <c r="I7" s="5">
        <v>6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24</v>
      </c>
      <c r="U7" s="5">
        <v>17</v>
      </c>
      <c r="V7" s="7">
        <v>0</v>
      </c>
      <c r="W7" s="5">
        <v>1</v>
      </c>
      <c r="X7" s="5">
        <v>6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1.13</v>
      </c>
      <c r="AK7" s="5">
        <v>1</v>
      </c>
      <c r="AL7" s="5">
        <v>2</v>
      </c>
      <c r="AM7" s="30">
        <v>0</v>
      </c>
    </row>
    <row r="8">
      <c r="A8" s="24">
        <v>1139</v>
      </c>
      <c r="B8" s="9" t="s">
        <v>32</v>
      </c>
      <c r="C8" s="10">
        <v>19</v>
      </c>
      <c r="D8" s="10">
        <v>17</v>
      </c>
      <c r="E8" s="11">
        <v>29</v>
      </c>
      <c r="F8" s="12">
        <v>0</v>
      </c>
      <c r="G8" s="12">
        <v>0</v>
      </c>
      <c r="H8" s="12">
        <v>0</v>
      </c>
      <c r="I8" s="10">
        <v>29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27</v>
      </c>
      <c r="U8" s="12">
        <v>0</v>
      </c>
      <c r="V8" s="12">
        <v>0</v>
      </c>
      <c r="W8" s="12">
        <v>0</v>
      </c>
      <c r="X8" s="10">
        <v>27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1.53</v>
      </c>
      <c r="AK8" s="10">
        <v>1</v>
      </c>
      <c r="AL8" s="10">
        <v>8</v>
      </c>
      <c r="AM8" s="29">
        <v>5.71</v>
      </c>
    </row>
    <row r="9">
      <c r="A9" s="23">
        <v>1141</v>
      </c>
      <c r="B9" s="4" t="s">
        <v>33</v>
      </c>
      <c r="C9" s="5">
        <v>1</v>
      </c>
      <c r="D9" s="5">
        <v>1</v>
      </c>
      <c r="E9" s="6">
        <v>1</v>
      </c>
      <c r="F9" s="7">
        <v>0</v>
      </c>
      <c r="G9" s="7">
        <v>0</v>
      </c>
      <c r="H9" s="7">
        <v>0</v>
      </c>
      <c r="I9" s="5">
        <v>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1</v>
      </c>
      <c r="U9" s="7">
        <v>0</v>
      </c>
      <c r="V9" s="7">
        <v>0</v>
      </c>
      <c r="W9" s="7">
        <v>0</v>
      </c>
      <c r="X9" s="5">
        <v>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</v>
      </c>
      <c r="AK9" s="5">
        <v>1</v>
      </c>
      <c r="AL9" s="5">
        <v>1</v>
      </c>
      <c r="AM9" s="28">
        <v>0.38</v>
      </c>
    </row>
    <row r="10">
      <c r="A10" s="24">
        <v>1172</v>
      </c>
      <c r="B10" s="9" t="s">
        <v>34</v>
      </c>
      <c r="C10" s="10">
        <v>25</v>
      </c>
      <c r="D10" s="10">
        <v>3</v>
      </c>
      <c r="E10" s="11">
        <v>27</v>
      </c>
      <c r="F10" s="10">
        <v>26</v>
      </c>
      <c r="G10" s="12">
        <v>0</v>
      </c>
      <c r="H10" s="10">
        <v>1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25</v>
      </c>
      <c r="U10" s="10">
        <v>24</v>
      </c>
      <c r="V10" s="12">
        <v>0</v>
      </c>
      <c r="W10" s="10">
        <v>1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1.08</v>
      </c>
      <c r="AK10" s="10">
        <v>1</v>
      </c>
      <c r="AL10" s="10">
        <v>2</v>
      </c>
      <c r="AM10" s="29">
        <v>0.77</v>
      </c>
    </row>
    <row r="11">
      <c r="A11" s="23">
        <v>1199</v>
      </c>
      <c r="B11" s="4" t="s">
        <v>35</v>
      </c>
      <c r="C11" s="5">
        <v>102</v>
      </c>
      <c r="D11" s="5">
        <v>102</v>
      </c>
      <c r="E11" s="6">
        <v>105</v>
      </c>
      <c r="F11" s="7">
        <v>0</v>
      </c>
      <c r="G11" s="7">
        <v>0</v>
      </c>
      <c r="H11" s="5">
        <v>105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105</v>
      </c>
      <c r="U11" s="7">
        <v>0</v>
      </c>
      <c r="V11" s="7">
        <v>0</v>
      </c>
      <c r="W11" s="5">
        <v>105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1.03</v>
      </c>
      <c r="AK11" s="5">
        <v>1</v>
      </c>
      <c r="AL11" s="5">
        <v>2</v>
      </c>
      <c r="AM11" s="28">
        <v>25.39</v>
      </c>
    </row>
    <row r="12">
      <c r="A12" s="24">
        <v>1213</v>
      </c>
      <c r="B12" s="9" t="s">
        <v>36</v>
      </c>
      <c r="C12" s="10">
        <v>110</v>
      </c>
      <c r="D12" s="10">
        <v>105</v>
      </c>
      <c r="E12" s="11">
        <v>261</v>
      </c>
      <c r="F12" s="12">
        <v>0</v>
      </c>
      <c r="G12" s="10">
        <v>1</v>
      </c>
      <c r="H12" s="12">
        <v>0</v>
      </c>
      <c r="I12" s="10">
        <v>260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240</v>
      </c>
      <c r="U12" s="12">
        <v>0</v>
      </c>
      <c r="V12" s="10">
        <v>1</v>
      </c>
      <c r="W12" s="12">
        <v>0</v>
      </c>
      <c r="X12" s="10">
        <v>239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2.37</v>
      </c>
      <c r="AK12" s="10">
        <v>1</v>
      </c>
      <c r="AL12" s="10">
        <v>46</v>
      </c>
      <c r="AM12" s="29">
        <v>59.38</v>
      </c>
    </row>
    <row r="13">
      <c r="A13" s="23">
        <v>1221</v>
      </c>
      <c r="B13" s="4" t="s">
        <v>37</v>
      </c>
      <c r="C13" s="5">
        <v>29</v>
      </c>
      <c r="D13" s="5">
        <v>29</v>
      </c>
      <c r="E13" s="6">
        <v>34</v>
      </c>
      <c r="F13" s="5">
        <v>5</v>
      </c>
      <c r="G13" s="7">
        <v>0</v>
      </c>
      <c r="H13" s="5">
        <v>4</v>
      </c>
      <c r="I13" s="5">
        <v>25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30</v>
      </c>
      <c r="U13" s="5">
        <v>4</v>
      </c>
      <c r="V13" s="7">
        <v>0</v>
      </c>
      <c r="W13" s="5">
        <v>3</v>
      </c>
      <c r="X13" s="5">
        <v>23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1.17</v>
      </c>
      <c r="AK13" s="5">
        <v>1</v>
      </c>
      <c r="AL13" s="5">
        <v>2</v>
      </c>
      <c r="AM13" s="28">
        <v>7.49</v>
      </c>
    </row>
    <row r="14">
      <c r="A14" s="24">
        <v>1222</v>
      </c>
      <c r="B14" s="9" t="s">
        <v>38</v>
      </c>
      <c r="C14" s="10">
        <v>5</v>
      </c>
      <c r="D14" s="10">
        <v>5</v>
      </c>
      <c r="E14" s="11">
        <v>5</v>
      </c>
      <c r="F14" s="10">
        <v>5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5</v>
      </c>
      <c r="U14" s="10">
        <v>5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</v>
      </c>
      <c r="AK14" s="10">
        <v>1</v>
      </c>
      <c r="AL14" s="10">
        <v>1</v>
      </c>
      <c r="AM14" s="29">
        <v>1.79</v>
      </c>
    </row>
    <row r="15">
      <c r="A15" s="23">
        <v>1254</v>
      </c>
      <c r="B15" s="4" t="s">
        <v>39</v>
      </c>
      <c r="C15" s="5">
        <v>10</v>
      </c>
      <c r="D15" s="5">
        <v>10</v>
      </c>
      <c r="E15" s="6">
        <v>19</v>
      </c>
      <c r="F15" s="7">
        <v>0</v>
      </c>
      <c r="G15" s="7">
        <v>0</v>
      </c>
      <c r="H15" s="7">
        <v>0</v>
      </c>
      <c r="I15" s="5">
        <v>19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19</v>
      </c>
      <c r="U15" s="7">
        <v>0</v>
      </c>
      <c r="V15" s="7">
        <v>0</v>
      </c>
      <c r="W15" s="7">
        <v>0</v>
      </c>
      <c r="X15" s="5">
        <v>19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1.9</v>
      </c>
      <c r="AK15" s="5">
        <v>1</v>
      </c>
      <c r="AL15" s="5">
        <v>10</v>
      </c>
      <c r="AM15" s="28">
        <v>4.85</v>
      </c>
    </row>
    <row r="16">
      <c r="A16" s="24">
        <v>1293</v>
      </c>
      <c r="B16" s="9" t="s">
        <v>40</v>
      </c>
      <c r="C16" s="10">
        <v>3</v>
      </c>
      <c r="D16" s="10">
        <v>3</v>
      </c>
      <c r="E16" s="11">
        <v>3</v>
      </c>
      <c r="F16" s="12">
        <v>0</v>
      </c>
      <c r="G16" s="12">
        <v>0</v>
      </c>
      <c r="H16" s="12">
        <v>0</v>
      </c>
      <c r="I16" s="10">
        <v>3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3</v>
      </c>
      <c r="U16" s="12">
        <v>0</v>
      </c>
      <c r="V16" s="12">
        <v>0</v>
      </c>
      <c r="W16" s="12">
        <v>0</v>
      </c>
      <c r="X16" s="10">
        <v>3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</v>
      </c>
      <c r="AK16" s="10">
        <v>1</v>
      </c>
      <c r="AL16" s="10">
        <v>1</v>
      </c>
      <c r="AM16" s="29">
        <v>0.71</v>
      </c>
    </row>
    <row r="17">
      <c r="A17" s="23">
        <v>1379</v>
      </c>
      <c r="B17" s="4" t="s">
        <v>41</v>
      </c>
      <c r="C17" s="5">
        <v>118</v>
      </c>
      <c r="D17" s="5">
        <v>117</v>
      </c>
      <c r="E17" s="6">
        <v>247</v>
      </c>
      <c r="F17" s="7">
        <v>0</v>
      </c>
      <c r="G17" s="7">
        <v>0</v>
      </c>
      <c r="H17" s="7">
        <v>0</v>
      </c>
      <c r="I17" s="5">
        <v>247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238</v>
      </c>
      <c r="U17" s="7">
        <v>0</v>
      </c>
      <c r="V17" s="7">
        <v>0</v>
      </c>
      <c r="W17" s="7">
        <v>0</v>
      </c>
      <c r="X17" s="5">
        <v>238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2.09</v>
      </c>
      <c r="AK17" s="5">
        <v>1</v>
      </c>
      <c r="AL17" s="5">
        <v>60</v>
      </c>
      <c r="AM17" s="28">
        <v>60.23</v>
      </c>
    </row>
    <row r="18">
      <c r="A18" s="24">
        <v>1422</v>
      </c>
      <c r="B18" s="9" t="s">
        <v>42</v>
      </c>
      <c r="C18" s="10">
        <v>1</v>
      </c>
      <c r="D18" s="10">
        <v>1</v>
      </c>
      <c r="E18" s="11">
        <v>1</v>
      </c>
      <c r="F18" s="12">
        <v>0</v>
      </c>
      <c r="G18" s="12">
        <v>0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1</v>
      </c>
      <c r="U18" s="12">
        <v>0</v>
      </c>
      <c r="V18" s="12">
        <v>0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29">
        <v>0.25</v>
      </c>
    </row>
    <row r="19">
      <c r="A19" s="23">
        <v>1423</v>
      </c>
      <c r="B19" s="4" t="s">
        <v>43</v>
      </c>
      <c r="C19" s="5">
        <v>17</v>
      </c>
      <c r="D19" s="5">
        <v>16</v>
      </c>
      <c r="E19" s="6">
        <v>19</v>
      </c>
      <c r="F19" s="7">
        <v>0</v>
      </c>
      <c r="G19" s="7">
        <v>0</v>
      </c>
      <c r="H19" s="7">
        <v>0</v>
      </c>
      <c r="I19" s="5">
        <v>19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19</v>
      </c>
      <c r="U19" s="7">
        <v>0</v>
      </c>
      <c r="V19" s="7">
        <v>0</v>
      </c>
      <c r="W19" s="7">
        <v>0</v>
      </c>
      <c r="X19" s="5">
        <v>19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1.12</v>
      </c>
      <c r="AK19" s="5">
        <v>1</v>
      </c>
      <c r="AL19" s="5">
        <v>3</v>
      </c>
      <c r="AM19" s="28">
        <v>4.51</v>
      </c>
    </row>
    <row r="20">
      <c r="A20" s="24">
        <v>1445</v>
      </c>
      <c r="B20" s="9" t="s">
        <v>44</v>
      </c>
      <c r="C20" s="10">
        <v>3</v>
      </c>
      <c r="D20" s="12">
        <v>0</v>
      </c>
      <c r="E20" s="11">
        <v>3</v>
      </c>
      <c r="F20" s="12">
        <v>0</v>
      </c>
      <c r="G20" s="12">
        <v>0</v>
      </c>
      <c r="H20" s="12">
        <v>0</v>
      </c>
      <c r="I20" s="12">
        <v>0</v>
      </c>
      <c r="J20" s="10">
        <v>3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3</v>
      </c>
      <c r="U20" s="12">
        <v>0</v>
      </c>
      <c r="V20" s="12">
        <v>0</v>
      </c>
      <c r="W20" s="12">
        <v>0</v>
      </c>
      <c r="X20" s="12">
        <v>0</v>
      </c>
      <c r="Y20" s="10">
        <v>3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31">
        <v>0</v>
      </c>
    </row>
    <row r="21">
      <c r="A21" s="23">
        <v>1538</v>
      </c>
      <c r="B21" s="4" t="s">
        <v>45</v>
      </c>
      <c r="C21" s="5">
        <v>31</v>
      </c>
      <c r="D21" s="5">
        <v>31</v>
      </c>
      <c r="E21" s="6">
        <v>64</v>
      </c>
      <c r="F21" s="7">
        <v>0</v>
      </c>
      <c r="G21" s="7">
        <v>0</v>
      </c>
      <c r="H21" s="7">
        <v>0</v>
      </c>
      <c r="I21" s="5">
        <v>64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61</v>
      </c>
      <c r="U21" s="7">
        <v>0</v>
      </c>
      <c r="V21" s="7">
        <v>0</v>
      </c>
      <c r="W21" s="7">
        <v>0</v>
      </c>
      <c r="X21" s="5">
        <v>61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2.06</v>
      </c>
      <c r="AK21" s="5">
        <v>1</v>
      </c>
      <c r="AL21" s="5">
        <v>14</v>
      </c>
      <c r="AM21" s="28">
        <v>15.51</v>
      </c>
    </row>
    <row r="22">
      <c r="A22" s="24">
        <v>1539</v>
      </c>
      <c r="B22" s="9" t="s">
        <v>46</v>
      </c>
      <c r="C22" s="10">
        <v>1</v>
      </c>
      <c r="D22" s="10">
        <v>1</v>
      </c>
      <c r="E22" s="11">
        <v>1</v>
      </c>
      <c r="F22" s="12">
        <v>0</v>
      </c>
      <c r="G22" s="12">
        <v>0</v>
      </c>
      <c r="H22" s="10">
        <v>1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1</v>
      </c>
      <c r="U22" s="12">
        <v>0</v>
      </c>
      <c r="V22" s="12">
        <v>0</v>
      </c>
      <c r="W22" s="10">
        <v>1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</v>
      </c>
      <c r="AK22" s="10">
        <v>1</v>
      </c>
      <c r="AL22" s="10">
        <v>1</v>
      </c>
      <c r="AM22" s="29">
        <v>0.25</v>
      </c>
    </row>
    <row r="23">
      <c r="A23" s="23">
        <v>1552</v>
      </c>
      <c r="B23" s="4" t="s">
        <v>47</v>
      </c>
      <c r="C23" s="5">
        <v>20</v>
      </c>
      <c r="D23" s="7">
        <v>0</v>
      </c>
      <c r="E23" s="6">
        <v>22</v>
      </c>
      <c r="F23" s="5">
        <v>1</v>
      </c>
      <c r="G23" s="7">
        <v>0</v>
      </c>
      <c r="H23" s="5">
        <v>21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21</v>
      </c>
      <c r="U23" s="5">
        <v>1</v>
      </c>
      <c r="V23" s="7">
        <v>0</v>
      </c>
      <c r="W23" s="5">
        <v>20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1.1</v>
      </c>
      <c r="AK23" s="5">
        <v>1</v>
      </c>
      <c r="AL23" s="5">
        <v>2</v>
      </c>
      <c r="AM23" s="30">
        <v>0</v>
      </c>
    </row>
    <row r="24">
      <c r="A24" s="24">
        <v>1559</v>
      </c>
      <c r="B24" s="9" t="s">
        <v>48</v>
      </c>
      <c r="C24" s="10">
        <v>32</v>
      </c>
      <c r="D24" s="10">
        <v>31</v>
      </c>
      <c r="E24" s="11">
        <v>65</v>
      </c>
      <c r="F24" s="12">
        <v>0</v>
      </c>
      <c r="G24" s="12">
        <v>0</v>
      </c>
      <c r="H24" s="12">
        <v>0</v>
      </c>
      <c r="I24" s="10">
        <v>65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60</v>
      </c>
      <c r="U24" s="12">
        <v>0</v>
      </c>
      <c r="V24" s="12">
        <v>0</v>
      </c>
      <c r="W24" s="12">
        <v>0</v>
      </c>
      <c r="X24" s="10">
        <v>60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2.03</v>
      </c>
      <c r="AK24" s="10">
        <v>1</v>
      </c>
      <c r="AL24" s="10">
        <v>18</v>
      </c>
      <c r="AM24" s="29">
        <v>12.72</v>
      </c>
    </row>
    <row r="25">
      <c r="A25" s="23">
        <v>1603</v>
      </c>
      <c r="B25" s="4" t="s">
        <v>49</v>
      </c>
      <c r="C25" s="5">
        <v>2</v>
      </c>
      <c r="D25" s="7">
        <v>0</v>
      </c>
      <c r="E25" s="6">
        <v>2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2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2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2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</v>
      </c>
      <c r="AK25" s="5">
        <v>1</v>
      </c>
      <c r="AL25" s="5">
        <v>1</v>
      </c>
      <c r="AM25" s="30">
        <v>0</v>
      </c>
    </row>
    <row r="26">
      <c r="A26" s="24">
        <v>1750</v>
      </c>
      <c r="B26" s="9" t="s">
        <v>50</v>
      </c>
      <c r="C26" s="10">
        <v>5</v>
      </c>
      <c r="D26" s="10">
        <v>5</v>
      </c>
      <c r="E26" s="11">
        <v>9</v>
      </c>
      <c r="F26" s="12">
        <v>0</v>
      </c>
      <c r="G26" s="10">
        <v>9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7</v>
      </c>
      <c r="U26" s="12">
        <v>0</v>
      </c>
      <c r="V26" s="10">
        <v>7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1.8</v>
      </c>
      <c r="AK26" s="10">
        <v>1</v>
      </c>
      <c r="AL26" s="10">
        <v>4</v>
      </c>
      <c r="AM26" s="29">
        <v>1.69</v>
      </c>
    </row>
    <row r="27">
      <c r="A27" s="23">
        <v>1761</v>
      </c>
      <c r="B27" s="4" t="s">
        <v>51</v>
      </c>
      <c r="C27" s="5">
        <v>1</v>
      </c>
      <c r="D27" s="5">
        <v>1</v>
      </c>
      <c r="E27" s="6">
        <v>1</v>
      </c>
      <c r="F27" s="7">
        <v>0</v>
      </c>
      <c r="G27" s="7">
        <v>0</v>
      </c>
      <c r="H27" s="7">
        <v>0</v>
      </c>
      <c r="I27" s="5">
        <v>1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1</v>
      </c>
      <c r="U27" s="7">
        <v>0</v>
      </c>
      <c r="V27" s="7">
        <v>0</v>
      </c>
      <c r="W27" s="7">
        <v>0</v>
      </c>
      <c r="X27" s="5">
        <v>1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0.22</v>
      </c>
    </row>
    <row r="28">
      <c r="A28" s="24">
        <v>1779</v>
      </c>
      <c r="B28" s="9" t="s">
        <v>52</v>
      </c>
      <c r="C28" s="10">
        <v>13</v>
      </c>
      <c r="D28" s="10">
        <v>13</v>
      </c>
      <c r="E28" s="11">
        <v>95</v>
      </c>
      <c r="F28" s="12">
        <v>0</v>
      </c>
      <c r="G28" s="12">
        <v>0</v>
      </c>
      <c r="H28" s="12">
        <v>0</v>
      </c>
      <c r="I28" s="10">
        <v>95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67</v>
      </c>
      <c r="U28" s="12">
        <v>0</v>
      </c>
      <c r="V28" s="12">
        <v>0</v>
      </c>
      <c r="W28" s="12">
        <v>0</v>
      </c>
      <c r="X28" s="10">
        <v>67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7.31</v>
      </c>
      <c r="AK28" s="10">
        <v>1</v>
      </c>
      <c r="AL28" s="10">
        <v>67</v>
      </c>
      <c r="AM28" s="29">
        <v>16.6</v>
      </c>
    </row>
    <row r="29">
      <c r="A29" s="23">
        <v>1937</v>
      </c>
      <c r="B29" s="4" t="s">
        <v>53</v>
      </c>
      <c r="C29" s="5">
        <v>5</v>
      </c>
      <c r="D29" s="5">
        <v>5</v>
      </c>
      <c r="E29" s="6">
        <v>5</v>
      </c>
      <c r="F29" s="5">
        <v>5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5</v>
      </c>
      <c r="U29" s="5">
        <v>5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</v>
      </c>
      <c r="AK29" s="5">
        <v>1</v>
      </c>
      <c r="AL29" s="5">
        <v>1</v>
      </c>
      <c r="AM29" s="28">
        <v>1.33</v>
      </c>
    </row>
    <row r="30">
      <c r="A30" s="24">
        <v>1939</v>
      </c>
      <c r="B30" s="9" t="s">
        <v>54</v>
      </c>
      <c r="C30" s="10">
        <v>3</v>
      </c>
      <c r="D30" s="10">
        <v>2</v>
      </c>
      <c r="E30" s="11">
        <v>3</v>
      </c>
      <c r="F30" s="12">
        <v>0</v>
      </c>
      <c r="G30" s="12">
        <v>0</v>
      </c>
      <c r="H30" s="10">
        <v>3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3</v>
      </c>
      <c r="U30" s="12">
        <v>0</v>
      </c>
      <c r="V30" s="12">
        <v>0</v>
      </c>
      <c r="W30" s="10">
        <v>3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29">
        <v>0.51</v>
      </c>
    </row>
    <row r="31">
      <c r="A31" s="23">
        <v>1985</v>
      </c>
      <c r="B31" s="4" t="s">
        <v>55</v>
      </c>
      <c r="C31" s="5">
        <v>6</v>
      </c>
      <c r="D31" s="5">
        <v>6</v>
      </c>
      <c r="E31" s="6">
        <v>9</v>
      </c>
      <c r="F31" s="5">
        <v>9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7</v>
      </c>
      <c r="U31" s="5">
        <v>7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1.5</v>
      </c>
      <c r="AK31" s="5">
        <v>1</v>
      </c>
      <c r="AL31" s="5">
        <v>3</v>
      </c>
      <c r="AM31" s="28">
        <v>1.75</v>
      </c>
    </row>
    <row r="32">
      <c r="A32" s="24">
        <v>1988</v>
      </c>
      <c r="B32" s="9" t="s">
        <v>56</v>
      </c>
      <c r="C32" s="10">
        <v>22</v>
      </c>
      <c r="D32" s="10">
        <v>22</v>
      </c>
      <c r="E32" s="11">
        <v>24</v>
      </c>
      <c r="F32" s="12">
        <v>0</v>
      </c>
      <c r="G32" s="10">
        <v>24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6">
        <v>0</v>
      </c>
      <c r="T32" s="11">
        <v>22</v>
      </c>
      <c r="U32" s="12">
        <v>0</v>
      </c>
      <c r="V32" s="10">
        <v>22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1.09</v>
      </c>
      <c r="AK32" s="10">
        <v>1</v>
      </c>
      <c r="AL32" s="10">
        <v>3</v>
      </c>
      <c r="AM32" s="29">
        <v>6.19</v>
      </c>
    </row>
    <row r="33">
      <c r="A33" s="23">
        <v>2063</v>
      </c>
      <c r="B33" s="4" t="s">
        <v>57</v>
      </c>
      <c r="C33" s="5">
        <v>3</v>
      </c>
      <c r="D33" s="5">
        <v>2</v>
      </c>
      <c r="E33" s="6">
        <v>8</v>
      </c>
      <c r="F33" s="7">
        <v>0</v>
      </c>
      <c r="G33" s="7">
        <v>0</v>
      </c>
      <c r="H33" s="7">
        <v>0</v>
      </c>
      <c r="I33" s="5">
        <v>8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5">
        <v>0</v>
      </c>
      <c r="T33" s="6">
        <v>7</v>
      </c>
      <c r="U33" s="7">
        <v>0</v>
      </c>
      <c r="V33" s="7">
        <v>0</v>
      </c>
      <c r="W33" s="7">
        <v>0</v>
      </c>
      <c r="X33" s="5">
        <v>7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2.67</v>
      </c>
      <c r="AK33" s="5">
        <v>1</v>
      </c>
      <c r="AL33" s="5">
        <v>6</v>
      </c>
      <c r="AM33" s="28">
        <v>1.56</v>
      </c>
    </row>
    <row r="34">
      <c r="A34" s="24">
        <v>2072</v>
      </c>
      <c r="B34" s="9" t="s">
        <v>58</v>
      </c>
      <c r="C34" s="10">
        <v>129</v>
      </c>
      <c r="D34" s="10">
        <v>122</v>
      </c>
      <c r="E34" s="11">
        <v>199</v>
      </c>
      <c r="F34" s="12">
        <v>0</v>
      </c>
      <c r="G34" s="10">
        <v>199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6">
        <v>0</v>
      </c>
      <c r="T34" s="11">
        <v>199</v>
      </c>
      <c r="U34" s="12">
        <v>0</v>
      </c>
      <c r="V34" s="10">
        <v>199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1.54</v>
      </c>
      <c r="AK34" s="10">
        <v>1</v>
      </c>
      <c r="AL34" s="10">
        <v>9</v>
      </c>
      <c r="AM34" s="29">
        <v>47.51</v>
      </c>
    </row>
    <row r="35">
      <c r="A35" s="25">
        <v>2193</v>
      </c>
      <c r="B35" s="16" t="s">
        <v>59</v>
      </c>
      <c r="C35" s="17">
        <v>4</v>
      </c>
      <c r="D35" s="17">
        <v>4</v>
      </c>
      <c r="E35" s="18">
        <v>5</v>
      </c>
      <c r="F35" s="17">
        <v>5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37">
        <v>0</v>
      </c>
      <c r="T35" s="18">
        <v>5</v>
      </c>
      <c r="U35" s="17">
        <v>5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7">
        <v>1</v>
      </c>
      <c r="AJ35" s="20">
        <v>1.25</v>
      </c>
      <c r="AK35" s="17">
        <v>1</v>
      </c>
      <c r="AL35" s="17">
        <v>2</v>
      </c>
      <c r="AM35" s="32">
        <v>1.25</v>
      </c>
    </row>
    <row r="37">
      <c r="A37" s="0" t="s">
        <v>0</v>
      </c>
      <c r="B37" s="38" t="s">
        <v>60</v>
      </c>
      <c r="C37" s="39">
        <f>SUM(C3:C35)</f>
      </c>
      <c r="D37" s="39">
        <f>SUM(D3:D35)</f>
      </c>
      <c r="E37" s="40">
        <f>SUM(E3:E35)</f>
      </c>
      <c r="F37" s="39">
        <f>SUM(F3:F35)</f>
      </c>
      <c r="G37" s="39">
        <f>SUM(G3:G35)</f>
      </c>
      <c r="H37" s="39">
        <f>SUM(H3:H35)</f>
      </c>
      <c r="I37" s="39">
        <f>SUM(I3:I35)</f>
      </c>
      <c r="J37" s="39">
        <f>SUM(J3:J35)</f>
      </c>
      <c r="K37" s="39">
        <f>SUM(K3:K35)</f>
      </c>
      <c r="L37" s="39">
        <f>SUM(L3:L35)</f>
      </c>
      <c r="M37" s="39">
        <f>SUM(M3:M35)</f>
      </c>
      <c r="N37" s="39">
        <f>SUM(N3:N35)</f>
      </c>
      <c r="O37" s="39">
        <f>SUM(O3:O35)</f>
      </c>
      <c r="P37" s="39">
        <f>SUM(P3:P35)</f>
      </c>
      <c r="Q37" s="39">
        <f>SUM(Q3:Q35)</f>
      </c>
      <c r="R37" s="39">
        <f>SUM(R3:R35)</f>
      </c>
      <c r="S37" s="39">
        <f>SUM(S3:S35)</f>
      </c>
      <c r="T37" s="40">
        <f>SUM(T3:T35)</f>
      </c>
      <c r="U37" s="39">
        <f>SUM(U3:U35)</f>
      </c>
      <c r="V37" s="39">
        <f>SUM(V3:V35)</f>
      </c>
      <c r="W37" s="39">
        <f>SUM(W3:W35)</f>
      </c>
      <c r="X37" s="39">
        <f>SUM(X3:X35)</f>
      </c>
      <c r="Y37" s="39">
        <f>SUM(Y3:Y35)</f>
      </c>
      <c r="Z37" s="39">
        <f>SUM(Z3:Z35)</f>
      </c>
      <c r="AA37" s="39">
        <f>SUM(AA3:AA35)</f>
      </c>
      <c r="AB37" s="39">
        <f>SUM(AB3:AB35)</f>
      </c>
      <c r="AC37" s="39">
        <f>SUM(AC3:AC35)</f>
      </c>
      <c r="AD37" s="39">
        <f>SUM(AD3:AD35)</f>
      </c>
      <c r="AE37" s="39">
        <f>SUM(AE3:AE35)</f>
      </c>
      <c r="AF37" s="39">
        <f>SUM(AF3:AF35)</f>
      </c>
      <c r="AG37" s="39">
        <f>SUM(AG3:AG35)</f>
      </c>
      <c r="AH37" s="39">
        <f>SUM(AH3:AH35)</f>
      </c>
      <c r="AI37" s="39">
        <f>MIN(AI3:AI35)</f>
      </c>
      <c r="AJ37" s="39">
        <f>AVERAGE(AJ3:AJ35)</f>
      </c>
      <c r="AK37" s="39">
        <f>MEDIAN(AK3:AK35)</f>
      </c>
      <c r="AL37" s="39">
        <f>Max(AL3:AL35)</f>
      </c>
      <c r="AM37" s="41">
        <f>SUM(AM3:AM35)</f>
      </c>
    </row>
  </sheetData>
  <autoFilter ref="A2:AM35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058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2.3274002075195" customWidth="1"/>
    <col min="3" max="3" width="11.6452112197876" customWidth="1"/>
    <col min="4" max="4" width="35.2555122375488" customWidth="1"/>
    <col min="5" max="5" width="23.167995452880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8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55</v>
      </c>
      <c r="B3" s="4" t="s">
        <v>66</v>
      </c>
      <c r="C3" s="4" t="s">
        <v>67</v>
      </c>
      <c r="D3" s="4" t="s">
        <v>68</v>
      </c>
      <c r="E3" s="4" t="s">
        <v>69</v>
      </c>
      <c r="F3" s="6">
        <v>1</v>
      </c>
      <c r="G3" s="5">
        <v>1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1</v>
      </c>
      <c r="V3" s="5">
        <v>1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</v>
      </c>
      <c r="AL3" s="5">
        <v>1</v>
      </c>
      <c r="AM3" s="5">
        <v>1</v>
      </c>
      <c r="AN3" s="30">
        <v>0</v>
      </c>
    </row>
    <row r="4">
      <c r="A4" s="24">
        <v>57</v>
      </c>
      <c r="B4" s="9" t="s">
        <v>70</v>
      </c>
      <c r="C4" s="9" t="s">
        <v>67</v>
      </c>
      <c r="D4" s="9" t="s">
        <v>68</v>
      </c>
      <c r="E4" s="9" t="s">
        <v>71</v>
      </c>
      <c r="F4" s="11">
        <v>1</v>
      </c>
      <c r="G4" s="12">
        <v>0</v>
      </c>
      <c r="H4" s="10">
        <v>1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1</v>
      </c>
      <c r="V4" s="12">
        <v>0</v>
      </c>
      <c r="W4" s="10">
        <v>1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31">
        <v>0</v>
      </c>
    </row>
    <row r="5">
      <c r="A5" s="23">
        <v>58</v>
      </c>
      <c r="B5" s="4" t="s">
        <v>72</v>
      </c>
      <c r="C5" s="4" t="s">
        <v>67</v>
      </c>
      <c r="D5" s="4" t="s">
        <v>73</v>
      </c>
      <c r="E5" s="4" t="s">
        <v>74</v>
      </c>
      <c r="F5" s="6">
        <v>1</v>
      </c>
      <c r="G5" s="7">
        <v>0</v>
      </c>
      <c r="H5" s="7">
        <v>0</v>
      </c>
      <c r="I5" s="7">
        <v>0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1</v>
      </c>
      <c r="V5" s="7">
        <v>0</v>
      </c>
      <c r="W5" s="7">
        <v>0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0.25</v>
      </c>
    </row>
    <row r="6">
      <c r="A6" s="24">
        <v>111</v>
      </c>
      <c r="B6" s="9" t="s">
        <v>75</v>
      </c>
      <c r="C6" s="9" t="s">
        <v>67</v>
      </c>
      <c r="D6" s="9" t="s">
        <v>76</v>
      </c>
      <c r="E6" s="9" t="s">
        <v>77</v>
      </c>
      <c r="F6" s="11">
        <v>7</v>
      </c>
      <c r="G6" s="10">
        <v>2</v>
      </c>
      <c r="H6" s="12">
        <v>0</v>
      </c>
      <c r="I6" s="10">
        <v>5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5</v>
      </c>
      <c r="V6" s="10">
        <v>2</v>
      </c>
      <c r="W6" s="12">
        <v>0</v>
      </c>
      <c r="X6" s="10">
        <v>3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2</v>
      </c>
      <c r="AK6" s="13">
        <v>3.5</v>
      </c>
      <c r="AL6" s="10">
        <v>3</v>
      </c>
      <c r="AM6" s="10">
        <v>5</v>
      </c>
      <c r="AN6" s="31">
        <v>0</v>
      </c>
    </row>
    <row r="7">
      <c r="A7" s="23">
        <v>130</v>
      </c>
      <c r="B7" s="4" t="s">
        <v>78</v>
      </c>
      <c r="C7" s="4" t="s">
        <v>67</v>
      </c>
      <c r="D7" s="4" t="s">
        <v>79</v>
      </c>
      <c r="E7" s="4" t="s">
        <v>80</v>
      </c>
      <c r="F7" s="6">
        <v>1</v>
      </c>
      <c r="G7" s="5">
        <v>1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1</v>
      </c>
      <c r="V7" s="5">
        <v>1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</v>
      </c>
      <c r="AL7" s="5">
        <v>1</v>
      </c>
      <c r="AM7" s="5">
        <v>1</v>
      </c>
      <c r="AN7" s="30">
        <v>0</v>
      </c>
    </row>
    <row r="8">
      <c r="A8" s="24">
        <v>142</v>
      </c>
      <c r="B8" s="9" t="s">
        <v>81</v>
      </c>
      <c r="C8" s="9" t="s">
        <v>67</v>
      </c>
      <c r="D8" s="9" t="s">
        <v>79</v>
      </c>
      <c r="E8" s="9" t="s">
        <v>82</v>
      </c>
      <c r="F8" s="11">
        <v>2</v>
      </c>
      <c r="G8" s="10">
        <v>1</v>
      </c>
      <c r="H8" s="12">
        <v>0</v>
      </c>
      <c r="I8" s="10">
        <v>1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2</v>
      </c>
      <c r="V8" s="10">
        <v>1</v>
      </c>
      <c r="W8" s="12">
        <v>0</v>
      </c>
      <c r="X8" s="10">
        <v>1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</v>
      </c>
      <c r="AL8" s="10">
        <v>1</v>
      </c>
      <c r="AM8" s="10">
        <v>1</v>
      </c>
      <c r="AN8" s="31">
        <v>0</v>
      </c>
    </row>
    <row r="9">
      <c r="A9" s="23">
        <v>152</v>
      </c>
      <c r="B9" s="4" t="s">
        <v>83</v>
      </c>
      <c r="C9" s="4" t="s">
        <v>67</v>
      </c>
      <c r="D9" s="4" t="s">
        <v>84</v>
      </c>
      <c r="E9" s="4" t="s">
        <v>85</v>
      </c>
      <c r="F9" s="6">
        <v>2</v>
      </c>
      <c r="G9" s="7">
        <v>0</v>
      </c>
      <c r="H9" s="7">
        <v>0</v>
      </c>
      <c r="I9" s="7">
        <v>0</v>
      </c>
      <c r="J9" s="5">
        <v>2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2</v>
      </c>
      <c r="V9" s="7">
        <v>0</v>
      </c>
      <c r="W9" s="7">
        <v>0</v>
      </c>
      <c r="X9" s="7">
        <v>0</v>
      </c>
      <c r="Y9" s="5">
        <v>2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2</v>
      </c>
      <c r="AK9" s="8">
        <v>2</v>
      </c>
      <c r="AL9" s="5">
        <v>2</v>
      </c>
      <c r="AM9" s="5">
        <v>2</v>
      </c>
      <c r="AN9" s="28">
        <v>0.5</v>
      </c>
    </row>
    <row r="10">
      <c r="A10" s="24">
        <v>154</v>
      </c>
      <c r="B10" s="9" t="s">
        <v>86</v>
      </c>
      <c r="C10" s="9" t="s">
        <v>67</v>
      </c>
      <c r="D10" s="9" t="s">
        <v>79</v>
      </c>
      <c r="E10" s="9" t="s">
        <v>87</v>
      </c>
      <c r="F10" s="11">
        <v>1</v>
      </c>
      <c r="G10" s="12">
        <v>0</v>
      </c>
      <c r="H10" s="12">
        <v>0</v>
      </c>
      <c r="I10" s="10">
        <v>1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1</v>
      </c>
      <c r="V10" s="12">
        <v>0</v>
      </c>
      <c r="W10" s="12">
        <v>0</v>
      </c>
      <c r="X10" s="10">
        <v>1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29">
        <v>0.24</v>
      </c>
    </row>
    <row r="11">
      <c r="A11" s="23">
        <v>158</v>
      </c>
      <c r="B11" s="4" t="s">
        <v>88</v>
      </c>
      <c r="C11" s="4" t="s">
        <v>67</v>
      </c>
      <c r="D11" s="4" t="s">
        <v>89</v>
      </c>
      <c r="E11" s="4" t="s">
        <v>90</v>
      </c>
      <c r="F11" s="6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5">
        <v>1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1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5">
        <v>1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28">
        <v>0.25</v>
      </c>
    </row>
    <row r="12">
      <c r="A12" s="24">
        <v>159</v>
      </c>
      <c r="B12" s="9" t="s">
        <v>91</v>
      </c>
      <c r="C12" s="9" t="s">
        <v>67</v>
      </c>
      <c r="D12" s="9" t="s">
        <v>92</v>
      </c>
      <c r="E12" s="9" t="s">
        <v>93</v>
      </c>
      <c r="F12" s="11">
        <v>4</v>
      </c>
      <c r="G12" s="10">
        <v>4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4</v>
      </c>
      <c r="V12" s="10">
        <v>4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4</v>
      </c>
      <c r="AK12" s="13">
        <v>4</v>
      </c>
      <c r="AL12" s="10">
        <v>4</v>
      </c>
      <c r="AM12" s="10">
        <v>4</v>
      </c>
      <c r="AN12" s="31">
        <v>0</v>
      </c>
    </row>
    <row r="13">
      <c r="A13" s="23">
        <v>164</v>
      </c>
      <c r="B13" s="4" t="s">
        <v>94</v>
      </c>
      <c r="C13" s="4" t="s">
        <v>67</v>
      </c>
      <c r="D13" s="4" t="s">
        <v>84</v>
      </c>
      <c r="E13" s="4" t="s">
        <v>95</v>
      </c>
      <c r="F13" s="6">
        <v>2</v>
      </c>
      <c r="G13" s="7">
        <v>0</v>
      </c>
      <c r="H13" s="5">
        <v>1</v>
      </c>
      <c r="I13" s="7">
        <v>0</v>
      </c>
      <c r="J13" s="5">
        <v>1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2</v>
      </c>
      <c r="V13" s="7">
        <v>0</v>
      </c>
      <c r="W13" s="5">
        <v>1</v>
      </c>
      <c r="X13" s="7">
        <v>0</v>
      </c>
      <c r="Y13" s="5">
        <v>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28">
        <v>0.5</v>
      </c>
    </row>
    <row r="14">
      <c r="A14" s="24">
        <v>168</v>
      </c>
      <c r="B14" s="9" t="s">
        <v>96</v>
      </c>
      <c r="C14" s="9" t="s">
        <v>67</v>
      </c>
      <c r="D14" s="9" t="s">
        <v>84</v>
      </c>
      <c r="E14" s="9" t="s">
        <v>95</v>
      </c>
      <c r="F14" s="11">
        <v>3</v>
      </c>
      <c r="G14" s="12">
        <v>0</v>
      </c>
      <c r="H14" s="12">
        <v>0</v>
      </c>
      <c r="I14" s="10">
        <v>1</v>
      </c>
      <c r="J14" s="10">
        <v>2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3</v>
      </c>
      <c r="V14" s="12">
        <v>0</v>
      </c>
      <c r="W14" s="12">
        <v>0</v>
      </c>
      <c r="X14" s="10">
        <v>1</v>
      </c>
      <c r="Y14" s="10">
        <v>2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29">
        <v>0.5</v>
      </c>
    </row>
    <row r="15">
      <c r="A15" s="23">
        <v>169</v>
      </c>
      <c r="B15" s="4" t="s">
        <v>97</v>
      </c>
      <c r="C15" s="4" t="s">
        <v>67</v>
      </c>
      <c r="D15" s="4" t="s">
        <v>84</v>
      </c>
      <c r="E15" s="4" t="s">
        <v>95</v>
      </c>
      <c r="F15" s="6">
        <v>1</v>
      </c>
      <c r="G15" s="7">
        <v>0</v>
      </c>
      <c r="H15" s="7">
        <v>0</v>
      </c>
      <c r="I15" s="5">
        <v>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1</v>
      </c>
      <c r="V15" s="7">
        <v>0</v>
      </c>
      <c r="W15" s="7">
        <v>0</v>
      </c>
      <c r="X15" s="5">
        <v>1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30">
        <v>0</v>
      </c>
    </row>
    <row r="16">
      <c r="A16" s="24">
        <v>171</v>
      </c>
      <c r="B16" s="9" t="s">
        <v>98</v>
      </c>
      <c r="C16" s="9" t="s">
        <v>67</v>
      </c>
      <c r="D16" s="9" t="s">
        <v>73</v>
      </c>
      <c r="E16" s="9" t="s">
        <v>74</v>
      </c>
      <c r="F16" s="11">
        <v>1</v>
      </c>
      <c r="G16" s="10">
        <v>1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1</v>
      </c>
      <c r="V16" s="10">
        <v>1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31">
        <v>0</v>
      </c>
    </row>
    <row r="17">
      <c r="A17" s="23">
        <v>175</v>
      </c>
      <c r="B17" s="4" t="s">
        <v>99</v>
      </c>
      <c r="C17" s="4" t="s">
        <v>67</v>
      </c>
      <c r="D17" s="4" t="s">
        <v>100</v>
      </c>
      <c r="E17" s="4" t="s">
        <v>101</v>
      </c>
      <c r="F17" s="6">
        <v>4</v>
      </c>
      <c r="G17" s="7">
        <v>0</v>
      </c>
      <c r="H17" s="5">
        <v>1</v>
      </c>
      <c r="I17" s="5">
        <v>1</v>
      </c>
      <c r="J17" s="5">
        <v>2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3</v>
      </c>
      <c r="V17" s="7">
        <v>0</v>
      </c>
      <c r="W17" s="5">
        <v>1</v>
      </c>
      <c r="X17" s="5">
        <v>1</v>
      </c>
      <c r="Y17" s="5">
        <v>1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1.33</v>
      </c>
      <c r="AL17" s="5">
        <v>1</v>
      </c>
      <c r="AM17" s="5">
        <v>2</v>
      </c>
      <c r="AN17" s="28">
        <v>0.75</v>
      </c>
    </row>
    <row r="18">
      <c r="A18" s="24">
        <v>179</v>
      </c>
      <c r="B18" s="9" t="s">
        <v>102</v>
      </c>
      <c r="C18" s="9" t="s">
        <v>67</v>
      </c>
      <c r="D18" s="9" t="s">
        <v>84</v>
      </c>
      <c r="E18" s="9" t="s">
        <v>103</v>
      </c>
      <c r="F18" s="11">
        <v>1</v>
      </c>
      <c r="G18" s="12">
        <v>0</v>
      </c>
      <c r="H18" s="12">
        <v>0</v>
      </c>
      <c r="I18" s="12">
        <v>0</v>
      </c>
      <c r="J18" s="10">
        <v>1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1</v>
      </c>
      <c r="V18" s="12">
        <v>0</v>
      </c>
      <c r="W18" s="12">
        <v>0</v>
      </c>
      <c r="X18" s="12">
        <v>0</v>
      </c>
      <c r="Y18" s="10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0.26</v>
      </c>
    </row>
    <row r="19">
      <c r="A19" s="23">
        <v>187</v>
      </c>
      <c r="B19" s="4" t="s">
        <v>104</v>
      </c>
      <c r="C19" s="4" t="s">
        <v>67</v>
      </c>
      <c r="D19" s="4" t="s">
        <v>105</v>
      </c>
      <c r="E19" s="4" t="s">
        <v>106</v>
      </c>
      <c r="F19" s="6">
        <v>2</v>
      </c>
      <c r="G19" s="7">
        <v>0</v>
      </c>
      <c r="H19" s="7">
        <v>0</v>
      </c>
      <c r="I19" s="7">
        <v>0</v>
      </c>
      <c r="J19" s="5">
        <v>2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1</v>
      </c>
      <c r="V19" s="7">
        <v>0</v>
      </c>
      <c r="W19" s="7">
        <v>0</v>
      </c>
      <c r="X19" s="7">
        <v>0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2</v>
      </c>
      <c r="AK19" s="8">
        <v>2</v>
      </c>
      <c r="AL19" s="5">
        <v>2</v>
      </c>
      <c r="AM19" s="5">
        <v>2</v>
      </c>
      <c r="AN19" s="30">
        <v>0</v>
      </c>
    </row>
    <row r="20">
      <c r="A20" s="24">
        <v>191</v>
      </c>
      <c r="B20" s="9" t="s">
        <v>107</v>
      </c>
      <c r="C20" s="9" t="s">
        <v>67</v>
      </c>
      <c r="D20" s="9" t="s">
        <v>108</v>
      </c>
      <c r="E20" s="9" t="s">
        <v>109</v>
      </c>
      <c r="F20" s="11">
        <v>3</v>
      </c>
      <c r="G20" s="12">
        <v>0</v>
      </c>
      <c r="H20" s="10">
        <v>3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3</v>
      </c>
      <c r="V20" s="12">
        <v>0</v>
      </c>
      <c r="W20" s="10">
        <v>3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3</v>
      </c>
      <c r="AK20" s="13">
        <v>3</v>
      </c>
      <c r="AL20" s="10">
        <v>3</v>
      </c>
      <c r="AM20" s="10">
        <v>3</v>
      </c>
      <c r="AN20" s="29">
        <v>0.75</v>
      </c>
    </row>
    <row r="21">
      <c r="A21" s="23">
        <v>193</v>
      </c>
      <c r="B21" s="4" t="s">
        <v>110</v>
      </c>
      <c r="C21" s="4" t="s">
        <v>67</v>
      </c>
      <c r="D21" s="4" t="s">
        <v>111</v>
      </c>
      <c r="E21" s="4" t="s">
        <v>112</v>
      </c>
      <c r="F21" s="6">
        <v>1</v>
      </c>
      <c r="G21" s="7">
        <v>0</v>
      </c>
      <c r="H21" s="7">
        <v>0</v>
      </c>
      <c r="I21" s="5">
        <v>1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1</v>
      </c>
      <c r="V21" s="7">
        <v>0</v>
      </c>
      <c r="W21" s="7">
        <v>0</v>
      </c>
      <c r="X21" s="5">
        <v>1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0.25</v>
      </c>
    </row>
    <row r="22">
      <c r="A22" s="24">
        <v>200</v>
      </c>
      <c r="B22" s="9" t="s">
        <v>113</v>
      </c>
      <c r="C22" s="9" t="s">
        <v>67</v>
      </c>
      <c r="D22" s="9" t="s">
        <v>108</v>
      </c>
      <c r="E22" s="9" t="s">
        <v>114</v>
      </c>
      <c r="F22" s="11">
        <v>1</v>
      </c>
      <c r="G22" s="10">
        <v>1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1</v>
      </c>
      <c r="V22" s="10">
        <v>1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31">
        <v>0</v>
      </c>
    </row>
    <row r="23">
      <c r="A23" s="23">
        <v>202</v>
      </c>
      <c r="B23" s="4" t="s">
        <v>115</v>
      </c>
      <c r="C23" s="4" t="s">
        <v>67</v>
      </c>
      <c r="D23" s="4" t="s">
        <v>79</v>
      </c>
      <c r="E23" s="4" t="s">
        <v>116</v>
      </c>
      <c r="F23" s="6">
        <v>1</v>
      </c>
      <c r="G23" s="7">
        <v>0</v>
      </c>
      <c r="H23" s="7">
        <v>0</v>
      </c>
      <c r="I23" s="7">
        <v>0</v>
      </c>
      <c r="J23" s="5">
        <v>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1</v>
      </c>
      <c r="V23" s="7">
        <v>0</v>
      </c>
      <c r="W23" s="7">
        <v>0</v>
      </c>
      <c r="X23" s="7">
        <v>0</v>
      </c>
      <c r="Y23" s="5">
        <v>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28">
        <v>0.26</v>
      </c>
    </row>
    <row r="24">
      <c r="A24" s="24">
        <v>208</v>
      </c>
      <c r="B24" s="9" t="s">
        <v>117</v>
      </c>
      <c r="C24" s="9" t="s">
        <v>67</v>
      </c>
      <c r="D24" s="9" t="s">
        <v>111</v>
      </c>
      <c r="E24" s="9" t="s">
        <v>112</v>
      </c>
      <c r="F24" s="11">
        <v>1</v>
      </c>
      <c r="G24" s="12">
        <v>0</v>
      </c>
      <c r="H24" s="12">
        <v>0</v>
      </c>
      <c r="I24" s="10">
        <v>1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1</v>
      </c>
      <c r="V24" s="12">
        <v>0</v>
      </c>
      <c r="W24" s="12">
        <v>0</v>
      </c>
      <c r="X24" s="10">
        <v>1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31">
        <v>0</v>
      </c>
    </row>
    <row r="25">
      <c r="A25" s="23">
        <v>210</v>
      </c>
      <c r="B25" s="4" t="s">
        <v>118</v>
      </c>
      <c r="C25" s="4" t="s">
        <v>67</v>
      </c>
      <c r="D25" s="4" t="s">
        <v>68</v>
      </c>
      <c r="E25" s="4" t="s">
        <v>71</v>
      </c>
      <c r="F25" s="6">
        <v>1</v>
      </c>
      <c r="G25" s="7">
        <v>0</v>
      </c>
      <c r="H25" s="7">
        <v>0</v>
      </c>
      <c r="I25" s="7">
        <v>0</v>
      </c>
      <c r="J25" s="5">
        <v>1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1</v>
      </c>
      <c r="V25" s="7">
        <v>0</v>
      </c>
      <c r="W25" s="7">
        <v>0</v>
      </c>
      <c r="X25" s="7">
        <v>0</v>
      </c>
      <c r="Y25" s="5">
        <v>1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28">
        <v>0.25</v>
      </c>
    </row>
    <row r="26">
      <c r="A26" s="24">
        <v>214</v>
      </c>
      <c r="B26" s="9" t="s">
        <v>119</v>
      </c>
      <c r="C26" s="9" t="s">
        <v>67</v>
      </c>
      <c r="D26" s="9" t="s">
        <v>76</v>
      </c>
      <c r="E26" s="9" t="s">
        <v>120</v>
      </c>
      <c r="F26" s="11">
        <v>2</v>
      </c>
      <c r="G26" s="12">
        <v>0</v>
      </c>
      <c r="H26" s="12">
        <v>0</v>
      </c>
      <c r="I26" s="10">
        <v>2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1</v>
      </c>
      <c r="V26" s="12">
        <v>0</v>
      </c>
      <c r="W26" s="12">
        <v>0</v>
      </c>
      <c r="X26" s="10">
        <v>1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2</v>
      </c>
      <c r="AK26" s="13">
        <v>2</v>
      </c>
      <c r="AL26" s="10">
        <v>2</v>
      </c>
      <c r="AM26" s="10">
        <v>2</v>
      </c>
      <c r="AN26" s="31">
        <v>0</v>
      </c>
    </row>
    <row r="27">
      <c r="A27" s="23">
        <v>221</v>
      </c>
      <c r="B27" s="4" t="s">
        <v>121</v>
      </c>
      <c r="C27" s="4" t="s">
        <v>67</v>
      </c>
      <c r="D27" s="4" t="s">
        <v>89</v>
      </c>
      <c r="E27" s="4" t="s">
        <v>90</v>
      </c>
      <c r="F27" s="6">
        <v>3</v>
      </c>
      <c r="G27" s="7">
        <v>0</v>
      </c>
      <c r="H27" s="7">
        <v>0</v>
      </c>
      <c r="I27" s="5">
        <v>3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3</v>
      </c>
      <c r="V27" s="7">
        <v>0</v>
      </c>
      <c r="W27" s="7">
        <v>0</v>
      </c>
      <c r="X27" s="5">
        <v>3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3</v>
      </c>
      <c r="AK27" s="8">
        <v>3</v>
      </c>
      <c r="AL27" s="5">
        <v>3</v>
      </c>
      <c r="AM27" s="5">
        <v>3</v>
      </c>
      <c r="AN27" s="30">
        <v>0</v>
      </c>
    </row>
    <row r="28">
      <c r="A28" s="24">
        <v>222</v>
      </c>
      <c r="B28" s="9" t="s">
        <v>122</v>
      </c>
      <c r="C28" s="9" t="s">
        <v>67</v>
      </c>
      <c r="D28" s="9" t="s">
        <v>76</v>
      </c>
      <c r="E28" s="9" t="s">
        <v>123</v>
      </c>
      <c r="F28" s="11">
        <v>1</v>
      </c>
      <c r="G28" s="10">
        <v>1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1</v>
      </c>
      <c r="V28" s="10">
        <v>1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31">
        <v>0</v>
      </c>
    </row>
    <row r="29">
      <c r="A29" s="23">
        <v>226</v>
      </c>
      <c r="B29" s="4" t="s">
        <v>124</v>
      </c>
      <c r="C29" s="4" t="s">
        <v>67</v>
      </c>
      <c r="D29" s="4" t="s">
        <v>111</v>
      </c>
      <c r="E29" s="4" t="s">
        <v>125</v>
      </c>
      <c r="F29" s="6">
        <v>2</v>
      </c>
      <c r="G29" s="5">
        <v>2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2</v>
      </c>
      <c r="V29" s="5">
        <v>2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30">
        <v>0</v>
      </c>
    </row>
    <row r="30">
      <c r="A30" s="24">
        <v>227</v>
      </c>
      <c r="B30" s="9" t="s">
        <v>126</v>
      </c>
      <c r="C30" s="9" t="s">
        <v>67</v>
      </c>
      <c r="D30" s="9" t="s">
        <v>100</v>
      </c>
      <c r="E30" s="9" t="s">
        <v>127</v>
      </c>
      <c r="F30" s="11">
        <v>2</v>
      </c>
      <c r="G30" s="10">
        <v>1</v>
      </c>
      <c r="H30" s="12">
        <v>0</v>
      </c>
      <c r="I30" s="10">
        <v>1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2</v>
      </c>
      <c r="V30" s="10">
        <v>1</v>
      </c>
      <c r="W30" s="12">
        <v>0</v>
      </c>
      <c r="X30" s="10">
        <v>1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31">
        <v>0</v>
      </c>
    </row>
    <row r="31">
      <c r="A31" s="23">
        <v>230</v>
      </c>
      <c r="B31" s="4" t="s">
        <v>128</v>
      </c>
      <c r="C31" s="4" t="s">
        <v>67</v>
      </c>
      <c r="D31" s="4" t="s">
        <v>79</v>
      </c>
      <c r="E31" s="4" t="s">
        <v>80</v>
      </c>
      <c r="F31" s="6">
        <v>2</v>
      </c>
      <c r="G31" s="5">
        <v>1</v>
      </c>
      <c r="H31" s="7">
        <v>0</v>
      </c>
      <c r="I31" s="5">
        <v>1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2</v>
      </c>
      <c r="V31" s="5">
        <v>1</v>
      </c>
      <c r="W31" s="7">
        <v>0</v>
      </c>
      <c r="X31" s="5">
        <v>1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30">
        <v>0</v>
      </c>
    </row>
    <row r="32">
      <c r="A32" s="24">
        <v>231</v>
      </c>
      <c r="B32" s="9" t="s">
        <v>129</v>
      </c>
      <c r="C32" s="9" t="s">
        <v>67</v>
      </c>
      <c r="D32" s="9" t="s">
        <v>108</v>
      </c>
      <c r="E32" s="9" t="s">
        <v>130</v>
      </c>
      <c r="F32" s="11">
        <v>1</v>
      </c>
      <c r="G32" s="10">
        <v>1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1</v>
      </c>
      <c r="V32" s="10">
        <v>1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29">
        <v>0.25</v>
      </c>
    </row>
    <row r="33">
      <c r="A33" s="23">
        <v>235</v>
      </c>
      <c r="B33" s="4" t="s">
        <v>131</v>
      </c>
      <c r="C33" s="4" t="s">
        <v>67</v>
      </c>
      <c r="D33" s="4" t="s">
        <v>76</v>
      </c>
      <c r="E33" s="4" t="s">
        <v>132</v>
      </c>
      <c r="F33" s="6">
        <v>2</v>
      </c>
      <c r="G33" s="7">
        <v>0</v>
      </c>
      <c r="H33" s="5">
        <v>2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2</v>
      </c>
      <c r="V33" s="7">
        <v>0</v>
      </c>
      <c r="W33" s="5">
        <v>2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2</v>
      </c>
      <c r="AK33" s="8">
        <v>2</v>
      </c>
      <c r="AL33" s="5">
        <v>2</v>
      </c>
      <c r="AM33" s="5">
        <v>2</v>
      </c>
      <c r="AN33" s="28">
        <v>0.44</v>
      </c>
    </row>
    <row r="34">
      <c r="A34" s="24">
        <v>236</v>
      </c>
      <c r="B34" s="9" t="s">
        <v>133</v>
      </c>
      <c r="C34" s="9" t="s">
        <v>67</v>
      </c>
      <c r="D34" s="9" t="s">
        <v>84</v>
      </c>
      <c r="E34" s="9" t="s">
        <v>134</v>
      </c>
      <c r="F34" s="11">
        <v>2</v>
      </c>
      <c r="G34" s="12">
        <v>0</v>
      </c>
      <c r="H34" s="12">
        <v>0</v>
      </c>
      <c r="I34" s="10">
        <v>1</v>
      </c>
      <c r="J34" s="10">
        <v>1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2</v>
      </c>
      <c r="V34" s="12">
        <v>0</v>
      </c>
      <c r="W34" s="12">
        <v>0</v>
      </c>
      <c r="X34" s="10">
        <v>1</v>
      </c>
      <c r="Y34" s="10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31">
        <v>0</v>
      </c>
    </row>
    <row r="35">
      <c r="A35" s="23">
        <v>245</v>
      </c>
      <c r="B35" s="4" t="s">
        <v>135</v>
      </c>
      <c r="C35" s="4" t="s">
        <v>136</v>
      </c>
      <c r="D35" s="4" t="s">
        <v>137</v>
      </c>
      <c r="E35" s="4" t="s">
        <v>138</v>
      </c>
      <c r="F35" s="6">
        <v>1</v>
      </c>
      <c r="G35" s="7">
        <v>0</v>
      </c>
      <c r="H35" s="7">
        <v>0</v>
      </c>
      <c r="I35" s="5">
        <v>1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1</v>
      </c>
      <c r="V35" s="7">
        <v>0</v>
      </c>
      <c r="W35" s="7">
        <v>0</v>
      </c>
      <c r="X35" s="5">
        <v>1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28">
        <v>0.24</v>
      </c>
    </row>
    <row r="36">
      <c r="A36" s="24">
        <v>248</v>
      </c>
      <c r="B36" s="9" t="s">
        <v>139</v>
      </c>
      <c r="C36" s="9" t="s">
        <v>67</v>
      </c>
      <c r="D36" s="9" t="s">
        <v>84</v>
      </c>
      <c r="E36" s="9" t="s">
        <v>140</v>
      </c>
      <c r="F36" s="11">
        <v>1</v>
      </c>
      <c r="G36" s="10">
        <v>1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1</v>
      </c>
      <c r="V36" s="10">
        <v>1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31">
        <v>0</v>
      </c>
    </row>
    <row r="37">
      <c r="A37" s="23">
        <v>249</v>
      </c>
      <c r="B37" s="4" t="s">
        <v>141</v>
      </c>
      <c r="C37" s="4" t="s">
        <v>67</v>
      </c>
      <c r="D37" s="4" t="s">
        <v>142</v>
      </c>
      <c r="E37" s="4" t="s">
        <v>143</v>
      </c>
      <c r="F37" s="6">
        <v>2</v>
      </c>
      <c r="G37" s="7">
        <v>0</v>
      </c>
      <c r="H37" s="7">
        <v>0</v>
      </c>
      <c r="I37" s="5">
        <v>1</v>
      </c>
      <c r="J37" s="5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2</v>
      </c>
      <c r="V37" s="7">
        <v>0</v>
      </c>
      <c r="W37" s="7">
        <v>0</v>
      </c>
      <c r="X37" s="5">
        <v>1</v>
      </c>
      <c r="Y37" s="5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28">
        <v>0.26</v>
      </c>
    </row>
    <row r="38">
      <c r="A38" s="24">
        <v>250</v>
      </c>
      <c r="B38" s="9" t="s">
        <v>144</v>
      </c>
      <c r="C38" s="9" t="s">
        <v>67</v>
      </c>
      <c r="D38" s="9" t="s">
        <v>84</v>
      </c>
      <c r="E38" s="9" t="s">
        <v>145</v>
      </c>
      <c r="F38" s="11">
        <v>2</v>
      </c>
      <c r="G38" s="10">
        <v>2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2</v>
      </c>
      <c r="V38" s="10">
        <v>2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2</v>
      </c>
      <c r="AK38" s="13">
        <v>2</v>
      </c>
      <c r="AL38" s="10">
        <v>2</v>
      </c>
      <c r="AM38" s="10">
        <v>2</v>
      </c>
      <c r="AN38" s="31">
        <v>0</v>
      </c>
    </row>
    <row r="39">
      <c r="A39" s="23">
        <v>253</v>
      </c>
      <c r="B39" s="4" t="s">
        <v>146</v>
      </c>
      <c r="C39" s="4" t="s">
        <v>67</v>
      </c>
      <c r="D39" s="4" t="s">
        <v>111</v>
      </c>
      <c r="E39" s="4" t="s">
        <v>147</v>
      </c>
      <c r="F39" s="6">
        <v>1</v>
      </c>
      <c r="G39" s="7">
        <v>0</v>
      </c>
      <c r="H39" s="7">
        <v>0</v>
      </c>
      <c r="I39" s="7">
        <v>0</v>
      </c>
      <c r="J39" s="5">
        <v>1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1</v>
      </c>
      <c r="V39" s="7">
        <v>0</v>
      </c>
      <c r="W39" s="7">
        <v>0</v>
      </c>
      <c r="X39" s="7">
        <v>0</v>
      </c>
      <c r="Y39" s="5">
        <v>1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28">
        <v>0.25</v>
      </c>
    </row>
    <row r="40">
      <c r="A40" s="24">
        <v>259</v>
      </c>
      <c r="B40" s="9" t="s">
        <v>148</v>
      </c>
      <c r="C40" s="9" t="s">
        <v>67</v>
      </c>
      <c r="D40" s="9" t="s">
        <v>111</v>
      </c>
      <c r="E40" s="9" t="s">
        <v>149</v>
      </c>
      <c r="F40" s="11">
        <v>1</v>
      </c>
      <c r="G40" s="12">
        <v>0</v>
      </c>
      <c r="H40" s="12">
        <v>0</v>
      </c>
      <c r="I40" s="10">
        <v>1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1</v>
      </c>
      <c r="V40" s="12">
        <v>0</v>
      </c>
      <c r="W40" s="12">
        <v>0</v>
      </c>
      <c r="X40" s="10">
        <v>1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29">
        <v>0.26</v>
      </c>
    </row>
    <row r="41">
      <c r="A41" s="23">
        <v>264</v>
      </c>
      <c r="B41" s="4" t="s">
        <v>150</v>
      </c>
      <c r="C41" s="4" t="s">
        <v>67</v>
      </c>
      <c r="D41" s="4" t="s">
        <v>142</v>
      </c>
      <c r="E41" s="4" t="s">
        <v>143</v>
      </c>
      <c r="F41" s="6">
        <v>4</v>
      </c>
      <c r="G41" s="5">
        <v>1</v>
      </c>
      <c r="H41" s="5">
        <v>1</v>
      </c>
      <c r="I41" s="5">
        <v>2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4</v>
      </c>
      <c r="V41" s="5">
        <v>1</v>
      </c>
      <c r="W41" s="5">
        <v>1</v>
      </c>
      <c r="X41" s="5">
        <v>2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1.33</v>
      </c>
      <c r="AL41" s="5">
        <v>1</v>
      </c>
      <c r="AM41" s="5">
        <v>2</v>
      </c>
      <c r="AN41" s="28">
        <v>0.62</v>
      </c>
    </row>
    <row r="42">
      <c r="A42" s="24">
        <v>265</v>
      </c>
      <c r="B42" s="9" t="s">
        <v>151</v>
      </c>
      <c r="C42" s="9" t="s">
        <v>67</v>
      </c>
      <c r="D42" s="9" t="s">
        <v>84</v>
      </c>
      <c r="E42" s="9" t="s">
        <v>145</v>
      </c>
      <c r="F42" s="11">
        <v>4</v>
      </c>
      <c r="G42" s="10">
        <v>3</v>
      </c>
      <c r="H42" s="12">
        <v>0</v>
      </c>
      <c r="I42" s="12">
        <v>0</v>
      </c>
      <c r="J42" s="10">
        <v>1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4</v>
      </c>
      <c r="V42" s="10">
        <v>3</v>
      </c>
      <c r="W42" s="12">
        <v>0</v>
      </c>
      <c r="X42" s="12">
        <v>0</v>
      </c>
      <c r="Y42" s="10">
        <v>1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1.33</v>
      </c>
      <c r="AL42" s="10">
        <v>1</v>
      </c>
      <c r="AM42" s="10">
        <v>2</v>
      </c>
      <c r="AN42" s="29">
        <v>0.25</v>
      </c>
    </row>
    <row r="43">
      <c r="A43" s="23">
        <v>268</v>
      </c>
      <c r="B43" s="4" t="s">
        <v>152</v>
      </c>
      <c r="C43" s="4" t="s">
        <v>67</v>
      </c>
      <c r="D43" s="4" t="s">
        <v>92</v>
      </c>
      <c r="E43" s="4" t="s">
        <v>153</v>
      </c>
      <c r="F43" s="6">
        <v>2</v>
      </c>
      <c r="G43" s="5">
        <v>1</v>
      </c>
      <c r="H43" s="7">
        <v>0</v>
      </c>
      <c r="I43" s="5">
        <v>1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2</v>
      </c>
      <c r="V43" s="5">
        <v>1</v>
      </c>
      <c r="W43" s="7">
        <v>0</v>
      </c>
      <c r="X43" s="5">
        <v>1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28">
        <v>0.25</v>
      </c>
    </row>
    <row r="44">
      <c r="A44" s="24">
        <v>274</v>
      </c>
      <c r="B44" s="9" t="s">
        <v>154</v>
      </c>
      <c r="C44" s="9" t="s">
        <v>67</v>
      </c>
      <c r="D44" s="9" t="s">
        <v>111</v>
      </c>
      <c r="E44" s="9" t="s">
        <v>147</v>
      </c>
      <c r="F44" s="11">
        <v>3</v>
      </c>
      <c r="G44" s="10">
        <v>2</v>
      </c>
      <c r="H44" s="10">
        <v>1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3</v>
      </c>
      <c r="V44" s="10">
        <v>2</v>
      </c>
      <c r="W44" s="10">
        <v>1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29">
        <v>0.25</v>
      </c>
    </row>
    <row r="45">
      <c r="A45" s="23">
        <v>290</v>
      </c>
      <c r="B45" s="4" t="s">
        <v>155</v>
      </c>
      <c r="C45" s="4" t="s">
        <v>67</v>
      </c>
      <c r="D45" s="4" t="s">
        <v>76</v>
      </c>
      <c r="E45" s="4" t="s">
        <v>156</v>
      </c>
      <c r="F45" s="6">
        <v>1</v>
      </c>
      <c r="G45" s="7">
        <v>0</v>
      </c>
      <c r="H45" s="7">
        <v>0</v>
      </c>
      <c r="I45" s="7">
        <v>0</v>
      </c>
      <c r="J45" s="5">
        <v>1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1</v>
      </c>
      <c r="V45" s="7">
        <v>0</v>
      </c>
      <c r="W45" s="7">
        <v>0</v>
      </c>
      <c r="X45" s="7">
        <v>0</v>
      </c>
      <c r="Y45" s="5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0.25</v>
      </c>
    </row>
    <row r="46">
      <c r="A46" s="24">
        <v>293</v>
      </c>
      <c r="B46" s="9" t="s">
        <v>157</v>
      </c>
      <c r="C46" s="9" t="s">
        <v>67</v>
      </c>
      <c r="D46" s="9" t="s">
        <v>79</v>
      </c>
      <c r="E46" s="9" t="s">
        <v>87</v>
      </c>
      <c r="F46" s="11">
        <v>3</v>
      </c>
      <c r="G46" s="12">
        <v>0</v>
      </c>
      <c r="H46" s="12">
        <v>0</v>
      </c>
      <c r="I46" s="12">
        <v>0</v>
      </c>
      <c r="J46" s="10">
        <v>2</v>
      </c>
      <c r="K46" s="12">
        <v>0</v>
      </c>
      <c r="L46" s="10">
        <v>1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2</v>
      </c>
      <c r="V46" s="12">
        <v>0</v>
      </c>
      <c r="W46" s="12">
        <v>0</v>
      </c>
      <c r="X46" s="12">
        <v>0</v>
      </c>
      <c r="Y46" s="10">
        <v>1</v>
      </c>
      <c r="Z46" s="12">
        <v>0</v>
      </c>
      <c r="AA46" s="10">
        <v>1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1.5</v>
      </c>
      <c r="AL46" s="10">
        <v>1</v>
      </c>
      <c r="AM46" s="10">
        <v>2</v>
      </c>
      <c r="AN46" s="29">
        <v>0.25</v>
      </c>
    </row>
    <row r="47">
      <c r="A47" s="23">
        <v>295</v>
      </c>
      <c r="B47" s="4" t="s">
        <v>158</v>
      </c>
      <c r="C47" s="4" t="s">
        <v>67</v>
      </c>
      <c r="D47" s="4" t="s">
        <v>76</v>
      </c>
      <c r="E47" s="4" t="s">
        <v>132</v>
      </c>
      <c r="F47" s="6">
        <v>1</v>
      </c>
      <c r="G47" s="7">
        <v>0</v>
      </c>
      <c r="H47" s="7">
        <v>0</v>
      </c>
      <c r="I47" s="7">
        <v>0</v>
      </c>
      <c r="J47" s="5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1</v>
      </c>
      <c r="V47" s="7">
        <v>0</v>
      </c>
      <c r="W47" s="7">
        <v>0</v>
      </c>
      <c r="X47" s="7">
        <v>0</v>
      </c>
      <c r="Y47" s="5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30">
        <v>0</v>
      </c>
    </row>
    <row r="48">
      <c r="A48" s="24">
        <v>297</v>
      </c>
      <c r="B48" s="9" t="s">
        <v>159</v>
      </c>
      <c r="C48" s="9" t="s">
        <v>67</v>
      </c>
      <c r="D48" s="9" t="s">
        <v>142</v>
      </c>
      <c r="E48" s="9" t="s">
        <v>160</v>
      </c>
      <c r="F48" s="11">
        <v>3</v>
      </c>
      <c r="G48" s="12">
        <v>0</v>
      </c>
      <c r="H48" s="12">
        <v>0</v>
      </c>
      <c r="I48" s="10">
        <v>3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1</v>
      </c>
      <c r="V48" s="12">
        <v>0</v>
      </c>
      <c r="W48" s="12">
        <v>0</v>
      </c>
      <c r="X48" s="10">
        <v>1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3</v>
      </c>
      <c r="AK48" s="13">
        <v>3</v>
      </c>
      <c r="AL48" s="10">
        <v>3</v>
      </c>
      <c r="AM48" s="10">
        <v>3</v>
      </c>
      <c r="AN48" s="31">
        <v>0</v>
      </c>
    </row>
    <row r="49">
      <c r="A49" s="23">
        <v>299</v>
      </c>
      <c r="B49" s="4" t="s">
        <v>161</v>
      </c>
      <c r="C49" s="4" t="s">
        <v>67</v>
      </c>
      <c r="D49" s="4" t="s">
        <v>84</v>
      </c>
      <c r="E49" s="4" t="s">
        <v>85</v>
      </c>
      <c r="F49" s="6">
        <v>1</v>
      </c>
      <c r="G49" s="7">
        <v>0</v>
      </c>
      <c r="H49" s="7">
        <v>0</v>
      </c>
      <c r="I49" s="7">
        <v>0</v>
      </c>
      <c r="J49" s="5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1</v>
      </c>
      <c r="V49" s="7">
        <v>0</v>
      </c>
      <c r="W49" s="7">
        <v>0</v>
      </c>
      <c r="X49" s="7">
        <v>0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30">
        <v>0</v>
      </c>
    </row>
    <row r="50">
      <c r="A50" s="24">
        <v>309</v>
      </c>
      <c r="B50" s="9" t="s">
        <v>162</v>
      </c>
      <c r="C50" s="9" t="s">
        <v>163</v>
      </c>
      <c r="D50" s="9" t="s">
        <v>164</v>
      </c>
      <c r="E50" s="9" t="s">
        <v>165</v>
      </c>
      <c r="F50" s="11">
        <v>2</v>
      </c>
      <c r="G50" s="12">
        <v>0</v>
      </c>
      <c r="H50" s="12">
        <v>0</v>
      </c>
      <c r="I50" s="10">
        <v>1</v>
      </c>
      <c r="J50" s="10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2</v>
      </c>
      <c r="V50" s="12">
        <v>0</v>
      </c>
      <c r="W50" s="12">
        <v>0</v>
      </c>
      <c r="X50" s="10">
        <v>1</v>
      </c>
      <c r="Y50" s="10">
        <v>1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31">
        <v>0</v>
      </c>
    </row>
    <row r="51">
      <c r="A51" s="23">
        <v>322</v>
      </c>
      <c r="B51" s="4" t="s">
        <v>166</v>
      </c>
      <c r="C51" s="4" t="s">
        <v>67</v>
      </c>
      <c r="D51" s="4" t="s">
        <v>73</v>
      </c>
      <c r="E51" s="4" t="s">
        <v>74</v>
      </c>
      <c r="F51" s="6">
        <v>5</v>
      </c>
      <c r="G51" s="5">
        <v>3</v>
      </c>
      <c r="H51" s="7">
        <v>0</v>
      </c>
      <c r="I51" s="5">
        <v>1</v>
      </c>
      <c r="J51" s="5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4</v>
      </c>
      <c r="V51" s="5">
        <v>2</v>
      </c>
      <c r="W51" s="7">
        <v>0</v>
      </c>
      <c r="X51" s="5">
        <v>1</v>
      </c>
      <c r="Y51" s="5">
        <v>1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1.67</v>
      </c>
      <c r="AL51" s="5">
        <v>1</v>
      </c>
      <c r="AM51" s="5">
        <v>3</v>
      </c>
      <c r="AN51" s="30">
        <v>0</v>
      </c>
    </row>
    <row r="52">
      <c r="A52" s="24">
        <v>325</v>
      </c>
      <c r="B52" s="9" t="s">
        <v>167</v>
      </c>
      <c r="C52" s="9" t="s">
        <v>67</v>
      </c>
      <c r="D52" s="9" t="s">
        <v>73</v>
      </c>
      <c r="E52" s="9" t="s">
        <v>74</v>
      </c>
      <c r="F52" s="11">
        <v>5</v>
      </c>
      <c r="G52" s="10">
        <v>4</v>
      </c>
      <c r="H52" s="12">
        <v>0</v>
      </c>
      <c r="I52" s="10">
        <v>1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3</v>
      </c>
      <c r="V52" s="10">
        <v>2</v>
      </c>
      <c r="W52" s="12">
        <v>0</v>
      </c>
      <c r="X52" s="10">
        <v>1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2.5</v>
      </c>
      <c r="AL52" s="10">
        <v>2</v>
      </c>
      <c r="AM52" s="10">
        <v>4</v>
      </c>
      <c r="AN52" s="31">
        <v>0</v>
      </c>
    </row>
    <row r="53">
      <c r="A53" s="23">
        <v>328</v>
      </c>
      <c r="B53" s="4" t="s">
        <v>168</v>
      </c>
      <c r="C53" s="4" t="s">
        <v>163</v>
      </c>
      <c r="D53" s="4" t="s">
        <v>164</v>
      </c>
      <c r="E53" s="4" t="s">
        <v>169</v>
      </c>
      <c r="F53" s="6">
        <v>3</v>
      </c>
      <c r="G53" s="7">
        <v>0</v>
      </c>
      <c r="H53" s="7">
        <v>0</v>
      </c>
      <c r="I53" s="5">
        <v>1</v>
      </c>
      <c r="J53" s="7">
        <v>0</v>
      </c>
      <c r="K53" s="5">
        <v>2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3</v>
      </c>
      <c r="V53" s="7">
        <v>0</v>
      </c>
      <c r="W53" s="7">
        <v>0</v>
      </c>
      <c r="X53" s="5">
        <v>1</v>
      </c>
      <c r="Y53" s="7">
        <v>0</v>
      </c>
      <c r="Z53" s="5">
        <v>2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1.5</v>
      </c>
      <c r="AL53" s="5">
        <v>1</v>
      </c>
      <c r="AM53" s="5">
        <v>2</v>
      </c>
      <c r="AN53" s="30">
        <v>0</v>
      </c>
    </row>
    <row r="54">
      <c r="A54" s="24">
        <v>329</v>
      </c>
      <c r="B54" s="9" t="s">
        <v>170</v>
      </c>
      <c r="C54" s="9" t="s">
        <v>163</v>
      </c>
      <c r="D54" s="9" t="s">
        <v>164</v>
      </c>
      <c r="E54" s="9" t="s">
        <v>171</v>
      </c>
      <c r="F54" s="11">
        <v>4</v>
      </c>
      <c r="G54" s="10">
        <v>3</v>
      </c>
      <c r="H54" s="12">
        <v>0</v>
      </c>
      <c r="I54" s="10">
        <v>1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4</v>
      </c>
      <c r="V54" s="10">
        <v>3</v>
      </c>
      <c r="W54" s="12">
        <v>0</v>
      </c>
      <c r="X54" s="10">
        <v>1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2</v>
      </c>
      <c r="AL54" s="10">
        <v>2</v>
      </c>
      <c r="AM54" s="10">
        <v>3</v>
      </c>
      <c r="AN54" s="31">
        <v>0</v>
      </c>
    </row>
    <row r="55">
      <c r="A55" s="23">
        <v>333</v>
      </c>
      <c r="B55" s="4" t="s">
        <v>172</v>
      </c>
      <c r="C55" s="4" t="s">
        <v>163</v>
      </c>
      <c r="D55" s="4" t="s">
        <v>173</v>
      </c>
      <c r="E55" s="4" t="s">
        <v>174</v>
      </c>
      <c r="F55" s="6">
        <v>2</v>
      </c>
      <c r="G55" s="7">
        <v>0</v>
      </c>
      <c r="H55" s="7">
        <v>0</v>
      </c>
      <c r="I55" s="7">
        <v>0</v>
      </c>
      <c r="J55" s="7">
        <v>0</v>
      </c>
      <c r="K55" s="5">
        <v>2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2</v>
      </c>
      <c r="V55" s="7">
        <v>0</v>
      </c>
      <c r="W55" s="7">
        <v>0</v>
      </c>
      <c r="X55" s="7">
        <v>0</v>
      </c>
      <c r="Y55" s="7">
        <v>0</v>
      </c>
      <c r="Z55" s="5">
        <v>2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2</v>
      </c>
      <c r="AK55" s="8">
        <v>2</v>
      </c>
      <c r="AL55" s="5">
        <v>2</v>
      </c>
      <c r="AM55" s="5">
        <v>2</v>
      </c>
      <c r="AN55" s="30">
        <v>0</v>
      </c>
    </row>
    <row r="56">
      <c r="A56" s="24">
        <v>336</v>
      </c>
      <c r="B56" s="9" t="s">
        <v>175</v>
      </c>
      <c r="C56" s="9" t="s">
        <v>163</v>
      </c>
      <c r="D56" s="9" t="s">
        <v>173</v>
      </c>
      <c r="E56" s="9" t="s">
        <v>176</v>
      </c>
      <c r="F56" s="11">
        <v>3</v>
      </c>
      <c r="G56" s="10">
        <v>2</v>
      </c>
      <c r="H56" s="12">
        <v>0</v>
      </c>
      <c r="I56" s="12">
        <v>0</v>
      </c>
      <c r="J56" s="12">
        <v>0</v>
      </c>
      <c r="K56" s="10">
        <v>1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3</v>
      </c>
      <c r="V56" s="10">
        <v>2</v>
      </c>
      <c r="W56" s="12">
        <v>0</v>
      </c>
      <c r="X56" s="12">
        <v>0</v>
      </c>
      <c r="Y56" s="12">
        <v>0</v>
      </c>
      <c r="Z56" s="10">
        <v>1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1.5</v>
      </c>
      <c r="AL56" s="10">
        <v>1</v>
      </c>
      <c r="AM56" s="10">
        <v>2</v>
      </c>
      <c r="AN56" s="31">
        <v>0</v>
      </c>
    </row>
    <row r="57">
      <c r="A57" s="23">
        <v>337</v>
      </c>
      <c r="B57" s="4" t="s">
        <v>177</v>
      </c>
      <c r="C57" s="4" t="s">
        <v>163</v>
      </c>
      <c r="D57" s="4" t="s">
        <v>164</v>
      </c>
      <c r="E57" s="4" t="s">
        <v>169</v>
      </c>
      <c r="F57" s="6">
        <v>1</v>
      </c>
      <c r="G57" s="5">
        <v>1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1</v>
      </c>
      <c r="V57" s="5">
        <v>1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30">
        <v>0</v>
      </c>
    </row>
    <row r="58">
      <c r="A58" s="24">
        <v>344</v>
      </c>
      <c r="B58" s="9" t="s">
        <v>178</v>
      </c>
      <c r="C58" s="9" t="s">
        <v>163</v>
      </c>
      <c r="D58" s="9" t="s">
        <v>173</v>
      </c>
      <c r="E58" s="9" t="s">
        <v>179</v>
      </c>
      <c r="F58" s="11">
        <v>3</v>
      </c>
      <c r="G58" s="12">
        <v>0</v>
      </c>
      <c r="H58" s="10">
        <v>1</v>
      </c>
      <c r="I58" s="12">
        <v>0</v>
      </c>
      <c r="J58" s="12">
        <v>0</v>
      </c>
      <c r="K58" s="10">
        <v>2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3</v>
      </c>
      <c r="V58" s="12">
        <v>0</v>
      </c>
      <c r="W58" s="10">
        <v>1</v>
      </c>
      <c r="X58" s="12">
        <v>0</v>
      </c>
      <c r="Y58" s="12">
        <v>0</v>
      </c>
      <c r="Z58" s="10">
        <v>2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29">
        <v>0.35</v>
      </c>
    </row>
    <row r="59">
      <c r="A59" s="23">
        <v>350</v>
      </c>
      <c r="B59" s="4" t="s">
        <v>180</v>
      </c>
      <c r="C59" s="4" t="s">
        <v>163</v>
      </c>
      <c r="D59" s="4" t="s">
        <v>164</v>
      </c>
      <c r="E59" s="4" t="s">
        <v>169</v>
      </c>
      <c r="F59" s="6">
        <v>2</v>
      </c>
      <c r="G59" s="7">
        <v>0</v>
      </c>
      <c r="H59" s="7">
        <v>0</v>
      </c>
      <c r="I59" s="5">
        <v>1</v>
      </c>
      <c r="J59" s="7">
        <v>0</v>
      </c>
      <c r="K59" s="5">
        <v>1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2</v>
      </c>
      <c r="V59" s="7">
        <v>0</v>
      </c>
      <c r="W59" s="7">
        <v>0</v>
      </c>
      <c r="X59" s="5">
        <v>1</v>
      </c>
      <c r="Y59" s="7">
        <v>0</v>
      </c>
      <c r="Z59" s="5">
        <v>1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28">
        <v>0.24</v>
      </c>
    </row>
    <row r="60">
      <c r="A60" s="24">
        <v>355</v>
      </c>
      <c r="B60" s="9" t="s">
        <v>181</v>
      </c>
      <c r="C60" s="9" t="s">
        <v>163</v>
      </c>
      <c r="D60" s="9" t="s">
        <v>173</v>
      </c>
      <c r="E60" s="9" t="s">
        <v>179</v>
      </c>
      <c r="F60" s="11">
        <v>1</v>
      </c>
      <c r="G60" s="12">
        <v>0</v>
      </c>
      <c r="H60" s="12">
        <v>0</v>
      </c>
      <c r="I60" s="12">
        <v>0</v>
      </c>
      <c r="J60" s="12">
        <v>0</v>
      </c>
      <c r="K60" s="10">
        <v>1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1</v>
      </c>
      <c r="V60" s="12">
        <v>0</v>
      </c>
      <c r="W60" s="12">
        <v>0</v>
      </c>
      <c r="X60" s="12">
        <v>0</v>
      </c>
      <c r="Y60" s="12">
        <v>0</v>
      </c>
      <c r="Z60" s="10">
        <v>1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31">
        <v>0</v>
      </c>
    </row>
    <row r="61">
      <c r="A61" s="23">
        <v>358</v>
      </c>
      <c r="B61" s="4" t="s">
        <v>182</v>
      </c>
      <c r="C61" s="4" t="s">
        <v>163</v>
      </c>
      <c r="D61" s="4" t="s">
        <v>164</v>
      </c>
      <c r="E61" s="4" t="s">
        <v>165</v>
      </c>
      <c r="F61" s="6">
        <v>1</v>
      </c>
      <c r="G61" s="7">
        <v>0</v>
      </c>
      <c r="H61" s="7">
        <v>0</v>
      </c>
      <c r="I61" s="5">
        <v>1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1</v>
      </c>
      <c r="V61" s="7">
        <v>0</v>
      </c>
      <c r="W61" s="7">
        <v>0</v>
      </c>
      <c r="X61" s="5">
        <v>1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28">
        <v>0.25</v>
      </c>
    </row>
    <row r="62">
      <c r="A62" s="24">
        <v>359</v>
      </c>
      <c r="B62" s="9" t="s">
        <v>183</v>
      </c>
      <c r="C62" s="9" t="s">
        <v>163</v>
      </c>
      <c r="D62" s="9" t="s">
        <v>173</v>
      </c>
      <c r="E62" s="9" t="s">
        <v>174</v>
      </c>
      <c r="F62" s="11">
        <v>4</v>
      </c>
      <c r="G62" s="12">
        <v>0</v>
      </c>
      <c r="H62" s="12">
        <v>0</v>
      </c>
      <c r="I62" s="12">
        <v>0</v>
      </c>
      <c r="J62" s="10">
        <v>2</v>
      </c>
      <c r="K62" s="10">
        <v>2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3</v>
      </c>
      <c r="V62" s="12">
        <v>0</v>
      </c>
      <c r="W62" s="12">
        <v>0</v>
      </c>
      <c r="X62" s="12">
        <v>0</v>
      </c>
      <c r="Y62" s="10">
        <v>2</v>
      </c>
      <c r="Z62" s="10">
        <v>1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2</v>
      </c>
      <c r="AK62" s="13">
        <v>2</v>
      </c>
      <c r="AL62" s="10">
        <v>2</v>
      </c>
      <c r="AM62" s="10">
        <v>2</v>
      </c>
      <c r="AN62" s="29">
        <v>0.5</v>
      </c>
    </row>
    <row r="63">
      <c r="A63" s="23">
        <v>363</v>
      </c>
      <c r="B63" s="4" t="s">
        <v>184</v>
      </c>
      <c r="C63" s="4" t="s">
        <v>163</v>
      </c>
      <c r="D63" s="4" t="s">
        <v>173</v>
      </c>
      <c r="E63" s="4" t="s">
        <v>185</v>
      </c>
      <c r="F63" s="6">
        <v>1</v>
      </c>
      <c r="G63" s="7">
        <v>0</v>
      </c>
      <c r="H63" s="5">
        <v>1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1</v>
      </c>
      <c r="V63" s="7">
        <v>0</v>
      </c>
      <c r="W63" s="5">
        <v>1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28">
        <v>0.22</v>
      </c>
    </row>
    <row r="64">
      <c r="A64" s="24">
        <v>367</v>
      </c>
      <c r="B64" s="9" t="s">
        <v>186</v>
      </c>
      <c r="C64" s="9" t="s">
        <v>67</v>
      </c>
      <c r="D64" s="9" t="s">
        <v>111</v>
      </c>
      <c r="E64" s="9" t="s">
        <v>112</v>
      </c>
      <c r="F64" s="11">
        <v>3</v>
      </c>
      <c r="G64" s="10">
        <v>1</v>
      </c>
      <c r="H64" s="12">
        <v>0</v>
      </c>
      <c r="I64" s="12">
        <v>0</v>
      </c>
      <c r="J64" s="10">
        <v>2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3</v>
      </c>
      <c r="V64" s="10">
        <v>1</v>
      </c>
      <c r="W64" s="12">
        <v>0</v>
      </c>
      <c r="X64" s="12">
        <v>0</v>
      </c>
      <c r="Y64" s="10">
        <v>2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29">
        <v>0.75</v>
      </c>
    </row>
    <row r="65">
      <c r="A65" s="23">
        <v>388</v>
      </c>
      <c r="B65" s="4" t="s">
        <v>187</v>
      </c>
      <c r="C65" s="4" t="s">
        <v>67</v>
      </c>
      <c r="D65" s="4" t="s">
        <v>76</v>
      </c>
      <c r="E65" s="4" t="s">
        <v>120</v>
      </c>
      <c r="F65" s="6">
        <v>1</v>
      </c>
      <c r="G65" s="7">
        <v>0</v>
      </c>
      <c r="H65" s="7">
        <v>0</v>
      </c>
      <c r="I65" s="7">
        <v>0</v>
      </c>
      <c r="J65" s="5">
        <v>1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1</v>
      </c>
      <c r="V65" s="7">
        <v>0</v>
      </c>
      <c r="W65" s="7">
        <v>0</v>
      </c>
      <c r="X65" s="7">
        <v>0</v>
      </c>
      <c r="Y65" s="5">
        <v>1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28">
        <v>0.26</v>
      </c>
    </row>
    <row r="66">
      <c r="A66" s="24">
        <v>397</v>
      </c>
      <c r="B66" s="9" t="s">
        <v>188</v>
      </c>
      <c r="C66" s="9" t="s">
        <v>67</v>
      </c>
      <c r="D66" s="9" t="s">
        <v>100</v>
      </c>
      <c r="E66" s="9" t="s">
        <v>189</v>
      </c>
      <c r="F66" s="11">
        <v>3</v>
      </c>
      <c r="G66" s="12">
        <v>0</v>
      </c>
      <c r="H66" s="10">
        <v>1</v>
      </c>
      <c r="I66" s="10">
        <v>2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2</v>
      </c>
      <c r="V66" s="12">
        <v>0</v>
      </c>
      <c r="W66" s="10">
        <v>1</v>
      </c>
      <c r="X66" s="10">
        <v>1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1.5</v>
      </c>
      <c r="AL66" s="10">
        <v>1</v>
      </c>
      <c r="AM66" s="10">
        <v>2</v>
      </c>
      <c r="AN66" s="29">
        <v>0.5</v>
      </c>
    </row>
    <row r="67">
      <c r="A67" s="23">
        <v>402</v>
      </c>
      <c r="B67" s="4" t="s">
        <v>190</v>
      </c>
      <c r="C67" s="4" t="s">
        <v>67</v>
      </c>
      <c r="D67" s="4" t="s">
        <v>68</v>
      </c>
      <c r="E67" s="4" t="s">
        <v>71</v>
      </c>
      <c r="F67" s="6">
        <v>1</v>
      </c>
      <c r="G67" s="5">
        <v>1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1</v>
      </c>
      <c r="V67" s="5">
        <v>1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30">
        <v>0</v>
      </c>
    </row>
    <row r="68">
      <c r="A68" s="24">
        <v>405</v>
      </c>
      <c r="B68" s="9" t="s">
        <v>191</v>
      </c>
      <c r="C68" s="9" t="s">
        <v>67</v>
      </c>
      <c r="D68" s="9" t="s">
        <v>76</v>
      </c>
      <c r="E68" s="9" t="s">
        <v>132</v>
      </c>
      <c r="F68" s="11">
        <v>49</v>
      </c>
      <c r="G68" s="12">
        <v>0</v>
      </c>
      <c r="H68" s="12">
        <v>0</v>
      </c>
      <c r="I68" s="12">
        <v>0</v>
      </c>
      <c r="J68" s="10">
        <v>49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43</v>
      </c>
      <c r="V68" s="12">
        <v>0</v>
      </c>
      <c r="W68" s="12">
        <v>0</v>
      </c>
      <c r="X68" s="12">
        <v>0</v>
      </c>
      <c r="Y68" s="10">
        <v>43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3</v>
      </c>
      <c r="AK68" s="13">
        <v>24.5</v>
      </c>
      <c r="AL68" s="10">
        <v>24</v>
      </c>
      <c r="AM68" s="10">
        <v>46</v>
      </c>
      <c r="AN68" s="29">
        <v>11.18</v>
      </c>
    </row>
    <row r="69">
      <c r="A69" s="23">
        <v>408</v>
      </c>
      <c r="B69" s="4" t="s">
        <v>192</v>
      </c>
      <c r="C69" s="4" t="s">
        <v>67</v>
      </c>
      <c r="D69" s="4" t="s">
        <v>105</v>
      </c>
      <c r="E69" s="4" t="s">
        <v>193</v>
      </c>
      <c r="F69" s="6">
        <v>2</v>
      </c>
      <c r="G69" s="5">
        <v>2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1</v>
      </c>
      <c r="V69" s="5">
        <v>1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2</v>
      </c>
      <c r="AK69" s="8">
        <v>2</v>
      </c>
      <c r="AL69" s="5">
        <v>2</v>
      </c>
      <c r="AM69" s="5">
        <v>2</v>
      </c>
      <c r="AN69" s="30">
        <v>0</v>
      </c>
    </row>
    <row r="70">
      <c r="A70" s="24">
        <v>419</v>
      </c>
      <c r="B70" s="9" t="s">
        <v>194</v>
      </c>
      <c r="C70" s="9" t="s">
        <v>67</v>
      </c>
      <c r="D70" s="9" t="s">
        <v>111</v>
      </c>
      <c r="E70" s="9" t="s">
        <v>195</v>
      </c>
      <c r="F70" s="11">
        <v>4</v>
      </c>
      <c r="G70" s="10">
        <v>2</v>
      </c>
      <c r="H70" s="12">
        <v>0</v>
      </c>
      <c r="I70" s="10">
        <v>1</v>
      </c>
      <c r="J70" s="10">
        <v>1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3</v>
      </c>
      <c r="V70" s="10">
        <v>1</v>
      </c>
      <c r="W70" s="12">
        <v>0</v>
      </c>
      <c r="X70" s="10">
        <v>1</v>
      </c>
      <c r="Y70" s="10">
        <v>1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1.33</v>
      </c>
      <c r="AL70" s="10">
        <v>1</v>
      </c>
      <c r="AM70" s="10">
        <v>2</v>
      </c>
      <c r="AN70" s="29">
        <v>0.44</v>
      </c>
    </row>
    <row r="71">
      <c r="A71" s="23">
        <v>428</v>
      </c>
      <c r="B71" s="4" t="s">
        <v>196</v>
      </c>
      <c r="C71" s="4" t="s">
        <v>67</v>
      </c>
      <c r="D71" s="4" t="s">
        <v>84</v>
      </c>
      <c r="E71" s="4" t="s">
        <v>197</v>
      </c>
      <c r="F71" s="6">
        <v>1</v>
      </c>
      <c r="G71" s="7">
        <v>0</v>
      </c>
      <c r="H71" s="7">
        <v>0</v>
      </c>
      <c r="I71" s="7">
        <v>0</v>
      </c>
      <c r="J71" s="5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1</v>
      </c>
      <c r="V71" s="7">
        <v>0</v>
      </c>
      <c r="W71" s="7">
        <v>0</v>
      </c>
      <c r="X71" s="7">
        <v>0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28">
        <v>0.26</v>
      </c>
    </row>
    <row r="72">
      <c r="A72" s="24">
        <v>434</v>
      </c>
      <c r="B72" s="9" t="s">
        <v>198</v>
      </c>
      <c r="C72" s="9" t="s">
        <v>67</v>
      </c>
      <c r="D72" s="9" t="s">
        <v>76</v>
      </c>
      <c r="E72" s="9" t="s">
        <v>199</v>
      </c>
      <c r="F72" s="11">
        <v>2</v>
      </c>
      <c r="G72" s="12">
        <v>0</v>
      </c>
      <c r="H72" s="10">
        <v>1</v>
      </c>
      <c r="I72" s="12">
        <v>0</v>
      </c>
      <c r="J72" s="10">
        <v>1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2</v>
      </c>
      <c r="V72" s="12">
        <v>0</v>
      </c>
      <c r="W72" s="10">
        <v>1</v>
      </c>
      <c r="X72" s="12">
        <v>0</v>
      </c>
      <c r="Y72" s="10">
        <v>1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29">
        <v>0.44</v>
      </c>
    </row>
    <row r="73">
      <c r="A73" s="23">
        <v>435</v>
      </c>
      <c r="B73" s="4" t="s">
        <v>200</v>
      </c>
      <c r="C73" s="4" t="s">
        <v>67</v>
      </c>
      <c r="D73" s="4" t="s">
        <v>111</v>
      </c>
      <c r="E73" s="4" t="s">
        <v>149</v>
      </c>
      <c r="F73" s="6">
        <v>2</v>
      </c>
      <c r="G73" s="5">
        <v>1</v>
      </c>
      <c r="H73" s="7">
        <v>0</v>
      </c>
      <c r="I73" s="7">
        <v>0</v>
      </c>
      <c r="J73" s="5">
        <v>1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2</v>
      </c>
      <c r="V73" s="5">
        <v>1</v>
      </c>
      <c r="W73" s="7">
        <v>0</v>
      </c>
      <c r="X73" s="7">
        <v>0</v>
      </c>
      <c r="Y73" s="5">
        <v>1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28">
        <v>0.26</v>
      </c>
    </row>
    <row r="74">
      <c r="A74" s="24">
        <v>437</v>
      </c>
      <c r="B74" s="9" t="s">
        <v>201</v>
      </c>
      <c r="C74" s="9" t="s">
        <v>67</v>
      </c>
      <c r="D74" s="9" t="s">
        <v>76</v>
      </c>
      <c r="E74" s="9" t="s">
        <v>202</v>
      </c>
      <c r="F74" s="11">
        <v>1</v>
      </c>
      <c r="G74" s="10">
        <v>1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1</v>
      </c>
      <c r="V74" s="10">
        <v>1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31">
        <v>0</v>
      </c>
    </row>
    <row r="75">
      <c r="A75" s="23">
        <v>445</v>
      </c>
      <c r="B75" s="4" t="s">
        <v>203</v>
      </c>
      <c r="C75" s="4" t="s">
        <v>67</v>
      </c>
      <c r="D75" s="4" t="s">
        <v>79</v>
      </c>
      <c r="E75" s="4" t="s">
        <v>80</v>
      </c>
      <c r="F75" s="6">
        <v>2</v>
      </c>
      <c r="G75" s="5">
        <v>1</v>
      </c>
      <c r="H75" s="7">
        <v>0</v>
      </c>
      <c r="I75" s="7">
        <v>0</v>
      </c>
      <c r="J75" s="5">
        <v>1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2</v>
      </c>
      <c r="V75" s="5">
        <v>1</v>
      </c>
      <c r="W75" s="7">
        <v>0</v>
      </c>
      <c r="X75" s="7">
        <v>0</v>
      </c>
      <c r="Y75" s="5">
        <v>1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30">
        <v>0</v>
      </c>
    </row>
    <row r="76">
      <c r="A76" s="24">
        <v>448</v>
      </c>
      <c r="B76" s="9" t="s">
        <v>204</v>
      </c>
      <c r="C76" s="9" t="s">
        <v>67</v>
      </c>
      <c r="D76" s="9" t="s">
        <v>84</v>
      </c>
      <c r="E76" s="9" t="s">
        <v>197</v>
      </c>
      <c r="F76" s="11">
        <v>4</v>
      </c>
      <c r="G76" s="12">
        <v>0</v>
      </c>
      <c r="H76" s="12">
        <v>0</v>
      </c>
      <c r="I76" s="12">
        <v>0</v>
      </c>
      <c r="J76" s="10">
        <v>4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3</v>
      </c>
      <c r="V76" s="12">
        <v>0</v>
      </c>
      <c r="W76" s="12">
        <v>0</v>
      </c>
      <c r="X76" s="12">
        <v>0</v>
      </c>
      <c r="Y76" s="10">
        <v>3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2</v>
      </c>
      <c r="AL76" s="10">
        <v>2</v>
      </c>
      <c r="AM76" s="10">
        <v>3</v>
      </c>
      <c r="AN76" s="29">
        <v>0.75</v>
      </c>
    </row>
    <row r="77">
      <c r="A77" s="23">
        <v>450</v>
      </c>
      <c r="B77" s="4" t="s">
        <v>205</v>
      </c>
      <c r="C77" s="4" t="s">
        <v>67</v>
      </c>
      <c r="D77" s="4" t="s">
        <v>79</v>
      </c>
      <c r="E77" s="4" t="s">
        <v>80</v>
      </c>
      <c r="F77" s="6">
        <v>1</v>
      </c>
      <c r="G77" s="5">
        <v>1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1</v>
      </c>
      <c r="V77" s="5">
        <v>1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30">
        <v>0</v>
      </c>
    </row>
    <row r="78">
      <c r="A78" s="24">
        <v>452</v>
      </c>
      <c r="B78" s="9" t="s">
        <v>206</v>
      </c>
      <c r="C78" s="9" t="s">
        <v>67</v>
      </c>
      <c r="D78" s="9" t="s">
        <v>76</v>
      </c>
      <c r="E78" s="9" t="s">
        <v>132</v>
      </c>
      <c r="F78" s="11">
        <v>1</v>
      </c>
      <c r="G78" s="10">
        <v>1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1</v>
      </c>
      <c r="V78" s="10">
        <v>1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31">
        <v>0</v>
      </c>
    </row>
    <row r="79">
      <c r="A79" s="23">
        <v>457</v>
      </c>
      <c r="B79" s="4" t="s">
        <v>207</v>
      </c>
      <c r="C79" s="4" t="s">
        <v>208</v>
      </c>
      <c r="D79" s="4" t="s">
        <v>209</v>
      </c>
      <c r="E79" s="4" t="s">
        <v>210</v>
      </c>
      <c r="F79" s="6">
        <v>2</v>
      </c>
      <c r="G79" s="7">
        <v>0</v>
      </c>
      <c r="H79" s="5">
        <v>2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2</v>
      </c>
      <c r="V79" s="7">
        <v>0</v>
      </c>
      <c r="W79" s="5">
        <v>2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2</v>
      </c>
      <c r="AK79" s="8">
        <v>2</v>
      </c>
      <c r="AL79" s="5">
        <v>2</v>
      </c>
      <c r="AM79" s="5">
        <v>2</v>
      </c>
      <c r="AN79" s="28">
        <v>0.48</v>
      </c>
    </row>
    <row r="80">
      <c r="A80" s="24">
        <v>458</v>
      </c>
      <c r="B80" s="9" t="s">
        <v>211</v>
      </c>
      <c r="C80" s="9" t="s">
        <v>67</v>
      </c>
      <c r="D80" s="9" t="s">
        <v>111</v>
      </c>
      <c r="E80" s="9" t="s">
        <v>147</v>
      </c>
      <c r="F80" s="11">
        <v>1</v>
      </c>
      <c r="G80" s="12">
        <v>0</v>
      </c>
      <c r="H80" s="10">
        <v>1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1</v>
      </c>
      <c r="V80" s="12">
        <v>0</v>
      </c>
      <c r="W80" s="10">
        <v>1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29">
        <v>0.25</v>
      </c>
    </row>
    <row r="81">
      <c r="A81" s="23">
        <v>462</v>
      </c>
      <c r="B81" s="4" t="s">
        <v>212</v>
      </c>
      <c r="C81" s="4" t="s">
        <v>67</v>
      </c>
      <c r="D81" s="4" t="s">
        <v>142</v>
      </c>
      <c r="E81" s="4" t="s">
        <v>143</v>
      </c>
      <c r="F81" s="6">
        <v>2</v>
      </c>
      <c r="G81" s="7">
        <v>0</v>
      </c>
      <c r="H81" s="7">
        <v>0</v>
      </c>
      <c r="I81" s="5">
        <v>1</v>
      </c>
      <c r="J81" s="5">
        <v>1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2</v>
      </c>
      <c r="V81" s="7">
        <v>0</v>
      </c>
      <c r="W81" s="7">
        <v>0</v>
      </c>
      <c r="X81" s="5">
        <v>1</v>
      </c>
      <c r="Y81" s="5">
        <v>1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28">
        <v>0.25</v>
      </c>
    </row>
    <row r="82">
      <c r="A82" s="24">
        <v>470</v>
      </c>
      <c r="B82" s="9" t="s">
        <v>213</v>
      </c>
      <c r="C82" s="9" t="s">
        <v>67</v>
      </c>
      <c r="D82" s="9" t="s">
        <v>76</v>
      </c>
      <c r="E82" s="9" t="s">
        <v>199</v>
      </c>
      <c r="F82" s="11">
        <v>1</v>
      </c>
      <c r="G82" s="12">
        <v>0</v>
      </c>
      <c r="H82" s="10">
        <v>1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1</v>
      </c>
      <c r="V82" s="12">
        <v>0</v>
      </c>
      <c r="W82" s="10">
        <v>1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31">
        <v>0</v>
      </c>
    </row>
    <row r="83">
      <c r="A83" s="23">
        <v>473</v>
      </c>
      <c r="B83" s="4" t="s">
        <v>214</v>
      </c>
      <c r="C83" s="4" t="s">
        <v>163</v>
      </c>
      <c r="D83" s="4" t="s">
        <v>215</v>
      </c>
      <c r="E83" s="4" t="s">
        <v>216</v>
      </c>
      <c r="F83" s="6">
        <v>1</v>
      </c>
      <c r="G83" s="7">
        <v>0</v>
      </c>
      <c r="H83" s="7">
        <v>0</v>
      </c>
      <c r="I83" s="7">
        <v>0</v>
      </c>
      <c r="J83" s="7">
        <v>0</v>
      </c>
      <c r="K83" s="5">
        <v>1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1</v>
      </c>
      <c r="V83" s="7">
        <v>0</v>
      </c>
      <c r="W83" s="7">
        <v>0</v>
      </c>
      <c r="X83" s="7">
        <v>0</v>
      </c>
      <c r="Y83" s="7">
        <v>0</v>
      </c>
      <c r="Z83" s="5">
        <v>1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30">
        <v>0</v>
      </c>
    </row>
    <row r="84">
      <c r="A84" s="24">
        <v>482</v>
      </c>
      <c r="B84" s="9" t="s">
        <v>217</v>
      </c>
      <c r="C84" s="9" t="s">
        <v>67</v>
      </c>
      <c r="D84" s="9" t="s">
        <v>111</v>
      </c>
      <c r="E84" s="9" t="s">
        <v>218</v>
      </c>
      <c r="F84" s="11">
        <v>10</v>
      </c>
      <c r="G84" s="10">
        <v>8</v>
      </c>
      <c r="H84" s="12">
        <v>0</v>
      </c>
      <c r="I84" s="12">
        <v>0</v>
      </c>
      <c r="J84" s="10">
        <v>2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10</v>
      </c>
      <c r="V84" s="10">
        <v>8</v>
      </c>
      <c r="W84" s="12">
        <v>0</v>
      </c>
      <c r="X84" s="12">
        <v>0</v>
      </c>
      <c r="Y84" s="10">
        <v>2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2</v>
      </c>
      <c r="AK84" s="13">
        <v>5</v>
      </c>
      <c r="AL84" s="10">
        <v>5</v>
      </c>
      <c r="AM84" s="10">
        <v>8</v>
      </c>
      <c r="AN84" s="31">
        <v>0</v>
      </c>
    </row>
    <row r="85">
      <c r="A85" s="23">
        <v>486</v>
      </c>
      <c r="B85" s="4" t="s">
        <v>219</v>
      </c>
      <c r="C85" s="4" t="s">
        <v>67</v>
      </c>
      <c r="D85" s="4" t="s">
        <v>79</v>
      </c>
      <c r="E85" s="4" t="s">
        <v>80</v>
      </c>
      <c r="F85" s="6">
        <v>2</v>
      </c>
      <c r="G85" s="5">
        <v>1</v>
      </c>
      <c r="H85" s="7">
        <v>0</v>
      </c>
      <c r="I85" s="7">
        <v>0</v>
      </c>
      <c r="J85" s="7">
        <v>0</v>
      </c>
      <c r="K85" s="7">
        <v>0</v>
      </c>
      <c r="L85" s="5">
        <v>1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2</v>
      </c>
      <c r="V85" s="5">
        <v>1</v>
      </c>
      <c r="W85" s="7">
        <v>0</v>
      </c>
      <c r="X85" s="7">
        <v>0</v>
      </c>
      <c r="Y85" s="7">
        <v>0</v>
      </c>
      <c r="Z85" s="7">
        <v>0</v>
      </c>
      <c r="AA85" s="5">
        <v>1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30">
        <v>0</v>
      </c>
    </row>
    <row r="86">
      <c r="A86" s="24">
        <v>490</v>
      </c>
      <c r="B86" s="9" t="s">
        <v>220</v>
      </c>
      <c r="C86" s="9" t="s">
        <v>67</v>
      </c>
      <c r="D86" s="9" t="s">
        <v>79</v>
      </c>
      <c r="E86" s="9" t="s">
        <v>80</v>
      </c>
      <c r="F86" s="11">
        <v>4</v>
      </c>
      <c r="G86" s="10">
        <v>1</v>
      </c>
      <c r="H86" s="12">
        <v>0</v>
      </c>
      <c r="I86" s="12">
        <v>0</v>
      </c>
      <c r="J86" s="10">
        <v>2</v>
      </c>
      <c r="K86" s="12">
        <v>0</v>
      </c>
      <c r="L86" s="10">
        <v>1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4</v>
      </c>
      <c r="V86" s="10">
        <v>1</v>
      </c>
      <c r="W86" s="12">
        <v>0</v>
      </c>
      <c r="X86" s="12">
        <v>0</v>
      </c>
      <c r="Y86" s="10">
        <v>2</v>
      </c>
      <c r="Z86" s="12">
        <v>0</v>
      </c>
      <c r="AA86" s="10">
        <v>1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29">
        <v>0.52</v>
      </c>
    </row>
    <row r="87">
      <c r="A87" s="23">
        <v>493</v>
      </c>
      <c r="B87" s="4" t="s">
        <v>221</v>
      </c>
      <c r="C87" s="4" t="s">
        <v>67</v>
      </c>
      <c r="D87" s="4" t="s">
        <v>105</v>
      </c>
      <c r="E87" s="4" t="s">
        <v>106</v>
      </c>
      <c r="F87" s="6">
        <v>1</v>
      </c>
      <c r="G87" s="7">
        <v>0</v>
      </c>
      <c r="H87" s="7">
        <v>0</v>
      </c>
      <c r="I87" s="5">
        <v>1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1</v>
      </c>
      <c r="V87" s="7">
        <v>0</v>
      </c>
      <c r="W87" s="7">
        <v>0</v>
      </c>
      <c r="X87" s="5">
        <v>1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28">
        <v>0.25</v>
      </c>
    </row>
    <row r="88">
      <c r="A88" s="24">
        <v>500</v>
      </c>
      <c r="B88" s="9" t="s">
        <v>222</v>
      </c>
      <c r="C88" s="9" t="s">
        <v>136</v>
      </c>
      <c r="D88" s="9" t="s">
        <v>223</v>
      </c>
      <c r="E88" s="9" t="s">
        <v>224</v>
      </c>
      <c r="F88" s="11">
        <v>16</v>
      </c>
      <c r="G88" s="10">
        <v>1</v>
      </c>
      <c r="H88" s="10">
        <v>2</v>
      </c>
      <c r="I88" s="10">
        <v>1</v>
      </c>
      <c r="J88" s="10">
        <v>12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16</v>
      </c>
      <c r="V88" s="10">
        <v>1</v>
      </c>
      <c r="W88" s="10">
        <v>2</v>
      </c>
      <c r="X88" s="10">
        <v>1</v>
      </c>
      <c r="Y88" s="10">
        <v>12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2.67</v>
      </c>
      <c r="AL88" s="10">
        <v>1</v>
      </c>
      <c r="AM88" s="10">
        <v>10</v>
      </c>
      <c r="AN88" s="29">
        <v>3.64</v>
      </c>
    </row>
    <row r="89">
      <c r="A89" s="23">
        <v>508</v>
      </c>
      <c r="B89" s="4" t="s">
        <v>225</v>
      </c>
      <c r="C89" s="4" t="s">
        <v>67</v>
      </c>
      <c r="D89" s="4" t="s">
        <v>111</v>
      </c>
      <c r="E89" s="4" t="s">
        <v>125</v>
      </c>
      <c r="F89" s="6">
        <v>1</v>
      </c>
      <c r="G89" s="7">
        <v>0</v>
      </c>
      <c r="H89" s="7">
        <v>0</v>
      </c>
      <c r="I89" s="7">
        <v>0</v>
      </c>
      <c r="J89" s="5">
        <v>1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1</v>
      </c>
      <c r="V89" s="7">
        <v>0</v>
      </c>
      <c r="W89" s="7">
        <v>0</v>
      </c>
      <c r="X89" s="7">
        <v>0</v>
      </c>
      <c r="Y89" s="5">
        <v>1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28">
        <v>0.26</v>
      </c>
    </row>
    <row r="90">
      <c r="A90" s="24">
        <v>520</v>
      </c>
      <c r="B90" s="9" t="s">
        <v>226</v>
      </c>
      <c r="C90" s="9" t="s">
        <v>67</v>
      </c>
      <c r="D90" s="9" t="s">
        <v>105</v>
      </c>
      <c r="E90" s="9" t="s">
        <v>227</v>
      </c>
      <c r="F90" s="11">
        <v>1</v>
      </c>
      <c r="G90" s="10">
        <v>1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1</v>
      </c>
      <c r="V90" s="10">
        <v>1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29">
        <v>0.26</v>
      </c>
    </row>
    <row r="91">
      <c r="A91" s="23">
        <v>524</v>
      </c>
      <c r="B91" s="4" t="s">
        <v>228</v>
      </c>
      <c r="C91" s="4" t="s">
        <v>67</v>
      </c>
      <c r="D91" s="4" t="s">
        <v>111</v>
      </c>
      <c r="E91" s="4" t="s">
        <v>112</v>
      </c>
      <c r="F91" s="6">
        <v>1</v>
      </c>
      <c r="G91" s="7">
        <v>0</v>
      </c>
      <c r="H91" s="7">
        <v>0</v>
      </c>
      <c r="I91" s="7">
        <v>0</v>
      </c>
      <c r="J91" s="5">
        <v>1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1</v>
      </c>
      <c r="V91" s="7">
        <v>0</v>
      </c>
      <c r="W91" s="7">
        <v>0</v>
      </c>
      <c r="X91" s="7">
        <v>0</v>
      </c>
      <c r="Y91" s="5">
        <v>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28">
        <v>0.26</v>
      </c>
    </row>
    <row r="92">
      <c r="A92" s="24">
        <v>525</v>
      </c>
      <c r="B92" s="9" t="s">
        <v>229</v>
      </c>
      <c r="C92" s="9" t="s">
        <v>67</v>
      </c>
      <c r="D92" s="9" t="s">
        <v>76</v>
      </c>
      <c r="E92" s="9" t="s">
        <v>77</v>
      </c>
      <c r="F92" s="11">
        <v>1</v>
      </c>
      <c r="G92" s="10">
        <v>1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1</v>
      </c>
      <c r="V92" s="10">
        <v>1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29">
        <v>0.26</v>
      </c>
    </row>
    <row r="93">
      <c r="A93" s="23">
        <v>528</v>
      </c>
      <c r="B93" s="4" t="s">
        <v>230</v>
      </c>
      <c r="C93" s="4" t="s">
        <v>67</v>
      </c>
      <c r="D93" s="4" t="s">
        <v>111</v>
      </c>
      <c r="E93" s="4" t="s">
        <v>218</v>
      </c>
      <c r="F93" s="6">
        <v>1</v>
      </c>
      <c r="G93" s="5">
        <v>1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1</v>
      </c>
      <c r="V93" s="5">
        <v>1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30">
        <v>0</v>
      </c>
    </row>
    <row r="94">
      <c r="A94" s="24">
        <v>529</v>
      </c>
      <c r="B94" s="9" t="s">
        <v>231</v>
      </c>
      <c r="C94" s="9" t="s">
        <v>67</v>
      </c>
      <c r="D94" s="9" t="s">
        <v>79</v>
      </c>
      <c r="E94" s="9" t="s">
        <v>87</v>
      </c>
      <c r="F94" s="11">
        <v>1</v>
      </c>
      <c r="G94" s="10">
        <v>1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1</v>
      </c>
      <c r="V94" s="10">
        <v>1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31">
        <v>0</v>
      </c>
    </row>
    <row r="95">
      <c r="A95" s="23">
        <v>546</v>
      </c>
      <c r="B95" s="4" t="s">
        <v>232</v>
      </c>
      <c r="C95" s="4" t="s">
        <v>67</v>
      </c>
      <c r="D95" s="4" t="s">
        <v>76</v>
      </c>
      <c r="E95" s="4" t="s">
        <v>233</v>
      </c>
      <c r="F95" s="6">
        <v>1</v>
      </c>
      <c r="G95" s="7">
        <v>0</v>
      </c>
      <c r="H95" s="7">
        <v>0</v>
      </c>
      <c r="I95" s="7">
        <v>0</v>
      </c>
      <c r="J95" s="5">
        <v>1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1</v>
      </c>
      <c r="V95" s="7">
        <v>0</v>
      </c>
      <c r="W95" s="7">
        <v>0</v>
      </c>
      <c r="X95" s="7">
        <v>0</v>
      </c>
      <c r="Y95" s="5">
        <v>1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28">
        <v>0.25</v>
      </c>
    </row>
    <row r="96">
      <c r="A96" s="24">
        <v>558</v>
      </c>
      <c r="B96" s="9" t="s">
        <v>234</v>
      </c>
      <c r="C96" s="9" t="s">
        <v>67</v>
      </c>
      <c r="D96" s="9" t="s">
        <v>76</v>
      </c>
      <c r="E96" s="9" t="s">
        <v>132</v>
      </c>
      <c r="F96" s="11">
        <v>2</v>
      </c>
      <c r="G96" s="10">
        <v>2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2</v>
      </c>
      <c r="V96" s="10">
        <v>2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2</v>
      </c>
      <c r="AK96" s="13">
        <v>2</v>
      </c>
      <c r="AL96" s="10">
        <v>2</v>
      </c>
      <c r="AM96" s="10">
        <v>2</v>
      </c>
      <c r="AN96" s="31">
        <v>0</v>
      </c>
    </row>
    <row r="97">
      <c r="A97" s="23">
        <v>559</v>
      </c>
      <c r="B97" s="4" t="s">
        <v>235</v>
      </c>
      <c r="C97" s="4" t="s">
        <v>67</v>
      </c>
      <c r="D97" s="4" t="s">
        <v>73</v>
      </c>
      <c r="E97" s="4" t="s">
        <v>74</v>
      </c>
      <c r="F97" s="6">
        <v>3</v>
      </c>
      <c r="G97" s="5">
        <v>3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3</v>
      </c>
      <c r="V97" s="5">
        <v>3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3</v>
      </c>
      <c r="AK97" s="8">
        <v>3</v>
      </c>
      <c r="AL97" s="5">
        <v>3</v>
      </c>
      <c r="AM97" s="5">
        <v>3</v>
      </c>
      <c r="AN97" s="30">
        <v>0</v>
      </c>
    </row>
    <row r="98">
      <c r="A98" s="24">
        <v>561</v>
      </c>
      <c r="B98" s="9" t="s">
        <v>236</v>
      </c>
      <c r="C98" s="9" t="s">
        <v>67</v>
      </c>
      <c r="D98" s="9" t="s">
        <v>68</v>
      </c>
      <c r="E98" s="9" t="s">
        <v>237</v>
      </c>
      <c r="F98" s="11">
        <v>2</v>
      </c>
      <c r="G98" s="10">
        <v>2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2</v>
      </c>
      <c r="V98" s="10">
        <v>2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2</v>
      </c>
      <c r="AK98" s="13">
        <v>2</v>
      </c>
      <c r="AL98" s="10">
        <v>2</v>
      </c>
      <c r="AM98" s="10">
        <v>2</v>
      </c>
      <c r="AN98" s="31">
        <v>0</v>
      </c>
    </row>
    <row r="99">
      <c r="A99" s="23">
        <v>565</v>
      </c>
      <c r="B99" s="4" t="s">
        <v>238</v>
      </c>
      <c r="C99" s="4" t="s">
        <v>67</v>
      </c>
      <c r="D99" s="4" t="s">
        <v>68</v>
      </c>
      <c r="E99" s="4" t="s">
        <v>237</v>
      </c>
      <c r="F99" s="6">
        <v>1</v>
      </c>
      <c r="G99" s="5">
        <v>1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1</v>
      </c>
      <c r="V99" s="5">
        <v>1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28">
        <v>0.25</v>
      </c>
    </row>
    <row r="100">
      <c r="A100" s="24">
        <v>567</v>
      </c>
      <c r="B100" s="9" t="s">
        <v>239</v>
      </c>
      <c r="C100" s="9" t="s">
        <v>67</v>
      </c>
      <c r="D100" s="9" t="s">
        <v>68</v>
      </c>
      <c r="E100" s="9" t="s">
        <v>237</v>
      </c>
      <c r="F100" s="11">
        <v>1</v>
      </c>
      <c r="G100" s="10">
        <v>1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1</v>
      </c>
      <c r="V100" s="10">
        <v>1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31">
        <v>0</v>
      </c>
    </row>
    <row r="101">
      <c r="A101" s="23">
        <v>570</v>
      </c>
      <c r="B101" s="4" t="s">
        <v>240</v>
      </c>
      <c r="C101" s="4" t="s">
        <v>67</v>
      </c>
      <c r="D101" s="4" t="s">
        <v>68</v>
      </c>
      <c r="E101" s="4" t="s">
        <v>237</v>
      </c>
      <c r="F101" s="6">
        <v>1</v>
      </c>
      <c r="G101" s="7">
        <v>0</v>
      </c>
      <c r="H101" s="5">
        <v>1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1</v>
      </c>
      <c r="V101" s="7">
        <v>0</v>
      </c>
      <c r="W101" s="5">
        <v>1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30">
        <v>0</v>
      </c>
    </row>
    <row r="102">
      <c r="A102" s="24">
        <v>572</v>
      </c>
      <c r="B102" s="9" t="s">
        <v>241</v>
      </c>
      <c r="C102" s="9" t="s">
        <v>67</v>
      </c>
      <c r="D102" s="9" t="s">
        <v>68</v>
      </c>
      <c r="E102" s="9" t="s">
        <v>237</v>
      </c>
      <c r="F102" s="11">
        <v>1</v>
      </c>
      <c r="G102" s="10">
        <v>1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1</v>
      </c>
      <c r="V102" s="10">
        <v>1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29">
        <v>0.37</v>
      </c>
    </row>
    <row r="103">
      <c r="A103" s="23">
        <v>576</v>
      </c>
      <c r="B103" s="4" t="s">
        <v>242</v>
      </c>
      <c r="C103" s="4" t="s">
        <v>67</v>
      </c>
      <c r="D103" s="4" t="s">
        <v>68</v>
      </c>
      <c r="E103" s="4" t="s">
        <v>237</v>
      </c>
      <c r="F103" s="6">
        <v>1</v>
      </c>
      <c r="G103" s="7">
        <v>0</v>
      </c>
      <c r="H103" s="5">
        <v>1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1</v>
      </c>
      <c r="V103" s="7">
        <v>0</v>
      </c>
      <c r="W103" s="5">
        <v>1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28">
        <v>0.25</v>
      </c>
    </row>
    <row r="104">
      <c r="A104" s="24">
        <v>582</v>
      </c>
      <c r="B104" s="9" t="s">
        <v>243</v>
      </c>
      <c r="C104" s="9" t="s">
        <v>67</v>
      </c>
      <c r="D104" s="9" t="s">
        <v>68</v>
      </c>
      <c r="E104" s="9" t="s">
        <v>244</v>
      </c>
      <c r="F104" s="11">
        <v>1</v>
      </c>
      <c r="G104" s="12">
        <v>0</v>
      </c>
      <c r="H104" s="10">
        <v>1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1</v>
      </c>
      <c r="V104" s="12">
        <v>0</v>
      </c>
      <c r="W104" s="10">
        <v>1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29">
        <v>0.25</v>
      </c>
    </row>
    <row r="105">
      <c r="A105" s="23">
        <v>583</v>
      </c>
      <c r="B105" s="4" t="s">
        <v>245</v>
      </c>
      <c r="C105" s="4" t="s">
        <v>67</v>
      </c>
      <c r="D105" s="4" t="s">
        <v>68</v>
      </c>
      <c r="E105" s="4" t="s">
        <v>237</v>
      </c>
      <c r="F105" s="6">
        <v>1</v>
      </c>
      <c r="G105" s="7">
        <v>0</v>
      </c>
      <c r="H105" s="7">
        <v>0</v>
      </c>
      <c r="I105" s="7">
        <v>0</v>
      </c>
      <c r="J105" s="5">
        <v>1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1</v>
      </c>
      <c r="V105" s="7">
        <v>0</v>
      </c>
      <c r="W105" s="7">
        <v>0</v>
      </c>
      <c r="X105" s="7">
        <v>0</v>
      </c>
      <c r="Y105" s="5">
        <v>1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28">
        <v>0.26</v>
      </c>
    </row>
    <row r="106">
      <c r="A106" s="24">
        <v>587</v>
      </c>
      <c r="B106" s="9" t="s">
        <v>246</v>
      </c>
      <c r="C106" s="9" t="s">
        <v>67</v>
      </c>
      <c r="D106" s="9" t="s">
        <v>68</v>
      </c>
      <c r="E106" s="9" t="s">
        <v>69</v>
      </c>
      <c r="F106" s="11">
        <v>4</v>
      </c>
      <c r="G106" s="10">
        <v>4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1</v>
      </c>
      <c r="V106" s="10">
        <v>1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4</v>
      </c>
      <c r="AK106" s="13">
        <v>4</v>
      </c>
      <c r="AL106" s="10">
        <v>4</v>
      </c>
      <c r="AM106" s="10">
        <v>4</v>
      </c>
      <c r="AN106" s="29">
        <v>0.25</v>
      </c>
    </row>
    <row r="107">
      <c r="A107" s="23">
        <v>593</v>
      </c>
      <c r="B107" s="4" t="s">
        <v>247</v>
      </c>
      <c r="C107" s="4" t="s">
        <v>67</v>
      </c>
      <c r="D107" s="4" t="s">
        <v>68</v>
      </c>
      <c r="E107" s="4" t="s">
        <v>71</v>
      </c>
      <c r="F107" s="6">
        <v>1</v>
      </c>
      <c r="G107" s="7">
        <v>0</v>
      </c>
      <c r="H107" s="7">
        <v>0</v>
      </c>
      <c r="I107" s="7">
        <v>0</v>
      </c>
      <c r="J107" s="5">
        <v>1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1</v>
      </c>
      <c r="V107" s="7">
        <v>0</v>
      </c>
      <c r="W107" s="7">
        <v>0</v>
      </c>
      <c r="X107" s="7">
        <v>0</v>
      </c>
      <c r="Y107" s="5">
        <v>1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0.24</v>
      </c>
    </row>
    <row r="108">
      <c r="A108" s="24">
        <v>597</v>
      </c>
      <c r="B108" s="9" t="s">
        <v>248</v>
      </c>
      <c r="C108" s="9" t="s">
        <v>67</v>
      </c>
      <c r="D108" s="9" t="s">
        <v>68</v>
      </c>
      <c r="E108" s="9" t="s">
        <v>71</v>
      </c>
      <c r="F108" s="11">
        <v>1</v>
      </c>
      <c r="G108" s="10">
        <v>1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1</v>
      </c>
      <c r="V108" s="10">
        <v>1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31">
        <v>0</v>
      </c>
    </row>
    <row r="109">
      <c r="A109" s="23">
        <v>599</v>
      </c>
      <c r="B109" s="4" t="s">
        <v>249</v>
      </c>
      <c r="C109" s="4" t="s">
        <v>67</v>
      </c>
      <c r="D109" s="4" t="s">
        <v>68</v>
      </c>
      <c r="E109" s="4" t="s">
        <v>71</v>
      </c>
      <c r="F109" s="6">
        <v>1</v>
      </c>
      <c r="G109" s="5">
        <v>1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1</v>
      </c>
      <c r="V109" s="5">
        <v>1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30">
        <v>0</v>
      </c>
    </row>
    <row r="110">
      <c r="A110" s="24">
        <v>601</v>
      </c>
      <c r="B110" s="9" t="s">
        <v>250</v>
      </c>
      <c r="C110" s="9" t="s">
        <v>67</v>
      </c>
      <c r="D110" s="9" t="s">
        <v>68</v>
      </c>
      <c r="E110" s="9" t="s">
        <v>71</v>
      </c>
      <c r="F110" s="11">
        <v>1</v>
      </c>
      <c r="G110" s="10">
        <v>1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1</v>
      </c>
      <c r="V110" s="10">
        <v>1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31">
        <v>0</v>
      </c>
    </row>
    <row r="111">
      <c r="A111" s="23">
        <v>613</v>
      </c>
      <c r="B111" s="4" t="s">
        <v>251</v>
      </c>
      <c r="C111" s="4" t="s">
        <v>67</v>
      </c>
      <c r="D111" s="4" t="s">
        <v>68</v>
      </c>
      <c r="E111" s="4" t="s">
        <v>71</v>
      </c>
      <c r="F111" s="6">
        <v>1</v>
      </c>
      <c r="G111" s="7">
        <v>0</v>
      </c>
      <c r="H111" s="7">
        <v>0</v>
      </c>
      <c r="I111" s="5">
        <v>1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1</v>
      </c>
      <c r="V111" s="7">
        <v>0</v>
      </c>
      <c r="W111" s="7">
        <v>0</v>
      </c>
      <c r="X111" s="5">
        <v>1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28">
        <v>0.25</v>
      </c>
    </row>
    <row r="112">
      <c r="A112" s="24">
        <v>618</v>
      </c>
      <c r="B112" s="9" t="s">
        <v>252</v>
      </c>
      <c r="C112" s="9" t="s">
        <v>67</v>
      </c>
      <c r="D112" s="9" t="s">
        <v>111</v>
      </c>
      <c r="E112" s="9" t="s">
        <v>253</v>
      </c>
      <c r="F112" s="11">
        <v>2</v>
      </c>
      <c r="G112" s="10">
        <v>1</v>
      </c>
      <c r="H112" s="12">
        <v>0</v>
      </c>
      <c r="I112" s="12">
        <v>0</v>
      </c>
      <c r="J112" s="10">
        <v>1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2</v>
      </c>
      <c r="V112" s="10">
        <v>1</v>
      </c>
      <c r="W112" s="12">
        <v>0</v>
      </c>
      <c r="X112" s="12">
        <v>0</v>
      </c>
      <c r="Y112" s="10">
        <v>1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29">
        <v>0.5</v>
      </c>
    </row>
    <row r="113">
      <c r="A113" s="23">
        <v>659</v>
      </c>
      <c r="B113" s="4" t="s">
        <v>254</v>
      </c>
      <c r="C113" s="4" t="s">
        <v>67</v>
      </c>
      <c r="D113" s="4" t="s">
        <v>76</v>
      </c>
      <c r="E113" s="4" t="s">
        <v>132</v>
      </c>
      <c r="F113" s="6">
        <v>2</v>
      </c>
      <c r="G113" s="7">
        <v>0</v>
      </c>
      <c r="H113" s="7">
        <v>0</v>
      </c>
      <c r="I113" s="7">
        <v>0</v>
      </c>
      <c r="J113" s="5">
        <v>2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2</v>
      </c>
      <c r="V113" s="7">
        <v>0</v>
      </c>
      <c r="W113" s="7">
        <v>0</v>
      </c>
      <c r="X113" s="7">
        <v>0</v>
      </c>
      <c r="Y113" s="5">
        <v>2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28">
        <v>0.5</v>
      </c>
    </row>
    <row r="114">
      <c r="A114" s="24">
        <v>663</v>
      </c>
      <c r="B114" s="9" t="s">
        <v>255</v>
      </c>
      <c r="C114" s="9" t="s">
        <v>67</v>
      </c>
      <c r="D114" s="9" t="s">
        <v>76</v>
      </c>
      <c r="E114" s="9" t="s">
        <v>132</v>
      </c>
      <c r="F114" s="11">
        <v>1</v>
      </c>
      <c r="G114" s="10">
        <v>1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1</v>
      </c>
      <c r="V114" s="10">
        <v>1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31">
        <v>0</v>
      </c>
    </row>
    <row r="115">
      <c r="A115" s="23">
        <v>673</v>
      </c>
      <c r="B115" s="4" t="s">
        <v>256</v>
      </c>
      <c r="C115" s="4" t="s">
        <v>67</v>
      </c>
      <c r="D115" s="4" t="s">
        <v>76</v>
      </c>
      <c r="E115" s="4" t="s">
        <v>132</v>
      </c>
      <c r="F115" s="6">
        <v>1</v>
      </c>
      <c r="G115" s="7">
        <v>0</v>
      </c>
      <c r="H115" s="7">
        <v>0</v>
      </c>
      <c r="I115" s="5">
        <v>1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1</v>
      </c>
      <c r="V115" s="7">
        <v>0</v>
      </c>
      <c r="W115" s="7">
        <v>0</v>
      </c>
      <c r="X115" s="5">
        <v>1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28">
        <v>0.22</v>
      </c>
    </row>
    <row r="116">
      <c r="A116" s="24">
        <v>676</v>
      </c>
      <c r="B116" s="9" t="s">
        <v>257</v>
      </c>
      <c r="C116" s="9" t="s">
        <v>67</v>
      </c>
      <c r="D116" s="9" t="s">
        <v>76</v>
      </c>
      <c r="E116" s="9" t="s">
        <v>132</v>
      </c>
      <c r="F116" s="11">
        <v>2</v>
      </c>
      <c r="G116" s="12">
        <v>0</v>
      </c>
      <c r="H116" s="12">
        <v>0</v>
      </c>
      <c r="I116" s="12">
        <v>0</v>
      </c>
      <c r="J116" s="10">
        <v>2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2</v>
      </c>
      <c r="V116" s="12">
        <v>0</v>
      </c>
      <c r="W116" s="12">
        <v>0</v>
      </c>
      <c r="X116" s="12">
        <v>0</v>
      </c>
      <c r="Y116" s="10">
        <v>2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29">
        <v>0.5</v>
      </c>
    </row>
    <row r="117">
      <c r="A117" s="23">
        <v>682</v>
      </c>
      <c r="B117" s="4" t="s">
        <v>258</v>
      </c>
      <c r="C117" s="4" t="s">
        <v>67</v>
      </c>
      <c r="D117" s="4" t="s">
        <v>76</v>
      </c>
      <c r="E117" s="4" t="s">
        <v>132</v>
      </c>
      <c r="F117" s="6">
        <v>3</v>
      </c>
      <c r="G117" s="7">
        <v>0</v>
      </c>
      <c r="H117" s="5">
        <v>3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3</v>
      </c>
      <c r="V117" s="7">
        <v>0</v>
      </c>
      <c r="W117" s="5">
        <v>3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3</v>
      </c>
      <c r="AK117" s="8">
        <v>3</v>
      </c>
      <c r="AL117" s="5">
        <v>3</v>
      </c>
      <c r="AM117" s="5">
        <v>3</v>
      </c>
      <c r="AN117" s="28">
        <v>0.75</v>
      </c>
    </row>
    <row r="118">
      <c r="A118" s="24">
        <v>689</v>
      </c>
      <c r="B118" s="9" t="s">
        <v>259</v>
      </c>
      <c r="C118" s="9" t="s">
        <v>67</v>
      </c>
      <c r="D118" s="9" t="s">
        <v>76</v>
      </c>
      <c r="E118" s="9" t="s">
        <v>132</v>
      </c>
      <c r="F118" s="11">
        <v>1</v>
      </c>
      <c r="G118" s="12">
        <v>0</v>
      </c>
      <c r="H118" s="12">
        <v>0</v>
      </c>
      <c r="I118" s="12">
        <v>0</v>
      </c>
      <c r="J118" s="10">
        <v>1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1</v>
      </c>
      <c r="V118" s="12">
        <v>0</v>
      </c>
      <c r="W118" s="12">
        <v>0</v>
      </c>
      <c r="X118" s="12">
        <v>0</v>
      </c>
      <c r="Y118" s="10">
        <v>1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29">
        <v>0.25</v>
      </c>
    </row>
    <row r="119">
      <c r="A119" s="23">
        <v>698</v>
      </c>
      <c r="B119" s="4" t="s">
        <v>260</v>
      </c>
      <c r="C119" s="4" t="s">
        <v>67</v>
      </c>
      <c r="D119" s="4" t="s">
        <v>76</v>
      </c>
      <c r="E119" s="4" t="s">
        <v>132</v>
      </c>
      <c r="F119" s="6">
        <v>1</v>
      </c>
      <c r="G119" s="7">
        <v>0</v>
      </c>
      <c r="H119" s="7">
        <v>0</v>
      </c>
      <c r="I119" s="7">
        <v>0</v>
      </c>
      <c r="J119" s="5">
        <v>1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1</v>
      </c>
      <c r="V119" s="7">
        <v>0</v>
      </c>
      <c r="W119" s="7">
        <v>0</v>
      </c>
      <c r="X119" s="7">
        <v>0</v>
      </c>
      <c r="Y119" s="5">
        <v>1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28">
        <v>0.25</v>
      </c>
    </row>
    <row r="120">
      <c r="A120" s="24">
        <v>707</v>
      </c>
      <c r="B120" s="9" t="s">
        <v>261</v>
      </c>
      <c r="C120" s="9" t="s">
        <v>67</v>
      </c>
      <c r="D120" s="9" t="s">
        <v>76</v>
      </c>
      <c r="E120" s="9" t="s">
        <v>262</v>
      </c>
      <c r="F120" s="11">
        <v>2</v>
      </c>
      <c r="G120" s="12">
        <v>0</v>
      </c>
      <c r="H120" s="12">
        <v>0</v>
      </c>
      <c r="I120" s="12">
        <v>0</v>
      </c>
      <c r="J120" s="10">
        <v>2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2</v>
      </c>
      <c r="V120" s="12">
        <v>0</v>
      </c>
      <c r="W120" s="12">
        <v>0</v>
      </c>
      <c r="X120" s="12">
        <v>0</v>
      </c>
      <c r="Y120" s="10">
        <v>2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2</v>
      </c>
      <c r="AK120" s="13">
        <v>2</v>
      </c>
      <c r="AL120" s="10">
        <v>2</v>
      </c>
      <c r="AM120" s="10">
        <v>2</v>
      </c>
      <c r="AN120" s="29">
        <v>0.5</v>
      </c>
    </row>
    <row r="121">
      <c r="A121" s="23">
        <v>713</v>
      </c>
      <c r="B121" s="4" t="s">
        <v>263</v>
      </c>
      <c r="C121" s="4" t="s">
        <v>67</v>
      </c>
      <c r="D121" s="4" t="s">
        <v>76</v>
      </c>
      <c r="E121" s="4" t="s">
        <v>262</v>
      </c>
      <c r="F121" s="6">
        <v>1</v>
      </c>
      <c r="G121" s="7">
        <v>0</v>
      </c>
      <c r="H121" s="7">
        <v>0</v>
      </c>
      <c r="I121" s="7">
        <v>0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1</v>
      </c>
      <c r="V121" s="7">
        <v>0</v>
      </c>
      <c r="W121" s="7">
        <v>0</v>
      </c>
      <c r="X121" s="7">
        <v>0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28">
        <v>0.26</v>
      </c>
    </row>
    <row r="122">
      <c r="A122" s="24">
        <v>716</v>
      </c>
      <c r="B122" s="9" t="s">
        <v>264</v>
      </c>
      <c r="C122" s="9" t="s">
        <v>67</v>
      </c>
      <c r="D122" s="9" t="s">
        <v>76</v>
      </c>
      <c r="E122" s="9" t="s">
        <v>262</v>
      </c>
      <c r="F122" s="11">
        <v>1</v>
      </c>
      <c r="G122" s="10">
        <v>1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1</v>
      </c>
      <c r="V122" s="10">
        <v>1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31">
        <v>0</v>
      </c>
    </row>
    <row r="123">
      <c r="A123" s="23">
        <v>727</v>
      </c>
      <c r="B123" s="4" t="s">
        <v>265</v>
      </c>
      <c r="C123" s="4" t="s">
        <v>67</v>
      </c>
      <c r="D123" s="4" t="s">
        <v>76</v>
      </c>
      <c r="E123" s="4" t="s">
        <v>262</v>
      </c>
      <c r="F123" s="6">
        <v>1</v>
      </c>
      <c r="G123" s="5">
        <v>1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1</v>
      </c>
      <c r="V123" s="5">
        <v>1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30">
        <v>0</v>
      </c>
    </row>
    <row r="124">
      <c r="A124" s="24">
        <v>760</v>
      </c>
      <c r="B124" s="9" t="s">
        <v>266</v>
      </c>
      <c r="C124" s="9" t="s">
        <v>67</v>
      </c>
      <c r="D124" s="9" t="s">
        <v>105</v>
      </c>
      <c r="E124" s="9" t="s">
        <v>227</v>
      </c>
      <c r="F124" s="11">
        <v>5</v>
      </c>
      <c r="G124" s="10">
        <v>1</v>
      </c>
      <c r="H124" s="10">
        <v>1</v>
      </c>
      <c r="I124" s="12">
        <v>0</v>
      </c>
      <c r="J124" s="10">
        <v>3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4</v>
      </c>
      <c r="V124" s="10">
        <v>1</v>
      </c>
      <c r="W124" s="10">
        <v>1</v>
      </c>
      <c r="X124" s="12">
        <v>0</v>
      </c>
      <c r="Y124" s="10">
        <v>2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1.25</v>
      </c>
      <c r="AL124" s="10">
        <v>1</v>
      </c>
      <c r="AM124" s="10">
        <v>2</v>
      </c>
      <c r="AN124" s="31">
        <v>0</v>
      </c>
    </row>
    <row r="125">
      <c r="A125" s="23">
        <v>763</v>
      </c>
      <c r="B125" s="4" t="s">
        <v>267</v>
      </c>
      <c r="C125" s="4" t="s">
        <v>67</v>
      </c>
      <c r="D125" s="4" t="s">
        <v>76</v>
      </c>
      <c r="E125" s="4" t="s">
        <v>268</v>
      </c>
      <c r="F125" s="6">
        <v>1</v>
      </c>
      <c r="G125" s="7">
        <v>0</v>
      </c>
      <c r="H125" s="7">
        <v>0</v>
      </c>
      <c r="I125" s="7">
        <v>0</v>
      </c>
      <c r="J125" s="5">
        <v>1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1</v>
      </c>
      <c r="V125" s="7">
        <v>0</v>
      </c>
      <c r="W125" s="7">
        <v>0</v>
      </c>
      <c r="X125" s="7">
        <v>0</v>
      </c>
      <c r="Y125" s="5">
        <v>1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0.25</v>
      </c>
    </row>
    <row r="126">
      <c r="A126" s="24">
        <v>814</v>
      </c>
      <c r="B126" s="9" t="s">
        <v>269</v>
      </c>
      <c r="C126" s="9" t="s">
        <v>67</v>
      </c>
      <c r="D126" s="9" t="s">
        <v>76</v>
      </c>
      <c r="E126" s="9" t="s">
        <v>270</v>
      </c>
      <c r="F126" s="11">
        <v>1</v>
      </c>
      <c r="G126" s="12">
        <v>0</v>
      </c>
      <c r="H126" s="12">
        <v>0</v>
      </c>
      <c r="I126" s="12">
        <v>0</v>
      </c>
      <c r="J126" s="10">
        <v>1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1</v>
      </c>
      <c r="V126" s="12">
        <v>0</v>
      </c>
      <c r="W126" s="12">
        <v>0</v>
      </c>
      <c r="X126" s="12">
        <v>0</v>
      </c>
      <c r="Y126" s="10">
        <v>1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29">
        <v>0.25</v>
      </c>
    </row>
    <row r="127">
      <c r="A127" s="23">
        <v>832</v>
      </c>
      <c r="B127" s="4" t="s">
        <v>271</v>
      </c>
      <c r="C127" s="4" t="s">
        <v>67</v>
      </c>
      <c r="D127" s="4" t="s">
        <v>76</v>
      </c>
      <c r="E127" s="4" t="s">
        <v>272</v>
      </c>
      <c r="F127" s="6">
        <v>1</v>
      </c>
      <c r="G127" s="5">
        <v>1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1</v>
      </c>
      <c r="V127" s="5">
        <v>1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0.22</v>
      </c>
    </row>
    <row r="128">
      <c r="A128" s="24">
        <v>848</v>
      </c>
      <c r="B128" s="9" t="s">
        <v>273</v>
      </c>
      <c r="C128" s="9" t="s">
        <v>67</v>
      </c>
      <c r="D128" s="9" t="s">
        <v>76</v>
      </c>
      <c r="E128" s="9" t="s">
        <v>272</v>
      </c>
      <c r="F128" s="11">
        <v>2</v>
      </c>
      <c r="G128" s="10">
        <v>2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2</v>
      </c>
      <c r="V128" s="10">
        <v>2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29">
        <v>0.26</v>
      </c>
    </row>
    <row r="129">
      <c r="A129" s="23">
        <v>854</v>
      </c>
      <c r="B129" s="4" t="s">
        <v>274</v>
      </c>
      <c r="C129" s="4" t="s">
        <v>67</v>
      </c>
      <c r="D129" s="4" t="s">
        <v>76</v>
      </c>
      <c r="E129" s="4" t="s">
        <v>272</v>
      </c>
      <c r="F129" s="6">
        <v>2</v>
      </c>
      <c r="G129" s="5">
        <v>1</v>
      </c>
      <c r="H129" s="7">
        <v>0</v>
      </c>
      <c r="I129" s="7">
        <v>0</v>
      </c>
      <c r="J129" s="5">
        <v>1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2</v>
      </c>
      <c r="V129" s="5">
        <v>1</v>
      </c>
      <c r="W129" s="7">
        <v>0</v>
      </c>
      <c r="X129" s="7">
        <v>0</v>
      </c>
      <c r="Y129" s="5">
        <v>1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0.25</v>
      </c>
    </row>
    <row r="130">
      <c r="A130" s="24">
        <v>886</v>
      </c>
      <c r="B130" s="9" t="s">
        <v>275</v>
      </c>
      <c r="C130" s="9" t="s">
        <v>67</v>
      </c>
      <c r="D130" s="9" t="s">
        <v>76</v>
      </c>
      <c r="E130" s="9" t="s">
        <v>272</v>
      </c>
      <c r="F130" s="11">
        <v>2</v>
      </c>
      <c r="G130" s="12">
        <v>0</v>
      </c>
      <c r="H130" s="12">
        <v>0</v>
      </c>
      <c r="I130" s="12">
        <v>0</v>
      </c>
      <c r="J130" s="10">
        <v>2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2</v>
      </c>
      <c r="V130" s="12">
        <v>0</v>
      </c>
      <c r="W130" s="12">
        <v>0</v>
      </c>
      <c r="X130" s="12">
        <v>0</v>
      </c>
      <c r="Y130" s="10">
        <v>2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2</v>
      </c>
      <c r="AK130" s="13">
        <v>2</v>
      </c>
      <c r="AL130" s="10">
        <v>2</v>
      </c>
      <c r="AM130" s="10">
        <v>2</v>
      </c>
      <c r="AN130" s="29">
        <v>0.5</v>
      </c>
    </row>
    <row r="131">
      <c r="A131" s="23">
        <v>894</v>
      </c>
      <c r="B131" s="4" t="s">
        <v>276</v>
      </c>
      <c r="C131" s="4" t="s">
        <v>67</v>
      </c>
      <c r="D131" s="4" t="s">
        <v>76</v>
      </c>
      <c r="E131" s="4" t="s">
        <v>272</v>
      </c>
      <c r="F131" s="6">
        <v>1</v>
      </c>
      <c r="G131" s="7">
        <v>0</v>
      </c>
      <c r="H131" s="7">
        <v>0</v>
      </c>
      <c r="I131" s="5">
        <v>1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1</v>
      </c>
      <c r="V131" s="7">
        <v>0</v>
      </c>
      <c r="W131" s="7">
        <v>0</v>
      </c>
      <c r="X131" s="5">
        <v>1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28">
        <v>0.25</v>
      </c>
    </row>
    <row r="132">
      <c r="A132" s="24">
        <v>904</v>
      </c>
      <c r="B132" s="9" t="s">
        <v>277</v>
      </c>
      <c r="C132" s="9" t="s">
        <v>67</v>
      </c>
      <c r="D132" s="9" t="s">
        <v>76</v>
      </c>
      <c r="E132" s="9" t="s">
        <v>272</v>
      </c>
      <c r="F132" s="11">
        <v>4</v>
      </c>
      <c r="G132" s="10">
        <v>4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4</v>
      </c>
      <c r="V132" s="10">
        <v>4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4</v>
      </c>
      <c r="AK132" s="13">
        <v>4</v>
      </c>
      <c r="AL132" s="10">
        <v>4</v>
      </c>
      <c r="AM132" s="10">
        <v>4</v>
      </c>
      <c r="AN132" s="31">
        <v>0</v>
      </c>
    </row>
    <row r="133">
      <c r="A133" s="23">
        <v>910</v>
      </c>
      <c r="B133" s="4" t="s">
        <v>278</v>
      </c>
      <c r="C133" s="4" t="s">
        <v>67</v>
      </c>
      <c r="D133" s="4" t="s">
        <v>76</v>
      </c>
      <c r="E133" s="4" t="s">
        <v>272</v>
      </c>
      <c r="F133" s="6">
        <v>4</v>
      </c>
      <c r="G133" s="5">
        <v>2</v>
      </c>
      <c r="H133" s="7">
        <v>0</v>
      </c>
      <c r="I133" s="5">
        <v>2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3</v>
      </c>
      <c r="V133" s="5">
        <v>2</v>
      </c>
      <c r="W133" s="7">
        <v>0</v>
      </c>
      <c r="X133" s="5">
        <v>1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2</v>
      </c>
      <c r="AK133" s="8">
        <v>2</v>
      </c>
      <c r="AL133" s="5">
        <v>2</v>
      </c>
      <c r="AM133" s="5">
        <v>2</v>
      </c>
      <c r="AN133" s="28">
        <v>0.25</v>
      </c>
    </row>
    <row r="134">
      <c r="A134" s="24">
        <v>943</v>
      </c>
      <c r="B134" s="9" t="s">
        <v>279</v>
      </c>
      <c r="C134" s="9" t="s">
        <v>67</v>
      </c>
      <c r="D134" s="9" t="s">
        <v>76</v>
      </c>
      <c r="E134" s="9" t="s">
        <v>199</v>
      </c>
      <c r="F134" s="11">
        <v>1</v>
      </c>
      <c r="G134" s="12">
        <v>0</v>
      </c>
      <c r="H134" s="12">
        <v>0</v>
      </c>
      <c r="I134" s="10">
        <v>1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1</v>
      </c>
      <c r="V134" s="12">
        <v>0</v>
      </c>
      <c r="W134" s="12">
        <v>0</v>
      </c>
      <c r="X134" s="10">
        <v>1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31">
        <v>0</v>
      </c>
    </row>
    <row r="135">
      <c r="A135" s="23">
        <v>945</v>
      </c>
      <c r="B135" s="4" t="s">
        <v>280</v>
      </c>
      <c r="C135" s="4" t="s">
        <v>67</v>
      </c>
      <c r="D135" s="4" t="s">
        <v>76</v>
      </c>
      <c r="E135" s="4" t="s">
        <v>199</v>
      </c>
      <c r="F135" s="6">
        <v>1</v>
      </c>
      <c r="G135" s="7">
        <v>0</v>
      </c>
      <c r="H135" s="5">
        <v>1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1</v>
      </c>
      <c r="V135" s="7">
        <v>0</v>
      </c>
      <c r="W135" s="5">
        <v>1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30">
        <v>0</v>
      </c>
    </row>
    <row r="136">
      <c r="A136" s="24">
        <v>955</v>
      </c>
      <c r="B136" s="9" t="s">
        <v>281</v>
      </c>
      <c r="C136" s="9" t="s">
        <v>67</v>
      </c>
      <c r="D136" s="9" t="s">
        <v>76</v>
      </c>
      <c r="E136" s="9" t="s">
        <v>202</v>
      </c>
      <c r="F136" s="11">
        <v>1</v>
      </c>
      <c r="G136" s="12">
        <v>0</v>
      </c>
      <c r="H136" s="12">
        <v>0</v>
      </c>
      <c r="I136" s="12">
        <v>0</v>
      </c>
      <c r="J136" s="10">
        <v>1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1</v>
      </c>
      <c r="V136" s="12">
        <v>0</v>
      </c>
      <c r="W136" s="12">
        <v>0</v>
      </c>
      <c r="X136" s="12">
        <v>0</v>
      </c>
      <c r="Y136" s="10">
        <v>1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0.25</v>
      </c>
    </row>
    <row r="137">
      <c r="A137" s="23">
        <v>960</v>
      </c>
      <c r="B137" s="4" t="s">
        <v>282</v>
      </c>
      <c r="C137" s="4" t="s">
        <v>67</v>
      </c>
      <c r="D137" s="4" t="s">
        <v>76</v>
      </c>
      <c r="E137" s="4" t="s">
        <v>202</v>
      </c>
      <c r="F137" s="6">
        <v>1</v>
      </c>
      <c r="G137" s="5">
        <v>1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1</v>
      </c>
      <c r="V137" s="5">
        <v>1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30">
        <v>0</v>
      </c>
    </row>
    <row r="138">
      <c r="A138" s="24">
        <v>963</v>
      </c>
      <c r="B138" s="9" t="s">
        <v>283</v>
      </c>
      <c r="C138" s="9" t="s">
        <v>67</v>
      </c>
      <c r="D138" s="9" t="s">
        <v>68</v>
      </c>
      <c r="E138" s="9" t="s">
        <v>71</v>
      </c>
      <c r="F138" s="11">
        <v>1</v>
      </c>
      <c r="G138" s="10">
        <v>1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1</v>
      </c>
      <c r="V138" s="10">
        <v>1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31">
        <v>0</v>
      </c>
    </row>
    <row r="139">
      <c r="A139" s="23">
        <v>969</v>
      </c>
      <c r="B139" s="4" t="s">
        <v>284</v>
      </c>
      <c r="C139" s="4" t="s">
        <v>67</v>
      </c>
      <c r="D139" s="4" t="s">
        <v>76</v>
      </c>
      <c r="E139" s="4" t="s">
        <v>202</v>
      </c>
      <c r="F139" s="6">
        <v>1</v>
      </c>
      <c r="G139" s="7">
        <v>0</v>
      </c>
      <c r="H139" s="7">
        <v>0</v>
      </c>
      <c r="I139" s="5">
        <v>1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1</v>
      </c>
      <c r="V139" s="7">
        <v>0</v>
      </c>
      <c r="W139" s="7">
        <v>0</v>
      </c>
      <c r="X139" s="5">
        <v>1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28">
        <v>0.22</v>
      </c>
    </row>
    <row r="140">
      <c r="A140" s="24">
        <v>983</v>
      </c>
      <c r="B140" s="9" t="s">
        <v>285</v>
      </c>
      <c r="C140" s="9" t="s">
        <v>67</v>
      </c>
      <c r="D140" s="9" t="s">
        <v>76</v>
      </c>
      <c r="E140" s="9" t="s">
        <v>202</v>
      </c>
      <c r="F140" s="11">
        <v>2</v>
      </c>
      <c r="G140" s="12">
        <v>0</v>
      </c>
      <c r="H140" s="12">
        <v>0</v>
      </c>
      <c r="I140" s="12">
        <v>0</v>
      </c>
      <c r="J140" s="10">
        <v>2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2</v>
      </c>
      <c r="V140" s="12">
        <v>0</v>
      </c>
      <c r="W140" s="12">
        <v>0</v>
      </c>
      <c r="X140" s="12">
        <v>0</v>
      </c>
      <c r="Y140" s="10">
        <v>2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0.25</v>
      </c>
    </row>
    <row r="141">
      <c r="A141" s="23">
        <v>986</v>
      </c>
      <c r="B141" s="4" t="s">
        <v>286</v>
      </c>
      <c r="C141" s="4" t="s">
        <v>67</v>
      </c>
      <c r="D141" s="4" t="s">
        <v>76</v>
      </c>
      <c r="E141" s="4" t="s">
        <v>202</v>
      </c>
      <c r="F141" s="6">
        <v>1</v>
      </c>
      <c r="G141" s="7">
        <v>0</v>
      </c>
      <c r="H141" s="7">
        <v>0</v>
      </c>
      <c r="I141" s="7">
        <v>0</v>
      </c>
      <c r="J141" s="5">
        <v>1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1</v>
      </c>
      <c r="V141" s="7">
        <v>0</v>
      </c>
      <c r="W141" s="7">
        <v>0</v>
      </c>
      <c r="X141" s="7">
        <v>0</v>
      </c>
      <c r="Y141" s="5">
        <v>1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28">
        <v>0.24</v>
      </c>
    </row>
    <row r="142">
      <c r="A142" s="24">
        <v>989</v>
      </c>
      <c r="B142" s="9" t="s">
        <v>287</v>
      </c>
      <c r="C142" s="9" t="s">
        <v>67</v>
      </c>
      <c r="D142" s="9" t="s">
        <v>76</v>
      </c>
      <c r="E142" s="9" t="s">
        <v>202</v>
      </c>
      <c r="F142" s="11">
        <v>1</v>
      </c>
      <c r="G142" s="12">
        <v>0</v>
      </c>
      <c r="H142" s="12">
        <v>0</v>
      </c>
      <c r="I142" s="12">
        <v>0</v>
      </c>
      <c r="J142" s="10">
        <v>1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1</v>
      </c>
      <c r="V142" s="12">
        <v>0</v>
      </c>
      <c r="W142" s="12">
        <v>0</v>
      </c>
      <c r="X142" s="12">
        <v>0</v>
      </c>
      <c r="Y142" s="10">
        <v>1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29">
        <v>0.25</v>
      </c>
    </row>
    <row r="143">
      <c r="A143" s="23">
        <v>999</v>
      </c>
      <c r="B143" s="4" t="s">
        <v>288</v>
      </c>
      <c r="C143" s="4" t="s">
        <v>67</v>
      </c>
      <c r="D143" s="4" t="s">
        <v>76</v>
      </c>
      <c r="E143" s="4" t="s">
        <v>202</v>
      </c>
      <c r="F143" s="6">
        <v>1</v>
      </c>
      <c r="G143" s="5">
        <v>1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1</v>
      </c>
      <c r="V143" s="5">
        <v>1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30">
        <v>0</v>
      </c>
    </row>
    <row r="144">
      <c r="A144" s="24">
        <v>1000</v>
      </c>
      <c r="B144" s="9" t="s">
        <v>289</v>
      </c>
      <c r="C144" s="9" t="s">
        <v>67</v>
      </c>
      <c r="D144" s="9" t="s">
        <v>76</v>
      </c>
      <c r="E144" s="9" t="s">
        <v>202</v>
      </c>
      <c r="F144" s="11">
        <v>1</v>
      </c>
      <c r="G144" s="10">
        <v>1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1</v>
      </c>
      <c r="V144" s="10">
        <v>1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31">
        <v>0</v>
      </c>
    </row>
    <row r="145">
      <c r="A145" s="23">
        <v>1008</v>
      </c>
      <c r="B145" s="4" t="s">
        <v>290</v>
      </c>
      <c r="C145" s="4" t="s">
        <v>67</v>
      </c>
      <c r="D145" s="4" t="s">
        <v>76</v>
      </c>
      <c r="E145" s="4" t="s">
        <v>202</v>
      </c>
      <c r="F145" s="6">
        <v>1</v>
      </c>
      <c r="G145" s="7">
        <v>0</v>
      </c>
      <c r="H145" s="7">
        <v>0</v>
      </c>
      <c r="I145" s="7">
        <v>0</v>
      </c>
      <c r="J145" s="5">
        <v>1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1</v>
      </c>
      <c r="V145" s="7">
        <v>0</v>
      </c>
      <c r="W145" s="7">
        <v>0</v>
      </c>
      <c r="X145" s="7">
        <v>0</v>
      </c>
      <c r="Y145" s="5">
        <v>1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0.26</v>
      </c>
    </row>
    <row r="146">
      <c r="A146" s="24">
        <v>1011</v>
      </c>
      <c r="B146" s="9" t="s">
        <v>291</v>
      </c>
      <c r="C146" s="9" t="s">
        <v>67</v>
      </c>
      <c r="D146" s="9" t="s">
        <v>76</v>
      </c>
      <c r="E146" s="9" t="s">
        <v>202</v>
      </c>
      <c r="F146" s="11">
        <v>1</v>
      </c>
      <c r="G146" s="12">
        <v>0</v>
      </c>
      <c r="H146" s="12">
        <v>0</v>
      </c>
      <c r="I146" s="12">
        <v>0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1</v>
      </c>
      <c r="V146" s="12">
        <v>0</v>
      </c>
      <c r="W146" s="12">
        <v>0</v>
      </c>
      <c r="X146" s="12">
        <v>0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0.22</v>
      </c>
    </row>
    <row r="147">
      <c r="A147" s="23">
        <v>1026</v>
      </c>
      <c r="B147" s="4" t="s">
        <v>292</v>
      </c>
      <c r="C147" s="4" t="s">
        <v>67</v>
      </c>
      <c r="D147" s="4" t="s">
        <v>79</v>
      </c>
      <c r="E147" s="4" t="s">
        <v>293</v>
      </c>
      <c r="F147" s="6">
        <v>1</v>
      </c>
      <c r="G147" s="7">
        <v>0</v>
      </c>
      <c r="H147" s="7">
        <v>0</v>
      </c>
      <c r="I147" s="7">
        <v>0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1</v>
      </c>
      <c r="V147" s="7">
        <v>0</v>
      </c>
      <c r="W147" s="7">
        <v>0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30">
        <v>0</v>
      </c>
    </row>
    <row r="148">
      <c r="A148" s="24">
        <v>1030</v>
      </c>
      <c r="B148" s="9" t="s">
        <v>294</v>
      </c>
      <c r="C148" s="9" t="s">
        <v>67</v>
      </c>
      <c r="D148" s="9" t="s">
        <v>105</v>
      </c>
      <c r="E148" s="9" t="s">
        <v>106</v>
      </c>
      <c r="F148" s="11">
        <v>2</v>
      </c>
      <c r="G148" s="10">
        <v>2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2</v>
      </c>
      <c r="V148" s="10">
        <v>2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2</v>
      </c>
      <c r="AK148" s="13">
        <v>2</v>
      </c>
      <c r="AL148" s="10">
        <v>2</v>
      </c>
      <c r="AM148" s="10">
        <v>2</v>
      </c>
      <c r="AN148" s="31">
        <v>0</v>
      </c>
    </row>
    <row r="149">
      <c r="A149" s="23">
        <v>1045</v>
      </c>
      <c r="B149" s="4" t="s">
        <v>295</v>
      </c>
      <c r="C149" s="4" t="s">
        <v>163</v>
      </c>
      <c r="D149" s="4" t="s">
        <v>164</v>
      </c>
      <c r="E149" s="4" t="s">
        <v>171</v>
      </c>
      <c r="F149" s="6">
        <v>1</v>
      </c>
      <c r="G149" s="7">
        <v>0</v>
      </c>
      <c r="H149" s="5">
        <v>1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1</v>
      </c>
      <c r="V149" s="7">
        <v>0</v>
      </c>
      <c r="W149" s="5">
        <v>1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0.25</v>
      </c>
    </row>
    <row r="150">
      <c r="A150" s="24">
        <v>1046</v>
      </c>
      <c r="B150" s="9" t="s">
        <v>296</v>
      </c>
      <c r="C150" s="9" t="s">
        <v>67</v>
      </c>
      <c r="D150" s="9" t="s">
        <v>68</v>
      </c>
      <c r="E150" s="9" t="s">
        <v>237</v>
      </c>
      <c r="F150" s="11">
        <v>1</v>
      </c>
      <c r="G150" s="10">
        <v>1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1</v>
      </c>
      <c r="V150" s="10">
        <v>1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0.37</v>
      </c>
    </row>
    <row r="151">
      <c r="A151" s="23">
        <v>1053</v>
      </c>
      <c r="B151" s="4" t="s">
        <v>297</v>
      </c>
      <c r="C151" s="4" t="s">
        <v>67</v>
      </c>
      <c r="D151" s="4" t="s">
        <v>76</v>
      </c>
      <c r="E151" s="4" t="s">
        <v>77</v>
      </c>
      <c r="F151" s="6">
        <v>2</v>
      </c>
      <c r="G151" s="7">
        <v>0</v>
      </c>
      <c r="H151" s="5">
        <v>1</v>
      </c>
      <c r="I151" s="7">
        <v>0</v>
      </c>
      <c r="J151" s="5">
        <v>1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2</v>
      </c>
      <c r="V151" s="7">
        <v>0</v>
      </c>
      <c r="W151" s="5">
        <v>1</v>
      </c>
      <c r="X151" s="7">
        <v>0</v>
      </c>
      <c r="Y151" s="5">
        <v>1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0.5</v>
      </c>
    </row>
    <row r="152">
      <c r="A152" s="24">
        <v>1058</v>
      </c>
      <c r="B152" s="9" t="s">
        <v>298</v>
      </c>
      <c r="C152" s="9" t="s">
        <v>67</v>
      </c>
      <c r="D152" s="9" t="s">
        <v>100</v>
      </c>
      <c r="E152" s="9" t="s">
        <v>299</v>
      </c>
      <c r="F152" s="11">
        <v>1</v>
      </c>
      <c r="G152" s="12">
        <v>0</v>
      </c>
      <c r="H152" s="12">
        <v>0</v>
      </c>
      <c r="I152" s="10">
        <v>1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1</v>
      </c>
      <c r="V152" s="12">
        <v>0</v>
      </c>
      <c r="W152" s="12">
        <v>0</v>
      </c>
      <c r="X152" s="10">
        <v>1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31">
        <v>0</v>
      </c>
    </row>
    <row r="153">
      <c r="A153" s="23">
        <v>1059</v>
      </c>
      <c r="B153" s="4" t="s">
        <v>300</v>
      </c>
      <c r="C153" s="4" t="s">
        <v>67</v>
      </c>
      <c r="D153" s="4" t="s">
        <v>73</v>
      </c>
      <c r="E153" s="4" t="s">
        <v>301</v>
      </c>
      <c r="F153" s="6">
        <v>2</v>
      </c>
      <c r="G153" s="5">
        <v>2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2</v>
      </c>
      <c r="V153" s="5">
        <v>2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30">
        <v>0</v>
      </c>
    </row>
    <row r="154">
      <c r="A154" s="24">
        <v>1066</v>
      </c>
      <c r="B154" s="9" t="s">
        <v>302</v>
      </c>
      <c r="C154" s="9" t="s">
        <v>67</v>
      </c>
      <c r="D154" s="9" t="s">
        <v>105</v>
      </c>
      <c r="E154" s="9" t="s">
        <v>303</v>
      </c>
      <c r="F154" s="11">
        <v>1</v>
      </c>
      <c r="G154" s="10">
        <v>1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1</v>
      </c>
      <c r="V154" s="10">
        <v>1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31">
        <v>0</v>
      </c>
    </row>
    <row r="155">
      <c r="A155" s="23">
        <v>1068</v>
      </c>
      <c r="B155" s="4" t="s">
        <v>304</v>
      </c>
      <c r="C155" s="4" t="s">
        <v>67</v>
      </c>
      <c r="D155" s="4" t="s">
        <v>105</v>
      </c>
      <c r="E155" s="4" t="s">
        <v>227</v>
      </c>
      <c r="F155" s="6">
        <v>1</v>
      </c>
      <c r="G155" s="7">
        <v>0</v>
      </c>
      <c r="H155" s="7">
        <v>0</v>
      </c>
      <c r="I155" s="5">
        <v>1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1</v>
      </c>
      <c r="V155" s="7">
        <v>0</v>
      </c>
      <c r="W155" s="7">
        <v>0</v>
      </c>
      <c r="X155" s="5">
        <v>1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0.25</v>
      </c>
    </row>
    <row r="156">
      <c r="A156" s="24">
        <v>1071</v>
      </c>
      <c r="B156" s="9" t="s">
        <v>305</v>
      </c>
      <c r="C156" s="9" t="s">
        <v>67</v>
      </c>
      <c r="D156" s="9" t="s">
        <v>105</v>
      </c>
      <c r="E156" s="9" t="s">
        <v>227</v>
      </c>
      <c r="F156" s="11">
        <v>2</v>
      </c>
      <c r="G156" s="10">
        <v>1</v>
      </c>
      <c r="H156" s="12">
        <v>0</v>
      </c>
      <c r="I156" s="12">
        <v>0</v>
      </c>
      <c r="J156" s="10">
        <v>1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2</v>
      </c>
      <c r="V156" s="10">
        <v>1</v>
      </c>
      <c r="W156" s="12">
        <v>0</v>
      </c>
      <c r="X156" s="12">
        <v>0</v>
      </c>
      <c r="Y156" s="10">
        <v>1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31">
        <v>0</v>
      </c>
    </row>
    <row r="157">
      <c r="A157" s="23">
        <v>1074</v>
      </c>
      <c r="B157" s="4" t="s">
        <v>306</v>
      </c>
      <c r="C157" s="4" t="s">
        <v>67</v>
      </c>
      <c r="D157" s="4" t="s">
        <v>105</v>
      </c>
      <c r="E157" s="4" t="s">
        <v>106</v>
      </c>
      <c r="F157" s="6">
        <v>1</v>
      </c>
      <c r="G157" s="7">
        <v>0</v>
      </c>
      <c r="H157" s="7">
        <v>0</v>
      </c>
      <c r="I157" s="5">
        <v>1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1</v>
      </c>
      <c r="V157" s="7">
        <v>0</v>
      </c>
      <c r="W157" s="7">
        <v>0</v>
      </c>
      <c r="X157" s="5">
        <v>1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0.26</v>
      </c>
    </row>
    <row r="158">
      <c r="A158" s="24">
        <v>1075</v>
      </c>
      <c r="B158" s="9" t="s">
        <v>307</v>
      </c>
      <c r="C158" s="9" t="s">
        <v>67</v>
      </c>
      <c r="D158" s="9" t="s">
        <v>105</v>
      </c>
      <c r="E158" s="9" t="s">
        <v>106</v>
      </c>
      <c r="F158" s="11">
        <v>1</v>
      </c>
      <c r="G158" s="12">
        <v>0</v>
      </c>
      <c r="H158" s="12">
        <v>0</v>
      </c>
      <c r="I158" s="10">
        <v>1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1</v>
      </c>
      <c r="V158" s="12">
        <v>0</v>
      </c>
      <c r="W158" s="12">
        <v>0</v>
      </c>
      <c r="X158" s="10">
        <v>1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0.25</v>
      </c>
    </row>
    <row r="159">
      <c r="A159" s="23">
        <v>1078</v>
      </c>
      <c r="B159" s="4" t="s">
        <v>308</v>
      </c>
      <c r="C159" s="4" t="s">
        <v>67</v>
      </c>
      <c r="D159" s="4" t="s">
        <v>105</v>
      </c>
      <c r="E159" s="4" t="s">
        <v>106</v>
      </c>
      <c r="F159" s="6">
        <v>1</v>
      </c>
      <c r="G159" s="7">
        <v>0</v>
      </c>
      <c r="H159" s="5">
        <v>1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1</v>
      </c>
      <c r="V159" s="7">
        <v>0</v>
      </c>
      <c r="W159" s="5">
        <v>1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28">
        <v>0.17</v>
      </c>
    </row>
    <row r="160">
      <c r="A160" s="24">
        <v>1083</v>
      </c>
      <c r="B160" s="9" t="s">
        <v>309</v>
      </c>
      <c r="C160" s="9" t="s">
        <v>67</v>
      </c>
      <c r="D160" s="9" t="s">
        <v>105</v>
      </c>
      <c r="E160" s="9" t="s">
        <v>303</v>
      </c>
      <c r="F160" s="11">
        <v>2</v>
      </c>
      <c r="G160" s="10">
        <v>2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2</v>
      </c>
      <c r="V160" s="10">
        <v>2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31">
        <v>0</v>
      </c>
    </row>
    <row r="161">
      <c r="A161" s="23">
        <v>1089</v>
      </c>
      <c r="B161" s="4" t="s">
        <v>310</v>
      </c>
      <c r="C161" s="4" t="s">
        <v>67</v>
      </c>
      <c r="D161" s="4" t="s">
        <v>105</v>
      </c>
      <c r="E161" s="4" t="s">
        <v>106</v>
      </c>
      <c r="F161" s="6">
        <v>2</v>
      </c>
      <c r="G161" s="7">
        <v>0</v>
      </c>
      <c r="H161" s="7">
        <v>0</v>
      </c>
      <c r="I161" s="5">
        <v>1</v>
      </c>
      <c r="J161" s="5">
        <v>1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2</v>
      </c>
      <c r="V161" s="7">
        <v>0</v>
      </c>
      <c r="W161" s="7">
        <v>0</v>
      </c>
      <c r="X161" s="5">
        <v>1</v>
      </c>
      <c r="Y161" s="5">
        <v>1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28">
        <v>0.48</v>
      </c>
    </row>
    <row r="162">
      <c r="A162" s="24">
        <v>1195</v>
      </c>
      <c r="B162" s="9" t="s">
        <v>311</v>
      </c>
      <c r="C162" s="9" t="s">
        <v>67</v>
      </c>
      <c r="D162" s="9" t="s">
        <v>68</v>
      </c>
      <c r="E162" s="9" t="s">
        <v>71</v>
      </c>
      <c r="F162" s="11">
        <v>1</v>
      </c>
      <c r="G162" s="12">
        <v>0</v>
      </c>
      <c r="H162" s="10">
        <v>1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1</v>
      </c>
      <c r="V162" s="12">
        <v>0</v>
      </c>
      <c r="W162" s="10">
        <v>1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0.24</v>
      </c>
    </row>
    <row r="163">
      <c r="A163" s="23">
        <v>1252</v>
      </c>
      <c r="B163" s="4" t="s">
        <v>312</v>
      </c>
      <c r="C163" s="4" t="s">
        <v>67</v>
      </c>
      <c r="D163" s="4" t="s">
        <v>111</v>
      </c>
      <c r="E163" s="4" t="s">
        <v>147</v>
      </c>
      <c r="F163" s="6">
        <v>1</v>
      </c>
      <c r="G163" s="7">
        <v>0</v>
      </c>
      <c r="H163" s="5">
        <v>1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1</v>
      </c>
      <c r="V163" s="7">
        <v>0</v>
      </c>
      <c r="W163" s="5">
        <v>1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0.25</v>
      </c>
    </row>
    <row r="164">
      <c r="A164" s="24">
        <v>1275</v>
      </c>
      <c r="B164" s="9" t="s">
        <v>313</v>
      </c>
      <c r="C164" s="9" t="s">
        <v>163</v>
      </c>
      <c r="D164" s="9" t="s">
        <v>164</v>
      </c>
      <c r="E164" s="9" t="s">
        <v>165</v>
      </c>
      <c r="F164" s="11">
        <v>2</v>
      </c>
      <c r="G164" s="10">
        <v>1</v>
      </c>
      <c r="H164" s="10">
        <v>1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2</v>
      </c>
      <c r="V164" s="10">
        <v>1</v>
      </c>
      <c r="W164" s="10">
        <v>1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0.36</v>
      </c>
    </row>
    <row r="165">
      <c r="A165" s="23">
        <v>1331</v>
      </c>
      <c r="B165" s="4" t="s">
        <v>314</v>
      </c>
      <c r="C165" s="4" t="s">
        <v>67</v>
      </c>
      <c r="D165" s="4" t="s">
        <v>84</v>
      </c>
      <c r="E165" s="4" t="s">
        <v>140</v>
      </c>
      <c r="F165" s="6">
        <v>1</v>
      </c>
      <c r="G165" s="5">
        <v>1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1</v>
      </c>
      <c r="V165" s="5">
        <v>1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30">
        <v>0</v>
      </c>
    </row>
    <row r="166">
      <c r="A166" s="24">
        <v>1418</v>
      </c>
      <c r="B166" s="9" t="s">
        <v>315</v>
      </c>
      <c r="C166" s="9" t="s">
        <v>316</v>
      </c>
      <c r="D166" s="9" t="s">
        <v>317</v>
      </c>
      <c r="E166" s="9" t="s">
        <v>318</v>
      </c>
      <c r="F166" s="11">
        <v>1</v>
      </c>
      <c r="G166" s="12">
        <v>0</v>
      </c>
      <c r="H166" s="12">
        <v>0</v>
      </c>
      <c r="I166" s="10">
        <v>1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1</v>
      </c>
      <c r="V166" s="12">
        <v>0</v>
      </c>
      <c r="W166" s="12">
        <v>0</v>
      </c>
      <c r="X166" s="10">
        <v>1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31">
        <v>0</v>
      </c>
    </row>
    <row r="167">
      <c r="A167" s="23">
        <v>1438</v>
      </c>
      <c r="B167" s="4" t="s">
        <v>319</v>
      </c>
      <c r="C167" s="4" t="s">
        <v>67</v>
      </c>
      <c r="D167" s="4" t="s">
        <v>76</v>
      </c>
      <c r="E167" s="4" t="s">
        <v>120</v>
      </c>
      <c r="F167" s="6">
        <v>2</v>
      </c>
      <c r="G167" s="5">
        <v>2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2</v>
      </c>
      <c r="V167" s="5">
        <v>2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2</v>
      </c>
      <c r="AK167" s="8">
        <v>2</v>
      </c>
      <c r="AL167" s="5">
        <v>2</v>
      </c>
      <c r="AM167" s="5">
        <v>2</v>
      </c>
      <c r="AN167" s="28">
        <v>0.62</v>
      </c>
    </row>
    <row r="168">
      <c r="A168" s="24">
        <v>1556</v>
      </c>
      <c r="B168" s="9" t="s">
        <v>320</v>
      </c>
      <c r="C168" s="9" t="s">
        <v>67</v>
      </c>
      <c r="D168" s="9" t="s">
        <v>108</v>
      </c>
      <c r="E168" s="9" t="s">
        <v>109</v>
      </c>
      <c r="F168" s="11">
        <v>1</v>
      </c>
      <c r="G168" s="12">
        <v>0</v>
      </c>
      <c r="H168" s="12">
        <v>0</v>
      </c>
      <c r="I168" s="12">
        <v>0</v>
      </c>
      <c r="J168" s="10">
        <v>1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1</v>
      </c>
      <c r="V168" s="12">
        <v>0</v>
      </c>
      <c r="W168" s="12">
        <v>0</v>
      </c>
      <c r="X168" s="12">
        <v>0</v>
      </c>
      <c r="Y168" s="10">
        <v>1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0.26</v>
      </c>
    </row>
    <row r="169">
      <c r="A169" s="23">
        <v>1561</v>
      </c>
      <c r="B169" s="4" t="s">
        <v>321</v>
      </c>
      <c r="C169" s="4" t="s">
        <v>67</v>
      </c>
      <c r="D169" s="4" t="s">
        <v>89</v>
      </c>
      <c r="E169" s="4" t="s">
        <v>322</v>
      </c>
      <c r="F169" s="6">
        <v>4</v>
      </c>
      <c r="G169" s="5">
        <v>3</v>
      </c>
      <c r="H169" s="7">
        <v>0</v>
      </c>
      <c r="I169" s="5">
        <v>1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3</v>
      </c>
      <c r="V169" s="5">
        <v>2</v>
      </c>
      <c r="W169" s="7">
        <v>0</v>
      </c>
      <c r="X169" s="5">
        <v>1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2</v>
      </c>
      <c r="AL169" s="5">
        <v>2</v>
      </c>
      <c r="AM169" s="5">
        <v>3</v>
      </c>
      <c r="AN169" s="28">
        <v>0.22</v>
      </c>
    </row>
    <row r="170">
      <c r="A170" s="24">
        <v>1587</v>
      </c>
      <c r="B170" s="9" t="s">
        <v>323</v>
      </c>
      <c r="C170" s="9" t="s">
        <v>67</v>
      </c>
      <c r="D170" s="9" t="s">
        <v>76</v>
      </c>
      <c r="E170" s="9" t="s">
        <v>77</v>
      </c>
      <c r="F170" s="11">
        <v>1</v>
      </c>
      <c r="G170" s="10">
        <v>1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1</v>
      </c>
      <c r="V170" s="10">
        <v>1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31">
        <v>0</v>
      </c>
    </row>
    <row r="171">
      <c r="A171" s="23">
        <v>1591</v>
      </c>
      <c r="B171" s="4" t="s">
        <v>324</v>
      </c>
      <c r="C171" s="4" t="s">
        <v>67</v>
      </c>
      <c r="D171" s="4" t="s">
        <v>68</v>
      </c>
      <c r="E171" s="4" t="s">
        <v>71</v>
      </c>
      <c r="F171" s="6">
        <v>1</v>
      </c>
      <c r="G171" s="5">
        <v>1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1</v>
      </c>
      <c r="V171" s="5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30">
        <v>0</v>
      </c>
    </row>
    <row r="172">
      <c r="A172" s="24">
        <v>1606</v>
      </c>
      <c r="B172" s="9" t="s">
        <v>325</v>
      </c>
      <c r="C172" s="9" t="s">
        <v>67</v>
      </c>
      <c r="D172" s="9" t="s">
        <v>105</v>
      </c>
      <c r="E172" s="9" t="s">
        <v>227</v>
      </c>
      <c r="F172" s="11">
        <v>1</v>
      </c>
      <c r="G172" s="12">
        <v>0</v>
      </c>
      <c r="H172" s="12">
        <v>0</v>
      </c>
      <c r="I172" s="12">
        <v>0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1</v>
      </c>
      <c r="V172" s="12">
        <v>0</v>
      </c>
      <c r="W172" s="12">
        <v>0</v>
      </c>
      <c r="X172" s="12">
        <v>0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31">
        <v>0</v>
      </c>
    </row>
    <row r="173">
      <c r="A173" s="23">
        <v>1614</v>
      </c>
      <c r="B173" s="4" t="s">
        <v>326</v>
      </c>
      <c r="C173" s="4" t="s">
        <v>67</v>
      </c>
      <c r="D173" s="4" t="s">
        <v>76</v>
      </c>
      <c r="E173" s="4" t="s">
        <v>202</v>
      </c>
      <c r="F173" s="6">
        <v>2</v>
      </c>
      <c r="G173" s="7">
        <v>0</v>
      </c>
      <c r="H173" s="7">
        <v>0</v>
      </c>
      <c r="I173" s="7">
        <v>0</v>
      </c>
      <c r="J173" s="5">
        <v>2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2</v>
      </c>
      <c r="V173" s="7">
        <v>0</v>
      </c>
      <c r="W173" s="7">
        <v>0</v>
      </c>
      <c r="X173" s="7">
        <v>0</v>
      </c>
      <c r="Y173" s="5">
        <v>2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0.5</v>
      </c>
    </row>
    <row r="174">
      <c r="A174" s="24">
        <v>1625</v>
      </c>
      <c r="B174" s="9" t="s">
        <v>327</v>
      </c>
      <c r="C174" s="9" t="s">
        <v>67</v>
      </c>
      <c r="D174" s="9" t="s">
        <v>68</v>
      </c>
      <c r="E174" s="9" t="s">
        <v>237</v>
      </c>
      <c r="F174" s="11">
        <v>1</v>
      </c>
      <c r="G174" s="12">
        <v>0</v>
      </c>
      <c r="H174" s="10">
        <v>1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1</v>
      </c>
      <c r="V174" s="12">
        <v>0</v>
      </c>
      <c r="W174" s="10">
        <v>1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0.24</v>
      </c>
    </row>
    <row r="175">
      <c r="A175" s="23">
        <v>1631</v>
      </c>
      <c r="B175" s="4" t="s">
        <v>328</v>
      </c>
      <c r="C175" s="4" t="s">
        <v>67</v>
      </c>
      <c r="D175" s="4" t="s">
        <v>68</v>
      </c>
      <c r="E175" s="4" t="s">
        <v>237</v>
      </c>
      <c r="F175" s="6">
        <v>4</v>
      </c>
      <c r="G175" s="7">
        <v>0</v>
      </c>
      <c r="H175" s="5">
        <v>3</v>
      </c>
      <c r="I175" s="7">
        <v>0</v>
      </c>
      <c r="J175" s="5">
        <v>1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4</v>
      </c>
      <c r="V175" s="7">
        <v>0</v>
      </c>
      <c r="W175" s="5">
        <v>3</v>
      </c>
      <c r="X175" s="7">
        <v>0</v>
      </c>
      <c r="Y175" s="5">
        <v>1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2</v>
      </c>
      <c r="AL175" s="5">
        <v>2</v>
      </c>
      <c r="AM175" s="5">
        <v>3</v>
      </c>
      <c r="AN175" s="28">
        <v>1</v>
      </c>
    </row>
    <row r="176">
      <c r="A176" s="24">
        <v>1662</v>
      </c>
      <c r="B176" s="9" t="s">
        <v>329</v>
      </c>
      <c r="C176" s="9" t="s">
        <v>316</v>
      </c>
      <c r="D176" s="9" t="s">
        <v>330</v>
      </c>
      <c r="E176" s="9" t="s">
        <v>318</v>
      </c>
      <c r="F176" s="11">
        <v>1</v>
      </c>
      <c r="G176" s="10">
        <v>1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1</v>
      </c>
      <c r="V176" s="10">
        <v>1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0.26</v>
      </c>
    </row>
    <row r="177">
      <c r="A177" s="23">
        <v>1676</v>
      </c>
      <c r="B177" s="4" t="s">
        <v>331</v>
      </c>
      <c r="C177" s="4" t="s">
        <v>67</v>
      </c>
      <c r="D177" s="4" t="s">
        <v>79</v>
      </c>
      <c r="E177" s="4" t="s">
        <v>332</v>
      </c>
      <c r="F177" s="6">
        <v>1</v>
      </c>
      <c r="G177" s="7">
        <v>0</v>
      </c>
      <c r="H177" s="5">
        <v>1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1</v>
      </c>
      <c r="V177" s="7">
        <v>0</v>
      </c>
      <c r="W177" s="5">
        <v>1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0.24</v>
      </c>
    </row>
    <row r="178">
      <c r="A178" s="24">
        <v>1711</v>
      </c>
      <c r="B178" s="9" t="s">
        <v>333</v>
      </c>
      <c r="C178" s="9" t="s">
        <v>67</v>
      </c>
      <c r="D178" s="9" t="s">
        <v>142</v>
      </c>
      <c r="E178" s="9" t="s">
        <v>143</v>
      </c>
      <c r="F178" s="11">
        <v>1</v>
      </c>
      <c r="G178" s="12">
        <v>0</v>
      </c>
      <c r="H178" s="12">
        <v>0</v>
      </c>
      <c r="I178" s="10">
        <v>1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1</v>
      </c>
      <c r="V178" s="12">
        <v>0</v>
      </c>
      <c r="W178" s="12">
        <v>0</v>
      </c>
      <c r="X178" s="10">
        <v>1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31">
        <v>0</v>
      </c>
    </row>
    <row r="179">
      <c r="A179" s="23">
        <v>1715</v>
      </c>
      <c r="B179" s="4" t="s">
        <v>334</v>
      </c>
      <c r="C179" s="4" t="s">
        <v>67</v>
      </c>
      <c r="D179" s="4" t="s">
        <v>84</v>
      </c>
      <c r="E179" s="4" t="s">
        <v>95</v>
      </c>
      <c r="F179" s="6">
        <v>1</v>
      </c>
      <c r="G179" s="7">
        <v>0</v>
      </c>
      <c r="H179" s="7">
        <v>0</v>
      </c>
      <c r="I179" s="7">
        <v>0</v>
      </c>
      <c r="J179" s="5">
        <v>1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1</v>
      </c>
      <c r="V179" s="7">
        <v>0</v>
      </c>
      <c r="W179" s="7">
        <v>0</v>
      </c>
      <c r="X179" s="7">
        <v>0</v>
      </c>
      <c r="Y179" s="5">
        <v>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0.22</v>
      </c>
    </row>
    <row r="180">
      <c r="A180" s="24">
        <v>1719</v>
      </c>
      <c r="B180" s="9" t="s">
        <v>335</v>
      </c>
      <c r="C180" s="9" t="s">
        <v>67</v>
      </c>
      <c r="D180" s="9" t="s">
        <v>84</v>
      </c>
      <c r="E180" s="9" t="s">
        <v>95</v>
      </c>
      <c r="F180" s="11">
        <v>2</v>
      </c>
      <c r="G180" s="12">
        <v>0</v>
      </c>
      <c r="H180" s="10">
        <v>2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2</v>
      </c>
      <c r="V180" s="12">
        <v>0</v>
      </c>
      <c r="W180" s="10">
        <v>2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2</v>
      </c>
      <c r="AK180" s="13">
        <v>2</v>
      </c>
      <c r="AL180" s="10">
        <v>2</v>
      </c>
      <c r="AM180" s="10">
        <v>2</v>
      </c>
      <c r="AN180" s="29">
        <v>0.5</v>
      </c>
    </row>
    <row r="181">
      <c r="A181" s="23">
        <v>1722</v>
      </c>
      <c r="B181" s="4" t="s">
        <v>336</v>
      </c>
      <c r="C181" s="4" t="s">
        <v>67</v>
      </c>
      <c r="D181" s="4" t="s">
        <v>84</v>
      </c>
      <c r="E181" s="4" t="s">
        <v>95</v>
      </c>
      <c r="F181" s="6">
        <v>2</v>
      </c>
      <c r="G181" s="7">
        <v>0</v>
      </c>
      <c r="H181" s="7">
        <v>0</v>
      </c>
      <c r="I181" s="7">
        <v>0</v>
      </c>
      <c r="J181" s="5">
        <v>2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2</v>
      </c>
      <c r="V181" s="7">
        <v>0</v>
      </c>
      <c r="W181" s="7">
        <v>0</v>
      </c>
      <c r="X181" s="7">
        <v>0</v>
      </c>
      <c r="Y181" s="5">
        <v>2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2</v>
      </c>
      <c r="AK181" s="8">
        <v>2</v>
      </c>
      <c r="AL181" s="5">
        <v>2</v>
      </c>
      <c r="AM181" s="5">
        <v>2</v>
      </c>
      <c r="AN181" s="28">
        <v>0.52</v>
      </c>
    </row>
    <row r="182">
      <c r="A182" s="24">
        <v>1723</v>
      </c>
      <c r="B182" s="9" t="s">
        <v>337</v>
      </c>
      <c r="C182" s="9" t="s">
        <v>67</v>
      </c>
      <c r="D182" s="9" t="s">
        <v>84</v>
      </c>
      <c r="E182" s="9" t="s">
        <v>95</v>
      </c>
      <c r="F182" s="11">
        <v>5</v>
      </c>
      <c r="G182" s="12">
        <v>0</v>
      </c>
      <c r="H182" s="12">
        <v>0</v>
      </c>
      <c r="I182" s="10">
        <v>1</v>
      </c>
      <c r="J182" s="10">
        <v>4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4</v>
      </c>
      <c r="V182" s="12">
        <v>0</v>
      </c>
      <c r="W182" s="12">
        <v>0</v>
      </c>
      <c r="X182" s="10">
        <v>1</v>
      </c>
      <c r="Y182" s="10">
        <v>3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2.5</v>
      </c>
      <c r="AL182" s="10">
        <v>2</v>
      </c>
      <c r="AM182" s="10">
        <v>4</v>
      </c>
      <c r="AN182" s="29">
        <v>1</v>
      </c>
    </row>
    <row r="183">
      <c r="A183" s="23">
        <v>1733</v>
      </c>
      <c r="B183" s="4" t="s">
        <v>338</v>
      </c>
      <c r="C183" s="4" t="s">
        <v>67</v>
      </c>
      <c r="D183" s="4" t="s">
        <v>84</v>
      </c>
      <c r="E183" s="4" t="s">
        <v>95</v>
      </c>
      <c r="F183" s="6">
        <v>1</v>
      </c>
      <c r="G183" s="7">
        <v>0</v>
      </c>
      <c r="H183" s="7">
        <v>0</v>
      </c>
      <c r="I183" s="5">
        <v>1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1</v>
      </c>
      <c r="V183" s="7">
        <v>0</v>
      </c>
      <c r="W183" s="7">
        <v>0</v>
      </c>
      <c r="X183" s="5">
        <v>1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28">
        <v>0.22</v>
      </c>
    </row>
    <row r="184">
      <c r="A184" s="24">
        <v>1735</v>
      </c>
      <c r="B184" s="9" t="s">
        <v>339</v>
      </c>
      <c r="C184" s="9" t="s">
        <v>67</v>
      </c>
      <c r="D184" s="9" t="s">
        <v>84</v>
      </c>
      <c r="E184" s="9" t="s">
        <v>95</v>
      </c>
      <c r="F184" s="11">
        <v>2</v>
      </c>
      <c r="G184" s="12">
        <v>0</v>
      </c>
      <c r="H184" s="10">
        <v>2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2</v>
      </c>
      <c r="V184" s="12">
        <v>0</v>
      </c>
      <c r="W184" s="10">
        <v>2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2</v>
      </c>
      <c r="AK184" s="13">
        <v>2</v>
      </c>
      <c r="AL184" s="10">
        <v>2</v>
      </c>
      <c r="AM184" s="10">
        <v>2</v>
      </c>
      <c r="AN184" s="29">
        <v>0.48</v>
      </c>
    </row>
    <row r="185">
      <c r="A185" s="23">
        <v>1760</v>
      </c>
      <c r="B185" s="4" t="s">
        <v>340</v>
      </c>
      <c r="C185" s="4" t="s">
        <v>67</v>
      </c>
      <c r="D185" s="4" t="s">
        <v>84</v>
      </c>
      <c r="E185" s="4" t="s">
        <v>95</v>
      </c>
      <c r="F185" s="6">
        <v>2</v>
      </c>
      <c r="G185" s="7">
        <v>0</v>
      </c>
      <c r="H185" s="7">
        <v>0</v>
      </c>
      <c r="I185" s="7">
        <v>0</v>
      </c>
      <c r="J185" s="5">
        <v>2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2</v>
      </c>
      <c r="V185" s="7">
        <v>0</v>
      </c>
      <c r="W185" s="7">
        <v>0</v>
      </c>
      <c r="X185" s="7">
        <v>0</v>
      </c>
      <c r="Y185" s="5">
        <v>2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2</v>
      </c>
      <c r="AK185" s="8">
        <v>2</v>
      </c>
      <c r="AL185" s="5">
        <v>2</v>
      </c>
      <c r="AM185" s="5">
        <v>2</v>
      </c>
      <c r="AN185" s="28">
        <v>0.5</v>
      </c>
    </row>
    <row r="186">
      <c r="A186" s="24">
        <v>1766</v>
      </c>
      <c r="B186" s="9" t="s">
        <v>341</v>
      </c>
      <c r="C186" s="9" t="s">
        <v>67</v>
      </c>
      <c r="D186" s="9" t="s">
        <v>84</v>
      </c>
      <c r="E186" s="9" t="s">
        <v>95</v>
      </c>
      <c r="F186" s="11">
        <v>2</v>
      </c>
      <c r="G186" s="12">
        <v>0</v>
      </c>
      <c r="H186" s="10">
        <v>2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2</v>
      </c>
      <c r="V186" s="12">
        <v>0</v>
      </c>
      <c r="W186" s="10">
        <v>2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2</v>
      </c>
      <c r="AK186" s="13">
        <v>2</v>
      </c>
      <c r="AL186" s="10">
        <v>2</v>
      </c>
      <c r="AM186" s="10">
        <v>2</v>
      </c>
      <c r="AN186" s="29">
        <v>0.52</v>
      </c>
    </row>
    <row r="187">
      <c r="A187" s="23">
        <v>1769</v>
      </c>
      <c r="B187" s="4" t="s">
        <v>342</v>
      </c>
      <c r="C187" s="4" t="s">
        <v>67</v>
      </c>
      <c r="D187" s="4" t="s">
        <v>84</v>
      </c>
      <c r="E187" s="4" t="s">
        <v>95</v>
      </c>
      <c r="F187" s="6">
        <v>10</v>
      </c>
      <c r="G187" s="7">
        <v>0</v>
      </c>
      <c r="H187" s="7">
        <v>0</v>
      </c>
      <c r="I187" s="7">
        <v>0</v>
      </c>
      <c r="J187" s="5">
        <v>10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10</v>
      </c>
      <c r="V187" s="7">
        <v>0</v>
      </c>
      <c r="W187" s="7">
        <v>0</v>
      </c>
      <c r="X187" s="7">
        <v>0</v>
      </c>
      <c r="Y187" s="5">
        <v>10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2</v>
      </c>
      <c r="AK187" s="8">
        <v>5</v>
      </c>
      <c r="AL187" s="5">
        <v>5</v>
      </c>
      <c r="AM187" s="5">
        <v>8</v>
      </c>
      <c r="AN187" s="28">
        <v>2.6</v>
      </c>
    </row>
    <row r="188">
      <c r="A188" s="24">
        <v>1806</v>
      </c>
      <c r="B188" s="9" t="s">
        <v>343</v>
      </c>
      <c r="C188" s="9" t="s">
        <v>67</v>
      </c>
      <c r="D188" s="9" t="s">
        <v>92</v>
      </c>
      <c r="E188" s="9" t="s">
        <v>153</v>
      </c>
      <c r="F188" s="11">
        <v>1</v>
      </c>
      <c r="G188" s="10">
        <v>1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1</v>
      </c>
      <c r="V188" s="10">
        <v>1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31">
        <v>0</v>
      </c>
    </row>
    <row r="189">
      <c r="A189" s="23">
        <v>1807</v>
      </c>
      <c r="B189" s="4" t="s">
        <v>344</v>
      </c>
      <c r="C189" s="4" t="s">
        <v>67</v>
      </c>
      <c r="D189" s="4" t="s">
        <v>84</v>
      </c>
      <c r="E189" s="4" t="s">
        <v>85</v>
      </c>
      <c r="F189" s="6">
        <v>1</v>
      </c>
      <c r="G189" s="5">
        <v>1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1</v>
      </c>
      <c r="V189" s="5">
        <v>1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30">
        <v>0</v>
      </c>
    </row>
    <row r="190">
      <c r="A190" s="24">
        <v>1812</v>
      </c>
      <c r="B190" s="9" t="s">
        <v>345</v>
      </c>
      <c r="C190" s="9" t="s">
        <v>67</v>
      </c>
      <c r="D190" s="9" t="s">
        <v>108</v>
      </c>
      <c r="E190" s="9" t="s">
        <v>346</v>
      </c>
      <c r="F190" s="11">
        <v>1</v>
      </c>
      <c r="G190" s="10">
        <v>1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1</v>
      </c>
      <c r="V190" s="10">
        <v>1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31">
        <v>0</v>
      </c>
    </row>
    <row r="191">
      <c r="A191" s="23">
        <v>1813</v>
      </c>
      <c r="B191" s="4" t="s">
        <v>347</v>
      </c>
      <c r="C191" s="4" t="s">
        <v>67</v>
      </c>
      <c r="D191" s="4" t="s">
        <v>68</v>
      </c>
      <c r="E191" s="4" t="s">
        <v>71</v>
      </c>
      <c r="F191" s="6">
        <v>3</v>
      </c>
      <c r="G191" s="5">
        <v>1</v>
      </c>
      <c r="H191" s="7">
        <v>0</v>
      </c>
      <c r="I191" s="5">
        <v>1</v>
      </c>
      <c r="J191" s="5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3</v>
      </c>
      <c r="V191" s="5">
        <v>1</v>
      </c>
      <c r="W191" s="7">
        <v>0</v>
      </c>
      <c r="X191" s="5">
        <v>1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0.52</v>
      </c>
    </row>
    <row r="192">
      <c r="A192" s="24">
        <v>1816</v>
      </c>
      <c r="B192" s="9" t="s">
        <v>348</v>
      </c>
      <c r="C192" s="9" t="s">
        <v>136</v>
      </c>
      <c r="D192" s="9" t="s">
        <v>349</v>
      </c>
      <c r="E192" s="9" t="s">
        <v>350</v>
      </c>
      <c r="F192" s="11">
        <v>3</v>
      </c>
      <c r="G192" s="10">
        <v>1</v>
      </c>
      <c r="H192" s="10">
        <v>2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3</v>
      </c>
      <c r="V192" s="10">
        <v>1</v>
      </c>
      <c r="W192" s="10">
        <v>2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1.5</v>
      </c>
      <c r="AL192" s="10">
        <v>1</v>
      </c>
      <c r="AM192" s="10">
        <v>2</v>
      </c>
      <c r="AN192" s="29">
        <v>0.48</v>
      </c>
    </row>
    <row r="193">
      <c r="A193" s="23">
        <v>1820</v>
      </c>
      <c r="B193" s="4" t="s">
        <v>351</v>
      </c>
      <c r="C193" s="4" t="s">
        <v>67</v>
      </c>
      <c r="D193" s="4" t="s">
        <v>142</v>
      </c>
      <c r="E193" s="4" t="s">
        <v>143</v>
      </c>
      <c r="F193" s="6">
        <v>2</v>
      </c>
      <c r="G193" s="7">
        <v>0</v>
      </c>
      <c r="H193" s="7">
        <v>0</v>
      </c>
      <c r="I193" s="5">
        <v>1</v>
      </c>
      <c r="J193" s="5">
        <v>1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2</v>
      </c>
      <c r="V193" s="7">
        <v>0</v>
      </c>
      <c r="W193" s="7">
        <v>0</v>
      </c>
      <c r="X193" s="5">
        <v>1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0.25</v>
      </c>
    </row>
    <row r="194">
      <c r="A194" s="24">
        <v>1821</v>
      </c>
      <c r="B194" s="9" t="s">
        <v>352</v>
      </c>
      <c r="C194" s="9" t="s">
        <v>163</v>
      </c>
      <c r="D194" s="9" t="s">
        <v>353</v>
      </c>
      <c r="E194" s="9" t="s">
        <v>318</v>
      </c>
      <c r="F194" s="11">
        <v>4</v>
      </c>
      <c r="G194" s="10">
        <v>2</v>
      </c>
      <c r="H194" s="12">
        <v>0</v>
      </c>
      <c r="I194" s="10">
        <v>1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4</v>
      </c>
      <c r="V194" s="10">
        <v>2</v>
      </c>
      <c r="W194" s="12">
        <v>0</v>
      </c>
      <c r="X194" s="10">
        <v>1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1.33</v>
      </c>
      <c r="AL194" s="10">
        <v>1</v>
      </c>
      <c r="AM194" s="10">
        <v>2</v>
      </c>
      <c r="AN194" s="31">
        <v>0</v>
      </c>
    </row>
    <row r="195">
      <c r="A195" s="23">
        <v>1824</v>
      </c>
      <c r="B195" s="4" t="s">
        <v>354</v>
      </c>
      <c r="C195" s="4" t="s">
        <v>136</v>
      </c>
      <c r="D195" s="4" t="s">
        <v>349</v>
      </c>
      <c r="E195" s="4" t="s">
        <v>350</v>
      </c>
      <c r="F195" s="6">
        <v>1</v>
      </c>
      <c r="G195" s="5">
        <v>1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1</v>
      </c>
      <c r="V195" s="5">
        <v>1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30">
        <v>0</v>
      </c>
    </row>
    <row r="196">
      <c r="A196" s="24">
        <v>1839</v>
      </c>
      <c r="B196" s="9" t="s">
        <v>355</v>
      </c>
      <c r="C196" s="9" t="s">
        <v>67</v>
      </c>
      <c r="D196" s="9" t="s">
        <v>76</v>
      </c>
      <c r="E196" s="9" t="s">
        <v>120</v>
      </c>
      <c r="F196" s="11">
        <v>1</v>
      </c>
      <c r="G196" s="10">
        <v>1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1</v>
      </c>
      <c r="V196" s="10">
        <v>1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31">
        <v>0</v>
      </c>
    </row>
    <row r="197">
      <c r="A197" s="23">
        <v>1844</v>
      </c>
      <c r="B197" s="4" t="s">
        <v>356</v>
      </c>
      <c r="C197" s="4" t="s">
        <v>67</v>
      </c>
      <c r="D197" s="4" t="s">
        <v>105</v>
      </c>
      <c r="E197" s="4" t="s">
        <v>193</v>
      </c>
      <c r="F197" s="6">
        <v>1</v>
      </c>
      <c r="G197" s="5">
        <v>1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1</v>
      </c>
      <c r="V197" s="5">
        <v>1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30">
        <v>0</v>
      </c>
    </row>
    <row r="198">
      <c r="A198" s="24">
        <v>1863</v>
      </c>
      <c r="B198" s="9" t="s">
        <v>357</v>
      </c>
      <c r="C198" s="9" t="s">
        <v>67</v>
      </c>
      <c r="D198" s="9" t="s">
        <v>111</v>
      </c>
      <c r="E198" s="9" t="s">
        <v>112</v>
      </c>
      <c r="F198" s="11">
        <v>2</v>
      </c>
      <c r="G198" s="12">
        <v>0</v>
      </c>
      <c r="H198" s="12">
        <v>0</v>
      </c>
      <c r="I198" s="10">
        <v>2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2</v>
      </c>
      <c r="V198" s="12">
        <v>0</v>
      </c>
      <c r="W198" s="12">
        <v>0</v>
      </c>
      <c r="X198" s="10">
        <v>2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2</v>
      </c>
      <c r="AK198" s="13">
        <v>2</v>
      </c>
      <c r="AL198" s="10">
        <v>2</v>
      </c>
      <c r="AM198" s="10">
        <v>2</v>
      </c>
      <c r="AN198" s="31">
        <v>0</v>
      </c>
    </row>
    <row r="199">
      <c r="A199" s="23">
        <v>1868</v>
      </c>
      <c r="B199" s="4" t="s">
        <v>358</v>
      </c>
      <c r="C199" s="4" t="s">
        <v>67</v>
      </c>
      <c r="D199" s="4" t="s">
        <v>111</v>
      </c>
      <c r="E199" s="4" t="s">
        <v>147</v>
      </c>
      <c r="F199" s="6">
        <v>2</v>
      </c>
      <c r="G199" s="5">
        <v>2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2</v>
      </c>
      <c r="V199" s="5">
        <v>2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2</v>
      </c>
      <c r="AK199" s="8">
        <v>2</v>
      </c>
      <c r="AL199" s="5">
        <v>2</v>
      </c>
      <c r="AM199" s="5">
        <v>2</v>
      </c>
      <c r="AN199" s="30">
        <v>0</v>
      </c>
    </row>
    <row r="200">
      <c r="A200" s="24">
        <v>1870</v>
      </c>
      <c r="B200" s="9" t="s">
        <v>359</v>
      </c>
      <c r="C200" s="9" t="s">
        <v>67</v>
      </c>
      <c r="D200" s="9" t="s">
        <v>111</v>
      </c>
      <c r="E200" s="9" t="s">
        <v>195</v>
      </c>
      <c r="F200" s="11">
        <v>1</v>
      </c>
      <c r="G200" s="10">
        <v>1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1</v>
      </c>
      <c r="V200" s="10">
        <v>1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0.36</v>
      </c>
    </row>
    <row r="201">
      <c r="A201" s="23">
        <v>1881</v>
      </c>
      <c r="B201" s="4" t="s">
        <v>360</v>
      </c>
      <c r="C201" s="4" t="s">
        <v>67</v>
      </c>
      <c r="D201" s="4" t="s">
        <v>73</v>
      </c>
      <c r="E201" s="4" t="s">
        <v>74</v>
      </c>
      <c r="F201" s="6">
        <v>5</v>
      </c>
      <c r="G201" s="5">
        <v>1</v>
      </c>
      <c r="H201" s="5">
        <v>2</v>
      </c>
      <c r="I201" s="7">
        <v>0</v>
      </c>
      <c r="J201" s="5">
        <v>2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4</v>
      </c>
      <c r="V201" s="5">
        <v>1</v>
      </c>
      <c r="W201" s="5">
        <v>1</v>
      </c>
      <c r="X201" s="7">
        <v>0</v>
      </c>
      <c r="Y201" s="5">
        <v>2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1.25</v>
      </c>
      <c r="AL201" s="5">
        <v>1</v>
      </c>
      <c r="AM201" s="5">
        <v>2</v>
      </c>
      <c r="AN201" s="28">
        <v>0.24</v>
      </c>
    </row>
    <row r="202">
      <c r="A202" s="24">
        <v>1905</v>
      </c>
      <c r="B202" s="9" t="s">
        <v>361</v>
      </c>
      <c r="C202" s="9" t="s">
        <v>67</v>
      </c>
      <c r="D202" s="9" t="s">
        <v>73</v>
      </c>
      <c r="E202" s="9" t="s">
        <v>362</v>
      </c>
      <c r="F202" s="11">
        <v>1</v>
      </c>
      <c r="G202" s="12">
        <v>0</v>
      </c>
      <c r="H202" s="12">
        <v>0</v>
      </c>
      <c r="I202" s="10">
        <v>1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1</v>
      </c>
      <c r="V202" s="12">
        <v>0</v>
      </c>
      <c r="W202" s="12">
        <v>0</v>
      </c>
      <c r="X202" s="10">
        <v>1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0.25</v>
      </c>
    </row>
    <row r="203">
      <c r="A203" s="23">
        <v>1906</v>
      </c>
      <c r="B203" s="4" t="s">
        <v>363</v>
      </c>
      <c r="C203" s="4" t="s">
        <v>67</v>
      </c>
      <c r="D203" s="4" t="s">
        <v>105</v>
      </c>
      <c r="E203" s="4" t="s">
        <v>227</v>
      </c>
      <c r="F203" s="6">
        <v>29</v>
      </c>
      <c r="G203" s="7">
        <v>0</v>
      </c>
      <c r="H203" s="7">
        <v>0</v>
      </c>
      <c r="I203" s="7">
        <v>0</v>
      </c>
      <c r="J203" s="5">
        <v>29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28</v>
      </c>
      <c r="V203" s="7">
        <v>0</v>
      </c>
      <c r="W203" s="7">
        <v>0</v>
      </c>
      <c r="X203" s="7">
        <v>0</v>
      </c>
      <c r="Y203" s="5">
        <v>28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29</v>
      </c>
      <c r="AK203" s="8">
        <v>29</v>
      </c>
      <c r="AL203" s="5">
        <v>29</v>
      </c>
      <c r="AM203" s="5">
        <v>29</v>
      </c>
      <c r="AN203" s="28">
        <v>7</v>
      </c>
    </row>
    <row r="204">
      <c r="A204" s="24">
        <v>1907</v>
      </c>
      <c r="B204" s="9" t="s">
        <v>364</v>
      </c>
      <c r="C204" s="9" t="s">
        <v>67</v>
      </c>
      <c r="D204" s="9" t="s">
        <v>105</v>
      </c>
      <c r="E204" s="9" t="s">
        <v>227</v>
      </c>
      <c r="F204" s="11">
        <v>10</v>
      </c>
      <c r="G204" s="10">
        <v>1</v>
      </c>
      <c r="H204" s="10">
        <v>1</v>
      </c>
      <c r="I204" s="12">
        <v>0</v>
      </c>
      <c r="J204" s="10">
        <v>8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8</v>
      </c>
      <c r="V204" s="10">
        <v>1</v>
      </c>
      <c r="W204" s="10">
        <v>1</v>
      </c>
      <c r="X204" s="12">
        <v>0</v>
      </c>
      <c r="Y204" s="10">
        <v>6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2</v>
      </c>
      <c r="AL204" s="10">
        <v>1</v>
      </c>
      <c r="AM204" s="10">
        <v>6</v>
      </c>
      <c r="AN204" s="29">
        <v>1.56</v>
      </c>
    </row>
    <row r="205">
      <c r="A205" s="23">
        <v>1912</v>
      </c>
      <c r="B205" s="4" t="s">
        <v>365</v>
      </c>
      <c r="C205" s="4" t="s">
        <v>67</v>
      </c>
      <c r="D205" s="4" t="s">
        <v>76</v>
      </c>
      <c r="E205" s="4" t="s">
        <v>120</v>
      </c>
      <c r="F205" s="6">
        <v>4</v>
      </c>
      <c r="G205" s="5">
        <v>4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4</v>
      </c>
      <c r="V205" s="5">
        <v>4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4</v>
      </c>
      <c r="AK205" s="8">
        <v>4</v>
      </c>
      <c r="AL205" s="5">
        <v>4</v>
      </c>
      <c r="AM205" s="5">
        <v>4</v>
      </c>
      <c r="AN205" s="30">
        <v>0</v>
      </c>
    </row>
    <row r="206">
      <c r="A206" s="24">
        <v>1931</v>
      </c>
      <c r="B206" s="9" t="s">
        <v>366</v>
      </c>
      <c r="C206" s="9" t="s">
        <v>67</v>
      </c>
      <c r="D206" s="9" t="s">
        <v>76</v>
      </c>
      <c r="E206" s="9" t="s">
        <v>120</v>
      </c>
      <c r="F206" s="11">
        <v>1</v>
      </c>
      <c r="G206" s="10">
        <v>1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1</v>
      </c>
      <c r="V206" s="10">
        <v>1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31">
        <v>0</v>
      </c>
    </row>
    <row r="207">
      <c r="A207" s="23">
        <v>1959</v>
      </c>
      <c r="B207" s="4" t="s">
        <v>367</v>
      </c>
      <c r="C207" s="4" t="s">
        <v>67</v>
      </c>
      <c r="D207" s="4" t="s">
        <v>76</v>
      </c>
      <c r="E207" s="4" t="s">
        <v>120</v>
      </c>
      <c r="F207" s="6">
        <v>1</v>
      </c>
      <c r="G207" s="5">
        <v>1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1</v>
      </c>
      <c r="V207" s="5">
        <v>1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30">
        <v>0</v>
      </c>
    </row>
    <row r="208">
      <c r="A208" s="24">
        <v>2006</v>
      </c>
      <c r="B208" s="9" t="s">
        <v>368</v>
      </c>
      <c r="C208" s="9" t="s">
        <v>67</v>
      </c>
      <c r="D208" s="9" t="s">
        <v>100</v>
      </c>
      <c r="E208" s="9" t="s">
        <v>127</v>
      </c>
      <c r="F208" s="11">
        <v>2</v>
      </c>
      <c r="G208" s="12">
        <v>0</v>
      </c>
      <c r="H208" s="12">
        <v>0</v>
      </c>
      <c r="I208" s="10">
        <v>1</v>
      </c>
      <c r="J208" s="10">
        <v>1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2</v>
      </c>
      <c r="V208" s="12">
        <v>0</v>
      </c>
      <c r="W208" s="12">
        <v>0</v>
      </c>
      <c r="X208" s="10">
        <v>1</v>
      </c>
      <c r="Y208" s="10">
        <v>1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31">
        <v>0</v>
      </c>
    </row>
    <row r="209">
      <c r="A209" s="23">
        <v>2087</v>
      </c>
      <c r="B209" s="4" t="s">
        <v>369</v>
      </c>
      <c r="C209" s="4" t="s">
        <v>67</v>
      </c>
      <c r="D209" s="4" t="s">
        <v>76</v>
      </c>
      <c r="E209" s="4" t="s">
        <v>120</v>
      </c>
      <c r="F209" s="6">
        <v>1</v>
      </c>
      <c r="G209" s="5">
        <v>1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1</v>
      </c>
      <c r="V209" s="5">
        <v>1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30">
        <v>0</v>
      </c>
    </row>
    <row r="210">
      <c r="A210" s="24">
        <v>2095</v>
      </c>
      <c r="B210" s="9" t="s">
        <v>370</v>
      </c>
      <c r="C210" s="9" t="s">
        <v>67</v>
      </c>
      <c r="D210" s="9" t="s">
        <v>76</v>
      </c>
      <c r="E210" s="9" t="s">
        <v>120</v>
      </c>
      <c r="F210" s="11">
        <v>3</v>
      </c>
      <c r="G210" s="10">
        <v>2</v>
      </c>
      <c r="H210" s="12">
        <v>0</v>
      </c>
      <c r="I210" s="10">
        <v>1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3</v>
      </c>
      <c r="V210" s="10">
        <v>2</v>
      </c>
      <c r="W210" s="12">
        <v>0</v>
      </c>
      <c r="X210" s="10">
        <v>1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1.5</v>
      </c>
      <c r="AL210" s="10">
        <v>1</v>
      </c>
      <c r="AM210" s="10">
        <v>2</v>
      </c>
      <c r="AN210" s="31">
        <v>0</v>
      </c>
    </row>
    <row r="211">
      <c r="A211" s="23">
        <v>2108</v>
      </c>
      <c r="B211" s="4" t="s">
        <v>371</v>
      </c>
      <c r="C211" s="4" t="s">
        <v>67</v>
      </c>
      <c r="D211" s="4" t="s">
        <v>76</v>
      </c>
      <c r="E211" s="4" t="s">
        <v>120</v>
      </c>
      <c r="F211" s="6">
        <v>1</v>
      </c>
      <c r="G211" s="5">
        <v>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1</v>
      </c>
      <c r="V211" s="5">
        <v>1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30">
        <v>0</v>
      </c>
    </row>
    <row r="212">
      <c r="A212" s="24">
        <v>2201</v>
      </c>
      <c r="B212" s="9" t="s">
        <v>372</v>
      </c>
      <c r="C212" s="9" t="s">
        <v>67</v>
      </c>
      <c r="D212" s="9" t="s">
        <v>84</v>
      </c>
      <c r="E212" s="9" t="s">
        <v>85</v>
      </c>
      <c r="F212" s="11">
        <v>2</v>
      </c>
      <c r="G212" s="10">
        <v>1</v>
      </c>
      <c r="H212" s="12">
        <v>0</v>
      </c>
      <c r="I212" s="10">
        <v>1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2</v>
      </c>
      <c r="V212" s="10">
        <v>1</v>
      </c>
      <c r="W212" s="12">
        <v>0</v>
      </c>
      <c r="X212" s="10">
        <v>1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0.52</v>
      </c>
    </row>
    <row r="213">
      <c r="A213" s="23">
        <v>2213</v>
      </c>
      <c r="B213" s="4" t="s">
        <v>373</v>
      </c>
      <c r="C213" s="4" t="s">
        <v>67</v>
      </c>
      <c r="D213" s="4" t="s">
        <v>79</v>
      </c>
      <c r="E213" s="4" t="s">
        <v>293</v>
      </c>
      <c r="F213" s="6">
        <v>4</v>
      </c>
      <c r="G213" s="7">
        <v>0</v>
      </c>
      <c r="H213" s="7">
        <v>0</v>
      </c>
      <c r="I213" s="7">
        <v>0</v>
      </c>
      <c r="J213" s="5">
        <v>4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3</v>
      </c>
      <c r="V213" s="7">
        <v>0</v>
      </c>
      <c r="W213" s="7">
        <v>0</v>
      </c>
      <c r="X213" s="7">
        <v>0</v>
      </c>
      <c r="Y213" s="5">
        <v>3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1.33</v>
      </c>
      <c r="AL213" s="5">
        <v>1</v>
      </c>
      <c r="AM213" s="5">
        <v>2</v>
      </c>
      <c r="AN213" s="28">
        <v>0.64</v>
      </c>
    </row>
    <row r="214">
      <c r="A214" s="24">
        <v>2223</v>
      </c>
      <c r="B214" s="9" t="s">
        <v>374</v>
      </c>
      <c r="C214" s="9" t="s">
        <v>67</v>
      </c>
      <c r="D214" s="9" t="s">
        <v>68</v>
      </c>
      <c r="E214" s="9" t="s">
        <v>71</v>
      </c>
      <c r="F214" s="11">
        <v>2</v>
      </c>
      <c r="G214" s="10">
        <v>2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2</v>
      </c>
      <c r="V214" s="10">
        <v>2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31">
        <v>0</v>
      </c>
    </row>
    <row r="215">
      <c r="A215" s="23">
        <v>2224</v>
      </c>
      <c r="B215" s="4" t="s">
        <v>375</v>
      </c>
      <c r="C215" s="4" t="s">
        <v>67</v>
      </c>
      <c r="D215" s="4" t="s">
        <v>76</v>
      </c>
      <c r="E215" s="4" t="s">
        <v>120</v>
      </c>
      <c r="F215" s="6">
        <v>1</v>
      </c>
      <c r="G215" s="5">
        <v>1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1</v>
      </c>
      <c r="V215" s="5">
        <v>1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30">
        <v>0</v>
      </c>
    </row>
    <row r="216">
      <c r="A216" s="24">
        <v>2225</v>
      </c>
      <c r="B216" s="9" t="s">
        <v>376</v>
      </c>
      <c r="C216" s="9" t="s">
        <v>67</v>
      </c>
      <c r="D216" s="9" t="s">
        <v>105</v>
      </c>
      <c r="E216" s="9" t="s">
        <v>106</v>
      </c>
      <c r="F216" s="11">
        <v>2</v>
      </c>
      <c r="G216" s="10">
        <v>2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2</v>
      </c>
      <c r="V216" s="10">
        <v>2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2</v>
      </c>
      <c r="AK216" s="13">
        <v>2</v>
      </c>
      <c r="AL216" s="10">
        <v>2</v>
      </c>
      <c r="AM216" s="10">
        <v>2</v>
      </c>
      <c r="AN216" s="31">
        <v>0</v>
      </c>
    </row>
    <row r="217">
      <c r="A217" s="23">
        <v>2227</v>
      </c>
      <c r="B217" s="4" t="s">
        <v>377</v>
      </c>
      <c r="C217" s="4" t="s">
        <v>67</v>
      </c>
      <c r="D217" s="4" t="s">
        <v>73</v>
      </c>
      <c r="E217" s="4" t="s">
        <v>74</v>
      </c>
      <c r="F217" s="6">
        <v>1</v>
      </c>
      <c r="G217" s="7">
        <v>0</v>
      </c>
      <c r="H217" s="7">
        <v>0</v>
      </c>
      <c r="I217" s="5">
        <v>1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1</v>
      </c>
      <c r="V217" s="7">
        <v>0</v>
      </c>
      <c r="W217" s="7">
        <v>0</v>
      </c>
      <c r="X217" s="5">
        <v>1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0.26</v>
      </c>
    </row>
    <row r="218">
      <c r="A218" s="24">
        <v>2259</v>
      </c>
      <c r="B218" s="9" t="s">
        <v>378</v>
      </c>
      <c r="C218" s="9" t="s">
        <v>67</v>
      </c>
      <c r="D218" s="9" t="s">
        <v>68</v>
      </c>
      <c r="E218" s="9" t="s">
        <v>237</v>
      </c>
      <c r="F218" s="11">
        <v>5</v>
      </c>
      <c r="G218" s="10">
        <v>5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3</v>
      </c>
      <c r="V218" s="10">
        <v>3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2</v>
      </c>
      <c r="AK218" s="13">
        <v>2.5</v>
      </c>
      <c r="AL218" s="10">
        <v>2</v>
      </c>
      <c r="AM218" s="10">
        <v>3</v>
      </c>
      <c r="AN218" s="29">
        <v>0.56</v>
      </c>
    </row>
    <row r="219">
      <c r="A219" s="23">
        <v>2260</v>
      </c>
      <c r="B219" s="4" t="s">
        <v>379</v>
      </c>
      <c r="C219" s="4" t="s">
        <v>67</v>
      </c>
      <c r="D219" s="4" t="s">
        <v>79</v>
      </c>
      <c r="E219" s="4" t="s">
        <v>80</v>
      </c>
      <c r="F219" s="6">
        <v>1</v>
      </c>
      <c r="G219" s="5">
        <v>1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1</v>
      </c>
      <c r="V219" s="5">
        <v>1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30">
        <v>0</v>
      </c>
    </row>
    <row r="220">
      <c r="A220" s="24">
        <v>2269</v>
      </c>
      <c r="B220" s="9" t="s">
        <v>380</v>
      </c>
      <c r="C220" s="9" t="s">
        <v>67</v>
      </c>
      <c r="D220" s="9" t="s">
        <v>68</v>
      </c>
      <c r="E220" s="9" t="s">
        <v>71</v>
      </c>
      <c r="F220" s="11">
        <v>1</v>
      </c>
      <c r="G220" s="12">
        <v>0</v>
      </c>
      <c r="H220" s="12">
        <v>0</v>
      </c>
      <c r="I220" s="12">
        <v>0</v>
      </c>
      <c r="J220" s="10">
        <v>1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1</v>
      </c>
      <c r="V220" s="12">
        <v>0</v>
      </c>
      <c r="W220" s="12">
        <v>0</v>
      </c>
      <c r="X220" s="12">
        <v>0</v>
      </c>
      <c r="Y220" s="10">
        <v>1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0.25</v>
      </c>
    </row>
    <row r="221">
      <c r="A221" s="23">
        <v>2272</v>
      </c>
      <c r="B221" s="4" t="s">
        <v>381</v>
      </c>
      <c r="C221" s="4" t="s">
        <v>67</v>
      </c>
      <c r="D221" s="4" t="s">
        <v>84</v>
      </c>
      <c r="E221" s="4" t="s">
        <v>85</v>
      </c>
      <c r="F221" s="6">
        <v>3</v>
      </c>
      <c r="G221" s="5">
        <v>3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2</v>
      </c>
      <c r="V221" s="5">
        <v>2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1.5</v>
      </c>
      <c r="AL221" s="5">
        <v>1</v>
      </c>
      <c r="AM221" s="5">
        <v>2</v>
      </c>
      <c r="AN221" s="28">
        <v>0.24</v>
      </c>
    </row>
    <row r="222">
      <c r="A222" s="24">
        <v>2276</v>
      </c>
      <c r="B222" s="9" t="s">
        <v>382</v>
      </c>
      <c r="C222" s="9" t="s">
        <v>163</v>
      </c>
      <c r="D222" s="9" t="s">
        <v>164</v>
      </c>
      <c r="E222" s="9" t="s">
        <v>171</v>
      </c>
      <c r="F222" s="11">
        <v>2</v>
      </c>
      <c r="G222" s="12">
        <v>0</v>
      </c>
      <c r="H222" s="12">
        <v>0</v>
      </c>
      <c r="I222" s="12">
        <v>0</v>
      </c>
      <c r="J222" s="12">
        <v>0</v>
      </c>
      <c r="K222" s="10">
        <v>2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2</v>
      </c>
      <c r="V222" s="12">
        <v>0</v>
      </c>
      <c r="W222" s="12">
        <v>0</v>
      </c>
      <c r="X222" s="12">
        <v>0</v>
      </c>
      <c r="Y222" s="12">
        <v>0</v>
      </c>
      <c r="Z222" s="10">
        <v>2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2</v>
      </c>
      <c r="AK222" s="13">
        <v>2</v>
      </c>
      <c r="AL222" s="10">
        <v>2</v>
      </c>
      <c r="AM222" s="10">
        <v>2</v>
      </c>
      <c r="AN222" s="31">
        <v>0</v>
      </c>
    </row>
    <row r="223">
      <c r="A223" s="23">
        <v>2313</v>
      </c>
      <c r="B223" s="4" t="s">
        <v>383</v>
      </c>
      <c r="C223" s="4" t="s">
        <v>67</v>
      </c>
      <c r="D223" s="4" t="s">
        <v>84</v>
      </c>
      <c r="E223" s="4" t="s">
        <v>197</v>
      </c>
      <c r="F223" s="6">
        <v>1</v>
      </c>
      <c r="G223" s="7">
        <v>0</v>
      </c>
      <c r="H223" s="7">
        <v>0</v>
      </c>
      <c r="I223" s="5">
        <v>1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1</v>
      </c>
      <c r="V223" s="7">
        <v>0</v>
      </c>
      <c r="W223" s="7">
        <v>0</v>
      </c>
      <c r="X223" s="5">
        <v>1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0.25</v>
      </c>
    </row>
    <row r="224">
      <c r="A224" s="24">
        <v>2315</v>
      </c>
      <c r="B224" s="9" t="s">
        <v>384</v>
      </c>
      <c r="C224" s="9" t="s">
        <v>136</v>
      </c>
      <c r="D224" s="9" t="s">
        <v>385</v>
      </c>
      <c r="E224" s="9" t="s">
        <v>386</v>
      </c>
      <c r="F224" s="11">
        <v>1</v>
      </c>
      <c r="G224" s="12">
        <v>0</v>
      </c>
      <c r="H224" s="12">
        <v>0</v>
      </c>
      <c r="I224" s="10">
        <v>1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1</v>
      </c>
      <c r="V224" s="12">
        <v>0</v>
      </c>
      <c r="W224" s="12">
        <v>0</v>
      </c>
      <c r="X224" s="10">
        <v>1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31">
        <v>0</v>
      </c>
    </row>
    <row r="225">
      <c r="A225" s="23">
        <v>2335</v>
      </c>
      <c r="B225" s="4" t="s">
        <v>387</v>
      </c>
      <c r="C225" s="4" t="s">
        <v>67</v>
      </c>
      <c r="D225" s="4" t="s">
        <v>79</v>
      </c>
      <c r="E225" s="4" t="s">
        <v>80</v>
      </c>
      <c r="F225" s="6">
        <v>1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5">
        <v>1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1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5">
        <v>1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30">
        <v>0</v>
      </c>
    </row>
    <row r="226">
      <c r="A226" s="24">
        <v>2336</v>
      </c>
      <c r="B226" s="9" t="s">
        <v>388</v>
      </c>
      <c r="C226" s="9" t="s">
        <v>163</v>
      </c>
      <c r="D226" s="9" t="s">
        <v>164</v>
      </c>
      <c r="E226" s="9" t="s">
        <v>171</v>
      </c>
      <c r="F226" s="11">
        <v>2</v>
      </c>
      <c r="G226" s="12">
        <v>0</v>
      </c>
      <c r="H226" s="12">
        <v>0</v>
      </c>
      <c r="I226" s="10">
        <v>1</v>
      </c>
      <c r="J226" s="12">
        <v>0</v>
      </c>
      <c r="K226" s="10">
        <v>1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2</v>
      </c>
      <c r="V226" s="12">
        <v>0</v>
      </c>
      <c r="W226" s="12">
        <v>0</v>
      </c>
      <c r="X226" s="10">
        <v>1</v>
      </c>
      <c r="Y226" s="12">
        <v>0</v>
      </c>
      <c r="Z226" s="10">
        <v>1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31">
        <v>0</v>
      </c>
    </row>
    <row r="227">
      <c r="A227" s="23">
        <v>2338</v>
      </c>
      <c r="B227" s="4" t="s">
        <v>389</v>
      </c>
      <c r="C227" s="4" t="s">
        <v>163</v>
      </c>
      <c r="D227" s="4" t="s">
        <v>390</v>
      </c>
      <c r="E227" s="4" t="s">
        <v>391</v>
      </c>
      <c r="F227" s="6">
        <v>4</v>
      </c>
      <c r="G227" s="7">
        <v>0</v>
      </c>
      <c r="H227" s="5">
        <v>2</v>
      </c>
      <c r="I227" s="7">
        <v>0</v>
      </c>
      <c r="J227" s="5">
        <v>1</v>
      </c>
      <c r="K227" s="5">
        <v>1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4</v>
      </c>
      <c r="V227" s="7">
        <v>0</v>
      </c>
      <c r="W227" s="5">
        <v>2</v>
      </c>
      <c r="X227" s="7">
        <v>0</v>
      </c>
      <c r="Y227" s="5">
        <v>1</v>
      </c>
      <c r="Z227" s="5">
        <v>1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1.33</v>
      </c>
      <c r="AL227" s="5">
        <v>1</v>
      </c>
      <c r="AM227" s="5">
        <v>2</v>
      </c>
      <c r="AN227" s="28">
        <v>0.78</v>
      </c>
    </row>
    <row r="228">
      <c r="A228" s="24">
        <v>2349</v>
      </c>
      <c r="B228" s="9" t="s">
        <v>392</v>
      </c>
      <c r="C228" s="9" t="s">
        <v>67</v>
      </c>
      <c r="D228" s="9" t="s">
        <v>73</v>
      </c>
      <c r="E228" s="9" t="s">
        <v>393</v>
      </c>
      <c r="F228" s="11">
        <v>2</v>
      </c>
      <c r="G228" s="12">
        <v>0</v>
      </c>
      <c r="H228" s="12">
        <v>0</v>
      </c>
      <c r="I228" s="12">
        <v>0</v>
      </c>
      <c r="J228" s="10">
        <v>2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2</v>
      </c>
      <c r="V228" s="12">
        <v>0</v>
      </c>
      <c r="W228" s="12">
        <v>0</v>
      </c>
      <c r="X228" s="12">
        <v>0</v>
      </c>
      <c r="Y228" s="10">
        <v>2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0.44</v>
      </c>
    </row>
    <row r="229">
      <c r="A229" s="23">
        <v>2353</v>
      </c>
      <c r="B229" s="4" t="s">
        <v>394</v>
      </c>
      <c r="C229" s="4" t="s">
        <v>163</v>
      </c>
      <c r="D229" s="4" t="s">
        <v>390</v>
      </c>
      <c r="E229" s="4" t="s">
        <v>395</v>
      </c>
      <c r="F229" s="6">
        <v>3</v>
      </c>
      <c r="G229" s="5">
        <v>2</v>
      </c>
      <c r="H229" s="7">
        <v>0</v>
      </c>
      <c r="I229" s="7">
        <v>0</v>
      </c>
      <c r="J229" s="7">
        <v>0</v>
      </c>
      <c r="K229" s="5">
        <v>1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3</v>
      </c>
      <c r="V229" s="5">
        <v>2</v>
      </c>
      <c r="W229" s="7">
        <v>0</v>
      </c>
      <c r="X229" s="7">
        <v>0</v>
      </c>
      <c r="Y229" s="7">
        <v>0</v>
      </c>
      <c r="Z229" s="5">
        <v>1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1.5</v>
      </c>
      <c r="AL229" s="5">
        <v>1</v>
      </c>
      <c r="AM229" s="5">
        <v>2</v>
      </c>
      <c r="AN229" s="30">
        <v>0</v>
      </c>
    </row>
    <row r="230">
      <c r="A230" s="24">
        <v>2361</v>
      </c>
      <c r="B230" s="9" t="s">
        <v>396</v>
      </c>
      <c r="C230" s="9" t="s">
        <v>136</v>
      </c>
      <c r="D230" s="9" t="s">
        <v>349</v>
      </c>
      <c r="E230" s="9" t="s">
        <v>397</v>
      </c>
      <c r="F230" s="11">
        <v>2</v>
      </c>
      <c r="G230" s="12">
        <v>0</v>
      </c>
      <c r="H230" s="10">
        <v>1</v>
      </c>
      <c r="I230" s="10">
        <v>1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2</v>
      </c>
      <c r="V230" s="12">
        <v>0</v>
      </c>
      <c r="W230" s="10">
        <v>1</v>
      </c>
      <c r="X230" s="10">
        <v>1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31">
        <v>0</v>
      </c>
    </row>
    <row r="231">
      <c r="A231" s="23">
        <v>2367</v>
      </c>
      <c r="B231" s="4" t="s">
        <v>398</v>
      </c>
      <c r="C231" s="4" t="s">
        <v>67</v>
      </c>
      <c r="D231" s="4" t="s">
        <v>84</v>
      </c>
      <c r="E231" s="4" t="s">
        <v>399</v>
      </c>
      <c r="F231" s="6">
        <v>1</v>
      </c>
      <c r="G231" s="7">
        <v>0</v>
      </c>
      <c r="H231" s="7">
        <v>0</v>
      </c>
      <c r="I231" s="7">
        <v>0</v>
      </c>
      <c r="J231" s="5">
        <v>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1</v>
      </c>
      <c r="V231" s="7">
        <v>0</v>
      </c>
      <c r="W231" s="7">
        <v>0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30">
        <v>0</v>
      </c>
    </row>
    <row r="232">
      <c r="A232" s="24">
        <v>2372</v>
      </c>
      <c r="B232" s="9" t="s">
        <v>400</v>
      </c>
      <c r="C232" s="9" t="s">
        <v>67</v>
      </c>
      <c r="D232" s="9" t="s">
        <v>142</v>
      </c>
      <c r="E232" s="9" t="s">
        <v>143</v>
      </c>
      <c r="F232" s="11">
        <v>2</v>
      </c>
      <c r="G232" s="12">
        <v>0</v>
      </c>
      <c r="H232" s="12">
        <v>0</v>
      </c>
      <c r="I232" s="10">
        <v>1</v>
      </c>
      <c r="J232" s="10">
        <v>1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2</v>
      </c>
      <c r="V232" s="12">
        <v>0</v>
      </c>
      <c r="W232" s="12">
        <v>0</v>
      </c>
      <c r="X232" s="10">
        <v>1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0.25</v>
      </c>
    </row>
    <row r="233">
      <c r="A233" s="23">
        <v>2396</v>
      </c>
      <c r="B233" s="4" t="s">
        <v>401</v>
      </c>
      <c r="C233" s="4" t="s">
        <v>67</v>
      </c>
      <c r="D233" s="4" t="s">
        <v>68</v>
      </c>
      <c r="E233" s="4" t="s">
        <v>71</v>
      </c>
      <c r="F233" s="6">
        <v>1</v>
      </c>
      <c r="G233" s="7">
        <v>0</v>
      </c>
      <c r="H233" s="7">
        <v>0</v>
      </c>
      <c r="I233" s="5">
        <v>1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1</v>
      </c>
      <c r="V233" s="7">
        <v>0</v>
      </c>
      <c r="W233" s="7">
        <v>0</v>
      </c>
      <c r="X233" s="5">
        <v>1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30">
        <v>0</v>
      </c>
    </row>
    <row r="234">
      <c r="A234" s="24">
        <v>2401</v>
      </c>
      <c r="B234" s="9" t="s">
        <v>402</v>
      </c>
      <c r="C234" s="9" t="s">
        <v>67</v>
      </c>
      <c r="D234" s="9" t="s">
        <v>142</v>
      </c>
      <c r="E234" s="9" t="s">
        <v>143</v>
      </c>
      <c r="F234" s="11">
        <v>1</v>
      </c>
      <c r="G234" s="10">
        <v>1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1</v>
      </c>
      <c r="V234" s="10">
        <v>1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31">
        <v>0</v>
      </c>
    </row>
    <row r="235">
      <c r="A235" s="23">
        <v>2413</v>
      </c>
      <c r="B235" s="4" t="s">
        <v>403</v>
      </c>
      <c r="C235" s="4" t="s">
        <v>67</v>
      </c>
      <c r="D235" s="4" t="s">
        <v>84</v>
      </c>
      <c r="E235" s="4" t="s">
        <v>404</v>
      </c>
      <c r="F235" s="6">
        <v>1</v>
      </c>
      <c r="G235" s="5">
        <v>1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1</v>
      </c>
      <c r="V235" s="5">
        <v>1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30">
        <v>0</v>
      </c>
    </row>
    <row r="236">
      <c r="A236" s="24">
        <v>2416</v>
      </c>
      <c r="B236" s="9" t="s">
        <v>405</v>
      </c>
      <c r="C236" s="9" t="s">
        <v>67</v>
      </c>
      <c r="D236" s="9" t="s">
        <v>108</v>
      </c>
      <c r="E236" s="9" t="s">
        <v>109</v>
      </c>
      <c r="F236" s="11">
        <v>3</v>
      </c>
      <c r="G236" s="12">
        <v>0</v>
      </c>
      <c r="H236" s="10">
        <v>1</v>
      </c>
      <c r="I236" s="12">
        <v>0</v>
      </c>
      <c r="J236" s="10">
        <v>2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2</v>
      </c>
      <c r="V236" s="12">
        <v>0</v>
      </c>
      <c r="W236" s="10">
        <v>1</v>
      </c>
      <c r="X236" s="12">
        <v>0</v>
      </c>
      <c r="Y236" s="10">
        <v>1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1.5</v>
      </c>
      <c r="AL236" s="10">
        <v>1</v>
      </c>
      <c r="AM236" s="10">
        <v>2</v>
      </c>
      <c r="AN236" s="29">
        <v>0.24</v>
      </c>
    </row>
    <row r="237">
      <c r="A237" s="23">
        <v>2430</v>
      </c>
      <c r="B237" s="4" t="s">
        <v>406</v>
      </c>
      <c r="C237" s="4" t="s">
        <v>67</v>
      </c>
      <c r="D237" s="4" t="s">
        <v>84</v>
      </c>
      <c r="E237" s="4" t="s">
        <v>404</v>
      </c>
      <c r="F237" s="6">
        <v>1</v>
      </c>
      <c r="G237" s="5">
        <v>1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1</v>
      </c>
      <c r="V237" s="5">
        <v>1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30">
        <v>0</v>
      </c>
    </row>
    <row r="238">
      <c r="A238" s="24">
        <v>2431</v>
      </c>
      <c r="B238" s="9" t="s">
        <v>407</v>
      </c>
      <c r="C238" s="9" t="s">
        <v>67</v>
      </c>
      <c r="D238" s="9" t="s">
        <v>84</v>
      </c>
      <c r="E238" s="9" t="s">
        <v>85</v>
      </c>
      <c r="F238" s="11">
        <v>1</v>
      </c>
      <c r="G238" s="10">
        <v>1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1</v>
      </c>
      <c r="V238" s="10">
        <v>1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31">
        <v>0</v>
      </c>
    </row>
    <row r="239">
      <c r="A239" s="23">
        <v>2433</v>
      </c>
      <c r="B239" s="4" t="s">
        <v>408</v>
      </c>
      <c r="C239" s="4" t="s">
        <v>67</v>
      </c>
      <c r="D239" s="4" t="s">
        <v>84</v>
      </c>
      <c r="E239" s="4" t="s">
        <v>85</v>
      </c>
      <c r="F239" s="6">
        <v>1</v>
      </c>
      <c r="G239" s="7">
        <v>0</v>
      </c>
      <c r="H239" s="7">
        <v>0</v>
      </c>
      <c r="I239" s="7">
        <v>0</v>
      </c>
      <c r="J239" s="5">
        <v>1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1</v>
      </c>
      <c r="V239" s="7">
        <v>0</v>
      </c>
      <c r="W239" s="7">
        <v>0</v>
      </c>
      <c r="X239" s="7">
        <v>0</v>
      </c>
      <c r="Y239" s="5">
        <v>1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0.26</v>
      </c>
    </row>
    <row r="240">
      <c r="A240" s="24">
        <v>2440</v>
      </c>
      <c r="B240" s="9" t="s">
        <v>409</v>
      </c>
      <c r="C240" s="9" t="s">
        <v>67</v>
      </c>
      <c r="D240" s="9" t="s">
        <v>84</v>
      </c>
      <c r="E240" s="9" t="s">
        <v>85</v>
      </c>
      <c r="F240" s="11">
        <v>1</v>
      </c>
      <c r="G240" s="12">
        <v>0</v>
      </c>
      <c r="H240" s="12">
        <v>0</v>
      </c>
      <c r="I240" s="12">
        <v>0</v>
      </c>
      <c r="J240" s="10">
        <v>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1</v>
      </c>
      <c r="V240" s="12">
        <v>0</v>
      </c>
      <c r="W240" s="12">
        <v>0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0.25</v>
      </c>
    </row>
    <row r="241">
      <c r="A241" s="23">
        <v>2442</v>
      </c>
      <c r="B241" s="4" t="s">
        <v>410</v>
      </c>
      <c r="C241" s="4" t="s">
        <v>67</v>
      </c>
      <c r="D241" s="4" t="s">
        <v>89</v>
      </c>
      <c r="E241" s="4" t="s">
        <v>90</v>
      </c>
      <c r="F241" s="6">
        <v>1</v>
      </c>
      <c r="G241" s="7">
        <v>0</v>
      </c>
      <c r="H241" s="7">
        <v>0</v>
      </c>
      <c r="I241" s="5">
        <v>1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1</v>
      </c>
      <c r="V241" s="7">
        <v>0</v>
      </c>
      <c r="W241" s="7">
        <v>0</v>
      </c>
      <c r="X241" s="5">
        <v>1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0.25</v>
      </c>
    </row>
    <row r="242">
      <c r="A242" s="24">
        <v>2445</v>
      </c>
      <c r="B242" s="9" t="s">
        <v>411</v>
      </c>
      <c r="C242" s="9" t="s">
        <v>67</v>
      </c>
      <c r="D242" s="9" t="s">
        <v>111</v>
      </c>
      <c r="E242" s="9" t="s">
        <v>412</v>
      </c>
      <c r="F242" s="11">
        <v>3</v>
      </c>
      <c r="G242" s="12">
        <v>0</v>
      </c>
      <c r="H242" s="12">
        <v>0</v>
      </c>
      <c r="I242" s="12">
        <v>0</v>
      </c>
      <c r="J242" s="10">
        <v>1</v>
      </c>
      <c r="K242" s="10">
        <v>2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3</v>
      </c>
      <c r="V242" s="12">
        <v>0</v>
      </c>
      <c r="W242" s="12">
        <v>0</v>
      </c>
      <c r="X242" s="12">
        <v>0</v>
      </c>
      <c r="Y242" s="10">
        <v>1</v>
      </c>
      <c r="Z242" s="10">
        <v>2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1.5</v>
      </c>
      <c r="AL242" s="10">
        <v>1</v>
      </c>
      <c r="AM242" s="10">
        <v>2</v>
      </c>
      <c r="AN242" s="29">
        <v>0.25</v>
      </c>
    </row>
    <row r="243">
      <c r="A243" s="23">
        <v>2482</v>
      </c>
      <c r="B243" s="4" t="s">
        <v>413</v>
      </c>
      <c r="C243" s="4" t="s">
        <v>67</v>
      </c>
      <c r="D243" s="4" t="s">
        <v>76</v>
      </c>
      <c r="E243" s="4" t="s">
        <v>77</v>
      </c>
      <c r="F243" s="6">
        <v>1</v>
      </c>
      <c r="G243" s="5">
        <v>1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1</v>
      </c>
      <c r="V243" s="5">
        <v>1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30">
        <v>0</v>
      </c>
    </row>
    <row r="244">
      <c r="A244" s="24">
        <v>2486</v>
      </c>
      <c r="B244" s="9" t="s">
        <v>414</v>
      </c>
      <c r="C244" s="9" t="s">
        <v>163</v>
      </c>
      <c r="D244" s="9" t="s">
        <v>164</v>
      </c>
      <c r="E244" s="9" t="s">
        <v>165</v>
      </c>
      <c r="F244" s="11">
        <v>1</v>
      </c>
      <c r="G244" s="12">
        <v>0</v>
      </c>
      <c r="H244" s="10">
        <v>1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1</v>
      </c>
      <c r="V244" s="12">
        <v>0</v>
      </c>
      <c r="W244" s="10">
        <v>1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29">
        <v>0.25</v>
      </c>
    </row>
    <row r="245">
      <c r="A245" s="23">
        <v>2488</v>
      </c>
      <c r="B245" s="4" t="s">
        <v>415</v>
      </c>
      <c r="C245" s="4" t="s">
        <v>136</v>
      </c>
      <c r="D245" s="4" t="s">
        <v>416</v>
      </c>
      <c r="E245" s="4" t="s">
        <v>417</v>
      </c>
      <c r="F245" s="6">
        <v>2</v>
      </c>
      <c r="G245" s="5">
        <v>1</v>
      </c>
      <c r="H245" s="7">
        <v>0</v>
      </c>
      <c r="I245" s="7">
        <v>0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2</v>
      </c>
      <c r="V245" s="5">
        <v>1</v>
      </c>
      <c r="W245" s="7">
        <v>0</v>
      </c>
      <c r="X245" s="7">
        <v>0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30">
        <v>0</v>
      </c>
    </row>
    <row r="246">
      <c r="A246" s="24">
        <v>2489</v>
      </c>
      <c r="B246" s="9" t="s">
        <v>418</v>
      </c>
      <c r="C246" s="9" t="s">
        <v>163</v>
      </c>
      <c r="D246" s="9" t="s">
        <v>419</v>
      </c>
      <c r="E246" s="9" t="s">
        <v>419</v>
      </c>
      <c r="F246" s="11">
        <v>3</v>
      </c>
      <c r="G246" s="10">
        <v>2</v>
      </c>
      <c r="H246" s="12">
        <v>0</v>
      </c>
      <c r="I246" s="10">
        <v>1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3</v>
      </c>
      <c r="V246" s="10">
        <v>2</v>
      </c>
      <c r="W246" s="12">
        <v>0</v>
      </c>
      <c r="X246" s="10">
        <v>1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1.5</v>
      </c>
      <c r="AL246" s="10">
        <v>1</v>
      </c>
      <c r="AM246" s="10">
        <v>2</v>
      </c>
      <c r="AN246" s="31">
        <v>0</v>
      </c>
    </row>
    <row r="247">
      <c r="A247" s="23">
        <v>2495</v>
      </c>
      <c r="B247" s="4" t="s">
        <v>420</v>
      </c>
      <c r="C247" s="4" t="s">
        <v>67</v>
      </c>
      <c r="D247" s="4" t="s">
        <v>84</v>
      </c>
      <c r="E247" s="4" t="s">
        <v>145</v>
      </c>
      <c r="F247" s="6">
        <v>3</v>
      </c>
      <c r="G247" s="5">
        <v>1</v>
      </c>
      <c r="H247" s="7">
        <v>0</v>
      </c>
      <c r="I247" s="7">
        <v>0</v>
      </c>
      <c r="J247" s="5">
        <v>2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3</v>
      </c>
      <c r="V247" s="5">
        <v>1</v>
      </c>
      <c r="W247" s="7">
        <v>0</v>
      </c>
      <c r="X247" s="7">
        <v>0</v>
      </c>
      <c r="Y247" s="5">
        <v>2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1.5</v>
      </c>
      <c r="AL247" s="5">
        <v>1</v>
      </c>
      <c r="AM247" s="5">
        <v>2</v>
      </c>
      <c r="AN247" s="30">
        <v>0</v>
      </c>
    </row>
    <row r="248">
      <c r="A248" s="24">
        <v>2499</v>
      </c>
      <c r="B248" s="9" t="s">
        <v>421</v>
      </c>
      <c r="C248" s="9" t="s">
        <v>67</v>
      </c>
      <c r="D248" s="9" t="s">
        <v>68</v>
      </c>
      <c r="E248" s="9" t="s">
        <v>71</v>
      </c>
      <c r="F248" s="11">
        <v>1</v>
      </c>
      <c r="G248" s="10">
        <v>1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1</v>
      </c>
      <c r="V248" s="10">
        <v>1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31">
        <v>0</v>
      </c>
    </row>
    <row r="249">
      <c r="A249" s="23">
        <v>2501</v>
      </c>
      <c r="B249" s="4" t="s">
        <v>422</v>
      </c>
      <c r="C249" s="4" t="s">
        <v>67</v>
      </c>
      <c r="D249" s="4" t="s">
        <v>92</v>
      </c>
      <c r="E249" s="4" t="s">
        <v>423</v>
      </c>
      <c r="F249" s="6">
        <v>2</v>
      </c>
      <c r="G249" s="7">
        <v>0</v>
      </c>
      <c r="H249" s="7">
        <v>0</v>
      </c>
      <c r="I249" s="5">
        <v>1</v>
      </c>
      <c r="J249" s="5">
        <v>1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2</v>
      </c>
      <c r="V249" s="7">
        <v>0</v>
      </c>
      <c r="W249" s="7">
        <v>0</v>
      </c>
      <c r="X249" s="5">
        <v>1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0.25</v>
      </c>
    </row>
    <row r="250">
      <c r="A250" s="24">
        <v>2502</v>
      </c>
      <c r="B250" s="9" t="s">
        <v>424</v>
      </c>
      <c r="C250" s="9" t="s">
        <v>67</v>
      </c>
      <c r="D250" s="9" t="s">
        <v>79</v>
      </c>
      <c r="E250" s="9" t="s">
        <v>82</v>
      </c>
      <c r="F250" s="11">
        <v>3</v>
      </c>
      <c r="G250" s="10">
        <v>2</v>
      </c>
      <c r="H250" s="12">
        <v>0</v>
      </c>
      <c r="I250" s="10">
        <v>1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3</v>
      </c>
      <c r="V250" s="10">
        <v>2</v>
      </c>
      <c r="W250" s="12">
        <v>0</v>
      </c>
      <c r="X250" s="10">
        <v>1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1.5</v>
      </c>
      <c r="AL250" s="10">
        <v>1</v>
      </c>
      <c r="AM250" s="10">
        <v>2</v>
      </c>
      <c r="AN250" s="31">
        <v>0</v>
      </c>
    </row>
    <row r="251">
      <c r="A251" s="23">
        <v>2525</v>
      </c>
      <c r="B251" s="4" t="s">
        <v>425</v>
      </c>
      <c r="C251" s="4" t="s">
        <v>67</v>
      </c>
      <c r="D251" s="4" t="s">
        <v>84</v>
      </c>
      <c r="E251" s="4" t="s">
        <v>404</v>
      </c>
      <c r="F251" s="6">
        <v>1</v>
      </c>
      <c r="G251" s="5">
        <v>1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1</v>
      </c>
      <c r="V251" s="5">
        <v>1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30">
        <v>0</v>
      </c>
    </row>
    <row r="252">
      <c r="A252" s="24">
        <v>2526</v>
      </c>
      <c r="B252" s="9" t="s">
        <v>426</v>
      </c>
      <c r="C252" s="9" t="s">
        <v>163</v>
      </c>
      <c r="D252" s="9" t="s">
        <v>164</v>
      </c>
      <c r="E252" s="9" t="s">
        <v>169</v>
      </c>
      <c r="F252" s="11">
        <v>4</v>
      </c>
      <c r="G252" s="12">
        <v>0</v>
      </c>
      <c r="H252" s="12">
        <v>0</v>
      </c>
      <c r="I252" s="10">
        <v>3</v>
      </c>
      <c r="J252" s="12">
        <v>0</v>
      </c>
      <c r="K252" s="10">
        <v>1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4</v>
      </c>
      <c r="V252" s="12">
        <v>0</v>
      </c>
      <c r="W252" s="12">
        <v>0</v>
      </c>
      <c r="X252" s="10">
        <v>3</v>
      </c>
      <c r="Y252" s="12">
        <v>0</v>
      </c>
      <c r="Z252" s="10">
        <v>1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1.33</v>
      </c>
      <c r="AL252" s="10">
        <v>1</v>
      </c>
      <c r="AM252" s="10">
        <v>2</v>
      </c>
      <c r="AN252" s="29">
        <v>0.25</v>
      </c>
    </row>
    <row r="253">
      <c r="A253" s="23">
        <v>2529</v>
      </c>
      <c r="B253" s="4" t="s">
        <v>427</v>
      </c>
      <c r="C253" s="4" t="s">
        <v>67</v>
      </c>
      <c r="D253" s="4" t="s">
        <v>84</v>
      </c>
      <c r="E253" s="4" t="s">
        <v>399</v>
      </c>
      <c r="F253" s="6">
        <v>1</v>
      </c>
      <c r="G253" s="7">
        <v>0</v>
      </c>
      <c r="H253" s="7">
        <v>0</v>
      </c>
      <c r="I253" s="5">
        <v>1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1</v>
      </c>
      <c r="V253" s="7">
        <v>0</v>
      </c>
      <c r="W253" s="7">
        <v>0</v>
      </c>
      <c r="X253" s="5">
        <v>1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30">
        <v>0</v>
      </c>
    </row>
    <row r="254">
      <c r="A254" s="24">
        <v>2538</v>
      </c>
      <c r="B254" s="9" t="s">
        <v>428</v>
      </c>
      <c r="C254" s="9" t="s">
        <v>67</v>
      </c>
      <c r="D254" s="9" t="s">
        <v>79</v>
      </c>
      <c r="E254" s="9" t="s">
        <v>116</v>
      </c>
      <c r="F254" s="11">
        <v>11</v>
      </c>
      <c r="G254" s="12">
        <v>0</v>
      </c>
      <c r="H254" s="12">
        <v>0</v>
      </c>
      <c r="I254" s="12">
        <v>0</v>
      </c>
      <c r="J254" s="10">
        <v>11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10</v>
      </c>
      <c r="V254" s="12">
        <v>0</v>
      </c>
      <c r="W254" s="12">
        <v>0</v>
      </c>
      <c r="X254" s="12">
        <v>0</v>
      </c>
      <c r="Y254" s="10">
        <v>10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11</v>
      </c>
      <c r="AK254" s="13">
        <v>11</v>
      </c>
      <c r="AL254" s="10">
        <v>11</v>
      </c>
      <c r="AM254" s="10">
        <v>11</v>
      </c>
      <c r="AN254" s="31">
        <v>0</v>
      </c>
    </row>
    <row r="255">
      <c r="A255" s="23">
        <v>2546</v>
      </c>
      <c r="B255" s="4" t="s">
        <v>429</v>
      </c>
      <c r="C255" s="4" t="s">
        <v>67</v>
      </c>
      <c r="D255" s="4" t="s">
        <v>111</v>
      </c>
      <c r="E255" s="4" t="s">
        <v>149</v>
      </c>
      <c r="F255" s="6">
        <v>1</v>
      </c>
      <c r="G255" s="7">
        <v>0</v>
      </c>
      <c r="H255" s="7">
        <v>0</v>
      </c>
      <c r="I255" s="5">
        <v>1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1</v>
      </c>
      <c r="V255" s="7">
        <v>0</v>
      </c>
      <c r="W255" s="7">
        <v>0</v>
      </c>
      <c r="X255" s="5">
        <v>1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28">
        <v>0.25</v>
      </c>
    </row>
    <row r="256">
      <c r="A256" s="24">
        <v>2552</v>
      </c>
      <c r="B256" s="9" t="s">
        <v>430</v>
      </c>
      <c r="C256" s="9" t="s">
        <v>67</v>
      </c>
      <c r="D256" s="9" t="s">
        <v>84</v>
      </c>
      <c r="E256" s="9" t="s">
        <v>85</v>
      </c>
      <c r="F256" s="11">
        <v>1</v>
      </c>
      <c r="G256" s="10">
        <v>1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1</v>
      </c>
      <c r="V256" s="10">
        <v>1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31">
        <v>0</v>
      </c>
    </row>
    <row r="257">
      <c r="A257" s="23">
        <v>2553</v>
      </c>
      <c r="B257" s="4" t="s">
        <v>431</v>
      </c>
      <c r="C257" s="4" t="s">
        <v>67</v>
      </c>
      <c r="D257" s="4" t="s">
        <v>142</v>
      </c>
      <c r="E257" s="4" t="s">
        <v>432</v>
      </c>
      <c r="F257" s="6">
        <v>2</v>
      </c>
      <c r="G257" s="7">
        <v>0</v>
      </c>
      <c r="H257" s="7">
        <v>0</v>
      </c>
      <c r="I257" s="5">
        <v>2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2</v>
      </c>
      <c r="V257" s="7">
        <v>0</v>
      </c>
      <c r="W257" s="7">
        <v>0</v>
      </c>
      <c r="X257" s="5">
        <v>2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2</v>
      </c>
      <c r="AK257" s="8">
        <v>2</v>
      </c>
      <c r="AL257" s="5">
        <v>2</v>
      </c>
      <c r="AM257" s="5">
        <v>2</v>
      </c>
      <c r="AN257" s="28">
        <v>0.5</v>
      </c>
    </row>
    <row r="258">
      <c r="A258" s="24">
        <v>2555</v>
      </c>
      <c r="B258" s="9" t="s">
        <v>433</v>
      </c>
      <c r="C258" s="9" t="s">
        <v>67</v>
      </c>
      <c r="D258" s="9" t="s">
        <v>84</v>
      </c>
      <c r="E258" s="9" t="s">
        <v>197</v>
      </c>
      <c r="F258" s="11">
        <v>1</v>
      </c>
      <c r="G258" s="12">
        <v>0</v>
      </c>
      <c r="H258" s="12">
        <v>0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1</v>
      </c>
      <c r="V258" s="12">
        <v>0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0.26</v>
      </c>
    </row>
    <row r="259">
      <c r="A259" s="23">
        <v>2561</v>
      </c>
      <c r="B259" s="4" t="s">
        <v>434</v>
      </c>
      <c r="C259" s="4" t="s">
        <v>67</v>
      </c>
      <c r="D259" s="4" t="s">
        <v>84</v>
      </c>
      <c r="E259" s="4" t="s">
        <v>197</v>
      </c>
      <c r="F259" s="6">
        <v>1</v>
      </c>
      <c r="G259" s="7">
        <v>0</v>
      </c>
      <c r="H259" s="7">
        <v>0</v>
      </c>
      <c r="I259" s="7">
        <v>0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1</v>
      </c>
      <c r="V259" s="7">
        <v>0</v>
      </c>
      <c r="W259" s="7">
        <v>0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0.25</v>
      </c>
    </row>
    <row r="260">
      <c r="A260" s="24">
        <v>2565</v>
      </c>
      <c r="B260" s="9" t="s">
        <v>435</v>
      </c>
      <c r="C260" s="9" t="s">
        <v>67</v>
      </c>
      <c r="D260" s="9" t="s">
        <v>84</v>
      </c>
      <c r="E260" s="9" t="s">
        <v>197</v>
      </c>
      <c r="F260" s="11">
        <v>1</v>
      </c>
      <c r="G260" s="12">
        <v>0</v>
      </c>
      <c r="H260" s="12">
        <v>0</v>
      </c>
      <c r="I260" s="12">
        <v>0</v>
      </c>
      <c r="J260" s="10">
        <v>1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1</v>
      </c>
      <c r="V260" s="12">
        <v>0</v>
      </c>
      <c r="W260" s="12">
        <v>0</v>
      </c>
      <c r="X260" s="12">
        <v>0</v>
      </c>
      <c r="Y260" s="10">
        <v>1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0.25</v>
      </c>
    </row>
    <row r="261">
      <c r="A261" s="23">
        <v>2566</v>
      </c>
      <c r="B261" s="4" t="s">
        <v>436</v>
      </c>
      <c r="C261" s="4" t="s">
        <v>67</v>
      </c>
      <c r="D261" s="4" t="s">
        <v>84</v>
      </c>
      <c r="E261" s="4" t="s">
        <v>197</v>
      </c>
      <c r="F261" s="6">
        <v>5</v>
      </c>
      <c r="G261" s="7">
        <v>0</v>
      </c>
      <c r="H261" s="7">
        <v>0</v>
      </c>
      <c r="I261" s="7">
        <v>0</v>
      </c>
      <c r="J261" s="5">
        <v>5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4</v>
      </c>
      <c r="V261" s="7">
        <v>0</v>
      </c>
      <c r="W261" s="7">
        <v>0</v>
      </c>
      <c r="X261" s="7">
        <v>0</v>
      </c>
      <c r="Y261" s="5">
        <v>4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2.5</v>
      </c>
      <c r="AL261" s="5">
        <v>2</v>
      </c>
      <c r="AM261" s="5">
        <v>4</v>
      </c>
      <c r="AN261" s="28">
        <v>1</v>
      </c>
    </row>
    <row r="262">
      <c r="A262" s="24">
        <v>2574</v>
      </c>
      <c r="B262" s="9" t="s">
        <v>437</v>
      </c>
      <c r="C262" s="9" t="s">
        <v>67</v>
      </c>
      <c r="D262" s="9" t="s">
        <v>84</v>
      </c>
      <c r="E262" s="9" t="s">
        <v>197</v>
      </c>
      <c r="F262" s="11">
        <v>3</v>
      </c>
      <c r="G262" s="12">
        <v>0</v>
      </c>
      <c r="H262" s="12">
        <v>0</v>
      </c>
      <c r="I262" s="12">
        <v>0</v>
      </c>
      <c r="J262" s="10">
        <v>3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3</v>
      </c>
      <c r="V262" s="12">
        <v>0</v>
      </c>
      <c r="W262" s="12">
        <v>0</v>
      </c>
      <c r="X262" s="12">
        <v>0</v>
      </c>
      <c r="Y262" s="10">
        <v>3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1.5</v>
      </c>
      <c r="AL262" s="10">
        <v>1</v>
      </c>
      <c r="AM262" s="10">
        <v>2</v>
      </c>
      <c r="AN262" s="29">
        <v>0.75</v>
      </c>
    </row>
    <row r="263">
      <c r="A263" s="23">
        <v>2577</v>
      </c>
      <c r="B263" s="4" t="s">
        <v>438</v>
      </c>
      <c r="C263" s="4" t="s">
        <v>67</v>
      </c>
      <c r="D263" s="4" t="s">
        <v>84</v>
      </c>
      <c r="E263" s="4" t="s">
        <v>145</v>
      </c>
      <c r="F263" s="6">
        <v>3</v>
      </c>
      <c r="G263" s="5">
        <v>1</v>
      </c>
      <c r="H263" s="7">
        <v>0</v>
      </c>
      <c r="I263" s="7">
        <v>0</v>
      </c>
      <c r="J263" s="5">
        <v>2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3</v>
      </c>
      <c r="V263" s="5">
        <v>1</v>
      </c>
      <c r="W263" s="7">
        <v>0</v>
      </c>
      <c r="X263" s="7">
        <v>0</v>
      </c>
      <c r="Y263" s="5">
        <v>2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1.5</v>
      </c>
      <c r="AL263" s="5">
        <v>1</v>
      </c>
      <c r="AM263" s="5">
        <v>2</v>
      </c>
      <c r="AN263" s="30">
        <v>0</v>
      </c>
    </row>
    <row r="264">
      <c r="A264" s="24">
        <v>2586</v>
      </c>
      <c r="B264" s="9" t="s">
        <v>439</v>
      </c>
      <c r="C264" s="9" t="s">
        <v>163</v>
      </c>
      <c r="D264" s="9" t="s">
        <v>390</v>
      </c>
      <c r="E264" s="9" t="s">
        <v>391</v>
      </c>
      <c r="F264" s="11">
        <v>3</v>
      </c>
      <c r="G264" s="10">
        <v>1</v>
      </c>
      <c r="H264" s="12">
        <v>0</v>
      </c>
      <c r="I264" s="10">
        <v>1</v>
      </c>
      <c r="J264" s="12">
        <v>0</v>
      </c>
      <c r="K264" s="10">
        <v>1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3</v>
      </c>
      <c r="V264" s="10">
        <v>1</v>
      </c>
      <c r="W264" s="12">
        <v>0</v>
      </c>
      <c r="X264" s="10">
        <v>1</v>
      </c>
      <c r="Y264" s="12">
        <v>0</v>
      </c>
      <c r="Z264" s="10">
        <v>1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31">
        <v>0</v>
      </c>
    </row>
    <row r="265">
      <c r="A265" s="23">
        <v>2602</v>
      </c>
      <c r="B265" s="4" t="s">
        <v>440</v>
      </c>
      <c r="C265" s="4" t="s">
        <v>136</v>
      </c>
      <c r="D265" s="4" t="s">
        <v>441</v>
      </c>
      <c r="E265" s="4" t="s">
        <v>442</v>
      </c>
      <c r="F265" s="6">
        <v>1</v>
      </c>
      <c r="G265" s="7">
        <v>0</v>
      </c>
      <c r="H265" s="7">
        <v>0</v>
      </c>
      <c r="I265" s="7">
        <v>0</v>
      </c>
      <c r="J265" s="5">
        <v>1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1</v>
      </c>
      <c r="V265" s="7">
        <v>0</v>
      </c>
      <c r="W265" s="7">
        <v>0</v>
      </c>
      <c r="X265" s="7">
        <v>0</v>
      </c>
      <c r="Y265" s="5">
        <v>1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0.26</v>
      </c>
    </row>
    <row r="266">
      <c r="A266" s="24">
        <v>2607</v>
      </c>
      <c r="B266" s="9" t="s">
        <v>443</v>
      </c>
      <c r="C266" s="9" t="s">
        <v>136</v>
      </c>
      <c r="D266" s="9" t="s">
        <v>444</v>
      </c>
      <c r="E266" s="9" t="s">
        <v>445</v>
      </c>
      <c r="F266" s="11">
        <v>2</v>
      </c>
      <c r="G266" s="12">
        <v>0</v>
      </c>
      <c r="H266" s="12">
        <v>0</v>
      </c>
      <c r="I266" s="12">
        <v>0</v>
      </c>
      <c r="J266" s="10">
        <v>1</v>
      </c>
      <c r="K266" s="12">
        <v>0</v>
      </c>
      <c r="L266" s="10">
        <v>1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2</v>
      </c>
      <c r="V266" s="12">
        <v>0</v>
      </c>
      <c r="W266" s="12">
        <v>0</v>
      </c>
      <c r="X266" s="12">
        <v>0</v>
      </c>
      <c r="Y266" s="10">
        <v>1</v>
      </c>
      <c r="Z266" s="12">
        <v>0</v>
      </c>
      <c r="AA266" s="10">
        <v>1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31">
        <v>0</v>
      </c>
    </row>
    <row r="267">
      <c r="A267" s="23">
        <v>2611</v>
      </c>
      <c r="B267" s="4" t="s">
        <v>446</v>
      </c>
      <c r="C267" s="4" t="s">
        <v>136</v>
      </c>
      <c r="D267" s="4" t="s">
        <v>223</v>
      </c>
      <c r="E267" s="4" t="s">
        <v>224</v>
      </c>
      <c r="F267" s="6">
        <v>1</v>
      </c>
      <c r="G267" s="7">
        <v>0</v>
      </c>
      <c r="H267" s="7">
        <v>0</v>
      </c>
      <c r="I267" s="7">
        <v>0</v>
      </c>
      <c r="J267" s="5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1</v>
      </c>
      <c r="V267" s="7">
        <v>0</v>
      </c>
      <c r="W267" s="7">
        <v>0</v>
      </c>
      <c r="X267" s="7">
        <v>0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30">
        <v>0</v>
      </c>
    </row>
    <row r="268">
      <c r="A268" s="24">
        <v>2612</v>
      </c>
      <c r="B268" s="9" t="s">
        <v>447</v>
      </c>
      <c r="C268" s="9" t="s">
        <v>163</v>
      </c>
      <c r="D268" s="9" t="s">
        <v>173</v>
      </c>
      <c r="E268" s="9" t="s">
        <v>179</v>
      </c>
      <c r="F268" s="11">
        <v>1</v>
      </c>
      <c r="G268" s="12">
        <v>0</v>
      </c>
      <c r="H268" s="12">
        <v>0</v>
      </c>
      <c r="I268" s="12">
        <v>0</v>
      </c>
      <c r="J268" s="12">
        <v>0</v>
      </c>
      <c r="K268" s="10">
        <v>1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1</v>
      </c>
      <c r="V268" s="12">
        <v>0</v>
      </c>
      <c r="W268" s="12">
        <v>0</v>
      </c>
      <c r="X268" s="12">
        <v>0</v>
      </c>
      <c r="Y268" s="12">
        <v>0</v>
      </c>
      <c r="Z268" s="10">
        <v>1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31">
        <v>0</v>
      </c>
    </row>
    <row r="269">
      <c r="A269" s="23">
        <v>2613</v>
      </c>
      <c r="B269" s="4" t="s">
        <v>448</v>
      </c>
      <c r="C269" s="4" t="s">
        <v>163</v>
      </c>
      <c r="D269" s="4" t="s">
        <v>164</v>
      </c>
      <c r="E269" s="4" t="s">
        <v>165</v>
      </c>
      <c r="F269" s="6">
        <v>2</v>
      </c>
      <c r="G269" s="5">
        <v>2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2</v>
      </c>
      <c r="V269" s="5">
        <v>2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30">
        <v>0</v>
      </c>
    </row>
    <row r="270">
      <c r="A270" s="24">
        <v>2615</v>
      </c>
      <c r="B270" s="9" t="s">
        <v>449</v>
      </c>
      <c r="C270" s="9" t="s">
        <v>163</v>
      </c>
      <c r="D270" s="9" t="s">
        <v>164</v>
      </c>
      <c r="E270" s="9" t="s">
        <v>165</v>
      </c>
      <c r="F270" s="11">
        <v>2</v>
      </c>
      <c r="G270" s="10">
        <v>1</v>
      </c>
      <c r="H270" s="12">
        <v>0</v>
      </c>
      <c r="I270" s="10">
        <v>1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2</v>
      </c>
      <c r="V270" s="10">
        <v>1</v>
      </c>
      <c r="W270" s="12">
        <v>0</v>
      </c>
      <c r="X270" s="10">
        <v>1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0.24</v>
      </c>
    </row>
    <row r="271">
      <c r="A271" s="23">
        <v>2616</v>
      </c>
      <c r="B271" s="4" t="s">
        <v>450</v>
      </c>
      <c r="C271" s="4" t="s">
        <v>163</v>
      </c>
      <c r="D271" s="4" t="s">
        <v>173</v>
      </c>
      <c r="E271" s="4" t="s">
        <v>174</v>
      </c>
      <c r="F271" s="6">
        <v>1</v>
      </c>
      <c r="G271" s="7">
        <v>0</v>
      </c>
      <c r="H271" s="7">
        <v>0</v>
      </c>
      <c r="I271" s="7">
        <v>0</v>
      </c>
      <c r="J271" s="7">
        <v>0</v>
      </c>
      <c r="K271" s="5">
        <v>1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1</v>
      </c>
      <c r="V271" s="7">
        <v>0</v>
      </c>
      <c r="W271" s="7">
        <v>0</v>
      </c>
      <c r="X271" s="7">
        <v>0</v>
      </c>
      <c r="Y271" s="7">
        <v>0</v>
      </c>
      <c r="Z271" s="5">
        <v>1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30">
        <v>0</v>
      </c>
    </row>
    <row r="272">
      <c r="A272" s="24">
        <v>2619</v>
      </c>
      <c r="B272" s="9" t="s">
        <v>451</v>
      </c>
      <c r="C272" s="9" t="s">
        <v>67</v>
      </c>
      <c r="D272" s="9" t="s">
        <v>105</v>
      </c>
      <c r="E272" s="9" t="s">
        <v>227</v>
      </c>
      <c r="F272" s="11">
        <v>1</v>
      </c>
      <c r="G272" s="12">
        <v>0</v>
      </c>
      <c r="H272" s="10">
        <v>1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1</v>
      </c>
      <c r="V272" s="12">
        <v>0</v>
      </c>
      <c r="W272" s="10">
        <v>1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31">
        <v>0</v>
      </c>
    </row>
    <row r="273">
      <c r="A273" s="23">
        <v>2640</v>
      </c>
      <c r="B273" s="4" t="s">
        <v>452</v>
      </c>
      <c r="C273" s="4" t="s">
        <v>67</v>
      </c>
      <c r="D273" s="4" t="s">
        <v>105</v>
      </c>
      <c r="E273" s="4" t="s">
        <v>193</v>
      </c>
      <c r="F273" s="6">
        <v>1</v>
      </c>
      <c r="G273" s="5">
        <v>1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1</v>
      </c>
      <c r="V273" s="5">
        <v>1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30">
        <v>0</v>
      </c>
    </row>
    <row r="274">
      <c r="A274" s="24">
        <v>2644</v>
      </c>
      <c r="B274" s="9" t="s">
        <v>453</v>
      </c>
      <c r="C274" s="9" t="s">
        <v>67</v>
      </c>
      <c r="D274" s="9" t="s">
        <v>79</v>
      </c>
      <c r="E274" s="9" t="s">
        <v>82</v>
      </c>
      <c r="F274" s="11">
        <v>1</v>
      </c>
      <c r="G274" s="12">
        <v>0</v>
      </c>
      <c r="H274" s="12">
        <v>0</v>
      </c>
      <c r="I274" s="12">
        <v>0</v>
      </c>
      <c r="J274" s="10">
        <v>1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1</v>
      </c>
      <c r="V274" s="12">
        <v>0</v>
      </c>
      <c r="W274" s="12">
        <v>0</v>
      </c>
      <c r="X274" s="12">
        <v>0</v>
      </c>
      <c r="Y274" s="10">
        <v>1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31">
        <v>0</v>
      </c>
    </row>
    <row r="275">
      <c r="A275" s="23">
        <v>2645</v>
      </c>
      <c r="B275" s="4" t="s">
        <v>454</v>
      </c>
      <c r="C275" s="4" t="s">
        <v>67</v>
      </c>
      <c r="D275" s="4" t="s">
        <v>111</v>
      </c>
      <c r="E275" s="4" t="s">
        <v>112</v>
      </c>
      <c r="F275" s="6">
        <v>8</v>
      </c>
      <c r="G275" s="5">
        <v>6</v>
      </c>
      <c r="H275" s="7">
        <v>0</v>
      </c>
      <c r="I275" s="5">
        <v>1</v>
      </c>
      <c r="J275" s="5">
        <v>1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5</v>
      </c>
      <c r="V275" s="5">
        <v>3</v>
      </c>
      <c r="W275" s="7">
        <v>0</v>
      </c>
      <c r="X275" s="5">
        <v>1</v>
      </c>
      <c r="Y275" s="5">
        <v>1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2</v>
      </c>
      <c r="AL275" s="5">
        <v>1</v>
      </c>
      <c r="AM275" s="5">
        <v>4</v>
      </c>
      <c r="AN275" s="28">
        <v>0.78</v>
      </c>
    </row>
    <row r="276">
      <c r="A276" s="24">
        <v>2662</v>
      </c>
      <c r="B276" s="9" t="s">
        <v>455</v>
      </c>
      <c r="C276" s="9" t="s">
        <v>67</v>
      </c>
      <c r="D276" s="9" t="s">
        <v>84</v>
      </c>
      <c r="E276" s="9" t="s">
        <v>145</v>
      </c>
      <c r="F276" s="11">
        <v>1</v>
      </c>
      <c r="G276" s="10">
        <v>1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1</v>
      </c>
      <c r="V276" s="10">
        <v>1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31">
        <v>0</v>
      </c>
    </row>
    <row r="277">
      <c r="A277" s="23">
        <v>2664</v>
      </c>
      <c r="B277" s="4" t="s">
        <v>456</v>
      </c>
      <c r="C277" s="4" t="s">
        <v>67</v>
      </c>
      <c r="D277" s="4" t="s">
        <v>111</v>
      </c>
      <c r="E277" s="4" t="s">
        <v>149</v>
      </c>
      <c r="F277" s="6">
        <v>1</v>
      </c>
      <c r="G277" s="7">
        <v>0</v>
      </c>
      <c r="H277" s="7">
        <v>0</v>
      </c>
      <c r="I277" s="5">
        <v>1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1</v>
      </c>
      <c r="V277" s="7">
        <v>0</v>
      </c>
      <c r="W277" s="7">
        <v>0</v>
      </c>
      <c r="X277" s="5">
        <v>1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30">
        <v>0</v>
      </c>
    </row>
    <row r="278">
      <c r="A278" s="24">
        <v>2669</v>
      </c>
      <c r="B278" s="9" t="s">
        <v>457</v>
      </c>
      <c r="C278" s="9" t="s">
        <v>67</v>
      </c>
      <c r="D278" s="9" t="s">
        <v>76</v>
      </c>
      <c r="E278" s="9" t="s">
        <v>156</v>
      </c>
      <c r="F278" s="11">
        <v>1</v>
      </c>
      <c r="G278" s="12">
        <v>0</v>
      </c>
      <c r="H278" s="12">
        <v>0</v>
      </c>
      <c r="I278" s="10">
        <v>1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1</v>
      </c>
      <c r="V278" s="12">
        <v>0</v>
      </c>
      <c r="W278" s="12">
        <v>0</v>
      </c>
      <c r="X278" s="10">
        <v>1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31">
        <v>0</v>
      </c>
    </row>
    <row r="279">
      <c r="A279" s="23">
        <v>2671</v>
      </c>
      <c r="B279" s="4" t="s">
        <v>458</v>
      </c>
      <c r="C279" s="4" t="s">
        <v>67</v>
      </c>
      <c r="D279" s="4" t="s">
        <v>76</v>
      </c>
      <c r="E279" s="4" t="s">
        <v>459</v>
      </c>
      <c r="F279" s="6">
        <v>1</v>
      </c>
      <c r="G279" s="7">
        <v>0</v>
      </c>
      <c r="H279" s="7">
        <v>0</v>
      </c>
      <c r="I279" s="5">
        <v>1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1</v>
      </c>
      <c r="V279" s="7">
        <v>0</v>
      </c>
      <c r="W279" s="7">
        <v>0</v>
      </c>
      <c r="X279" s="5">
        <v>1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0.22</v>
      </c>
    </row>
    <row r="280">
      <c r="A280" s="24">
        <v>2684</v>
      </c>
      <c r="B280" s="9" t="s">
        <v>460</v>
      </c>
      <c r="C280" s="9" t="s">
        <v>136</v>
      </c>
      <c r="D280" s="9" t="s">
        <v>461</v>
      </c>
      <c r="E280" s="9" t="s">
        <v>462</v>
      </c>
      <c r="F280" s="11">
        <v>1</v>
      </c>
      <c r="G280" s="12">
        <v>0</v>
      </c>
      <c r="H280" s="10">
        <v>1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1</v>
      </c>
      <c r="V280" s="12">
        <v>0</v>
      </c>
      <c r="W280" s="10">
        <v>1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0.25</v>
      </c>
    </row>
    <row r="281">
      <c r="A281" s="23">
        <v>2698</v>
      </c>
      <c r="B281" s="4" t="s">
        <v>463</v>
      </c>
      <c r="C281" s="4" t="s">
        <v>67</v>
      </c>
      <c r="D281" s="4" t="s">
        <v>79</v>
      </c>
      <c r="E281" s="4" t="s">
        <v>116</v>
      </c>
      <c r="F281" s="6">
        <v>2</v>
      </c>
      <c r="G281" s="7">
        <v>0</v>
      </c>
      <c r="H281" s="7">
        <v>0</v>
      </c>
      <c r="I281" s="5">
        <v>1</v>
      </c>
      <c r="J281" s="5">
        <v>1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2</v>
      </c>
      <c r="V281" s="7">
        <v>0</v>
      </c>
      <c r="W281" s="7">
        <v>0</v>
      </c>
      <c r="X281" s="5">
        <v>1</v>
      </c>
      <c r="Y281" s="5">
        <v>1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28">
        <v>0.26</v>
      </c>
    </row>
    <row r="282">
      <c r="A282" s="24">
        <v>2704</v>
      </c>
      <c r="B282" s="9" t="s">
        <v>464</v>
      </c>
      <c r="C282" s="9" t="s">
        <v>67</v>
      </c>
      <c r="D282" s="9" t="s">
        <v>111</v>
      </c>
      <c r="E282" s="9" t="s">
        <v>147</v>
      </c>
      <c r="F282" s="11">
        <v>1</v>
      </c>
      <c r="G282" s="12">
        <v>0</v>
      </c>
      <c r="H282" s="10">
        <v>1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1</v>
      </c>
      <c r="V282" s="12">
        <v>0</v>
      </c>
      <c r="W282" s="10">
        <v>1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0.22</v>
      </c>
    </row>
    <row r="283">
      <c r="A283" s="23">
        <v>2708</v>
      </c>
      <c r="B283" s="4" t="s">
        <v>465</v>
      </c>
      <c r="C283" s="4" t="s">
        <v>67</v>
      </c>
      <c r="D283" s="4" t="s">
        <v>79</v>
      </c>
      <c r="E283" s="4" t="s">
        <v>116</v>
      </c>
      <c r="F283" s="6">
        <v>1</v>
      </c>
      <c r="G283" s="7">
        <v>0</v>
      </c>
      <c r="H283" s="7">
        <v>0</v>
      </c>
      <c r="I283" s="7">
        <v>0</v>
      </c>
      <c r="J283" s="5">
        <v>1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1</v>
      </c>
      <c r="V283" s="7">
        <v>0</v>
      </c>
      <c r="W283" s="7">
        <v>0</v>
      </c>
      <c r="X283" s="7">
        <v>0</v>
      </c>
      <c r="Y283" s="5">
        <v>1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28">
        <v>0.22</v>
      </c>
    </row>
    <row r="284">
      <c r="A284" s="24">
        <v>2731</v>
      </c>
      <c r="B284" s="9" t="s">
        <v>466</v>
      </c>
      <c r="C284" s="9" t="s">
        <v>67</v>
      </c>
      <c r="D284" s="9" t="s">
        <v>92</v>
      </c>
      <c r="E284" s="9" t="s">
        <v>153</v>
      </c>
      <c r="F284" s="11">
        <v>2</v>
      </c>
      <c r="G284" s="10">
        <v>2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2</v>
      </c>
      <c r="V284" s="10">
        <v>2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2</v>
      </c>
      <c r="AK284" s="13">
        <v>2</v>
      </c>
      <c r="AL284" s="10">
        <v>2</v>
      </c>
      <c r="AM284" s="10">
        <v>2</v>
      </c>
      <c r="AN284" s="31">
        <v>0</v>
      </c>
    </row>
    <row r="285">
      <c r="A285" s="23">
        <v>2740</v>
      </c>
      <c r="B285" s="4" t="s">
        <v>467</v>
      </c>
      <c r="C285" s="4" t="s">
        <v>136</v>
      </c>
      <c r="D285" s="4" t="s">
        <v>468</v>
      </c>
      <c r="E285" s="4" t="s">
        <v>469</v>
      </c>
      <c r="F285" s="6">
        <v>4</v>
      </c>
      <c r="G285" s="5">
        <v>1</v>
      </c>
      <c r="H285" s="5">
        <v>3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2</v>
      </c>
      <c r="V285" s="5">
        <v>1</v>
      </c>
      <c r="W285" s="5">
        <v>1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2</v>
      </c>
      <c r="AL285" s="5">
        <v>2</v>
      </c>
      <c r="AM285" s="5">
        <v>3</v>
      </c>
      <c r="AN285" s="30">
        <v>0</v>
      </c>
    </row>
    <row r="286">
      <c r="A286" s="24">
        <v>2742</v>
      </c>
      <c r="B286" s="9" t="s">
        <v>470</v>
      </c>
      <c r="C286" s="9" t="s">
        <v>67</v>
      </c>
      <c r="D286" s="9" t="s">
        <v>68</v>
      </c>
      <c r="E286" s="9" t="s">
        <v>237</v>
      </c>
      <c r="F286" s="11">
        <v>2</v>
      </c>
      <c r="G286" s="10">
        <v>2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2</v>
      </c>
      <c r="V286" s="10">
        <v>2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2</v>
      </c>
      <c r="AK286" s="13">
        <v>2</v>
      </c>
      <c r="AL286" s="10">
        <v>2</v>
      </c>
      <c r="AM286" s="10">
        <v>2</v>
      </c>
      <c r="AN286" s="31">
        <v>0</v>
      </c>
    </row>
    <row r="287">
      <c r="A287" s="23">
        <v>2757</v>
      </c>
      <c r="B287" s="4" t="s">
        <v>471</v>
      </c>
      <c r="C287" s="4" t="s">
        <v>67</v>
      </c>
      <c r="D287" s="4" t="s">
        <v>76</v>
      </c>
      <c r="E287" s="4" t="s">
        <v>77</v>
      </c>
      <c r="F287" s="6">
        <v>8</v>
      </c>
      <c r="G287" s="7">
        <v>0</v>
      </c>
      <c r="H287" s="7">
        <v>0</v>
      </c>
      <c r="I287" s="7">
        <v>0</v>
      </c>
      <c r="J287" s="5">
        <v>8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7</v>
      </c>
      <c r="V287" s="7">
        <v>0</v>
      </c>
      <c r="W287" s="7">
        <v>0</v>
      </c>
      <c r="X287" s="7">
        <v>0</v>
      </c>
      <c r="Y287" s="5">
        <v>7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8</v>
      </c>
      <c r="AK287" s="8">
        <v>8</v>
      </c>
      <c r="AL287" s="5">
        <v>8</v>
      </c>
      <c r="AM287" s="5">
        <v>8</v>
      </c>
      <c r="AN287" s="28">
        <v>1.54</v>
      </c>
    </row>
    <row r="288">
      <c r="A288" s="24">
        <v>2768</v>
      </c>
      <c r="B288" s="9" t="s">
        <v>472</v>
      </c>
      <c r="C288" s="9" t="s">
        <v>67</v>
      </c>
      <c r="D288" s="9" t="s">
        <v>73</v>
      </c>
      <c r="E288" s="9" t="s">
        <v>301</v>
      </c>
      <c r="F288" s="11">
        <v>1</v>
      </c>
      <c r="G288" s="12">
        <v>0</v>
      </c>
      <c r="H288" s="12">
        <v>0</v>
      </c>
      <c r="I288" s="12">
        <v>0</v>
      </c>
      <c r="J288" s="10">
        <v>1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1</v>
      </c>
      <c r="V288" s="12">
        <v>0</v>
      </c>
      <c r="W288" s="12">
        <v>0</v>
      </c>
      <c r="X288" s="12">
        <v>0</v>
      </c>
      <c r="Y288" s="10">
        <v>1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0.25</v>
      </c>
    </row>
    <row r="289">
      <c r="A289" s="23">
        <v>2772</v>
      </c>
      <c r="B289" s="4" t="s">
        <v>473</v>
      </c>
      <c r="C289" s="4" t="s">
        <v>67</v>
      </c>
      <c r="D289" s="4" t="s">
        <v>111</v>
      </c>
      <c r="E289" s="4" t="s">
        <v>195</v>
      </c>
      <c r="F289" s="6">
        <v>2</v>
      </c>
      <c r="G289" s="5">
        <v>2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2</v>
      </c>
      <c r="V289" s="5">
        <v>2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2</v>
      </c>
      <c r="AK289" s="8">
        <v>2</v>
      </c>
      <c r="AL289" s="5">
        <v>2</v>
      </c>
      <c r="AM289" s="5">
        <v>2</v>
      </c>
      <c r="AN289" s="30">
        <v>0</v>
      </c>
    </row>
    <row r="290">
      <c r="A290" s="24">
        <v>2777</v>
      </c>
      <c r="B290" s="9" t="s">
        <v>474</v>
      </c>
      <c r="C290" s="9" t="s">
        <v>67</v>
      </c>
      <c r="D290" s="9" t="s">
        <v>76</v>
      </c>
      <c r="E290" s="9" t="s">
        <v>77</v>
      </c>
      <c r="F290" s="11">
        <v>1</v>
      </c>
      <c r="G290" s="10">
        <v>1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1</v>
      </c>
      <c r="V290" s="10">
        <v>1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31">
        <v>0</v>
      </c>
    </row>
    <row r="291">
      <c r="A291" s="23">
        <v>2780</v>
      </c>
      <c r="B291" s="4" t="s">
        <v>475</v>
      </c>
      <c r="C291" s="4" t="s">
        <v>67</v>
      </c>
      <c r="D291" s="4" t="s">
        <v>76</v>
      </c>
      <c r="E291" s="4" t="s">
        <v>132</v>
      </c>
      <c r="F291" s="6">
        <v>1</v>
      </c>
      <c r="G291" s="7">
        <v>0</v>
      </c>
      <c r="H291" s="7">
        <v>0</v>
      </c>
      <c r="I291" s="5">
        <v>1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1</v>
      </c>
      <c r="V291" s="7">
        <v>0</v>
      </c>
      <c r="W291" s="7">
        <v>0</v>
      </c>
      <c r="X291" s="5">
        <v>1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30">
        <v>0</v>
      </c>
    </row>
    <row r="292">
      <c r="A292" s="24">
        <v>2791</v>
      </c>
      <c r="B292" s="9" t="s">
        <v>476</v>
      </c>
      <c r="C292" s="9" t="s">
        <v>67</v>
      </c>
      <c r="D292" s="9" t="s">
        <v>76</v>
      </c>
      <c r="E292" s="9" t="s">
        <v>77</v>
      </c>
      <c r="F292" s="11">
        <v>1</v>
      </c>
      <c r="G292" s="12">
        <v>0</v>
      </c>
      <c r="H292" s="12">
        <v>0</v>
      </c>
      <c r="I292" s="12">
        <v>0</v>
      </c>
      <c r="J292" s="10">
        <v>1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1</v>
      </c>
      <c r="V292" s="12">
        <v>0</v>
      </c>
      <c r="W292" s="12">
        <v>0</v>
      </c>
      <c r="X292" s="12">
        <v>0</v>
      </c>
      <c r="Y292" s="10">
        <v>1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29">
        <v>0.22</v>
      </c>
    </row>
    <row r="293">
      <c r="A293" s="23">
        <v>2792</v>
      </c>
      <c r="B293" s="4" t="s">
        <v>477</v>
      </c>
      <c r="C293" s="4" t="s">
        <v>67</v>
      </c>
      <c r="D293" s="4" t="s">
        <v>100</v>
      </c>
      <c r="E293" s="4" t="s">
        <v>127</v>
      </c>
      <c r="F293" s="6">
        <v>3</v>
      </c>
      <c r="G293" s="5">
        <v>1</v>
      </c>
      <c r="H293" s="7">
        <v>0</v>
      </c>
      <c r="I293" s="7">
        <v>0</v>
      </c>
      <c r="J293" s="5">
        <v>2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3</v>
      </c>
      <c r="V293" s="5">
        <v>1</v>
      </c>
      <c r="W293" s="7">
        <v>0</v>
      </c>
      <c r="X293" s="7">
        <v>0</v>
      </c>
      <c r="Y293" s="5">
        <v>2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0.25</v>
      </c>
    </row>
    <row r="294">
      <c r="A294" s="24">
        <v>2802</v>
      </c>
      <c r="B294" s="9" t="s">
        <v>478</v>
      </c>
      <c r="C294" s="9" t="s">
        <v>67</v>
      </c>
      <c r="D294" s="9" t="s">
        <v>76</v>
      </c>
      <c r="E294" s="9" t="s">
        <v>77</v>
      </c>
      <c r="F294" s="11">
        <v>1</v>
      </c>
      <c r="G294" s="10">
        <v>1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1</v>
      </c>
      <c r="V294" s="10">
        <v>1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31">
        <v>0</v>
      </c>
    </row>
    <row r="295">
      <c r="A295" s="23">
        <v>2804</v>
      </c>
      <c r="B295" s="4" t="s">
        <v>479</v>
      </c>
      <c r="C295" s="4" t="s">
        <v>67</v>
      </c>
      <c r="D295" s="4" t="s">
        <v>73</v>
      </c>
      <c r="E295" s="4" t="s">
        <v>74</v>
      </c>
      <c r="F295" s="6">
        <v>1</v>
      </c>
      <c r="G295" s="5">
        <v>1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1</v>
      </c>
      <c r="V295" s="5">
        <v>1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0.37</v>
      </c>
    </row>
    <row r="296">
      <c r="A296" s="24">
        <v>2831</v>
      </c>
      <c r="B296" s="9" t="s">
        <v>480</v>
      </c>
      <c r="C296" s="9" t="s">
        <v>67</v>
      </c>
      <c r="D296" s="9" t="s">
        <v>76</v>
      </c>
      <c r="E296" s="9" t="s">
        <v>120</v>
      </c>
      <c r="F296" s="11">
        <v>1</v>
      </c>
      <c r="G296" s="10">
        <v>1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1</v>
      </c>
      <c r="V296" s="10">
        <v>1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31">
        <v>0</v>
      </c>
    </row>
    <row r="297">
      <c r="A297" s="23">
        <v>2834</v>
      </c>
      <c r="B297" s="4" t="s">
        <v>481</v>
      </c>
      <c r="C297" s="4" t="s">
        <v>67</v>
      </c>
      <c r="D297" s="4" t="s">
        <v>76</v>
      </c>
      <c r="E297" s="4" t="s">
        <v>120</v>
      </c>
      <c r="F297" s="6">
        <v>3</v>
      </c>
      <c r="G297" s="7">
        <v>0</v>
      </c>
      <c r="H297" s="5">
        <v>3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3</v>
      </c>
      <c r="V297" s="7">
        <v>0</v>
      </c>
      <c r="W297" s="5">
        <v>3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3</v>
      </c>
      <c r="AK297" s="8">
        <v>3</v>
      </c>
      <c r="AL297" s="5">
        <v>3</v>
      </c>
      <c r="AM297" s="5">
        <v>3</v>
      </c>
      <c r="AN297" s="28">
        <v>0.66</v>
      </c>
    </row>
    <row r="298">
      <c r="A298" s="24">
        <v>2839</v>
      </c>
      <c r="B298" s="9" t="s">
        <v>482</v>
      </c>
      <c r="C298" s="9" t="s">
        <v>67</v>
      </c>
      <c r="D298" s="9" t="s">
        <v>79</v>
      </c>
      <c r="E298" s="9" t="s">
        <v>116</v>
      </c>
      <c r="F298" s="11">
        <v>1</v>
      </c>
      <c r="G298" s="12">
        <v>0</v>
      </c>
      <c r="H298" s="12">
        <v>0</v>
      </c>
      <c r="I298" s="12">
        <v>0</v>
      </c>
      <c r="J298" s="10">
        <v>1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1</v>
      </c>
      <c r="V298" s="12">
        <v>0</v>
      </c>
      <c r="W298" s="12">
        <v>0</v>
      </c>
      <c r="X298" s="12">
        <v>0</v>
      </c>
      <c r="Y298" s="10">
        <v>1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29">
        <v>0.25</v>
      </c>
    </row>
    <row r="299">
      <c r="A299" s="23">
        <v>2840</v>
      </c>
      <c r="B299" s="4" t="s">
        <v>483</v>
      </c>
      <c r="C299" s="4" t="s">
        <v>67</v>
      </c>
      <c r="D299" s="4" t="s">
        <v>73</v>
      </c>
      <c r="E299" s="4" t="s">
        <v>393</v>
      </c>
      <c r="F299" s="6">
        <v>1</v>
      </c>
      <c r="G299" s="7">
        <v>0</v>
      </c>
      <c r="H299" s="7">
        <v>0</v>
      </c>
      <c r="I299" s="5">
        <v>1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1</v>
      </c>
      <c r="V299" s="7">
        <v>0</v>
      </c>
      <c r="W299" s="7">
        <v>0</v>
      </c>
      <c r="X299" s="5">
        <v>1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30">
        <v>0</v>
      </c>
    </row>
    <row r="300">
      <c r="A300" s="24">
        <v>2842</v>
      </c>
      <c r="B300" s="9" t="s">
        <v>484</v>
      </c>
      <c r="C300" s="9" t="s">
        <v>67</v>
      </c>
      <c r="D300" s="9" t="s">
        <v>84</v>
      </c>
      <c r="E300" s="9" t="s">
        <v>103</v>
      </c>
      <c r="F300" s="11">
        <v>1</v>
      </c>
      <c r="G300" s="10">
        <v>1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1</v>
      </c>
      <c r="V300" s="10">
        <v>1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31">
        <v>0</v>
      </c>
    </row>
    <row r="301">
      <c r="A301" s="23">
        <v>2843</v>
      </c>
      <c r="B301" s="4" t="s">
        <v>485</v>
      </c>
      <c r="C301" s="4" t="s">
        <v>67</v>
      </c>
      <c r="D301" s="4" t="s">
        <v>76</v>
      </c>
      <c r="E301" s="4" t="s">
        <v>120</v>
      </c>
      <c r="F301" s="6">
        <v>1</v>
      </c>
      <c r="G301" s="5">
        <v>1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1</v>
      </c>
      <c r="V301" s="5">
        <v>1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30">
        <v>0</v>
      </c>
    </row>
    <row r="302">
      <c r="A302" s="24">
        <v>2846</v>
      </c>
      <c r="B302" s="9" t="s">
        <v>486</v>
      </c>
      <c r="C302" s="9" t="s">
        <v>136</v>
      </c>
      <c r="D302" s="9" t="s">
        <v>137</v>
      </c>
      <c r="E302" s="9" t="s">
        <v>138</v>
      </c>
      <c r="F302" s="11">
        <v>1</v>
      </c>
      <c r="G302" s="12">
        <v>0</v>
      </c>
      <c r="H302" s="12">
        <v>0</v>
      </c>
      <c r="I302" s="12">
        <v>0</v>
      </c>
      <c r="J302" s="10">
        <v>1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1</v>
      </c>
      <c r="V302" s="12">
        <v>0</v>
      </c>
      <c r="W302" s="12">
        <v>0</v>
      </c>
      <c r="X302" s="12">
        <v>0</v>
      </c>
      <c r="Y302" s="10">
        <v>1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31">
        <v>0</v>
      </c>
    </row>
    <row r="303">
      <c r="A303" s="23">
        <v>2862</v>
      </c>
      <c r="B303" s="4" t="s">
        <v>487</v>
      </c>
      <c r="C303" s="4" t="s">
        <v>67</v>
      </c>
      <c r="D303" s="4" t="s">
        <v>105</v>
      </c>
      <c r="E303" s="4" t="s">
        <v>303</v>
      </c>
      <c r="F303" s="6">
        <v>1</v>
      </c>
      <c r="G303" s="5">
        <v>1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1</v>
      </c>
      <c r="V303" s="5">
        <v>1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30">
        <v>0</v>
      </c>
    </row>
    <row r="304">
      <c r="A304" s="24">
        <v>2874</v>
      </c>
      <c r="B304" s="9" t="s">
        <v>488</v>
      </c>
      <c r="C304" s="9" t="s">
        <v>67</v>
      </c>
      <c r="D304" s="9" t="s">
        <v>105</v>
      </c>
      <c r="E304" s="9" t="s">
        <v>227</v>
      </c>
      <c r="F304" s="11">
        <v>1</v>
      </c>
      <c r="G304" s="12">
        <v>0</v>
      </c>
      <c r="H304" s="12">
        <v>0</v>
      </c>
      <c r="I304" s="10">
        <v>1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1</v>
      </c>
      <c r="V304" s="12">
        <v>0</v>
      </c>
      <c r="W304" s="12">
        <v>0</v>
      </c>
      <c r="X304" s="10">
        <v>1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0.24</v>
      </c>
    </row>
    <row r="305">
      <c r="A305" s="23">
        <v>2883</v>
      </c>
      <c r="B305" s="4" t="s">
        <v>489</v>
      </c>
      <c r="C305" s="4" t="s">
        <v>67</v>
      </c>
      <c r="D305" s="4" t="s">
        <v>84</v>
      </c>
      <c r="E305" s="4" t="s">
        <v>145</v>
      </c>
      <c r="F305" s="6">
        <v>1</v>
      </c>
      <c r="G305" s="7">
        <v>0</v>
      </c>
      <c r="H305" s="7">
        <v>0</v>
      </c>
      <c r="I305" s="7">
        <v>0</v>
      </c>
      <c r="J305" s="5">
        <v>1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1</v>
      </c>
      <c r="V305" s="7">
        <v>0</v>
      </c>
      <c r="W305" s="7">
        <v>0</v>
      </c>
      <c r="X305" s="7">
        <v>0</v>
      </c>
      <c r="Y305" s="5">
        <v>1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28">
        <v>0.26</v>
      </c>
    </row>
    <row r="306">
      <c r="A306" s="24">
        <v>2886</v>
      </c>
      <c r="B306" s="9" t="s">
        <v>490</v>
      </c>
      <c r="C306" s="9" t="s">
        <v>67</v>
      </c>
      <c r="D306" s="9" t="s">
        <v>76</v>
      </c>
      <c r="E306" s="9" t="s">
        <v>77</v>
      </c>
      <c r="F306" s="11">
        <v>1</v>
      </c>
      <c r="G306" s="10">
        <v>1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1</v>
      </c>
      <c r="V306" s="10">
        <v>1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0.25</v>
      </c>
    </row>
    <row r="307">
      <c r="A307" s="23">
        <v>2888</v>
      </c>
      <c r="B307" s="4" t="s">
        <v>491</v>
      </c>
      <c r="C307" s="4" t="s">
        <v>67</v>
      </c>
      <c r="D307" s="4" t="s">
        <v>76</v>
      </c>
      <c r="E307" s="4" t="s">
        <v>77</v>
      </c>
      <c r="F307" s="6">
        <v>4</v>
      </c>
      <c r="G307" s="5">
        <v>2</v>
      </c>
      <c r="H307" s="7">
        <v>0</v>
      </c>
      <c r="I307" s="5">
        <v>2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4</v>
      </c>
      <c r="V307" s="5">
        <v>2</v>
      </c>
      <c r="W307" s="7">
        <v>0</v>
      </c>
      <c r="X307" s="5">
        <v>2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2</v>
      </c>
      <c r="AK307" s="8">
        <v>2</v>
      </c>
      <c r="AL307" s="5">
        <v>2</v>
      </c>
      <c r="AM307" s="5">
        <v>2</v>
      </c>
      <c r="AN307" s="30">
        <v>0</v>
      </c>
    </row>
    <row r="308">
      <c r="A308" s="24">
        <v>2903</v>
      </c>
      <c r="B308" s="9" t="s">
        <v>492</v>
      </c>
      <c r="C308" s="9" t="s">
        <v>67</v>
      </c>
      <c r="D308" s="9" t="s">
        <v>105</v>
      </c>
      <c r="E308" s="9" t="s">
        <v>193</v>
      </c>
      <c r="F308" s="11">
        <v>3</v>
      </c>
      <c r="G308" s="12">
        <v>0</v>
      </c>
      <c r="H308" s="10">
        <v>1</v>
      </c>
      <c r="I308" s="12">
        <v>0</v>
      </c>
      <c r="J308" s="10">
        <v>2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3</v>
      </c>
      <c r="V308" s="12">
        <v>0</v>
      </c>
      <c r="W308" s="10">
        <v>1</v>
      </c>
      <c r="X308" s="12">
        <v>0</v>
      </c>
      <c r="Y308" s="10">
        <v>2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1.5</v>
      </c>
      <c r="AL308" s="10">
        <v>1</v>
      </c>
      <c r="AM308" s="10">
        <v>2</v>
      </c>
      <c r="AN308" s="29">
        <v>0.5</v>
      </c>
    </row>
    <row r="309">
      <c r="A309" s="23">
        <v>2904</v>
      </c>
      <c r="B309" s="4" t="s">
        <v>493</v>
      </c>
      <c r="C309" s="4" t="s">
        <v>67</v>
      </c>
      <c r="D309" s="4" t="s">
        <v>68</v>
      </c>
      <c r="E309" s="4" t="s">
        <v>237</v>
      </c>
      <c r="F309" s="6">
        <v>1</v>
      </c>
      <c r="G309" s="7">
        <v>0</v>
      </c>
      <c r="H309" s="7">
        <v>0</v>
      </c>
      <c r="I309" s="7">
        <v>0</v>
      </c>
      <c r="J309" s="5">
        <v>1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1</v>
      </c>
      <c r="V309" s="7">
        <v>0</v>
      </c>
      <c r="W309" s="7">
        <v>0</v>
      </c>
      <c r="X309" s="7">
        <v>0</v>
      </c>
      <c r="Y309" s="5">
        <v>1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28">
        <v>0.26</v>
      </c>
    </row>
    <row r="310">
      <c r="A310" s="24">
        <v>2907</v>
      </c>
      <c r="B310" s="9" t="s">
        <v>494</v>
      </c>
      <c r="C310" s="9" t="s">
        <v>67</v>
      </c>
      <c r="D310" s="9" t="s">
        <v>89</v>
      </c>
      <c r="E310" s="9" t="s">
        <v>322</v>
      </c>
      <c r="F310" s="11">
        <v>1</v>
      </c>
      <c r="G310" s="10">
        <v>1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1</v>
      </c>
      <c r="V310" s="10">
        <v>1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29">
        <v>0.38</v>
      </c>
    </row>
    <row r="311">
      <c r="A311" s="23">
        <v>2909</v>
      </c>
      <c r="B311" s="4" t="s">
        <v>495</v>
      </c>
      <c r="C311" s="4" t="s">
        <v>136</v>
      </c>
      <c r="D311" s="4" t="s">
        <v>496</v>
      </c>
      <c r="E311" s="4" t="s">
        <v>497</v>
      </c>
      <c r="F311" s="6">
        <v>1</v>
      </c>
      <c r="G311" s="5">
        <v>1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1</v>
      </c>
      <c r="V311" s="5">
        <v>1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30">
        <v>0</v>
      </c>
    </row>
    <row r="312">
      <c r="A312" s="24">
        <v>2910</v>
      </c>
      <c r="B312" s="9" t="s">
        <v>498</v>
      </c>
      <c r="C312" s="9" t="s">
        <v>67</v>
      </c>
      <c r="D312" s="9" t="s">
        <v>76</v>
      </c>
      <c r="E312" s="9" t="s">
        <v>459</v>
      </c>
      <c r="F312" s="11">
        <v>5</v>
      </c>
      <c r="G312" s="12">
        <v>0</v>
      </c>
      <c r="H312" s="10">
        <v>3</v>
      </c>
      <c r="I312" s="12">
        <v>0</v>
      </c>
      <c r="J312" s="10">
        <v>2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5</v>
      </c>
      <c r="V312" s="12">
        <v>0</v>
      </c>
      <c r="W312" s="10">
        <v>3</v>
      </c>
      <c r="X312" s="12">
        <v>0</v>
      </c>
      <c r="Y312" s="10">
        <v>2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1.67</v>
      </c>
      <c r="AL312" s="10">
        <v>1</v>
      </c>
      <c r="AM312" s="10">
        <v>3</v>
      </c>
      <c r="AN312" s="29">
        <v>1.25</v>
      </c>
    </row>
    <row r="313">
      <c r="A313" s="23">
        <v>2915</v>
      </c>
      <c r="B313" s="4" t="s">
        <v>499</v>
      </c>
      <c r="C313" s="4" t="s">
        <v>316</v>
      </c>
      <c r="D313" s="4" t="s">
        <v>500</v>
      </c>
      <c r="E313" s="4" t="s">
        <v>318</v>
      </c>
      <c r="F313" s="6">
        <v>1</v>
      </c>
      <c r="G313" s="7">
        <v>0</v>
      </c>
      <c r="H313" s="7">
        <v>0</v>
      </c>
      <c r="I313" s="5">
        <v>1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1</v>
      </c>
      <c r="V313" s="7">
        <v>0</v>
      </c>
      <c r="W313" s="7">
        <v>0</v>
      </c>
      <c r="X313" s="5">
        <v>1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28">
        <v>0.24</v>
      </c>
    </row>
    <row r="314">
      <c r="A314" s="24">
        <v>2932</v>
      </c>
      <c r="B314" s="9" t="s">
        <v>501</v>
      </c>
      <c r="C314" s="9" t="s">
        <v>67</v>
      </c>
      <c r="D314" s="9" t="s">
        <v>76</v>
      </c>
      <c r="E314" s="9" t="s">
        <v>459</v>
      </c>
      <c r="F314" s="11">
        <v>1</v>
      </c>
      <c r="G314" s="10">
        <v>1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1</v>
      </c>
      <c r="V314" s="10">
        <v>1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31">
        <v>0</v>
      </c>
    </row>
    <row r="315">
      <c r="A315" s="23">
        <v>2935</v>
      </c>
      <c r="B315" s="4" t="s">
        <v>502</v>
      </c>
      <c r="C315" s="4" t="s">
        <v>67</v>
      </c>
      <c r="D315" s="4" t="s">
        <v>76</v>
      </c>
      <c r="E315" s="4" t="s">
        <v>459</v>
      </c>
      <c r="F315" s="6">
        <v>4</v>
      </c>
      <c r="G315" s="7">
        <v>0</v>
      </c>
      <c r="H315" s="7">
        <v>0</v>
      </c>
      <c r="I315" s="7">
        <v>0</v>
      </c>
      <c r="J315" s="5">
        <v>4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3</v>
      </c>
      <c r="V315" s="7">
        <v>0</v>
      </c>
      <c r="W315" s="7">
        <v>0</v>
      </c>
      <c r="X315" s="7">
        <v>0</v>
      </c>
      <c r="Y315" s="5">
        <v>3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4</v>
      </c>
      <c r="AK315" s="8">
        <v>4</v>
      </c>
      <c r="AL315" s="5">
        <v>4</v>
      </c>
      <c r="AM315" s="5">
        <v>4</v>
      </c>
      <c r="AN315" s="28">
        <v>0.75</v>
      </c>
    </row>
    <row r="316">
      <c r="A316" s="24">
        <v>2948</v>
      </c>
      <c r="B316" s="9" t="s">
        <v>503</v>
      </c>
      <c r="C316" s="9" t="s">
        <v>504</v>
      </c>
      <c r="D316" s="9" t="s">
        <v>505</v>
      </c>
      <c r="E316" s="9" t="s">
        <v>506</v>
      </c>
      <c r="F316" s="11">
        <v>16</v>
      </c>
      <c r="G316" s="12">
        <v>0</v>
      </c>
      <c r="H316" s="12">
        <v>0</v>
      </c>
      <c r="I316" s="10">
        <v>1</v>
      </c>
      <c r="J316" s="10">
        <v>15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13</v>
      </c>
      <c r="V316" s="12">
        <v>0</v>
      </c>
      <c r="W316" s="12">
        <v>0</v>
      </c>
      <c r="X316" s="10">
        <v>1</v>
      </c>
      <c r="Y316" s="10">
        <v>12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5.33</v>
      </c>
      <c r="AL316" s="10">
        <v>2</v>
      </c>
      <c r="AM316" s="10">
        <v>13</v>
      </c>
      <c r="AN316" s="29">
        <v>2.5</v>
      </c>
    </row>
    <row r="317">
      <c r="A317" s="23">
        <v>2953</v>
      </c>
      <c r="B317" s="4" t="s">
        <v>507</v>
      </c>
      <c r="C317" s="4" t="s">
        <v>67</v>
      </c>
      <c r="D317" s="4" t="s">
        <v>84</v>
      </c>
      <c r="E317" s="4" t="s">
        <v>145</v>
      </c>
      <c r="F317" s="6">
        <v>4</v>
      </c>
      <c r="G317" s="5">
        <v>1</v>
      </c>
      <c r="H317" s="5">
        <v>2</v>
      </c>
      <c r="I317" s="7">
        <v>0</v>
      </c>
      <c r="J317" s="5">
        <v>1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3</v>
      </c>
      <c r="V317" s="5">
        <v>1</v>
      </c>
      <c r="W317" s="5">
        <v>1</v>
      </c>
      <c r="X317" s="7">
        <v>0</v>
      </c>
      <c r="Y317" s="5">
        <v>1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1.33</v>
      </c>
      <c r="AL317" s="5">
        <v>1</v>
      </c>
      <c r="AM317" s="5">
        <v>2</v>
      </c>
      <c r="AN317" s="30">
        <v>0</v>
      </c>
    </row>
    <row r="318">
      <c r="A318" s="24">
        <v>2955</v>
      </c>
      <c r="B318" s="9" t="s">
        <v>508</v>
      </c>
      <c r="C318" s="9" t="s">
        <v>504</v>
      </c>
      <c r="D318" s="9" t="s">
        <v>505</v>
      </c>
      <c r="E318" s="9" t="s">
        <v>509</v>
      </c>
      <c r="F318" s="11">
        <v>2</v>
      </c>
      <c r="G318" s="10">
        <v>1</v>
      </c>
      <c r="H318" s="12">
        <v>0</v>
      </c>
      <c r="I318" s="12">
        <v>0</v>
      </c>
      <c r="J318" s="10">
        <v>1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2</v>
      </c>
      <c r="V318" s="10">
        <v>1</v>
      </c>
      <c r="W318" s="12">
        <v>0</v>
      </c>
      <c r="X318" s="12">
        <v>0</v>
      </c>
      <c r="Y318" s="10">
        <v>1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31">
        <v>0</v>
      </c>
    </row>
    <row r="319">
      <c r="A319" s="23">
        <v>2967</v>
      </c>
      <c r="B319" s="4" t="s">
        <v>510</v>
      </c>
      <c r="C319" s="4" t="s">
        <v>511</v>
      </c>
      <c r="D319" s="4" t="s">
        <v>512</v>
      </c>
      <c r="E319" s="4" t="s">
        <v>513</v>
      </c>
      <c r="F319" s="6">
        <v>1</v>
      </c>
      <c r="G319" s="7">
        <v>0</v>
      </c>
      <c r="H319" s="7">
        <v>0</v>
      </c>
      <c r="I319" s="7">
        <v>0</v>
      </c>
      <c r="J319" s="5">
        <v>1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1</v>
      </c>
      <c r="V319" s="7">
        <v>0</v>
      </c>
      <c r="W319" s="7">
        <v>0</v>
      </c>
      <c r="X319" s="7">
        <v>0</v>
      </c>
      <c r="Y319" s="5">
        <v>1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28">
        <v>0.25</v>
      </c>
    </row>
    <row r="320">
      <c r="A320" s="24">
        <v>3004</v>
      </c>
      <c r="B320" s="9" t="s">
        <v>514</v>
      </c>
      <c r="C320" s="9" t="s">
        <v>67</v>
      </c>
      <c r="D320" s="9" t="s">
        <v>142</v>
      </c>
      <c r="E320" s="9" t="s">
        <v>143</v>
      </c>
      <c r="F320" s="11">
        <v>1</v>
      </c>
      <c r="G320" s="12">
        <v>0</v>
      </c>
      <c r="H320" s="12">
        <v>0</v>
      </c>
      <c r="I320" s="10">
        <v>1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1</v>
      </c>
      <c r="V320" s="12">
        <v>0</v>
      </c>
      <c r="W320" s="12">
        <v>0</v>
      </c>
      <c r="X320" s="10">
        <v>1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31">
        <v>0</v>
      </c>
    </row>
    <row r="321">
      <c r="A321" s="23">
        <v>3005</v>
      </c>
      <c r="B321" s="4" t="s">
        <v>515</v>
      </c>
      <c r="C321" s="4" t="s">
        <v>67</v>
      </c>
      <c r="D321" s="4" t="s">
        <v>84</v>
      </c>
      <c r="E321" s="4" t="s">
        <v>85</v>
      </c>
      <c r="F321" s="6">
        <v>1</v>
      </c>
      <c r="G321" s="5">
        <v>1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1</v>
      </c>
      <c r="V321" s="5">
        <v>1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28">
        <v>0.25</v>
      </c>
    </row>
    <row r="322">
      <c r="A322" s="24">
        <v>3012</v>
      </c>
      <c r="B322" s="9" t="s">
        <v>516</v>
      </c>
      <c r="C322" s="9" t="s">
        <v>67</v>
      </c>
      <c r="D322" s="9" t="s">
        <v>79</v>
      </c>
      <c r="E322" s="9" t="s">
        <v>80</v>
      </c>
      <c r="F322" s="11">
        <v>6</v>
      </c>
      <c r="G322" s="12">
        <v>0</v>
      </c>
      <c r="H322" s="12">
        <v>0</v>
      </c>
      <c r="I322" s="12">
        <v>0</v>
      </c>
      <c r="J322" s="10">
        <v>6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5</v>
      </c>
      <c r="V322" s="12">
        <v>0</v>
      </c>
      <c r="W322" s="12">
        <v>0</v>
      </c>
      <c r="X322" s="12">
        <v>0</v>
      </c>
      <c r="Y322" s="10">
        <v>5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3</v>
      </c>
      <c r="AL322" s="10">
        <v>3</v>
      </c>
      <c r="AM322" s="10">
        <v>5</v>
      </c>
      <c r="AN322" s="29">
        <v>1</v>
      </c>
    </row>
    <row r="323">
      <c r="A323" s="23">
        <v>3026</v>
      </c>
      <c r="B323" s="4" t="s">
        <v>517</v>
      </c>
      <c r="C323" s="4" t="s">
        <v>316</v>
      </c>
      <c r="D323" s="4" t="s">
        <v>518</v>
      </c>
      <c r="E323" s="4" t="s">
        <v>318</v>
      </c>
      <c r="F323" s="6">
        <v>1</v>
      </c>
      <c r="G323" s="7">
        <v>0</v>
      </c>
      <c r="H323" s="7">
        <v>0</v>
      </c>
      <c r="I323" s="7">
        <v>0</v>
      </c>
      <c r="J323" s="5">
        <v>1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1</v>
      </c>
      <c r="V323" s="7">
        <v>0</v>
      </c>
      <c r="W323" s="7">
        <v>0</v>
      </c>
      <c r="X323" s="7">
        <v>0</v>
      </c>
      <c r="Y323" s="5">
        <v>1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30">
        <v>0</v>
      </c>
    </row>
    <row r="324">
      <c r="A324" s="24">
        <v>3050</v>
      </c>
      <c r="B324" s="9" t="s">
        <v>519</v>
      </c>
      <c r="C324" s="9" t="s">
        <v>67</v>
      </c>
      <c r="D324" s="9" t="s">
        <v>142</v>
      </c>
      <c r="E324" s="9" t="s">
        <v>520</v>
      </c>
      <c r="F324" s="11">
        <v>3</v>
      </c>
      <c r="G324" s="10">
        <v>1</v>
      </c>
      <c r="H324" s="10">
        <v>1</v>
      </c>
      <c r="I324" s="12">
        <v>0</v>
      </c>
      <c r="J324" s="10">
        <v>1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3</v>
      </c>
      <c r="V324" s="10">
        <v>1</v>
      </c>
      <c r="W324" s="10">
        <v>1</v>
      </c>
      <c r="X324" s="12">
        <v>0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29">
        <v>0.5</v>
      </c>
    </row>
    <row r="325">
      <c r="A325" s="23">
        <v>3085</v>
      </c>
      <c r="B325" s="4" t="s">
        <v>521</v>
      </c>
      <c r="C325" s="4" t="s">
        <v>67</v>
      </c>
      <c r="D325" s="4" t="s">
        <v>84</v>
      </c>
      <c r="E325" s="4" t="s">
        <v>85</v>
      </c>
      <c r="F325" s="6">
        <v>1</v>
      </c>
      <c r="G325" s="7">
        <v>0</v>
      </c>
      <c r="H325" s="7">
        <v>0</v>
      </c>
      <c r="I325" s="7">
        <v>0</v>
      </c>
      <c r="J325" s="5">
        <v>1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1</v>
      </c>
      <c r="V325" s="7">
        <v>0</v>
      </c>
      <c r="W325" s="7">
        <v>0</v>
      </c>
      <c r="X325" s="7">
        <v>0</v>
      </c>
      <c r="Y325" s="5">
        <v>1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28">
        <v>0.25</v>
      </c>
    </row>
    <row r="326">
      <c r="A326" s="24">
        <v>3090</v>
      </c>
      <c r="B326" s="9" t="s">
        <v>522</v>
      </c>
      <c r="C326" s="9" t="s">
        <v>67</v>
      </c>
      <c r="D326" s="9" t="s">
        <v>108</v>
      </c>
      <c r="E326" s="9" t="s">
        <v>130</v>
      </c>
      <c r="F326" s="11">
        <v>2</v>
      </c>
      <c r="G326" s="10">
        <v>2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2</v>
      </c>
      <c r="V326" s="10">
        <v>2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2</v>
      </c>
      <c r="AK326" s="13">
        <v>2</v>
      </c>
      <c r="AL326" s="10">
        <v>2</v>
      </c>
      <c r="AM326" s="10">
        <v>2</v>
      </c>
      <c r="AN326" s="31">
        <v>0</v>
      </c>
    </row>
    <row r="327">
      <c r="A327" s="23">
        <v>3092</v>
      </c>
      <c r="B327" s="4" t="s">
        <v>523</v>
      </c>
      <c r="C327" s="4" t="s">
        <v>67</v>
      </c>
      <c r="D327" s="4" t="s">
        <v>68</v>
      </c>
      <c r="E327" s="4" t="s">
        <v>71</v>
      </c>
      <c r="F327" s="6">
        <v>1</v>
      </c>
      <c r="G327" s="5">
        <v>1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1</v>
      </c>
      <c r="V327" s="5">
        <v>1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28">
        <v>0.25</v>
      </c>
    </row>
    <row r="328">
      <c r="A328" s="24">
        <v>3096</v>
      </c>
      <c r="B328" s="9" t="s">
        <v>524</v>
      </c>
      <c r="C328" s="9" t="s">
        <v>67</v>
      </c>
      <c r="D328" s="9" t="s">
        <v>76</v>
      </c>
      <c r="E328" s="9" t="s">
        <v>123</v>
      </c>
      <c r="F328" s="11">
        <v>1</v>
      </c>
      <c r="G328" s="12">
        <v>0</v>
      </c>
      <c r="H328" s="10">
        <v>1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1</v>
      </c>
      <c r="V328" s="12">
        <v>0</v>
      </c>
      <c r="W328" s="10">
        <v>1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31">
        <v>0</v>
      </c>
    </row>
    <row r="329">
      <c r="A329" s="23">
        <v>3120</v>
      </c>
      <c r="B329" s="4" t="s">
        <v>525</v>
      </c>
      <c r="C329" s="4" t="s">
        <v>67</v>
      </c>
      <c r="D329" s="4" t="s">
        <v>105</v>
      </c>
      <c r="E329" s="4" t="s">
        <v>303</v>
      </c>
      <c r="F329" s="6">
        <v>2</v>
      </c>
      <c r="G329" s="5">
        <v>2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1</v>
      </c>
      <c r="V329" s="5">
        <v>1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2</v>
      </c>
      <c r="AK329" s="8">
        <v>2</v>
      </c>
      <c r="AL329" s="5">
        <v>2</v>
      </c>
      <c r="AM329" s="5">
        <v>2</v>
      </c>
      <c r="AN329" s="30">
        <v>0</v>
      </c>
    </row>
    <row r="330">
      <c r="A330" s="24">
        <v>3125</v>
      </c>
      <c r="B330" s="9" t="s">
        <v>526</v>
      </c>
      <c r="C330" s="9" t="s">
        <v>163</v>
      </c>
      <c r="D330" s="9" t="s">
        <v>164</v>
      </c>
      <c r="E330" s="9" t="s">
        <v>169</v>
      </c>
      <c r="F330" s="11">
        <v>1</v>
      </c>
      <c r="G330" s="12">
        <v>0</v>
      </c>
      <c r="H330" s="12">
        <v>0</v>
      </c>
      <c r="I330" s="10">
        <v>1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1</v>
      </c>
      <c r="V330" s="12">
        <v>0</v>
      </c>
      <c r="W330" s="12">
        <v>0</v>
      </c>
      <c r="X330" s="10">
        <v>1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31">
        <v>0</v>
      </c>
    </row>
    <row r="331">
      <c r="A331" s="23">
        <v>3127</v>
      </c>
      <c r="B331" s="4" t="s">
        <v>527</v>
      </c>
      <c r="C331" s="4" t="s">
        <v>67</v>
      </c>
      <c r="D331" s="4" t="s">
        <v>76</v>
      </c>
      <c r="E331" s="4" t="s">
        <v>77</v>
      </c>
      <c r="F331" s="6">
        <v>1</v>
      </c>
      <c r="G331" s="5">
        <v>1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1</v>
      </c>
      <c r="V331" s="5">
        <v>1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30">
        <v>0</v>
      </c>
    </row>
    <row r="332">
      <c r="A332" s="24">
        <v>3128</v>
      </c>
      <c r="B332" s="9" t="s">
        <v>528</v>
      </c>
      <c r="C332" s="9" t="s">
        <v>163</v>
      </c>
      <c r="D332" s="9" t="s">
        <v>164</v>
      </c>
      <c r="E332" s="9" t="s">
        <v>171</v>
      </c>
      <c r="F332" s="11">
        <v>2</v>
      </c>
      <c r="G332" s="12">
        <v>0</v>
      </c>
      <c r="H332" s="10">
        <v>1</v>
      </c>
      <c r="I332" s="12">
        <v>0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2</v>
      </c>
      <c r="V332" s="12">
        <v>0</v>
      </c>
      <c r="W332" s="10">
        <v>1</v>
      </c>
      <c r="X332" s="12">
        <v>0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29">
        <v>0.24</v>
      </c>
    </row>
    <row r="333">
      <c r="A333" s="23">
        <v>3134</v>
      </c>
      <c r="B333" s="4" t="s">
        <v>529</v>
      </c>
      <c r="C333" s="4" t="s">
        <v>163</v>
      </c>
      <c r="D333" s="4" t="s">
        <v>164</v>
      </c>
      <c r="E333" s="4" t="s">
        <v>171</v>
      </c>
      <c r="F333" s="6">
        <v>1</v>
      </c>
      <c r="G333" s="5">
        <v>1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1</v>
      </c>
      <c r="V333" s="5">
        <v>1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30">
        <v>0</v>
      </c>
    </row>
    <row r="334">
      <c r="A334" s="24">
        <v>3142</v>
      </c>
      <c r="B334" s="9" t="s">
        <v>530</v>
      </c>
      <c r="C334" s="9" t="s">
        <v>67</v>
      </c>
      <c r="D334" s="9" t="s">
        <v>79</v>
      </c>
      <c r="E334" s="9" t="s">
        <v>80</v>
      </c>
      <c r="F334" s="11">
        <v>4</v>
      </c>
      <c r="G334" s="10">
        <v>2</v>
      </c>
      <c r="H334" s="12">
        <v>0</v>
      </c>
      <c r="I334" s="10">
        <v>1</v>
      </c>
      <c r="J334" s="10">
        <v>1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4</v>
      </c>
      <c r="V334" s="10">
        <v>2</v>
      </c>
      <c r="W334" s="12">
        <v>0</v>
      </c>
      <c r="X334" s="10">
        <v>1</v>
      </c>
      <c r="Y334" s="10">
        <v>1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29">
        <v>0.54</v>
      </c>
    </row>
    <row r="335">
      <c r="A335" s="23">
        <v>3185</v>
      </c>
      <c r="B335" s="4" t="s">
        <v>531</v>
      </c>
      <c r="C335" s="4" t="s">
        <v>67</v>
      </c>
      <c r="D335" s="4" t="s">
        <v>142</v>
      </c>
      <c r="E335" s="4" t="s">
        <v>520</v>
      </c>
      <c r="F335" s="6">
        <v>2</v>
      </c>
      <c r="G335" s="7">
        <v>0</v>
      </c>
      <c r="H335" s="5">
        <v>2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2</v>
      </c>
      <c r="V335" s="7">
        <v>0</v>
      </c>
      <c r="W335" s="5">
        <v>2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2</v>
      </c>
      <c r="AK335" s="8">
        <v>2</v>
      </c>
      <c r="AL335" s="5">
        <v>2</v>
      </c>
      <c r="AM335" s="5">
        <v>2</v>
      </c>
      <c r="AN335" s="28">
        <v>0.5</v>
      </c>
    </row>
    <row r="336">
      <c r="A336" s="24">
        <v>3187</v>
      </c>
      <c r="B336" s="9" t="s">
        <v>532</v>
      </c>
      <c r="C336" s="9" t="s">
        <v>67</v>
      </c>
      <c r="D336" s="9" t="s">
        <v>76</v>
      </c>
      <c r="E336" s="9" t="s">
        <v>156</v>
      </c>
      <c r="F336" s="11">
        <v>1</v>
      </c>
      <c r="G336" s="12">
        <v>0</v>
      </c>
      <c r="H336" s="12">
        <v>0</v>
      </c>
      <c r="I336" s="12">
        <v>0</v>
      </c>
      <c r="J336" s="10">
        <v>1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1</v>
      </c>
      <c r="V336" s="12">
        <v>0</v>
      </c>
      <c r="W336" s="12">
        <v>0</v>
      </c>
      <c r="X336" s="12">
        <v>0</v>
      </c>
      <c r="Y336" s="10">
        <v>1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29">
        <v>0.25</v>
      </c>
    </row>
    <row r="337">
      <c r="A337" s="23">
        <v>3189</v>
      </c>
      <c r="B337" s="4" t="s">
        <v>533</v>
      </c>
      <c r="C337" s="4" t="s">
        <v>67</v>
      </c>
      <c r="D337" s="4" t="s">
        <v>105</v>
      </c>
      <c r="E337" s="4" t="s">
        <v>303</v>
      </c>
      <c r="F337" s="6">
        <v>3</v>
      </c>
      <c r="G337" s="7">
        <v>0</v>
      </c>
      <c r="H337" s="7">
        <v>0</v>
      </c>
      <c r="I337" s="7">
        <v>0</v>
      </c>
      <c r="J337" s="5">
        <v>3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3</v>
      </c>
      <c r="V337" s="7">
        <v>0</v>
      </c>
      <c r="W337" s="7">
        <v>0</v>
      </c>
      <c r="X337" s="7">
        <v>0</v>
      </c>
      <c r="Y337" s="5">
        <v>3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3</v>
      </c>
      <c r="AK337" s="8">
        <v>3</v>
      </c>
      <c r="AL337" s="5">
        <v>3</v>
      </c>
      <c r="AM337" s="5">
        <v>3</v>
      </c>
      <c r="AN337" s="28">
        <v>0.75</v>
      </c>
    </row>
    <row r="338">
      <c r="A338" s="24">
        <v>3191</v>
      </c>
      <c r="B338" s="9" t="s">
        <v>534</v>
      </c>
      <c r="C338" s="9" t="s">
        <v>67</v>
      </c>
      <c r="D338" s="9" t="s">
        <v>111</v>
      </c>
      <c r="E338" s="9" t="s">
        <v>149</v>
      </c>
      <c r="F338" s="11">
        <v>1</v>
      </c>
      <c r="G338" s="10">
        <v>1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1</v>
      </c>
      <c r="V338" s="10">
        <v>1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31">
        <v>0</v>
      </c>
    </row>
    <row r="339">
      <c r="A339" s="23">
        <v>3192</v>
      </c>
      <c r="B339" s="4" t="s">
        <v>535</v>
      </c>
      <c r="C339" s="4" t="s">
        <v>67</v>
      </c>
      <c r="D339" s="4" t="s">
        <v>100</v>
      </c>
      <c r="E339" s="4" t="s">
        <v>127</v>
      </c>
      <c r="F339" s="6">
        <v>1</v>
      </c>
      <c r="G339" s="7">
        <v>0</v>
      </c>
      <c r="H339" s="7">
        <v>0</v>
      </c>
      <c r="I339" s="5">
        <v>1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1</v>
      </c>
      <c r="V339" s="7">
        <v>0</v>
      </c>
      <c r="W339" s="7">
        <v>0</v>
      </c>
      <c r="X339" s="5">
        <v>1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30">
        <v>0</v>
      </c>
    </row>
    <row r="340">
      <c r="A340" s="24">
        <v>3194</v>
      </c>
      <c r="B340" s="9" t="s">
        <v>536</v>
      </c>
      <c r="C340" s="9" t="s">
        <v>67</v>
      </c>
      <c r="D340" s="9" t="s">
        <v>105</v>
      </c>
      <c r="E340" s="9" t="s">
        <v>227</v>
      </c>
      <c r="F340" s="11">
        <v>1</v>
      </c>
      <c r="G340" s="10">
        <v>1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1</v>
      </c>
      <c r="V340" s="10">
        <v>1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29">
        <v>0.25</v>
      </c>
    </row>
    <row r="341">
      <c r="A341" s="23">
        <v>3196</v>
      </c>
      <c r="B341" s="4" t="s">
        <v>537</v>
      </c>
      <c r="C341" s="4" t="s">
        <v>67</v>
      </c>
      <c r="D341" s="4" t="s">
        <v>79</v>
      </c>
      <c r="E341" s="4" t="s">
        <v>116</v>
      </c>
      <c r="F341" s="6">
        <v>1</v>
      </c>
      <c r="G341" s="7">
        <v>0</v>
      </c>
      <c r="H341" s="7">
        <v>0</v>
      </c>
      <c r="I341" s="7">
        <v>0</v>
      </c>
      <c r="J341" s="5">
        <v>1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1</v>
      </c>
      <c r="V341" s="7">
        <v>0</v>
      </c>
      <c r="W341" s="7">
        <v>0</v>
      </c>
      <c r="X341" s="7">
        <v>0</v>
      </c>
      <c r="Y341" s="5">
        <v>1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0.25</v>
      </c>
    </row>
    <row r="342">
      <c r="A342" s="24">
        <v>3199</v>
      </c>
      <c r="B342" s="9" t="s">
        <v>538</v>
      </c>
      <c r="C342" s="9" t="s">
        <v>67</v>
      </c>
      <c r="D342" s="9" t="s">
        <v>79</v>
      </c>
      <c r="E342" s="9" t="s">
        <v>116</v>
      </c>
      <c r="F342" s="11">
        <v>1</v>
      </c>
      <c r="G342" s="10">
        <v>1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1</v>
      </c>
      <c r="V342" s="10">
        <v>1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31">
        <v>0</v>
      </c>
    </row>
    <row r="343">
      <c r="A343" s="23">
        <v>3216</v>
      </c>
      <c r="B343" s="4" t="s">
        <v>539</v>
      </c>
      <c r="C343" s="4" t="s">
        <v>67</v>
      </c>
      <c r="D343" s="4" t="s">
        <v>73</v>
      </c>
      <c r="E343" s="4" t="s">
        <v>301</v>
      </c>
      <c r="F343" s="6">
        <v>3</v>
      </c>
      <c r="G343" s="5">
        <v>3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3</v>
      </c>
      <c r="V343" s="5">
        <v>3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3</v>
      </c>
      <c r="AK343" s="8">
        <v>3</v>
      </c>
      <c r="AL343" s="5">
        <v>3</v>
      </c>
      <c r="AM343" s="5">
        <v>3</v>
      </c>
      <c r="AN343" s="30">
        <v>0</v>
      </c>
    </row>
    <row r="344">
      <c r="A344" s="24">
        <v>3223</v>
      </c>
      <c r="B344" s="9" t="s">
        <v>540</v>
      </c>
      <c r="C344" s="9" t="s">
        <v>67</v>
      </c>
      <c r="D344" s="9" t="s">
        <v>105</v>
      </c>
      <c r="E344" s="9" t="s">
        <v>227</v>
      </c>
      <c r="F344" s="11">
        <v>1</v>
      </c>
      <c r="G344" s="10">
        <v>1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1</v>
      </c>
      <c r="V344" s="10">
        <v>1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31">
        <v>0</v>
      </c>
    </row>
    <row r="345">
      <c r="A345" s="23">
        <v>3227</v>
      </c>
      <c r="B345" s="4" t="s">
        <v>541</v>
      </c>
      <c r="C345" s="4" t="s">
        <v>67</v>
      </c>
      <c r="D345" s="4" t="s">
        <v>68</v>
      </c>
      <c r="E345" s="4" t="s">
        <v>71</v>
      </c>
      <c r="F345" s="6">
        <v>1</v>
      </c>
      <c r="G345" s="7">
        <v>0</v>
      </c>
      <c r="H345" s="7">
        <v>0</v>
      </c>
      <c r="I345" s="7">
        <v>0</v>
      </c>
      <c r="J345" s="5">
        <v>1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1</v>
      </c>
      <c r="V345" s="7">
        <v>0</v>
      </c>
      <c r="W345" s="7">
        <v>0</v>
      </c>
      <c r="X345" s="7">
        <v>0</v>
      </c>
      <c r="Y345" s="5">
        <v>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30">
        <v>0</v>
      </c>
    </row>
    <row r="346">
      <c r="A346" s="24">
        <v>3269</v>
      </c>
      <c r="B346" s="9" t="s">
        <v>542</v>
      </c>
      <c r="C346" s="9" t="s">
        <v>67</v>
      </c>
      <c r="D346" s="9" t="s">
        <v>76</v>
      </c>
      <c r="E346" s="9" t="s">
        <v>77</v>
      </c>
      <c r="F346" s="11">
        <v>1</v>
      </c>
      <c r="G346" s="12">
        <v>0</v>
      </c>
      <c r="H346" s="12">
        <v>0</v>
      </c>
      <c r="I346" s="10">
        <v>1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1</v>
      </c>
      <c r="V346" s="12">
        <v>0</v>
      </c>
      <c r="W346" s="12">
        <v>0</v>
      </c>
      <c r="X346" s="10">
        <v>1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31">
        <v>0</v>
      </c>
    </row>
    <row r="347">
      <c r="A347" s="23">
        <v>3273</v>
      </c>
      <c r="B347" s="4" t="s">
        <v>543</v>
      </c>
      <c r="C347" s="4" t="s">
        <v>67</v>
      </c>
      <c r="D347" s="4" t="s">
        <v>76</v>
      </c>
      <c r="E347" s="4" t="s">
        <v>77</v>
      </c>
      <c r="F347" s="6">
        <v>1</v>
      </c>
      <c r="G347" s="7">
        <v>0</v>
      </c>
      <c r="H347" s="7">
        <v>0</v>
      </c>
      <c r="I347" s="7">
        <v>0</v>
      </c>
      <c r="J347" s="5">
        <v>1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1</v>
      </c>
      <c r="V347" s="7">
        <v>0</v>
      </c>
      <c r="W347" s="7">
        <v>0</v>
      </c>
      <c r="X347" s="7">
        <v>0</v>
      </c>
      <c r="Y347" s="5">
        <v>1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28">
        <v>0.26</v>
      </c>
    </row>
    <row r="348">
      <c r="A348" s="24">
        <v>3276</v>
      </c>
      <c r="B348" s="9" t="s">
        <v>544</v>
      </c>
      <c r="C348" s="9" t="s">
        <v>136</v>
      </c>
      <c r="D348" s="9" t="s">
        <v>496</v>
      </c>
      <c r="E348" s="9" t="s">
        <v>545</v>
      </c>
      <c r="F348" s="11">
        <v>2</v>
      </c>
      <c r="G348" s="12">
        <v>0</v>
      </c>
      <c r="H348" s="12">
        <v>0</v>
      </c>
      <c r="I348" s="10">
        <v>2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1</v>
      </c>
      <c r="V348" s="12">
        <v>0</v>
      </c>
      <c r="W348" s="12">
        <v>0</v>
      </c>
      <c r="X348" s="10">
        <v>1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2</v>
      </c>
      <c r="AK348" s="13">
        <v>2</v>
      </c>
      <c r="AL348" s="10">
        <v>2</v>
      </c>
      <c r="AM348" s="10">
        <v>2</v>
      </c>
      <c r="AN348" s="31">
        <v>0</v>
      </c>
    </row>
    <row r="349">
      <c r="A349" s="23">
        <v>3281</v>
      </c>
      <c r="B349" s="4" t="s">
        <v>546</v>
      </c>
      <c r="C349" s="4" t="s">
        <v>67</v>
      </c>
      <c r="D349" s="4" t="s">
        <v>84</v>
      </c>
      <c r="E349" s="4" t="s">
        <v>404</v>
      </c>
      <c r="F349" s="6">
        <v>1</v>
      </c>
      <c r="G349" s="5">
        <v>1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1</v>
      </c>
      <c r="V349" s="5">
        <v>1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30">
        <v>0</v>
      </c>
    </row>
    <row r="350">
      <c r="A350" s="24">
        <v>3282</v>
      </c>
      <c r="B350" s="9" t="s">
        <v>547</v>
      </c>
      <c r="C350" s="9" t="s">
        <v>136</v>
      </c>
      <c r="D350" s="9" t="s">
        <v>548</v>
      </c>
      <c r="E350" s="9" t="s">
        <v>318</v>
      </c>
      <c r="F350" s="11">
        <v>2</v>
      </c>
      <c r="G350" s="12">
        <v>0</v>
      </c>
      <c r="H350" s="12">
        <v>0</v>
      </c>
      <c r="I350" s="10">
        <v>1</v>
      </c>
      <c r="J350" s="10">
        <v>1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2</v>
      </c>
      <c r="V350" s="12">
        <v>0</v>
      </c>
      <c r="W350" s="12">
        <v>0</v>
      </c>
      <c r="X350" s="10">
        <v>1</v>
      </c>
      <c r="Y350" s="10">
        <v>1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31">
        <v>0</v>
      </c>
    </row>
    <row r="351">
      <c r="A351" s="23">
        <v>3286</v>
      </c>
      <c r="B351" s="4" t="s">
        <v>249</v>
      </c>
      <c r="C351" s="4" t="s">
        <v>67</v>
      </c>
      <c r="D351" s="4" t="s">
        <v>111</v>
      </c>
      <c r="E351" s="4" t="s">
        <v>149</v>
      </c>
      <c r="F351" s="6">
        <v>1</v>
      </c>
      <c r="G351" s="7">
        <v>0</v>
      </c>
      <c r="H351" s="7">
        <v>0</v>
      </c>
      <c r="I351" s="7">
        <v>0</v>
      </c>
      <c r="J351" s="5">
        <v>1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1</v>
      </c>
      <c r="V351" s="7">
        <v>0</v>
      </c>
      <c r="W351" s="7">
        <v>0</v>
      </c>
      <c r="X351" s="7">
        <v>0</v>
      </c>
      <c r="Y351" s="5">
        <v>1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28">
        <v>0.24</v>
      </c>
    </row>
    <row r="352">
      <c r="A352" s="24">
        <v>3297</v>
      </c>
      <c r="B352" s="9" t="s">
        <v>549</v>
      </c>
      <c r="C352" s="9" t="s">
        <v>511</v>
      </c>
      <c r="D352" s="9" t="s">
        <v>550</v>
      </c>
      <c r="E352" s="9" t="s">
        <v>551</v>
      </c>
      <c r="F352" s="11">
        <v>5</v>
      </c>
      <c r="G352" s="12">
        <v>0</v>
      </c>
      <c r="H352" s="10">
        <v>2</v>
      </c>
      <c r="I352" s="12">
        <v>0</v>
      </c>
      <c r="J352" s="10">
        <v>3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4</v>
      </c>
      <c r="V352" s="12">
        <v>0</v>
      </c>
      <c r="W352" s="10">
        <v>2</v>
      </c>
      <c r="X352" s="12">
        <v>0</v>
      </c>
      <c r="Y352" s="10">
        <v>2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2</v>
      </c>
      <c r="AK352" s="13">
        <v>2.5</v>
      </c>
      <c r="AL352" s="10">
        <v>2</v>
      </c>
      <c r="AM352" s="10">
        <v>3</v>
      </c>
      <c r="AN352" s="29">
        <v>1</v>
      </c>
    </row>
    <row r="353">
      <c r="A353" s="23">
        <v>3298</v>
      </c>
      <c r="B353" s="4" t="s">
        <v>552</v>
      </c>
      <c r="C353" s="4" t="s">
        <v>67</v>
      </c>
      <c r="D353" s="4" t="s">
        <v>111</v>
      </c>
      <c r="E353" s="4" t="s">
        <v>195</v>
      </c>
      <c r="F353" s="6">
        <v>4</v>
      </c>
      <c r="G353" s="5">
        <v>1</v>
      </c>
      <c r="H353" s="7">
        <v>0</v>
      </c>
      <c r="I353" s="5">
        <v>1</v>
      </c>
      <c r="J353" s="5">
        <v>2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4</v>
      </c>
      <c r="V353" s="5">
        <v>1</v>
      </c>
      <c r="W353" s="7">
        <v>0</v>
      </c>
      <c r="X353" s="5">
        <v>1</v>
      </c>
      <c r="Y353" s="5">
        <v>2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1.33</v>
      </c>
      <c r="AL353" s="5">
        <v>1</v>
      </c>
      <c r="AM353" s="5">
        <v>2</v>
      </c>
      <c r="AN353" s="28">
        <v>0.5</v>
      </c>
    </row>
    <row r="354">
      <c r="A354" s="24">
        <v>3300</v>
      </c>
      <c r="B354" s="9" t="s">
        <v>553</v>
      </c>
      <c r="C354" s="9" t="s">
        <v>208</v>
      </c>
      <c r="D354" s="9" t="s">
        <v>209</v>
      </c>
      <c r="E354" s="9" t="s">
        <v>554</v>
      </c>
      <c r="F354" s="11">
        <v>2</v>
      </c>
      <c r="G354" s="12">
        <v>0</v>
      </c>
      <c r="H354" s="10">
        <v>2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2</v>
      </c>
      <c r="V354" s="12">
        <v>0</v>
      </c>
      <c r="W354" s="10">
        <v>2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2</v>
      </c>
      <c r="AK354" s="13">
        <v>2</v>
      </c>
      <c r="AL354" s="10">
        <v>2</v>
      </c>
      <c r="AM354" s="10">
        <v>2</v>
      </c>
      <c r="AN354" s="29">
        <v>0.52</v>
      </c>
    </row>
    <row r="355">
      <c r="A355" s="23">
        <v>3309</v>
      </c>
      <c r="B355" s="4" t="s">
        <v>555</v>
      </c>
      <c r="C355" s="4" t="s">
        <v>67</v>
      </c>
      <c r="D355" s="4" t="s">
        <v>79</v>
      </c>
      <c r="E355" s="4" t="s">
        <v>80</v>
      </c>
      <c r="F355" s="6">
        <v>2</v>
      </c>
      <c r="G355" s="5">
        <v>2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1</v>
      </c>
      <c r="V355" s="5">
        <v>1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2</v>
      </c>
      <c r="AK355" s="8">
        <v>2</v>
      </c>
      <c r="AL355" s="5">
        <v>2</v>
      </c>
      <c r="AM355" s="5">
        <v>2</v>
      </c>
      <c r="AN355" s="28">
        <v>0.26</v>
      </c>
    </row>
    <row r="356">
      <c r="A356" s="24">
        <v>3313</v>
      </c>
      <c r="B356" s="9" t="s">
        <v>556</v>
      </c>
      <c r="C356" s="9" t="s">
        <v>67</v>
      </c>
      <c r="D356" s="9" t="s">
        <v>100</v>
      </c>
      <c r="E356" s="9" t="s">
        <v>127</v>
      </c>
      <c r="F356" s="11">
        <v>1</v>
      </c>
      <c r="G356" s="12">
        <v>0</v>
      </c>
      <c r="H356" s="12">
        <v>0</v>
      </c>
      <c r="I356" s="10">
        <v>1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1</v>
      </c>
      <c r="V356" s="12">
        <v>0</v>
      </c>
      <c r="W356" s="12">
        <v>0</v>
      </c>
      <c r="X356" s="10">
        <v>1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0.26</v>
      </c>
    </row>
    <row r="357">
      <c r="A357" s="23">
        <v>3318</v>
      </c>
      <c r="B357" s="4" t="s">
        <v>557</v>
      </c>
      <c r="C357" s="4" t="s">
        <v>558</v>
      </c>
      <c r="D357" s="4" t="s">
        <v>559</v>
      </c>
      <c r="E357" s="4" t="s">
        <v>318</v>
      </c>
      <c r="F357" s="6">
        <v>2</v>
      </c>
      <c r="G357" s="5">
        <v>2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2</v>
      </c>
      <c r="V357" s="5">
        <v>2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2</v>
      </c>
      <c r="AK357" s="8">
        <v>2</v>
      </c>
      <c r="AL357" s="5">
        <v>2</v>
      </c>
      <c r="AM357" s="5">
        <v>2</v>
      </c>
      <c r="AN357" s="30">
        <v>0</v>
      </c>
    </row>
    <row r="358">
      <c r="A358" s="24">
        <v>3325</v>
      </c>
      <c r="B358" s="9" t="s">
        <v>560</v>
      </c>
      <c r="C358" s="9" t="s">
        <v>136</v>
      </c>
      <c r="D358" s="9" t="s">
        <v>137</v>
      </c>
      <c r="E358" s="9" t="s">
        <v>561</v>
      </c>
      <c r="F358" s="11">
        <v>1</v>
      </c>
      <c r="G358" s="12">
        <v>0</v>
      </c>
      <c r="H358" s="12">
        <v>0</v>
      </c>
      <c r="I358" s="12">
        <v>0</v>
      </c>
      <c r="J358" s="10">
        <v>1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1</v>
      </c>
      <c r="V358" s="12">
        <v>0</v>
      </c>
      <c r="W358" s="12">
        <v>0</v>
      </c>
      <c r="X358" s="12">
        <v>0</v>
      </c>
      <c r="Y358" s="10">
        <v>1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29">
        <v>0.24</v>
      </c>
    </row>
    <row r="359">
      <c r="A359" s="23">
        <v>3328</v>
      </c>
      <c r="B359" s="4" t="s">
        <v>562</v>
      </c>
      <c r="C359" s="4" t="s">
        <v>136</v>
      </c>
      <c r="D359" s="4" t="s">
        <v>548</v>
      </c>
      <c r="E359" s="4" t="s">
        <v>318</v>
      </c>
      <c r="F359" s="6">
        <v>1</v>
      </c>
      <c r="G359" s="7">
        <v>0</v>
      </c>
      <c r="H359" s="7">
        <v>0</v>
      </c>
      <c r="I359" s="5">
        <v>1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1</v>
      </c>
      <c r="V359" s="7">
        <v>0</v>
      </c>
      <c r="W359" s="7">
        <v>0</v>
      </c>
      <c r="X359" s="5">
        <v>1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0.24</v>
      </c>
    </row>
    <row r="360">
      <c r="A360" s="24">
        <v>3329</v>
      </c>
      <c r="B360" s="9" t="s">
        <v>563</v>
      </c>
      <c r="C360" s="9" t="s">
        <v>136</v>
      </c>
      <c r="D360" s="9" t="s">
        <v>496</v>
      </c>
      <c r="E360" s="9" t="s">
        <v>564</v>
      </c>
      <c r="F360" s="11">
        <v>3</v>
      </c>
      <c r="G360" s="12">
        <v>0</v>
      </c>
      <c r="H360" s="10">
        <v>1</v>
      </c>
      <c r="I360" s="10">
        <v>1</v>
      </c>
      <c r="J360" s="10">
        <v>1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3</v>
      </c>
      <c r="V360" s="12">
        <v>0</v>
      </c>
      <c r="W360" s="10">
        <v>1</v>
      </c>
      <c r="X360" s="10">
        <v>1</v>
      </c>
      <c r="Y360" s="10">
        <v>1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0.72</v>
      </c>
    </row>
    <row r="361">
      <c r="A361" s="23">
        <v>3331</v>
      </c>
      <c r="B361" s="4" t="s">
        <v>565</v>
      </c>
      <c r="C361" s="4" t="s">
        <v>566</v>
      </c>
      <c r="D361" s="4" t="s">
        <v>567</v>
      </c>
      <c r="E361" s="4" t="s">
        <v>318</v>
      </c>
      <c r="F361" s="6">
        <v>2</v>
      </c>
      <c r="G361" s="7">
        <v>0</v>
      </c>
      <c r="H361" s="5">
        <v>2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2</v>
      </c>
      <c r="V361" s="7">
        <v>0</v>
      </c>
      <c r="W361" s="5">
        <v>2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2</v>
      </c>
      <c r="AK361" s="8">
        <v>2</v>
      </c>
      <c r="AL361" s="5">
        <v>2</v>
      </c>
      <c r="AM361" s="5">
        <v>2</v>
      </c>
      <c r="AN361" s="28">
        <v>0.48</v>
      </c>
    </row>
    <row r="362">
      <c r="A362" s="24">
        <v>3339</v>
      </c>
      <c r="B362" s="9" t="s">
        <v>568</v>
      </c>
      <c r="C362" s="9" t="s">
        <v>67</v>
      </c>
      <c r="D362" s="9" t="s">
        <v>142</v>
      </c>
      <c r="E362" s="9" t="s">
        <v>143</v>
      </c>
      <c r="F362" s="11">
        <v>2</v>
      </c>
      <c r="G362" s="10">
        <v>1</v>
      </c>
      <c r="H362" s="12">
        <v>0</v>
      </c>
      <c r="I362" s="10">
        <v>1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2</v>
      </c>
      <c r="V362" s="10">
        <v>1</v>
      </c>
      <c r="W362" s="12">
        <v>0</v>
      </c>
      <c r="X362" s="10">
        <v>1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31">
        <v>0</v>
      </c>
    </row>
    <row r="363">
      <c r="A363" s="23">
        <v>3350</v>
      </c>
      <c r="B363" s="4" t="s">
        <v>569</v>
      </c>
      <c r="C363" s="4" t="s">
        <v>558</v>
      </c>
      <c r="D363" s="4" t="s">
        <v>570</v>
      </c>
      <c r="E363" s="4" t="s">
        <v>318</v>
      </c>
      <c r="F363" s="6">
        <v>1</v>
      </c>
      <c r="G363" s="7">
        <v>0</v>
      </c>
      <c r="H363" s="7">
        <v>0</v>
      </c>
      <c r="I363" s="5">
        <v>1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1</v>
      </c>
      <c r="V363" s="7">
        <v>0</v>
      </c>
      <c r="W363" s="7">
        <v>0</v>
      </c>
      <c r="X363" s="5">
        <v>1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28">
        <v>0.26</v>
      </c>
    </row>
    <row r="364">
      <c r="A364" s="24">
        <v>3351</v>
      </c>
      <c r="B364" s="9" t="s">
        <v>571</v>
      </c>
      <c r="C364" s="9" t="s">
        <v>558</v>
      </c>
      <c r="D364" s="9" t="s">
        <v>570</v>
      </c>
      <c r="E364" s="9" t="s">
        <v>318</v>
      </c>
      <c r="F364" s="11">
        <v>2</v>
      </c>
      <c r="G364" s="12">
        <v>0</v>
      </c>
      <c r="H364" s="12">
        <v>0</v>
      </c>
      <c r="I364" s="10">
        <v>2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2</v>
      </c>
      <c r="V364" s="12">
        <v>0</v>
      </c>
      <c r="W364" s="12">
        <v>0</v>
      </c>
      <c r="X364" s="10">
        <v>2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29">
        <v>0.5</v>
      </c>
    </row>
    <row r="365">
      <c r="A365" s="23">
        <v>3353</v>
      </c>
      <c r="B365" s="4" t="s">
        <v>572</v>
      </c>
      <c r="C365" s="4" t="s">
        <v>558</v>
      </c>
      <c r="D365" s="4" t="s">
        <v>570</v>
      </c>
      <c r="E365" s="4" t="s">
        <v>318</v>
      </c>
      <c r="F365" s="6">
        <v>1</v>
      </c>
      <c r="G365" s="7">
        <v>0</v>
      </c>
      <c r="H365" s="7">
        <v>0</v>
      </c>
      <c r="I365" s="5">
        <v>1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1</v>
      </c>
      <c r="V365" s="7">
        <v>0</v>
      </c>
      <c r="W365" s="7">
        <v>0</v>
      </c>
      <c r="X365" s="5">
        <v>1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0.26</v>
      </c>
    </row>
    <row r="366">
      <c r="A366" s="24">
        <v>3355</v>
      </c>
      <c r="B366" s="9" t="s">
        <v>573</v>
      </c>
      <c r="C366" s="9" t="s">
        <v>558</v>
      </c>
      <c r="D366" s="9" t="s">
        <v>570</v>
      </c>
      <c r="E366" s="9" t="s">
        <v>318</v>
      </c>
      <c r="F366" s="11">
        <v>2</v>
      </c>
      <c r="G366" s="12">
        <v>0</v>
      </c>
      <c r="H366" s="10">
        <v>1</v>
      </c>
      <c r="I366" s="10">
        <v>1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2</v>
      </c>
      <c r="V366" s="12">
        <v>0</v>
      </c>
      <c r="W366" s="10">
        <v>1</v>
      </c>
      <c r="X366" s="10">
        <v>1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29">
        <v>0.52</v>
      </c>
    </row>
    <row r="367">
      <c r="A367" s="23">
        <v>3357</v>
      </c>
      <c r="B367" s="4" t="s">
        <v>574</v>
      </c>
      <c r="C367" s="4" t="s">
        <v>558</v>
      </c>
      <c r="D367" s="4" t="s">
        <v>570</v>
      </c>
      <c r="E367" s="4" t="s">
        <v>318</v>
      </c>
      <c r="F367" s="6">
        <v>3</v>
      </c>
      <c r="G367" s="7">
        <v>0</v>
      </c>
      <c r="H367" s="5">
        <v>1</v>
      </c>
      <c r="I367" s="7">
        <v>0</v>
      </c>
      <c r="J367" s="5">
        <v>2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2</v>
      </c>
      <c r="V367" s="7">
        <v>0</v>
      </c>
      <c r="W367" s="5">
        <v>1</v>
      </c>
      <c r="X367" s="7">
        <v>0</v>
      </c>
      <c r="Y367" s="5">
        <v>1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1.5</v>
      </c>
      <c r="AL367" s="5">
        <v>1</v>
      </c>
      <c r="AM367" s="5">
        <v>2</v>
      </c>
      <c r="AN367" s="28">
        <v>0.52</v>
      </c>
    </row>
    <row r="368">
      <c r="A368" s="24">
        <v>3358</v>
      </c>
      <c r="B368" s="9" t="s">
        <v>575</v>
      </c>
      <c r="C368" s="9" t="s">
        <v>558</v>
      </c>
      <c r="D368" s="9" t="s">
        <v>570</v>
      </c>
      <c r="E368" s="9" t="s">
        <v>318</v>
      </c>
      <c r="F368" s="11">
        <v>2</v>
      </c>
      <c r="G368" s="12">
        <v>0</v>
      </c>
      <c r="H368" s="12">
        <v>0</v>
      </c>
      <c r="I368" s="10">
        <v>2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2</v>
      </c>
      <c r="V368" s="12">
        <v>0</v>
      </c>
      <c r="W368" s="12">
        <v>0</v>
      </c>
      <c r="X368" s="10">
        <v>2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2</v>
      </c>
      <c r="AK368" s="13">
        <v>2</v>
      </c>
      <c r="AL368" s="10">
        <v>2</v>
      </c>
      <c r="AM368" s="10">
        <v>2</v>
      </c>
      <c r="AN368" s="29">
        <v>0.52</v>
      </c>
    </row>
    <row r="369">
      <c r="A369" s="23">
        <v>3360</v>
      </c>
      <c r="B369" s="4" t="s">
        <v>576</v>
      </c>
      <c r="C369" s="4" t="s">
        <v>558</v>
      </c>
      <c r="D369" s="4" t="s">
        <v>570</v>
      </c>
      <c r="E369" s="4" t="s">
        <v>318</v>
      </c>
      <c r="F369" s="6">
        <v>3</v>
      </c>
      <c r="G369" s="7">
        <v>0</v>
      </c>
      <c r="H369" s="7">
        <v>0</v>
      </c>
      <c r="I369" s="5">
        <v>3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3</v>
      </c>
      <c r="V369" s="7">
        <v>0</v>
      </c>
      <c r="W369" s="7">
        <v>0</v>
      </c>
      <c r="X369" s="5">
        <v>3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1.5</v>
      </c>
      <c r="AL369" s="5">
        <v>1</v>
      </c>
      <c r="AM369" s="5">
        <v>2</v>
      </c>
      <c r="AN369" s="28">
        <v>0.78</v>
      </c>
    </row>
    <row r="370">
      <c r="A370" s="24">
        <v>3365</v>
      </c>
      <c r="B370" s="9" t="s">
        <v>577</v>
      </c>
      <c r="C370" s="9" t="s">
        <v>67</v>
      </c>
      <c r="D370" s="9" t="s">
        <v>100</v>
      </c>
      <c r="E370" s="9" t="s">
        <v>578</v>
      </c>
      <c r="F370" s="11">
        <v>2</v>
      </c>
      <c r="G370" s="10">
        <v>2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2</v>
      </c>
      <c r="V370" s="10">
        <v>2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29">
        <v>0.25</v>
      </c>
    </row>
    <row r="371">
      <c r="A371" s="23">
        <v>3385</v>
      </c>
      <c r="B371" s="4" t="s">
        <v>579</v>
      </c>
      <c r="C371" s="4" t="s">
        <v>558</v>
      </c>
      <c r="D371" s="4" t="s">
        <v>580</v>
      </c>
      <c r="E371" s="4" t="s">
        <v>581</v>
      </c>
      <c r="F371" s="6">
        <v>4</v>
      </c>
      <c r="G371" s="7">
        <v>0</v>
      </c>
      <c r="H371" s="5">
        <v>1</v>
      </c>
      <c r="I371" s="5">
        <v>1</v>
      </c>
      <c r="J371" s="5">
        <v>2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4</v>
      </c>
      <c r="V371" s="7">
        <v>0</v>
      </c>
      <c r="W371" s="5">
        <v>1</v>
      </c>
      <c r="X371" s="5">
        <v>1</v>
      </c>
      <c r="Y371" s="5">
        <v>2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1.33</v>
      </c>
      <c r="AL371" s="5">
        <v>1</v>
      </c>
      <c r="AM371" s="5">
        <v>2</v>
      </c>
      <c r="AN371" s="28">
        <v>0.78</v>
      </c>
    </row>
    <row r="372">
      <c r="A372" s="24">
        <v>3407</v>
      </c>
      <c r="B372" s="9" t="s">
        <v>582</v>
      </c>
      <c r="C372" s="9" t="s">
        <v>163</v>
      </c>
      <c r="D372" s="9" t="s">
        <v>173</v>
      </c>
      <c r="E372" s="9" t="s">
        <v>583</v>
      </c>
      <c r="F372" s="11">
        <v>3</v>
      </c>
      <c r="G372" s="12">
        <v>0</v>
      </c>
      <c r="H372" s="12">
        <v>0</v>
      </c>
      <c r="I372" s="12">
        <v>0</v>
      </c>
      <c r="J372" s="12">
        <v>0</v>
      </c>
      <c r="K372" s="10">
        <v>3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3</v>
      </c>
      <c r="V372" s="12">
        <v>0</v>
      </c>
      <c r="W372" s="12">
        <v>0</v>
      </c>
      <c r="X372" s="12">
        <v>0</v>
      </c>
      <c r="Y372" s="12">
        <v>0</v>
      </c>
      <c r="Z372" s="10">
        <v>3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3</v>
      </c>
      <c r="AK372" s="13">
        <v>3</v>
      </c>
      <c r="AL372" s="10">
        <v>3</v>
      </c>
      <c r="AM372" s="10">
        <v>3</v>
      </c>
      <c r="AN372" s="29">
        <v>0.75</v>
      </c>
    </row>
    <row r="373">
      <c r="A373" s="23">
        <v>3458</v>
      </c>
      <c r="B373" s="4" t="s">
        <v>584</v>
      </c>
      <c r="C373" s="4" t="s">
        <v>163</v>
      </c>
      <c r="D373" s="4" t="s">
        <v>173</v>
      </c>
      <c r="E373" s="4" t="s">
        <v>179</v>
      </c>
      <c r="F373" s="6">
        <v>2</v>
      </c>
      <c r="G373" s="7">
        <v>0</v>
      </c>
      <c r="H373" s="7">
        <v>0</v>
      </c>
      <c r="I373" s="7">
        <v>0</v>
      </c>
      <c r="J373" s="7">
        <v>0</v>
      </c>
      <c r="K373" s="5">
        <v>2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2</v>
      </c>
      <c r="V373" s="7">
        <v>0</v>
      </c>
      <c r="W373" s="7">
        <v>0</v>
      </c>
      <c r="X373" s="7">
        <v>0</v>
      </c>
      <c r="Y373" s="7">
        <v>0</v>
      </c>
      <c r="Z373" s="5">
        <v>2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2</v>
      </c>
      <c r="AK373" s="8">
        <v>2</v>
      </c>
      <c r="AL373" s="5">
        <v>2</v>
      </c>
      <c r="AM373" s="5">
        <v>2</v>
      </c>
      <c r="AN373" s="30">
        <v>0</v>
      </c>
    </row>
    <row r="374">
      <c r="A374" s="24">
        <v>3466</v>
      </c>
      <c r="B374" s="9" t="s">
        <v>585</v>
      </c>
      <c r="C374" s="9" t="s">
        <v>67</v>
      </c>
      <c r="D374" s="9" t="s">
        <v>111</v>
      </c>
      <c r="E374" s="9" t="s">
        <v>253</v>
      </c>
      <c r="F374" s="11">
        <v>3</v>
      </c>
      <c r="G374" s="12">
        <v>0</v>
      </c>
      <c r="H374" s="12">
        <v>0</v>
      </c>
      <c r="I374" s="12">
        <v>0</v>
      </c>
      <c r="J374" s="10">
        <v>3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3</v>
      </c>
      <c r="V374" s="12">
        <v>0</v>
      </c>
      <c r="W374" s="12">
        <v>0</v>
      </c>
      <c r="X374" s="12">
        <v>0</v>
      </c>
      <c r="Y374" s="10">
        <v>3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1.5</v>
      </c>
      <c r="AL374" s="10">
        <v>1</v>
      </c>
      <c r="AM374" s="10">
        <v>2</v>
      </c>
      <c r="AN374" s="29">
        <v>0.75</v>
      </c>
    </row>
    <row r="375">
      <c r="A375" s="23">
        <v>3479</v>
      </c>
      <c r="B375" s="4" t="s">
        <v>586</v>
      </c>
      <c r="C375" s="4" t="s">
        <v>67</v>
      </c>
      <c r="D375" s="4" t="s">
        <v>84</v>
      </c>
      <c r="E375" s="4" t="s">
        <v>85</v>
      </c>
      <c r="F375" s="6">
        <v>3</v>
      </c>
      <c r="G375" s="5">
        <v>1</v>
      </c>
      <c r="H375" s="7">
        <v>0</v>
      </c>
      <c r="I375" s="7">
        <v>0</v>
      </c>
      <c r="J375" s="5">
        <v>2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3</v>
      </c>
      <c r="V375" s="5">
        <v>1</v>
      </c>
      <c r="W375" s="7">
        <v>0</v>
      </c>
      <c r="X375" s="7">
        <v>0</v>
      </c>
      <c r="Y375" s="5">
        <v>2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0.52</v>
      </c>
    </row>
    <row r="376">
      <c r="A376" s="24">
        <v>3480</v>
      </c>
      <c r="B376" s="9" t="s">
        <v>587</v>
      </c>
      <c r="C376" s="9" t="s">
        <v>67</v>
      </c>
      <c r="D376" s="9" t="s">
        <v>84</v>
      </c>
      <c r="E376" s="9" t="s">
        <v>85</v>
      </c>
      <c r="F376" s="11">
        <v>1</v>
      </c>
      <c r="G376" s="10">
        <v>1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1</v>
      </c>
      <c r="V376" s="10">
        <v>1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31">
        <v>0</v>
      </c>
    </row>
    <row r="377">
      <c r="A377" s="23">
        <v>3482</v>
      </c>
      <c r="B377" s="4" t="s">
        <v>588</v>
      </c>
      <c r="C377" s="4" t="s">
        <v>67</v>
      </c>
      <c r="D377" s="4" t="s">
        <v>84</v>
      </c>
      <c r="E377" s="4" t="s">
        <v>85</v>
      </c>
      <c r="F377" s="6">
        <v>1</v>
      </c>
      <c r="G377" s="7">
        <v>0</v>
      </c>
      <c r="H377" s="7">
        <v>0</v>
      </c>
      <c r="I377" s="5">
        <v>1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1</v>
      </c>
      <c r="V377" s="7">
        <v>0</v>
      </c>
      <c r="W377" s="7">
        <v>0</v>
      </c>
      <c r="X377" s="5">
        <v>1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30">
        <v>0</v>
      </c>
    </row>
    <row r="378">
      <c r="A378" s="24">
        <v>3488</v>
      </c>
      <c r="B378" s="9" t="s">
        <v>589</v>
      </c>
      <c r="C378" s="9" t="s">
        <v>67</v>
      </c>
      <c r="D378" s="9" t="s">
        <v>84</v>
      </c>
      <c r="E378" s="9" t="s">
        <v>85</v>
      </c>
      <c r="F378" s="11">
        <v>1</v>
      </c>
      <c r="G378" s="10">
        <v>1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1</v>
      </c>
      <c r="V378" s="10">
        <v>1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31">
        <v>0</v>
      </c>
    </row>
    <row r="379">
      <c r="A379" s="23">
        <v>3495</v>
      </c>
      <c r="B379" s="4" t="s">
        <v>590</v>
      </c>
      <c r="C379" s="4" t="s">
        <v>67</v>
      </c>
      <c r="D379" s="4" t="s">
        <v>84</v>
      </c>
      <c r="E379" s="4" t="s">
        <v>85</v>
      </c>
      <c r="F379" s="6">
        <v>2</v>
      </c>
      <c r="G379" s="5">
        <v>1</v>
      </c>
      <c r="H379" s="7">
        <v>0</v>
      </c>
      <c r="I379" s="7">
        <v>0</v>
      </c>
      <c r="J379" s="5">
        <v>1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2</v>
      </c>
      <c r="V379" s="5">
        <v>1</v>
      </c>
      <c r="W379" s="7">
        <v>0</v>
      </c>
      <c r="X379" s="7">
        <v>0</v>
      </c>
      <c r="Y379" s="5">
        <v>1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30">
        <v>0</v>
      </c>
    </row>
    <row r="380">
      <c r="A380" s="24">
        <v>3497</v>
      </c>
      <c r="B380" s="9" t="s">
        <v>591</v>
      </c>
      <c r="C380" s="9" t="s">
        <v>67</v>
      </c>
      <c r="D380" s="9" t="s">
        <v>84</v>
      </c>
      <c r="E380" s="9" t="s">
        <v>85</v>
      </c>
      <c r="F380" s="11">
        <v>1</v>
      </c>
      <c r="G380" s="12">
        <v>0</v>
      </c>
      <c r="H380" s="12">
        <v>0</v>
      </c>
      <c r="I380" s="12">
        <v>0</v>
      </c>
      <c r="J380" s="10">
        <v>1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1</v>
      </c>
      <c r="V380" s="12">
        <v>0</v>
      </c>
      <c r="W380" s="12">
        <v>0</v>
      </c>
      <c r="X380" s="12">
        <v>0</v>
      </c>
      <c r="Y380" s="10">
        <v>1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0.25</v>
      </c>
    </row>
    <row r="381">
      <c r="A381" s="23">
        <v>3501</v>
      </c>
      <c r="B381" s="4" t="s">
        <v>592</v>
      </c>
      <c r="C381" s="4" t="s">
        <v>67</v>
      </c>
      <c r="D381" s="4" t="s">
        <v>84</v>
      </c>
      <c r="E381" s="4" t="s">
        <v>85</v>
      </c>
      <c r="F381" s="6">
        <v>1</v>
      </c>
      <c r="G381" s="7">
        <v>0</v>
      </c>
      <c r="H381" s="7">
        <v>0</v>
      </c>
      <c r="I381" s="7">
        <v>0</v>
      </c>
      <c r="J381" s="5">
        <v>1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1</v>
      </c>
      <c r="V381" s="7">
        <v>0</v>
      </c>
      <c r="W381" s="7">
        <v>0</v>
      </c>
      <c r="X381" s="7">
        <v>0</v>
      </c>
      <c r="Y381" s="5">
        <v>1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0.25</v>
      </c>
    </row>
    <row r="382">
      <c r="A382" s="24">
        <v>3502</v>
      </c>
      <c r="B382" s="9" t="s">
        <v>593</v>
      </c>
      <c r="C382" s="9" t="s">
        <v>67</v>
      </c>
      <c r="D382" s="9" t="s">
        <v>84</v>
      </c>
      <c r="E382" s="9" t="s">
        <v>85</v>
      </c>
      <c r="F382" s="11">
        <v>1</v>
      </c>
      <c r="G382" s="12">
        <v>0</v>
      </c>
      <c r="H382" s="12">
        <v>0</v>
      </c>
      <c r="I382" s="12">
        <v>0</v>
      </c>
      <c r="J382" s="10">
        <v>1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1</v>
      </c>
      <c r="V382" s="12">
        <v>0</v>
      </c>
      <c r="W382" s="12">
        <v>0</v>
      </c>
      <c r="X382" s="12">
        <v>0</v>
      </c>
      <c r="Y382" s="10">
        <v>1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0.25</v>
      </c>
    </row>
    <row r="383">
      <c r="A383" s="23">
        <v>3507</v>
      </c>
      <c r="B383" s="4" t="s">
        <v>594</v>
      </c>
      <c r="C383" s="4" t="s">
        <v>67</v>
      </c>
      <c r="D383" s="4" t="s">
        <v>84</v>
      </c>
      <c r="E383" s="4" t="s">
        <v>85</v>
      </c>
      <c r="F383" s="6">
        <v>1</v>
      </c>
      <c r="G383" s="5">
        <v>1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1</v>
      </c>
      <c r="V383" s="5">
        <v>1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30">
        <v>0</v>
      </c>
    </row>
    <row r="384">
      <c r="A384" s="24">
        <v>3510</v>
      </c>
      <c r="B384" s="9" t="s">
        <v>595</v>
      </c>
      <c r="C384" s="9" t="s">
        <v>67</v>
      </c>
      <c r="D384" s="9" t="s">
        <v>84</v>
      </c>
      <c r="E384" s="9" t="s">
        <v>85</v>
      </c>
      <c r="F384" s="11">
        <v>1</v>
      </c>
      <c r="G384" s="12">
        <v>0</v>
      </c>
      <c r="H384" s="12">
        <v>0</v>
      </c>
      <c r="I384" s="12">
        <v>0</v>
      </c>
      <c r="J384" s="10">
        <v>1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1</v>
      </c>
      <c r="V384" s="12">
        <v>0</v>
      </c>
      <c r="W384" s="12">
        <v>0</v>
      </c>
      <c r="X384" s="12">
        <v>0</v>
      </c>
      <c r="Y384" s="10">
        <v>1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29">
        <v>0.26</v>
      </c>
    </row>
    <row r="385">
      <c r="A385" s="23">
        <v>3513</v>
      </c>
      <c r="B385" s="4" t="s">
        <v>596</v>
      </c>
      <c r="C385" s="4" t="s">
        <v>509</v>
      </c>
      <c r="D385" s="4" t="s">
        <v>597</v>
      </c>
      <c r="E385" s="4" t="s">
        <v>318</v>
      </c>
      <c r="F385" s="6">
        <v>1</v>
      </c>
      <c r="G385" s="7">
        <v>0</v>
      </c>
      <c r="H385" s="7">
        <v>0</v>
      </c>
      <c r="I385" s="7">
        <v>0</v>
      </c>
      <c r="J385" s="5">
        <v>1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1</v>
      </c>
      <c r="V385" s="7">
        <v>0</v>
      </c>
      <c r="W385" s="7">
        <v>0</v>
      </c>
      <c r="X385" s="7">
        <v>0</v>
      </c>
      <c r="Y385" s="5">
        <v>1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0.26</v>
      </c>
    </row>
    <row r="386">
      <c r="A386" s="24">
        <v>3514</v>
      </c>
      <c r="B386" s="9" t="s">
        <v>598</v>
      </c>
      <c r="C386" s="9" t="s">
        <v>509</v>
      </c>
      <c r="D386" s="9" t="s">
        <v>597</v>
      </c>
      <c r="E386" s="9" t="s">
        <v>318</v>
      </c>
      <c r="F386" s="11">
        <v>3</v>
      </c>
      <c r="G386" s="12">
        <v>0</v>
      </c>
      <c r="H386" s="12">
        <v>0</v>
      </c>
      <c r="I386" s="12">
        <v>0</v>
      </c>
      <c r="J386" s="10">
        <v>3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3</v>
      </c>
      <c r="V386" s="12">
        <v>0</v>
      </c>
      <c r="W386" s="12">
        <v>0</v>
      </c>
      <c r="X386" s="12">
        <v>0</v>
      </c>
      <c r="Y386" s="10">
        <v>3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0.78</v>
      </c>
    </row>
    <row r="387">
      <c r="A387" s="23">
        <v>3515</v>
      </c>
      <c r="B387" s="4" t="s">
        <v>599</v>
      </c>
      <c r="C387" s="4" t="s">
        <v>509</v>
      </c>
      <c r="D387" s="4" t="s">
        <v>600</v>
      </c>
      <c r="E387" s="4" t="s">
        <v>318</v>
      </c>
      <c r="F387" s="6">
        <v>7</v>
      </c>
      <c r="G387" s="5">
        <v>6</v>
      </c>
      <c r="H387" s="7">
        <v>0</v>
      </c>
      <c r="I387" s="7">
        <v>0</v>
      </c>
      <c r="J387" s="5">
        <v>1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2</v>
      </c>
      <c r="V387" s="5">
        <v>1</v>
      </c>
      <c r="W387" s="7">
        <v>0</v>
      </c>
      <c r="X387" s="7">
        <v>0</v>
      </c>
      <c r="Y387" s="5">
        <v>1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3.5</v>
      </c>
      <c r="AL387" s="5">
        <v>3</v>
      </c>
      <c r="AM387" s="5">
        <v>6</v>
      </c>
      <c r="AN387" s="28">
        <v>0.63</v>
      </c>
    </row>
    <row r="388">
      <c r="A388" s="24">
        <v>3524</v>
      </c>
      <c r="B388" s="9" t="s">
        <v>601</v>
      </c>
      <c r="C388" s="9" t="s">
        <v>136</v>
      </c>
      <c r="D388" s="9" t="s">
        <v>349</v>
      </c>
      <c r="E388" s="9" t="s">
        <v>602</v>
      </c>
      <c r="F388" s="11">
        <v>2</v>
      </c>
      <c r="G388" s="10">
        <v>2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2</v>
      </c>
      <c r="V388" s="10">
        <v>2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0.34</v>
      </c>
    </row>
    <row r="389">
      <c r="A389" s="23">
        <v>3532</v>
      </c>
      <c r="B389" s="4" t="s">
        <v>603</v>
      </c>
      <c r="C389" s="4" t="s">
        <v>67</v>
      </c>
      <c r="D389" s="4" t="s">
        <v>76</v>
      </c>
      <c r="E389" s="4" t="s">
        <v>132</v>
      </c>
      <c r="F389" s="6">
        <v>3</v>
      </c>
      <c r="G389" s="7">
        <v>0</v>
      </c>
      <c r="H389" s="7">
        <v>0</v>
      </c>
      <c r="I389" s="7">
        <v>0</v>
      </c>
      <c r="J389" s="5">
        <v>3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2</v>
      </c>
      <c r="V389" s="7">
        <v>0</v>
      </c>
      <c r="W389" s="7">
        <v>0</v>
      </c>
      <c r="X389" s="7">
        <v>0</v>
      </c>
      <c r="Y389" s="5">
        <v>2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3</v>
      </c>
      <c r="AK389" s="8">
        <v>3</v>
      </c>
      <c r="AL389" s="5">
        <v>3</v>
      </c>
      <c r="AM389" s="5">
        <v>3</v>
      </c>
      <c r="AN389" s="28">
        <v>0.3</v>
      </c>
    </row>
    <row r="390">
      <c r="A390" s="24">
        <v>3567</v>
      </c>
      <c r="B390" s="9" t="s">
        <v>604</v>
      </c>
      <c r="C390" s="9" t="s">
        <v>67</v>
      </c>
      <c r="D390" s="9" t="s">
        <v>84</v>
      </c>
      <c r="E390" s="9" t="s">
        <v>85</v>
      </c>
      <c r="F390" s="11">
        <v>1</v>
      </c>
      <c r="G390" s="10">
        <v>1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1</v>
      </c>
      <c r="V390" s="10">
        <v>1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31">
        <v>0</v>
      </c>
    </row>
    <row r="391">
      <c r="A391" s="23">
        <v>3573</v>
      </c>
      <c r="B391" s="4" t="s">
        <v>605</v>
      </c>
      <c r="C391" s="4" t="s">
        <v>558</v>
      </c>
      <c r="D391" s="4" t="s">
        <v>606</v>
      </c>
      <c r="E391" s="4" t="s">
        <v>318</v>
      </c>
      <c r="F391" s="6">
        <v>1</v>
      </c>
      <c r="G391" s="7">
        <v>0</v>
      </c>
      <c r="H391" s="7">
        <v>0</v>
      </c>
      <c r="I391" s="5">
        <v>1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1</v>
      </c>
      <c r="V391" s="7">
        <v>0</v>
      </c>
      <c r="W391" s="7">
        <v>0</v>
      </c>
      <c r="X391" s="5">
        <v>1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30">
        <v>0</v>
      </c>
    </row>
    <row r="392">
      <c r="A392" s="24">
        <v>3587</v>
      </c>
      <c r="B392" s="9" t="s">
        <v>607</v>
      </c>
      <c r="C392" s="9" t="s">
        <v>67</v>
      </c>
      <c r="D392" s="9" t="s">
        <v>76</v>
      </c>
      <c r="E392" s="9" t="s">
        <v>77</v>
      </c>
      <c r="F392" s="11">
        <v>1</v>
      </c>
      <c r="G392" s="12">
        <v>0</v>
      </c>
      <c r="H392" s="12">
        <v>0</v>
      </c>
      <c r="I392" s="12">
        <v>0</v>
      </c>
      <c r="J392" s="10">
        <v>1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1</v>
      </c>
      <c r="V392" s="12">
        <v>0</v>
      </c>
      <c r="W392" s="12">
        <v>0</v>
      </c>
      <c r="X392" s="12">
        <v>0</v>
      </c>
      <c r="Y392" s="10">
        <v>1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29">
        <v>0.25</v>
      </c>
    </row>
    <row r="393">
      <c r="A393" s="23">
        <v>3591</v>
      </c>
      <c r="B393" s="4" t="s">
        <v>608</v>
      </c>
      <c r="C393" s="4" t="s">
        <v>67</v>
      </c>
      <c r="D393" s="4" t="s">
        <v>68</v>
      </c>
      <c r="E393" s="4" t="s">
        <v>237</v>
      </c>
      <c r="F393" s="6">
        <v>1</v>
      </c>
      <c r="G393" s="5">
        <v>1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1</v>
      </c>
      <c r="V393" s="5">
        <v>1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0.38</v>
      </c>
    </row>
    <row r="394">
      <c r="A394" s="24">
        <v>3598</v>
      </c>
      <c r="B394" s="9" t="s">
        <v>609</v>
      </c>
      <c r="C394" s="9" t="s">
        <v>67</v>
      </c>
      <c r="D394" s="9" t="s">
        <v>105</v>
      </c>
      <c r="E394" s="9" t="s">
        <v>303</v>
      </c>
      <c r="F394" s="11">
        <v>2</v>
      </c>
      <c r="G394" s="12">
        <v>0</v>
      </c>
      <c r="H394" s="12">
        <v>0</v>
      </c>
      <c r="I394" s="12">
        <v>0</v>
      </c>
      <c r="J394" s="10">
        <v>2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2</v>
      </c>
      <c r="V394" s="12">
        <v>0</v>
      </c>
      <c r="W394" s="12">
        <v>0</v>
      </c>
      <c r="X394" s="12">
        <v>0</v>
      </c>
      <c r="Y394" s="10">
        <v>2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29">
        <v>0.25</v>
      </c>
    </row>
    <row r="395">
      <c r="A395" s="23">
        <v>3622</v>
      </c>
      <c r="B395" s="4" t="s">
        <v>610</v>
      </c>
      <c r="C395" s="4" t="s">
        <v>67</v>
      </c>
      <c r="D395" s="4" t="s">
        <v>79</v>
      </c>
      <c r="E395" s="4" t="s">
        <v>332</v>
      </c>
      <c r="F395" s="6">
        <v>3</v>
      </c>
      <c r="G395" s="7">
        <v>0</v>
      </c>
      <c r="H395" s="7">
        <v>0</v>
      </c>
      <c r="I395" s="5">
        <v>1</v>
      </c>
      <c r="J395" s="5">
        <v>2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2</v>
      </c>
      <c r="V395" s="7">
        <v>0</v>
      </c>
      <c r="W395" s="7">
        <v>0</v>
      </c>
      <c r="X395" s="5">
        <v>1</v>
      </c>
      <c r="Y395" s="5">
        <v>1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1.5</v>
      </c>
      <c r="AL395" s="5">
        <v>1</v>
      </c>
      <c r="AM395" s="5">
        <v>2</v>
      </c>
      <c r="AN395" s="28">
        <v>0.24</v>
      </c>
    </row>
    <row r="396">
      <c r="A396" s="24">
        <v>3626</v>
      </c>
      <c r="B396" s="9" t="s">
        <v>611</v>
      </c>
      <c r="C396" s="9" t="s">
        <v>67</v>
      </c>
      <c r="D396" s="9" t="s">
        <v>76</v>
      </c>
      <c r="E396" s="9" t="s">
        <v>202</v>
      </c>
      <c r="F396" s="11">
        <v>1</v>
      </c>
      <c r="G396" s="12">
        <v>0</v>
      </c>
      <c r="H396" s="12">
        <v>0</v>
      </c>
      <c r="I396" s="12">
        <v>0</v>
      </c>
      <c r="J396" s="10">
        <v>1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1</v>
      </c>
      <c r="V396" s="12">
        <v>0</v>
      </c>
      <c r="W396" s="12">
        <v>0</v>
      </c>
      <c r="X396" s="12">
        <v>0</v>
      </c>
      <c r="Y396" s="10">
        <v>1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29">
        <v>0.26</v>
      </c>
    </row>
    <row r="397">
      <c r="A397" s="23">
        <v>3640</v>
      </c>
      <c r="B397" s="4" t="s">
        <v>612</v>
      </c>
      <c r="C397" s="4" t="s">
        <v>67</v>
      </c>
      <c r="D397" s="4" t="s">
        <v>111</v>
      </c>
      <c r="E397" s="4" t="s">
        <v>613</v>
      </c>
      <c r="F397" s="6">
        <v>1</v>
      </c>
      <c r="G397" s="5">
        <v>1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1</v>
      </c>
      <c r="V397" s="5">
        <v>1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28">
        <v>0.26</v>
      </c>
    </row>
    <row r="398">
      <c r="A398" s="24">
        <v>3643</v>
      </c>
      <c r="B398" s="9" t="s">
        <v>614</v>
      </c>
      <c r="C398" s="9" t="s">
        <v>67</v>
      </c>
      <c r="D398" s="9" t="s">
        <v>111</v>
      </c>
      <c r="E398" s="9" t="s">
        <v>195</v>
      </c>
      <c r="F398" s="11">
        <v>1</v>
      </c>
      <c r="G398" s="10">
        <v>1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1</v>
      </c>
      <c r="V398" s="10">
        <v>1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29">
        <v>0.26</v>
      </c>
    </row>
    <row r="399">
      <c r="A399" s="23">
        <v>3654</v>
      </c>
      <c r="B399" s="4" t="s">
        <v>615</v>
      </c>
      <c r="C399" s="4" t="s">
        <v>67</v>
      </c>
      <c r="D399" s="4" t="s">
        <v>76</v>
      </c>
      <c r="E399" s="4" t="s">
        <v>132</v>
      </c>
      <c r="F399" s="6">
        <v>1</v>
      </c>
      <c r="G399" s="7">
        <v>0</v>
      </c>
      <c r="H399" s="7">
        <v>0</v>
      </c>
      <c r="I399" s="7">
        <v>0</v>
      </c>
      <c r="J399" s="5">
        <v>1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1</v>
      </c>
      <c r="V399" s="7">
        <v>0</v>
      </c>
      <c r="W399" s="7">
        <v>0</v>
      </c>
      <c r="X399" s="7">
        <v>0</v>
      </c>
      <c r="Y399" s="5">
        <v>1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28">
        <v>0.25</v>
      </c>
    </row>
    <row r="400">
      <c r="A400" s="24">
        <v>3677</v>
      </c>
      <c r="B400" s="9" t="s">
        <v>616</v>
      </c>
      <c r="C400" s="9" t="s">
        <v>67</v>
      </c>
      <c r="D400" s="9" t="s">
        <v>105</v>
      </c>
      <c r="E400" s="9" t="s">
        <v>227</v>
      </c>
      <c r="F400" s="11">
        <v>1</v>
      </c>
      <c r="G400" s="10">
        <v>1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1</v>
      </c>
      <c r="V400" s="10">
        <v>1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31">
        <v>0</v>
      </c>
    </row>
    <row r="401">
      <c r="A401" s="23">
        <v>3685</v>
      </c>
      <c r="B401" s="4" t="s">
        <v>617</v>
      </c>
      <c r="C401" s="4" t="s">
        <v>136</v>
      </c>
      <c r="D401" s="4" t="s">
        <v>618</v>
      </c>
      <c r="E401" s="4" t="s">
        <v>619</v>
      </c>
      <c r="F401" s="6">
        <v>1</v>
      </c>
      <c r="G401" s="7">
        <v>0</v>
      </c>
      <c r="H401" s="5">
        <v>1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1</v>
      </c>
      <c r="V401" s="7">
        <v>0</v>
      </c>
      <c r="W401" s="5">
        <v>1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28">
        <v>0.22</v>
      </c>
    </row>
    <row r="402">
      <c r="A402" s="24">
        <v>3692</v>
      </c>
      <c r="B402" s="9" t="s">
        <v>620</v>
      </c>
      <c r="C402" s="9" t="s">
        <v>67</v>
      </c>
      <c r="D402" s="9" t="s">
        <v>105</v>
      </c>
      <c r="E402" s="9" t="s">
        <v>303</v>
      </c>
      <c r="F402" s="11">
        <v>1</v>
      </c>
      <c r="G402" s="12">
        <v>0</v>
      </c>
      <c r="H402" s="12">
        <v>0</v>
      </c>
      <c r="I402" s="10">
        <v>1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1</v>
      </c>
      <c r="V402" s="12">
        <v>0</v>
      </c>
      <c r="W402" s="12">
        <v>0</v>
      </c>
      <c r="X402" s="10">
        <v>1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0.22</v>
      </c>
    </row>
    <row r="403">
      <c r="A403" s="23">
        <v>3694</v>
      </c>
      <c r="B403" s="4" t="s">
        <v>621</v>
      </c>
      <c r="C403" s="4" t="s">
        <v>67</v>
      </c>
      <c r="D403" s="4" t="s">
        <v>89</v>
      </c>
      <c r="E403" s="4" t="s">
        <v>322</v>
      </c>
      <c r="F403" s="6">
        <v>3</v>
      </c>
      <c r="G403" s="5">
        <v>2</v>
      </c>
      <c r="H403" s="7">
        <v>0</v>
      </c>
      <c r="I403" s="5">
        <v>1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3</v>
      </c>
      <c r="V403" s="5">
        <v>2</v>
      </c>
      <c r="W403" s="7">
        <v>0</v>
      </c>
      <c r="X403" s="5">
        <v>1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1.5</v>
      </c>
      <c r="AL403" s="5">
        <v>1</v>
      </c>
      <c r="AM403" s="5">
        <v>2</v>
      </c>
      <c r="AN403" s="30">
        <v>0</v>
      </c>
    </row>
    <row r="404">
      <c r="A404" s="24">
        <v>3695</v>
      </c>
      <c r="B404" s="9" t="s">
        <v>622</v>
      </c>
      <c r="C404" s="9" t="s">
        <v>136</v>
      </c>
      <c r="D404" s="9" t="s">
        <v>496</v>
      </c>
      <c r="E404" s="9" t="s">
        <v>564</v>
      </c>
      <c r="F404" s="11">
        <v>1</v>
      </c>
      <c r="G404" s="12">
        <v>0</v>
      </c>
      <c r="H404" s="12">
        <v>0</v>
      </c>
      <c r="I404" s="10">
        <v>1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1</v>
      </c>
      <c r="V404" s="12">
        <v>0</v>
      </c>
      <c r="W404" s="12">
        <v>0</v>
      </c>
      <c r="X404" s="10">
        <v>1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31">
        <v>0</v>
      </c>
    </row>
    <row r="405">
      <c r="A405" s="23">
        <v>3707</v>
      </c>
      <c r="B405" s="4" t="s">
        <v>623</v>
      </c>
      <c r="C405" s="4" t="s">
        <v>67</v>
      </c>
      <c r="D405" s="4" t="s">
        <v>100</v>
      </c>
      <c r="E405" s="4" t="s">
        <v>624</v>
      </c>
      <c r="F405" s="6">
        <v>4</v>
      </c>
      <c r="G405" s="5">
        <v>3</v>
      </c>
      <c r="H405" s="7">
        <v>0</v>
      </c>
      <c r="I405" s="7">
        <v>0</v>
      </c>
      <c r="J405" s="5">
        <v>1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4</v>
      </c>
      <c r="V405" s="5">
        <v>3</v>
      </c>
      <c r="W405" s="7">
        <v>0</v>
      </c>
      <c r="X405" s="7">
        <v>0</v>
      </c>
      <c r="Y405" s="5">
        <v>1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2</v>
      </c>
      <c r="AL405" s="5">
        <v>2</v>
      </c>
      <c r="AM405" s="5">
        <v>3</v>
      </c>
      <c r="AN405" s="28">
        <v>0.26</v>
      </c>
    </row>
    <row r="406">
      <c r="A406" s="24">
        <v>3719</v>
      </c>
      <c r="B406" s="9" t="s">
        <v>625</v>
      </c>
      <c r="C406" s="9" t="s">
        <v>67</v>
      </c>
      <c r="D406" s="9" t="s">
        <v>89</v>
      </c>
      <c r="E406" s="9" t="s">
        <v>322</v>
      </c>
      <c r="F406" s="11">
        <v>3</v>
      </c>
      <c r="G406" s="10">
        <v>3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3</v>
      </c>
      <c r="V406" s="10">
        <v>3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3</v>
      </c>
      <c r="AK406" s="13">
        <v>3</v>
      </c>
      <c r="AL406" s="10">
        <v>3</v>
      </c>
      <c r="AM406" s="10">
        <v>3</v>
      </c>
      <c r="AN406" s="31">
        <v>0</v>
      </c>
    </row>
    <row r="407">
      <c r="A407" s="23">
        <v>3726</v>
      </c>
      <c r="B407" s="4" t="s">
        <v>626</v>
      </c>
      <c r="C407" s="4" t="s">
        <v>67</v>
      </c>
      <c r="D407" s="4" t="s">
        <v>100</v>
      </c>
      <c r="E407" s="4" t="s">
        <v>127</v>
      </c>
      <c r="F407" s="6">
        <v>1</v>
      </c>
      <c r="G407" s="5">
        <v>1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1</v>
      </c>
      <c r="V407" s="5">
        <v>1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30">
        <v>0</v>
      </c>
    </row>
    <row r="408">
      <c r="A408" s="24">
        <v>3734</v>
      </c>
      <c r="B408" s="9" t="s">
        <v>627</v>
      </c>
      <c r="C408" s="9" t="s">
        <v>136</v>
      </c>
      <c r="D408" s="9" t="s">
        <v>137</v>
      </c>
      <c r="E408" s="9" t="s">
        <v>561</v>
      </c>
      <c r="F408" s="11">
        <v>2</v>
      </c>
      <c r="G408" s="12">
        <v>0</v>
      </c>
      <c r="H408" s="12">
        <v>0</v>
      </c>
      <c r="I408" s="10">
        <v>1</v>
      </c>
      <c r="J408" s="10">
        <v>1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2</v>
      </c>
      <c r="V408" s="12">
        <v>0</v>
      </c>
      <c r="W408" s="12">
        <v>0</v>
      </c>
      <c r="X408" s="10">
        <v>1</v>
      </c>
      <c r="Y408" s="10">
        <v>1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31">
        <v>0</v>
      </c>
    </row>
    <row r="409">
      <c r="A409" s="23">
        <v>3736</v>
      </c>
      <c r="B409" s="4" t="s">
        <v>628</v>
      </c>
      <c r="C409" s="4" t="s">
        <v>566</v>
      </c>
      <c r="D409" s="4" t="s">
        <v>629</v>
      </c>
      <c r="E409" s="4" t="s">
        <v>318</v>
      </c>
      <c r="F409" s="6">
        <v>2</v>
      </c>
      <c r="G409" s="7">
        <v>0</v>
      </c>
      <c r="H409" s="5">
        <v>2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2</v>
      </c>
      <c r="V409" s="7">
        <v>0</v>
      </c>
      <c r="W409" s="5">
        <v>2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2</v>
      </c>
      <c r="AK409" s="8">
        <v>2</v>
      </c>
      <c r="AL409" s="5">
        <v>2</v>
      </c>
      <c r="AM409" s="5">
        <v>2</v>
      </c>
      <c r="AN409" s="28">
        <v>0.5</v>
      </c>
    </row>
    <row r="410">
      <c r="A410" s="24">
        <v>3737</v>
      </c>
      <c r="B410" s="9" t="s">
        <v>630</v>
      </c>
      <c r="C410" s="9" t="s">
        <v>566</v>
      </c>
      <c r="D410" s="9" t="s">
        <v>629</v>
      </c>
      <c r="E410" s="9" t="s">
        <v>318</v>
      </c>
      <c r="F410" s="11">
        <v>5</v>
      </c>
      <c r="G410" s="12">
        <v>0</v>
      </c>
      <c r="H410" s="10">
        <v>3</v>
      </c>
      <c r="I410" s="10">
        <v>2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5</v>
      </c>
      <c r="V410" s="12">
        <v>0</v>
      </c>
      <c r="W410" s="10">
        <v>3</v>
      </c>
      <c r="X410" s="10">
        <v>2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1.67</v>
      </c>
      <c r="AL410" s="10">
        <v>1</v>
      </c>
      <c r="AM410" s="10">
        <v>3</v>
      </c>
      <c r="AN410" s="29">
        <v>1</v>
      </c>
    </row>
    <row r="411">
      <c r="A411" s="23">
        <v>3739</v>
      </c>
      <c r="B411" s="4" t="s">
        <v>631</v>
      </c>
      <c r="C411" s="4" t="s">
        <v>566</v>
      </c>
      <c r="D411" s="4" t="s">
        <v>629</v>
      </c>
      <c r="E411" s="4" t="s">
        <v>318</v>
      </c>
      <c r="F411" s="6">
        <v>1</v>
      </c>
      <c r="G411" s="7">
        <v>0</v>
      </c>
      <c r="H411" s="5">
        <v>1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1</v>
      </c>
      <c r="V411" s="7">
        <v>0</v>
      </c>
      <c r="W411" s="5">
        <v>1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28">
        <v>0.25</v>
      </c>
    </row>
    <row r="412">
      <c r="A412" s="24">
        <v>3740</v>
      </c>
      <c r="B412" s="9" t="s">
        <v>632</v>
      </c>
      <c r="C412" s="9" t="s">
        <v>566</v>
      </c>
      <c r="D412" s="9" t="s">
        <v>629</v>
      </c>
      <c r="E412" s="9" t="s">
        <v>318</v>
      </c>
      <c r="F412" s="11">
        <v>4</v>
      </c>
      <c r="G412" s="12">
        <v>0</v>
      </c>
      <c r="H412" s="10">
        <v>3</v>
      </c>
      <c r="I412" s="10">
        <v>1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4</v>
      </c>
      <c r="V412" s="12">
        <v>0</v>
      </c>
      <c r="W412" s="10">
        <v>3</v>
      </c>
      <c r="X412" s="10">
        <v>1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2</v>
      </c>
      <c r="AL412" s="10">
        <v>2</v>
      </c>
      <c r="AM412" s="10">
        <v>3</v>
      </c>
      <c r="AN412" s="29">
        <v>0.75</v>
      </c>
    </row>
    <row r="413">
      <c r="A413" s="23">
        <v>3741</v>
      </c>
      <c r="B413" s="4" t="s">
        <v>633</v>
      </c>
      <c r="C413" s="4" t="s">
        <v>566</v>
      </c>
      <c r="D413" s="4" t="s">
        <v>629</v>
      </c>
      <c r="E413" s="4" t="s">
        <v>318</v>
      </c>
      <c r="F413" s="6">
        <v>2</v>
      </c>
      <c r="G413" s="7">
        <v>0</v>
      </c>
      <c r="H413" s="5">
        <v>2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2</v>
      </c>
      <c r="V413" s="7">
        <v>0</v>
      </c>
      <c r="W413" s="5">
        <v>2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2</v>
      </c>
      <c r="AK413" s="8">
        <v>2</v>
      </c>
      <c r="AL413" s="5">
        <v>2</v>
      </c>
      <c r="AM413" s="5">
        <v>2</v>
      </c>
      <c r="AN413" s="28">
        <v>0.5</v>
      </c>
    </row>
    <row r="414">
      <c r="A414" s="24">
        <v>3745</v>
      </c>
      <c r="B414" s="9" t="s">
        <v>634</v>
      </c>
      <c r="C414" s="9" t="s">
        <v>67</v>
      </c>
      <c r="D414" s="9" t="s">
        <v>84</v>
      </c>
      <c r="E414" s="9" t="s">
        <v>85</v>
      </c>
      <c r="F414" s="11">
        <v>1</v>
      </c>
      <c r="G414" s="10">
        <v>1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1</v>
      </c>
      <c r="V414" s="10">
        <v>1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31">
        <v>0</v>
      </c>
    </row>
    <row r="415">
      <c r="A415" s="23">
        <v>3753</v>
      </c>
      <c r="B415" s="4" t="s">
        <v>635</v>
      </c>
      <c r="C415" s="4" t="s">
        <v>67</v>
      </c>
      <c r="D415" s="4" t="s">
        <v>100</v>
      </c>
      <c r="E415" s="4" t="s">
        <v>299</v>
      </c>
      <c r="F415" s="6">
        <v>5</v>
      </c>
      <c r="G415" s="5">
        <v>4</v>
      </c>
      <c r="H415" s="7">
        <v>0</v>
      </c>
      <c r="I415" s="7">
        <v>0</v>
      </c>
      <c r="J415" s="5">
        <v>1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4</v>
      </c>
      <c r="V415" s="5">
        <v>3</v>
      </c>
      <c r="W415" s="7">
        <v>0</v>
      </c>
      <c r="X415" s="7">
        <v>0</v>
      </c>
      <c r="Y415" s="5">
        <v>1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2.5</v>
      </c>
      <c r="AL415" s="5">
        <v>2</v>
      </c>
      <c r="AM415" s="5">
        <v>4</v>
      </c>
      <c r="AN415" s="28">
        <v>0.26</v>
      </c>
    </row>
    <row r="416">
      <c r="A416" s="24">
        <v>3756</v>
      </c>
      <c r="B416" s="9" t="s">
        <v>636</v>
      </c>
      <c r="C416" s="9" t="s">
        <v>67</v>
      </c>
      <c r="D416" s="9" t="s">
        <v>111</v>
      </c>
      <c r="E416" s="9" t="s">
        <v>149</v>
      </c>
      <c r="F416" s="11">
        <v>2</v>
      </c>
      <c r="G416" s="10">
        <v>2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1</v>
      </c>
      <c r="V416" s="10">
        <v>1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2</v>
      </c>
      <c r="AK416" s="13">
        <v>2</v>
      </c>
      <c r="AL416" s="10">
        <v>2</v>
      </c>
      <c r="AM416" s="10">
        <v>2</v>
      </c>
      <c r="AN416" s="29">
        <v>0.25</v>
      </c>
    </row>
    <row r="417">
      <c r="A417" s="23">
        <v>3763</v>
      </c>
      <c r="B417" s="4" t="s">
        <v>637</v>
      </c>
      <c r="C417" s="4" t="s">
        <v>67</v>
      </c>
      <c r="D417" s="4" t="s">
        <v>76</v>
      </c>
      <c r="E417" s="4" t="s">
        <v>156</v>
      </c>
      <c r="F417" s="6">
        <v>1</v>
      </c>
      <c r="G417" s="7">
        <v>0</v>
      </c>
      <c r="H417" s="7">
        <v>0</v>
      </c>
      <c r="I417" s="7">
        <v>0</v>
      </c>
      <c r="J417" s="5">
        <v>1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1</v>
      </c>
      <c r="V417" s="7">
        <v>0</v>
      </c>
      <c r="W417" s="7">
        <v>0</v>
      </c>
      <c r="X417" s="7">
        <v>0</v>
      </c>
      <c r="Y417" s="5">
        <v>1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28">
        <v>0.25</v>
      </c>
    </row>
    <row r="418">
      <c r="A418" s="24">
        <v>3775</v>
      </c>
      <c r="B418" s="9" t="s">
        <v>638</v>
      </c>
      <c r="C418" s="9" t="s">
        <v>67</v>
      </c>
      <c r="D418" s="9" t="s">
        <v>105</v>
      </c>
      <c r="E418" s="9" t="s">
        <v>303</v>
      </c>
      <c r="F418" s="11">
        <v>1</v>
      </c>
      <c r="G418" s="12">
        <v>0</v>
      </c>
      <c r="H418" s="12">
        <v>0</v>
      </c>
      <c r="I418" s="12">
        <v>0</v>
      </c>
      <c r="J418" s="10">
        <v>1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1</v>
      </c>
      <c r="V418" s="12">
        <v>0</v>
      </c>
      <c r="W418" s="12">
        <v>0</v>
      </c>
      <c r="X418" s="12">
        <v>0</v>
      </c>
      <c r="Y418" s="10">
        <v>1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31">
        <v>0</v>
      </c>
    </row>
    <row r="419">
      <c r="A419" s="23">
        <v>3786</v>
      </c>
      <c r="B419" s="4" t="s">
        <v>639</v>
      </c>
      <c r="C419" s="4" t="s">
        <v>67</v>
      </c>
      <c r="D419" s="4" t="s">
        <v>84</v>
      </c>
      <c r="E419" s="4" t="s">
        <v>145</v>
      </c>
      <c r="F419" s="6">
        <v>5</v>
      </c>
      <c r="G419" s="7">
        <v>0</v>
      </c>
      <c r="H419" s="7">
        <v>0</v>
      </c>
      <c r="I419" s="7">
        <v>0</v>
      </c>
      <c r="J419" s="5">
        <v>5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5</v>
      </c>
      <c r="V419" s="7">
        <v>0</v>
      </c>
      <c r="W419" s="7">
        <v>0</v>
      </c>
      <c r="X419" s="7">
        <v>0</v>
      </c>
      <c r="Y419" s="5">
        <v>5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2</v>
      </c>
      <c r="AK419" s="8">
        <v>2.5</v>
      </c>
      <c r="AL419" s="5">
        <v>2</v>
      </c>
      <c r="AM419" s="5">
        <v>3</v>
      </c>
      <c r="AN419" s="28">
        <v>1.25</v>
      </c>
    </row>
    <row r="420">
      <c r="A420" s="24">
        <v>3787</v>
      </c>
      <c r="B420" s="9" t="s">
        <v>640</v>
      </c>
      <c r="C420" s="9" t="s">
        <v>316</v>
      </c>
      <c r="D420" s="9" t="s">
        <v>641</v>
      </c>
      <c r="E420" s="9" t="s">
        <v>318</v>
      </c>
      <c r="F420" s="11">
        <v>1</v>
      </c>
      <c r="G420" s="12">
        <v>0</v>
      </c>
      <c r="H420" s="12">
        <v>0</v>
      </c>
      <c r="I420" s="10">
        <v>1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1</v>
      </c>
      <c r="V420" s="12">
        <v>0</v>
      </c>
      <c r="W420" s="12">
        <v>0</v>
      </c>
      <c r="X420" s="10">
        <v>1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29">
        <v>0.26</v>
      </c>
    </row>
    <row r="421">
      <c r="A421" s="23">
        <v>3791</v>
      </c>
      <c r="B421" s="4" t="s">
        <v>642</v>
      </c>
      <c r="C421" s="4" t="s">
        <v>136</v>
      </c>
      <c r="D421" s="4" t="s">
        <v>643</v>
      </c>
      <c r="E421" s="4" t="s">
        <v>644</v>
      </c>
      <c r="F421" s="6">
        <v>3</v>
      </c>
      <c r="G421" s="7">
        <v>0</v>
      </c>
      <c r="H421" s="7">
        <v>0</v>
      </c>
      <c r="I421" s="5">
        <v>3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2</v>
      </c>
      <c r="V421" s="7">
        <v>0</v>
      </c>
      <c r="W421" s="7">
        <v>0</v>
      </c>
      <c r="X421" s="5">
        <v>2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1.5</v>
      </c>
      <c r="AL421" s="5">
        <v>1</v>
      </c>
      <c r="AM421" s="5">
        <v>2</v>
      </c>
      <c r="AN421" s="28">
        <v>0.22</v>
      </c>
    </row>
    <row r="422">
      <c r="A422" s="24">
        <v>3798</v>
      </c>
      <c r="B422" s="9" t="s">
        <v>645</v>
      </c>
      <c r="C422" s="9" t="s">
        <v>67</v>
      </c>
      <c r="D422" s="9" t="s">
        <v>84</v>
      </c>
      <c r="E422" s="9" t="s">
        <v>85</v>
      </c>
      <c r="F422" s="11">
        <v>6</v>
      </c>
      <c r="G422" s="10">
        <v>1</v>
      </c>
      <c r="H422" s="12">
        <v>0</v>
      </c>
      <c r="I422" s="12">
        <v>0</v>
      </c>
      <c r="J422" s="10">
        <v>5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6</v>
      </c>
      <c r="V422" s="10">
        <v>1</v>
      </c>
      <c r="W422" s="12">
        <v>0</v>
      </c>
      <c r="X422" s="12">
        <v>0</v>
      </c>
      <c r="Y422" s="10">
        <v>5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1.5</v>
      </c>
      <c r="AL422" s="10">
        <v>1</v>
      </c>
      <c r="AM422" s="10">
        <v>3</v>
      </c>
      <c r="AN422" s="29">
        <v>1</v>
      </c>
    </row>
    <row r="423">
      <c r="A423" s="23">
        <v>3800</v>
      </c>
      <c r="B423" s="4" t="s">
        <v>646</v>
      </c>
      <c r="C423" s="4" t="s">
        <v>67</v>
      </c>
      <c r="D423" s="4" t="s">
        <v>100</v>
      </c>
      <c r="E423" s="4" t="s">
        <v>127</v>
      </c>
      <c r="F423" s="6">
        <v>5</v>
      </c>
      <c r="G423" s="5">
        <v>2</v>
      </c>
      <c r="H423" s="7">
        <v>0</v>
      </c>
      <c r="I423" s="5">
        <v>1</v>
      </c>
      <c r="J423" s="5">
        <v>2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4</v>
      </c>
      <c r="V423" s="5">
        <v>1</v>
      </c>
      <c r="W423" s="7">
        <v>0</v>
      </c>
      <c r="X423" s="5">
        <v>1</v>
      </c>
      <c r="Y423" s="5">
        <v>2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1.67</v>
      </c>
      <c r="AL423" s="5">
        <v>2</v>
      </c>
      <c r="AM423" s="5">
        <v>2</v>
      </c>
      <c r="AN423" s="28">
        <v>0.52</v>
      </c>
    </row>
    <row r="424">
      <c r="A424" s="24">
        <v>3802</v>
      </c>
      <c r="B424" s="9" t="s">
        <v>647</v>
      </c>
      <c r="C424" s="9" t="s">
        <v>67</v>
      </c>
      <c r="D424" s="9" t="s">
        <v>84</v>
      </c>
      <c r="E424" s="9" t="s">
        <v>85</v>
      </c>
      <c r="F424" s="11">
        <v>3</v>
      </c>
      <c r="G424" s="10">
        <v>3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2</v>
      </c>
      <c r="V424" s="10">
        <v>2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3</v>
      </c>
      <c r="AK424" s="13">
        <v>3</v>
      </c>
      <c r="AL424" s="10">
        <v>3</v>
      </c>
      <c r="AM424" s="10">
        <v>3</v>
      </c>
      <c r="AN424" s="29">
        <v>0.5</v>
      </c>
    </row>
    <row r="425">
      <c r="A425" s="23">
        <v>3814</v>
      </c>
      <c r="B425" s="4" t="s">
        <v>648</v>
      </c>
      <c r="C425" s="4" t="s">
        <v>67</v>
      </c>
      <c r="D425" s="4" t="s">
        <v>92</v>
      </c>
      <c r="E425" s="4" t="s">
        <v>649</v>
      </c>
      <c r="F425" s="6">
        <v>3</v>
      </c>
      <c r="G425" s="5">
        <v>3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3</v>
      </c>
      <c r="V425" s="5">
        <v>3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3</v>
      </c>
      <c r="AK425" s="8">
        <v>3</v>
      </c>
      <c r="AL425" s="5">
        <v>3</v>
      </c>
      <c r="AM425" s="5">
        <v>3</v>
      </c>
      <c r="AN425" s="30">
        <v>0</v>
      </c>
    </row>
    <row r="426">
      <c r="A426" s="24">
        <v>3817</v>
      </c>
      <c r="B426" s="9" t="s">
        <v>650</v>
      </c>
      <c r="C426" s="9" t="s">
        <v>163</v>
      </c>
      <c r="D426" s="9" t="s">
        <v>164</v>
      </c>
      <c r="E426" s="9" t="s">
        <v>651</v>
      </c>
      <c r="F426" s="11">
        <v>5</v>
      </c>
      <c r="G426" s="10">
        <v>3</v>
      </c>
      <c r="H426" s="12">
        <v>0</v>
      </c>
      <c r="I426" s="12">
        <v>0</v>
      </c>
      <c r="J426" s="12">
        <v>0</v>
      </c>
      <c r="K426" s="10">
        <v>2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3</v>
      </c>
      <c r="V426" s="10">
        <v>1</v>
      </c>
      <c r="W426" s="12">
        <v>0</v>
      </c>
      <c r="X426" s="12">
        <v>0</v>
      </c>
      <c r="Y426" s="12">
        <v>0</v>
      </c>
      <c r="Z426" s="10">
        <v>2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2</v>
      </c>
      <c r="AK426" s="13">
        <v>2.5</v>
      </c>
      <c r="AL426" s="10">
        <v>2</v>
      </c>
      <c r="AM426" s="10">
        <v>3</v>
      </c>
      <c r="AN426" s="31">
        <v>0</v>
      </c>
    </row>
    <row r="427">
      <c r="A427" s="23">
        <v>3836</v>
      </c>
      <c r="B427" s="4" t="s">
        <v>652</v>
      </c>
      <c r="C427" s="4" t="s">
        <v>67</v>
      </c>
      <c r="D427" s="4" t="s">
        <v>79</v>
      </c>
      <c r="E427" s="4" t="s">
        <v>80</v>
      </c>
      <c r="F427" s="6">
        <v>3</v>
      </c>
      <c r="G427" s="5">
        <v>1</v>
      </c>
      <c r="H427" s="7">
        <v>0</v>
      </c>
      <c r="I427" s="5">
        <v>2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3</v>
      </c>
      <c r="V427" s="5">
        <v>1</v>
      </c>
      <c r="W427" s="7">
        <v>0</v>
      </c>
      <c r="X427" s="5">
        <v>2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1.5</v>
      </c>
      <c r="AL427" s="5">
        <v>1</v>
      </c>
      <c r="AM427" s="5">
        <v>2</v>
      </c>
      <c r="AN427" s="30">
        <v>0</v>
      </c>
    </row>
    <row r="428">
      <c r="A428" s="24">
        <v>3857</v>
      </c>
      <c r="B428" s="9" t="s">
        <v>653</v>
      </c>
      <c r="C428" s="9" t="s">
        <v>67</v>
      </c>
      <c r="D428" s="9" t="s">
        <v>111</v>
      </c>
      <c r="E428" s="9" t="s">
        <v>149</v>
      </c>
      <c r="F428" s="11">
        <v>1</v>
      </c>
      <c r="G428" s="12">
        <v>0</v>
      </c>
      <c r="H428" s="12">
        <v>0</v>
      </c>
      <c r="I428" s="10">
        <v>1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1</v>
      </c>
      <c r="V428" s="12">
        <v>0</v>
      </c>
      <c r="W428" s="12">
        <v>0</v>
      </c>
      <c r="X428" s="10">
        <v>1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29">
        <v>0.25</v>
      </c>
    </row>
    <row r="429">
      <c r="A429" s="23">
        <v>3860</v>
      </c>
      <c r="B429" s="4" t="s">
        <v>654</v>
      </c>
      <c r="C429" s="4" t="s">
        <v>67</v>
      </c>
      <c r="D429" s="4" t="s">
        <v>111</v>
      </c>
      <c r="E429" s="4" t="s">
        <v>149</v>
      </c>
      <c r="F429" s="6">
        <v>2</v>
      </c>
      <c r="G429" s="7">
        <v>0</v>
      </c>
      <c r="H429" s="7">
        <v>0</v>
      </c>
      <c r="I429" s="7">
        <v>0</v>
      </c>
      <c r="J429" s="5">
        <v>2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2</v>
      </c>
      <c r="V429" s="7">
        <v>0</v>
      </c>
      <c r="W429" s="7">
        <v>0</v>
      </c>
      <c r="X429" s="7">
        <v>0</v>
      </c>
      <c r="Y429" s="5">
        <v>2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2</v>
      </c>
      <c r="AK429" s="8">
        <v>2</v>
      </c>
      <c r="AL429" s="5">
        <v>2</v>
      </c>
      <c r="AM429" s="5">
        <v>2</v>
      </c>
      <c r="AN429" s="28">
        <v>0.5</v>
      </c>
    </row>
    <row r="430">
      <c r="A430" s="24">
        <v>3861</v>
      </c>
      <c r="B430" s="9" t="s">
        <v>655</v>
      </c>
      <c r="C430" s="9" t="s">
        <v>67</v>
      </c>
      <c r="D430" s="9" t="s">
        <v>111</v>
      </c>
      <c r="E430" s="9" t="s">
        <v>149</v>
      </c>
      <c r="F430" s="11">
        <v>3</v>
      </c>
      <c r="G430" s="12">
        <v>0</v>
      </c>
      <c r="H430" s="12">
        <v>0</v>
      </c>
      <c r="I430" s="12">
        <v>0</v>
      </c>
      <c r="J430" s="10">
        <v>3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3</v>
      </c>
      <c r="V430" s="12">
        <v>0</v>
      </c>
      <c r="W430" s="12">
        <v>0</v>
      </c>
      <c r="X430" s="12">
        <v>0</v>
      </c>
      <c r="Y430" s="10">
        <v>3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3</v>
      </c>
      <c r="AK430" s="13">
        <v>3</v>
      </c>
      <c r="AL430" s="10">
        <v>3</v>
      </c>
      <c r="AM430" s="10">
        <v>3</v>
      </c>
      <c r="AN430" s="29">
        <v>0.78</v>
      </c>
    </row>
    <row r="431">
      <c r="A431" s="23">
        <v>3863</v>
      </c>
      <c r="B431" s="4" t="s">
        <v>656</v>
      </c>
      <c r="C431" s="4" t="s">
        <v>67</v>
      </c>
      <c r="D431" s="4" t="s">
        <v>111</v>
      </c>
      <c r="E431" s="4" t="s">
        <v>149</v>
      </c>
      <c r="F431" s="6">
        <v>2</v>
      </c>
      <c r="G431" s="7">
        <v>0</v>
      </c>
      <c r="H431" s="5">
        <v>2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2</v>
      </c>
      <c r="V431" s="7">
        <v>0</v>
      </c>
      <c r="W431" s="5">
        <v>2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2</v>
      </c>
      <c r="AK431" s="8">
        <v>2</v>
      </c>
      <c r="AL431" s="5">
        <v>2</v>
      </c>
      <c r="AM431" s="5">
        <v>2</v>
      </c>
      <c r="AN431" s="28">
        <v>0.5</v>
      </c>
    </row>
    <row r="432">
      <c r="A432" s="24">
        <v>3868</v>
      </c>
      <c r="B432" s="9" t="s">
        <v>657</v>
      </c>
      <c r="C432" s="9" t="s">
        <v>67</v>
      </c>
      <c r="D432" s="9" t="s">
        <v>111</v>
      </c>
      <c r="E432" s="9" t="s">
        <v>149</v>
      </c>
      <c r="F432" s="11">
        <v>1</v>
      </c>
      <c r="G432" s="12">
        <v>0</v>
      </c>
      <c r="H432" s="10">
        <v>1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1</v>
      </c>
      <c r="V432" s="12">
        <v>0</v>
      </c>
      <c r="W432" s="10">
        <v>1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29">
        <v>0.25</v>
      </c>
    </row>
    <row r="433">
      <c r="A433" s="23">
        <v>3875</v>
      </c>
      <c r="B433" s="4" t="s">
        <v>658</v>
      </c>
      <c r="C433" s="4" t="s">
        <v>67</v>
      </c>
      <c r="D433" s="4" t="s">
        <v>111</v>
      </c>
      <c r="E433" s="4" t="s">
        <v>149</v>
      </c>
      <c r="F433" s="6">
        <v>1</v>
      </c>
      <c r="G433" s="7">
        <v>0</v>
      </c>
      <c r="H433" s="7">
        <v>0</v>
      </c>
      <c r="I433" s="7">
        <v>0</v>
      </c>
      <c r="J433" s="5">
        <v>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1</v>
      </c>
      <c r="V433" s="7">
        <v>0</v>
      </c>
      <c r="W433" s="7">
        <v>0</v>
      </c>
      <c r="X433" s="7">
        <v>0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28">
        <v>0.25</v>
      </c>
    </row>
    <row r="434">
      <c r="A434" s="24">
        <v>3877</v>
      </c>
      <c r="B434" s="9" t="s">
        <v>659</v>
      </c>
      <c r="C434" s="9" t="s">
        <v>67</v>
      </c>
      <c r="D434" s="9" t="s">
        <v>111</v>
      </c>
      <c r="E434" s="9" t="s">
        <v>149</v>
      </c>
      <c r="F434" s="11">
        <v>2</v>
      </c>
      <c r="G434" s="12">
        <v>0</v>
      </c>
      <c r="H434" s="12">
        <v>0</v>
      </c>
      <c r="I434" s="10">
        <v>1</v>
      </c>
      <c r="J434" s="10">
        <v>1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2</v>
      </c>
      <c r="V434" s="12">
        <v>0</v>
      </c>
      <c r="W434" s="12">
        <v>0</v>
      </c>
      <c r="X434" s="10">
        <v>1</v>
      </c>
      <c r="Y434" s="10">
        <v>1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29">
        <v>0.24</v>
      </c>
    </row>
    <row r="435">
      <c r="A435" s="23">
        <v>3879</v>
      </c>
      <c r="B435" s="4" t="s">
        <v>660</v>
      </c>
      <c r="C435" s="4" t="s">
        <v>67</v>
      </c>
      <c r="D435" s="4" t="s">
        <v>111</v>
      </c>
      <c r="E435" s="4" t="s">
        <v>149</v>
      </c>
      <c r="F435" s="6">
        <v>1</v>
      </c>
      <c r="G435" s="7">
        <v>0</v>
      </c>
      <c r="H435" s="7">
        <v>0</v>
      </c>
      <c r="I435" s="7">
        <v>0</v>
      </c>
      <c r="J435" s="5">
        <v>1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1</v>
      </c>
      <c r="V435" s="7">
        <v>0</v>
      </c>
      <c r="W435" s="7">
        <v>0</v>
      </c>
      <c r="X435" s="7">
        <v>0</v>
      </c>
      <c r="Y435" s="5">
        <v>1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0.25</v>
      </c>
    </row>
    <row r="436">
      <c r="A436" s="24">
        <v>3886</v>
      </c>
      <c r="B436" s="9" t="s">
        <v>661</v>
      </c>
      <c r="C436" s="9" t="s">
        <v>67</v>
      </c>
      <c r="D436" s="9" t="s">
        <v>111</v>
      </c>
      <c r="E436" s="9" t="s">
        <v>149</v>
      </c>
      <c r="F436" s="11">
        <v>1</v>
      </c>
      <c r="G436" s="12">
        <v>0</v>
      </c>
      <c r="H436" s="12">
        <v>0</v>
      </c>
      <c r="I436" s="12">
        <v>0</v>
      </c>
      <c r="J436" s="10">
        <v>1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1</v>
      </c>
      <c r="V436" s="12">
        <v>0</v>
      </c>
      <c r="W436" s="12">
        <v>0</v>
      </c>
      <c r="X436" s="12">
        <v>0</v>
      </c>
      <c r="Y436" s="10">
        <v>1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31">
        <v>0</v>
      </c>
    </row>
    <row r="437">
      <c r="A437" s="23">
        <v>3891</v>
      </c>
      <c r="B437" s="4" t="s">
        <v>662</v>
      </c>
      <c r="C437" s="4" t="s">
        <v>67</v>
      </c>
      <c r="D437" s="4" t="s">
        <v>111</v>
      </c>
      <c r="E437" s="4" t="s">
        <v>149</v>
      </c>
      <c r="F437" s="6">
        <v>1</v>
      </c>
      <c r="G437" s="7">
        <v>0</v>
      </c>
      <c r="H437" s="7">
        <v>0</v>
      </c>
      <c r="I437" s="7">
        <v>0</v>
      </c>
      <c r="J437" s="5">
        <v>1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1</v>
      </c>
      <c r="V437" s="7">
        <v>0</v>
      </c>
      <c r="W437" s="7">
        <v>0</v>
      </c>
      <c r="X437" s="7">
        <v>0</v>
      </c>
      <c r="Y437" s="5">
        <v>1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0.25</v>
      </c>
    </row>
    <row r="438">
      <c r="A438" s="24">
        <v>3901</v>
      </c>
      <c r="B438" s="9" t="s">
        <v>663</v>
      </c>
      <c r="C438" s="9" t="s">
        <v>67</v>
      </c>
      <c r="D438" s="9" t="s">
        <v>111</v>
      </c>
      <c r="E438" s="9" t="s">
        <v>149</v>
      </c>
      <c r="F438" s="11">
        <v>11</v>
      </c>
      <c r="G438" s="12">
        <v>0</v>
      </c>
      <c r="H438" s="12">
        <v>0</v>
      </c>
      <c r="I438" s="12">
        <v>0</v>
      </c>
      <c r="J438" s="10">
        <v>11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11</v>
      </c>
      <c r="V438" s="12">
        <v>0</v>
      </c>
      <c r="W438" s="12">
        <v>0</v>
      </c>
      <c r="X438" s="12">
        <v>0</v>
      </c>
      <c r="Y438" s="10">
        <v>11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11</v>
      </c>
      <c r="AK438" s="13">
        <v>11</v>
      </c>
      <c r="AL438" s="10">
        <v>11</v>
      </c>
      <c r="AM438" s="10">
        <v>11</v>
      </c>
      <c r="AN438" s="29">
        <v>2.75</v>
      </c>
    </row>
    <row r="439">
      <c r="A439" s="23">
        <v>3910</v>
      </c>
      <c r="B439" s="4" t="s">
        <v>664</v>
      </c>
      <c r="C439" s="4" t="s">
        <v>67</v>
      </c>
      <c r="D439" s="4" t="s">
        <v>111</v>
      </c>
      <c r="E439" s="4" t="s">
        <v>149</v>
      </c>
      <c r="F439" s="6">
        <v>3</v>
      </c>
      <c r="G439" s="7">
        <v>0</v>
      </c>
      <c r="H439" s="5">
        <v>3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3</v>
      </c>
      <c r="V439" s="7">
        <v>0</v>
      </c>
      <c r="W439" s="5">
        <v>3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3</v>
      </c>
      <c r="AK439" s="8">
        <v>3</v>
      </c>
      <c r="AL439" s="5">
        <v>3</v>
      </c>
      <c r="AM439" s="5">
        <v>3</v>
      </c>
      <c r="AN439" s="28">
        <v>0.78</v>
      </c>
    </row>
    <row r="440">
      <c r="A440" s="24">
        <v>3914</v>
      </c>
      <c r="B440" s="9" t="s">
        <v>665</v>
      </c>
      <c r="C440" s="9" t="s">
        <v>67</v>
      </c>
      <c r="D440" s="9" t="s">
        <v>111</v>
      </c>
      <c r="E440" s="9" t="s">
        <v>149</v>
      </c>
      <c r="F440" s="11">
        <v>2</v>
      </c>
      <c r="G440" s="10">
        <v>2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2</v>
      </c>
      <c r="V440" s="10">
        <v>2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2</v>
      </c>
      <c r="AK440" s="13">
        <v>2</v>
      </c>
      <c r="AL440" s="10">
        <v>2</v>
      </c>
      <c r="AM440" s="10">
        <v>2</v>
      </c>
      <c r="AN440" s="31">
        <v>0</v>
      </c>
    </row>
    <row r="441">
      <c r="A441" s="23">
        <v>3918</v>
      </c>
      <c r="B441" s="4" t="s">
        <v>666</v>
      </c>
      <c r="C441" s="4" t="s">
        <v>67</v>
      </c>
      <c r="D441" s="4" t="s">
        <v>111</v>
      </c>
      <c r="E441" s="4" t="s">
        <v>149</v>
      </c>
      <c r="F441" s="6">
        <v>1</v>
      </c>
      <c r="G441" s="7">
        <v>0</v>
      </c>
      <c r="H441" s="7">
        <v>0</v>
      </c>
      <c r="I441" s="7">
        <v>0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1</v>
      </c>
      <c r="V441" s="7">
        <v>0</v>
      </c>
      <c r="W441" s="7">
        <v>0</v>
      </c>
      <c r="X441" s="7">
        <v>0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28">
        <v>0.22</v>
      </c>
    </row>
    <row r="442">
      <c r="A442" s="24">
        <v>3921</v>
      </c>
      <c r="B442" s="9" t="s">
        <v>667</v>
      </c>
      <c r="C442" s="9" t="s">
        <v>67</v>
      </c>
      <c r="D442" s="9" t="s">
        <v>111</v>
      </c>
      <c r="E442" s="9" t="s">
        <v>149</v>
      </c>
      <c r="F442" s="11">
        <v>1</v>
      </c>
      <c r="G442" s="10">
        <v>1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1</v>
      </c>
      <c r="V442" s="10">
        <v>1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31">
        <v>0</v>
      </c>
    </row>
    <row r="443">
      <c r="A443" s="23">
        <v>3939</v>
      </c>
      <c r="B443" s="4" t="s">
        <v>668</v>
      </c>
      <c r="C443" s="4" t="s">
        <v>67</v>
      </c>
      <c r="D443" s="4" t="s">
        <v>111</v>
      </c>
      <c r="E443" s="4" t="s">
        <v>149</v>
      </c>
      <c r="F443" s="6">
        <v>1</v>
      </c>
      <c r="G443" s="5">
        <v>1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1</v>
      </c>
      <c r="V443" s="5">
        <v>1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30">
        <v>0</v>
      </c>
    </row>
    <row r="444">
      <c r="A444" s="24">
        <v>3941</v>
      </c>
      <c r="B444" s="9" t="s">
        <v>669</v>
      </c>
      <c r="C444" s="9" t="s">
        <v>67</v>
      </c>
      <c r="D444" s="9" t="s">
        <v>111</v>
      </c>
      <c r="E444" s="9" t="s">
        <v>149</v>
      </c>
      <c r="F444" s="11">
        <v>1</v>
      </c>
      <c r="G444" s="12">
        <v>0</v>
      </c>
      <c r="H444" s="12">
        <v>0</v>
      </c>
      <c r="I444" s="12">
        <v>0</v>
      </c>
      <c r="J444" s="10">
        <v>1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1</v>
      </c>
      <c r="V444" s="12">
        <v>0</v>
      </c>
      <c r="W444" s="12">
        <v>0</v>
      </c>
      <c r="X444" s="12">
        <v>0</v>
      </c>
      <c r="Y444" s="10">
        <v>1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31">
        <v>0</v>
      </c>
    </row>
    <row r="445">
      <c r="A445" s="23">
        <v>3955</v>
      </c>
      <c r="B445" s="4" t="s">
        <v>670</v>
      </c>
      <c r="C445" s="4" t="s">
        <v>67</v>
      </c>
      <c r="D445" s="4" t="s">
        <v>79</v>
      </c>
      <c r="E445" s="4" t="s">
        <v>332</v>
      </c>
      <c r="F445" s="6">
        <v>1</v>
      </c>
      <c r="G445" s="5">
        <v>1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1</v>
      </c>
      <c r="V445" s="5">
        <v>1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30">
        <v>0</v>
      </c>
    </row>
    <row r="446">
      <c r="A446" s="24">
        <v>3964</v>
      </c>
      <c r="B446" s="9" t="s">
        <v>671</v>
      </c>
      <c r="C446" s="9" t="s">
        <v>67</v>
      </c>
      <c r="D446" s="9" t="s">
        <v>76</v>
      </c>
      <c r="E446" s="9" t="s">
        <v>268</v>
      </c>
      <c r="F446" s="11">
        <v>1</v>
      </c>
      <c r="G446" s="12">
        <v>0</v>
      </c>
      <c r="H446" s="12">
        <v>0</v>
      </c>
      <c r="I446" s="12">
        <v>0</v>
      </c>
      <c r="J446" s="10">
        <v>1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1</v>
      </c>
      <c r="V446" s="12">
        <v>0</v>
      </c>
      <c r="W446" s="12">
        <v>0</v>
      </c>
      <c r="X446" s="12">
        <v>0</v>
      </c>
      <c r="Y446" s="10">
        <v>1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29">
        <v>0.25</v>
      </c>
    </row>
    <row r="447">
      <c r="A447" s="23">
        <v>3967</v>
      </c>
      <c r="B447" s="4" t="s">
        <v>672</v>
      </c>
      <c r="C447" s="4" t="s">
        <v>67</v>
      </c>
      <c r="D447" s="4" t="s">
        <v>79</v>
      </c>
      <c r="E447" s="4" t="s">
        <v>332</v>
      </c>
      <c r="F447" s="6">
        <v>1</v>
      </c>
      <c r="G447" s="5">
        <v>1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1</v>
      </c>
      <c r="V447" s="5">
        <v>1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30">
        <v>0</v>
      </c>
    </row>
    <row r="448">
      <c r="A448" s="24">
        <v>3970</v>
      </c>
      <c r="B448" s="9" t="s">
        <v>673</v>
      </c>
      <c r="C448" s="9" t="s">
        <v>136</v>
      </c>
      <c r="D448" s="9" t="s">
        <v>496</v>
      </c>
      <c r="E448" s="9" t="s">
        <v>564</v>
      </c>
      <c r="F448" s="11">
        <v>4</v>
      </c>
      <c r="G448" s="10">
        <v>1</v>
      </c>
      <c r="H448" s="12">
        <v>0</v>
      </c>
      <c r="I448" s="10">
        <v>1</v>
      </c>
      <c r="J448" s="10">
        <v>1</v>
      </c>
      <c r="K448" s="12">
        <v>0</v>
      </c>
      <c r="L448" s="10">
        <v>1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4</v>
      </c>
      <c r="V448" s="10">
        <v>1</v>
      </c>
      <c r="W448" s="12">
        <v>0</v>
      </c>
      <c r="X448" s="10">
        <v>1</v>
      </c>
      <c r="Y448" s="10">
        <v>1</v>
      </c>
      <c r="Z448" s="12">
        <v>0</v>
      </c>
      <c r="AA448" s="10">
        <v>1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31">
        <v>0</v>
      </c>
    </row>
    <row r="449">
      <c r="A449" s="23">
        <v>3980</v>
      </c>
      <c r="B449" s="4" t="s">
        <v>674</v>
      </c>
      <c r="C449" s="4" t="s">
        <v>163</v>
      </c>
      <c r="D449" s="4" t="s">
        <v>164</v>
      </c>
      <c r="E449" s="4" t="s">
        <v>651</v>
      </c>
      <c r="F449" s="6">
        <v>2</v>
      </c>
      <c r="G449" s="7">
        <v>0</v>
      </c>
      <c r="H449" s="5">
        <v>1</v>
      </c>
      <c r="I449" s="7">
        <v>0</v>
      </c>
      <c r="J449" s="7">
        <v>0</v>
      </c>
      <c r="K449" s="5">
        <v>1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2</v>
      </c>
      <c r="V449" s="7">
        <v>0</v>
      </c>
      <c r="W449" s="5">
        <v>1</v>
      </c>
      <c r="X449" s="7">
        <v>0</v>
      </c>
      <c r="Y449" s="7">
        <v>0</v>
      </c>
      <c r="Z449" s="5">
        <v>1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28">
        <v>0.25</v>
      </c>
    </row>
    <row r="450">
      <c r="A450" s="24">
        <v>3989</v>
      </c>
      <c r="B450" s="9" t="s">
        <v>675</v>
      </c>
      <c r="C450" s="9" t="s">
        <v>67</v>
      </c>
      <c r="D450" s="9" t="s">
        <v>105</v>
      </c>
      <c r="E450" s="9" t="s">
        <v>106</v>
      </c>
      <c r="F450" s="11">
        <v>1</v>
      </c>
      <c r="G450" s="12">
        <v>0</v>
      </c>
      <c r="H450" s="10">
        <v>1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1</v>
      </c>
      <c r="V450" s="12">
        <v>0</v>
      </c>
      <c r="W450" s="10">
        <v>1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31">
        <v>0</v>
      </c>
    </row>
    <row r="451">
      <c r="A451" s="23">
        <v>3994</v>
      </c>
      <c r="B451" s="4" t="s">
        <v>676</v>
      </c>
      <c r="C451" s="4" t="s">
        <v>316</v>
      </c>
      <c r="D451" s="4" t="s">
        <v>518</v>
      </c>
      <c r="E451" s="4" t="s">
        <v>318</v>
      </c>
      <c r="F451" s="6">
        <v>1</v>
      </c>
      <c r="G451" s="7">
        <v>0</v>
      </c>
      <c r="H451" s="7">
        <v>0</v>
      </c>
      <c r="I451" s="7">
        <v>0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1</v>
      </c>
      <c r="V451" s="7">
        <v>0</v>
      </c>
      <c r="W451" s="7">
        <v>0</v>
      </c>
      <c r="X451" s="7">
        <v>0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30">
        <v>0</v>
      </c>
    </row>
    <row r="452">
      <c r="A452" s="24">
        <v>4031</v>
      </c>
      <c r="B452" s="9" t="s">
        <v>677</v>
      </c>
      <c r="C452" s="9" t="s">
        <v>67</v>
      </c>
      <c r="D452" s="9" t="s">
        <v>79</v>
      </c>
      <c r="E452" s="9" t="s">
        <v>332</v>
      </c>
      <c r="F452" s="11">
        <v>1</v>
      </c>
      <c r="G452" s="12">
        <v>0</v>
      </c>
      <c r="H452" s="12">
        <v>0</v>
      </c>
      <c r="I452" s="12">
        <v>0</v>
      </c>
      <c r="J452" s="10">
        <v>1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1</v>
      </c>
      <c r="V452" s="12">
        <v>0</v>
      </c>
      <c r="W452" s="12">
        <v>0</v>
      </c>
      <c r="X452" s="12">
        <v>0</v>
      </c>
      <c r="Y452" s="10">
        <v>1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29">
        <v>0.25</v>
      </c>
    </row>
    <row r="453">
      <c r="A453" s="23">
        <v>4032</v>
      </c>
      <c r="B453" s="4" t="s">
        <v>678</v>
      </c>
      <c r="C453" s="4" t="s">
        <v>67</v>
      </c>
      <c r="D453" s="4" t="s">
        <v>76</v>
      </c>
      <c r="E453" s="4" t="s">
        <v>199</v>
      </c>
      <c r="F453" s="6">
        <v>2</v>
      </c>
      <c r="G453" s="5">
        <v>1</v>
      </c>
      <c r="H453" s="7">
        <v>0</v>
      </c>
      <c r="I453" s="5">
        <v>1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2</v>
      </c>
      <c r="V453" s="5">
        <v>1</v>
      </c>
      <c r="W453" s="7">
        <v>0</v>
      </c>
      <c r="X453" s="5">
        <v>1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30">
        <v>0</v>
      </c>
    </row>
    <row r="454">
      <c r="A454" s="24">
        <v>4054</v>
      </c>
      <c r="B454" s="9" t="s">
        <v>679</v>
      </c>
      <c r="C454" s="9" t="s">
        <v>67</v>
      </c>
      <c r="D454" s="9" t="s">
        <v>92</v>
      </c>
      <c r="E454" s="9" t="s">
        <v>153</v>
      </c>
      <c r="F454" s="11">
        <v>1</v>
      </c>
      <c r="G454" s="12">
        <v>0</v>
      </c>
      <c r="H454" s="12">
        <v>0</v>
      </c>
      <c r="I454" s="12">
        <v>0</v>
      </c>
      <c r="J454" s="10">
        <v>1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1</v>
      </c>
      <c r="V454" s="12">
        <v>0</v>
      </c>
      <c r="W454" s="12">
        <v>0</v>
      </c>
      <c r="X454" s="12">
        <v>0</v>
      </c>
      <c r="Y454" s="10">
        <v>1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29">
        <v>0.25</v>
      </c>
    </row>
    <row r="455">
      <c r="A455" s="23">
        <v>4061</v>
      </c>
      <c r="B455" s="4" t="s">
        <v>680</v>
      </c>
      <c r="C455" s="4" t="s">
        <v>67</v>
      </c>
      <c r="D455" s="4" t="s">
        <v>111</v>
      </c>
      <c r="E455" s="4" t="s">
        <v>149</v>
      </c>
      <c r="F455" s="6">
        <v>1</v>
      </c>
      <c r="G455" s="7">
        <v>0</v>
      </c>
      <c r="H455" s="7">
        <v>0</v>
      </c>
      <c r="I455" s="7">
        <v>0</v>
      </c>
      <c r="J455" s="5">
        <v>1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1</v>
      </c>
      <c r="V455" s="7">
        <v>0</v>
      </c>
      <c r="W455" s="7">
        <v>0</v>
      </c>
      <c r="X455" s="7">
        <v>0</v>
      </c>
      <c r="Y455" s="5">
        <v>1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0.25</v>
      </c>
    </row>
    <row r="456">
      <c r="A456" s="24">
        <v>4074</v>
      </c>
      <c r="B456" s="9" t="s">
        <v>681</v>
      </c>
      <c r="C456" s="9" t="s">
        <v>136</v>
      </c>
      <c r="D456" s="9" t="s">
        <v>496</v>
      </c>
      <c r="E456" s="9" t="s">
        <v>564</v>
      </c>
      <c r="F456" s="11">
        <v>2</v>
      </c>
      <c r="G456" s="12">
        <v>0</v>
      </c>
      <c r="H456" s="12">
        <v>0</v>
      </c>
      <c r="I456" s="10">
        <v>1</v>
      </c>
      <c r="J456" s="10">
        <v>1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2</v>
      </c>
      <c r="V456" s="12">
        <v>0</v>
      </c>
      <c r="W456" s="12">
        <v>0</v>
      </c>
      <c r="X456" s="10">
        <v>1</v>
      </c>
      <c r="Y456" s="10">
        <v>1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29">
        <v>0.48</v>
      </c>
    </row>
    <row r="457">
      <c r="A457" s="23">
        <v>4076</v>
      </c>
      <c r="B457" s="4" t="s">
        <v>682</v>
      </c>
      <c r="C457" s="4" t="s">
        <v>67</v>
      </c>
      <c r="D457" s="4" t="s">
        <v>92</v>
      </c>
      <c r="E457" s="4" t="s">
        <v>153</v>
      </c>
      <c r="F457" s="6">
        <v>18</v>
      </c>
      <c r="G457" s="5">
        <v>4</v>
      </c>
      <c r="H457" s="7">
        <v>0</v>
      </c>
      <c r="I457" s="7">
        <v>0</v>
      </c>
      <c r="J457" s="5">
        <v>14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17</v>
      </c>
      <c r="V457" s="5">
        <v>4</v>
      </c>
      <c r="W457" s="7">
        <v>0</v>
      </c>
      <c r="X457" s="7">
        <v>0</v>
      </c>
      <c r="Y457" s="5">
        <v>13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6</v>
      </c>
      <c r="AL457" s="5">
        <v>3</v>
      </c>
      <c r="AM457" s="5">
        <v>14</v>
      </c>
      <c r="AN457" s="28">
        <v>3.25</v>
      </c>
    </row>
    <row r="458">
      <c r="A458" s="24">
        <v>4080</v>
      </c>
      <c r="B458" s="9" t="s">
        <v>683</v>
      </c>
      <c r="C458" s="9" t="s">
        <v>67</v>
      </c>
      <c r="D458" s="9" t="s">
        <v>76</v>
      </c>
      <c r="E458" s="9" t="s">
        <v>202</v>
      </c>
      <c r="F458" s="11">
        <v>1</v>
      </c>
      <c r="G458" s="12">
        <v>0</v>
      </c>
      <c r="H458" s="12">
        <v>0</v>
      </c>
      <c r="I458" s="12">
        <v>0</v>
      </c>
      <c r="J458" s="10">
        <v>1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1</v>
      </c>
      <c r="V458" s="12">
        <v>0</v>
      </c>
      <c r="W458" s="12">
        <v>0</v>
      </c>
      <c r="X458" s="12">
        <v>0</v>
      </c>
      <c r="Y458" s="10">
        <v>1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31">
        <v>0</v>
      </c>
    </row>
    <row r="459">
      <c r="A459" s="23">
        <v>4082</v>
      </c>
      <c r="B459" s="4" t="s">
        <v>684</v>
      </c>
      <c r="C459" s="4" t="s">
        <v>67</v>
      </c>
      <c r="D459" s="4" t="s">
        <v>68</v>
      </c>
      <c r="E459" s="4" t="s">
        <v>71</v>
      </c>
      <c r="F459" s="6">
        <v>3</v>
      </c>
      <c r="G459" s="5">
        <v>2</v>
      </c>
      <c r="H459" s="7">
        <v>0</v>
      </c>
      <c r="I459" s="7">
        <v>0</v>
      </c>
      <c r="J459" s="5">
        <v>1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3</v>
      </c>
      <c r="V459" s="5">
        <v>2</v>
      </c>
      <c r="W459" s="7">
        <v>0</v>
      </c>
      <c r="X459" s="7">
        <v>0</v>
      </c>
      <c r="Y459" s="5">
        <v>1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1.5</v>
      </c>
      <c r="AL459" s="5">
        <v>1</v>
      </c>
      <c r="AM459" s="5">
        <v>2</v>
      </c>
      <c r="AN459" s="30">
        <v>0</v>
      </c>
    </row>
    <row r="460">
      <c r="A460" s="24">
        <v>4090</v>
      </c>
      <c r="B460" s="9" t="s">
        <v>685</v>
      </c>
      <c r="C460" s="9" t="s">
        <v>67</v>
      </c>
      <c r="D460" s="9" t="s">
        <v>79</v>
      </c>
      <c r="E460" s="9" t="s">
        <v>80</v>
      </c>
      <c r="F460" s="11">
        <v>1</v>
      </c>
      <c r="G460" s="12">
        <v>0</v>
      </c>
      <c r="H460" s="12">
        <v>0</v>
      </c>
      <c r="I460" s="12">
        <v>0</v>
      </c>
      <c r="J460" s="10">
        <v>1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1</v>
      </c>
      <c r="V460" s="12">
        <v>0</v>
      </c>
      <c r="W460" s="12">
        <v>0</v>
      </c>
      <c r="X460" s="12">
        <v>0</v>
      </c>
      <c r="Y460" s="10">
        <v>1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0.25</v>
      </c>
    </row>
    <row r="461">
      <c r="A461" s="23">
        <v>4103</v>
      </c>
      <c r="B461" s="4" t="s">
        <v>686</v>
      </c>
      <c r="C461" s="4" t="s">
        <v>67</v>
      </c>
      <c r="D461" s="4" t="s">
        <v>79</v>
      </c>
      <c r="E461" s="4" t="s">
        <v>80</v>
      </c>
      <c r="F461" s="6">
        <v>1</v>
      </c>
      <c r="G461" s="7">
        <v>0</v>
      </c>
      <c r="H461" s="7">
        <v>0</v>
      </c>
      <c r="I461" s="5">
        <v>1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1</v>
      </c>
      <c r="V461" s="7">
        <v>0</v>
      </c>
      <c r="W461" s="7">
        <v>0</v>
      </c>
      <c r="X461" s="5">
        <v>1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28">
        <v>0.25</v>
      </c>
    </row>
    <row r="462">
      <c r="A462" s="24">
        <v>4104</v>
      </c>
      <c r="B462" s="9" t="s">
        <v>687</v>
      </c>
      <c r="C462" s="9" t="s">
        <v>67</v>
      </c>
      <c r="D462" s="9" t="s">
        <v>79</v>
      </c>
      <c r="E462" s="9" t="s">
        <v>80</v>
      </c>
      <c r="F462" s="11">
        <v>2</v>
      </c>
      <c r="G462" s="10">
        <v>2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2</v>
      </c>
      <c r="V462" s="10">
        <v>2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2</v>
      </c>
      <c r="AK462" s="13">
        <v>2</v>
      </c>
      <c r="AL462" s="10">
        <v>2</v>
      </c>
      <c r="AM462" s="10">
        <v>2</v>
      </c>
      <c r="AN462" s="31">
        <v>0</v>
      </c>
    </row>
    <row r="463">
      <c r="A463" s="23">
        <v>4116</v>
      </c>
      <c r="B463" s="4" t="s">
        <v>688</v>
      </c>
      <c r="C463" s="4" t="s">
        <v>136</v>
      </c>
      <c r="D463" s="4" t="s">
        <v>461</v>
      </c>
      <c r="E463" s="4" t="s">
        <v>462</v>
      </c>
      <c r="F463" s="6">
        <v>1</v>
      </c>
      <c r="G463" s="7">
        <v>0</v>
      </c>
      <c r="H463" s="7">
        <v>0</v>
      </c>
      <c r="I463" s="5">
        <v>1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1</v>
      </c>
      <c r="V463" s="7">
        <v>0</v>
      </c>
      <c r="W463" s="7">
        <v>0</v>
      </c>
      <c r="X463" s="5">
        <v>1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30">
        <v>0</v>
      </c>
    </row>
    <row r="464">
      <c r="A464" s="24">
        <v>4123</v>
      </c>
      <c r="B464" s="9" t="s">
        <v>689</v>
      </c>
      <c r="C464" s="9" t="s">
        <v>67</v>
      </c>
      <c r="D464" s="9" t="s">
        <v>79</v>
      </c>
      <c r="E464" s="9" t="s">
        <v>80</v>
      </c>
      <c r="F464" s="11">
        <v>1</v>
      </c>
      <c r="G464" s="12">
        <v>0</v>
      </c>
      <c r="H464" s="12">
        <v>0</v>
      </c>
      <c r="I464" s="10">
        <v>1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1</v>
      </c>
      <c r="V464" s="12">
        <v>0</v>
      </c>
      <c r="W464" s="12">
        <v>0</v>
      </c>
      <c r="X464" s="10">
        <v>1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31">
        <v>0</v>
      </c>
    </row>
    <row r="465">
      <c r="A465" s="23">
        <v>4133</v>
      </c>
      <c r="B465" s="4" t="s">
        <v>690</v>
      </c>
      <c r="C465" s="4" t="s">
        <v>67</v>
      </c>
      <c r="D465" s="4" t="s">
        <v>79</v>
      </c>
      <c r="E465" s="4" t="s">
        <v>80</v>
      </c>
      <c r="F465" s="6">
        <v>2</v>
      </c>
      <c r="G465" s="5">
        <v>1</v>
      </c>
      <c r="H465" s="7">
        <v>0</v>
      </c>
      <c r="I465" s="7">
        <v>0</v>
      </c>
      <c r="J465" s="7">
        <v>0</v>
      </c>
      <c r="K465" s="7">
        <v>0</v>
      </c>
      <c r="L465" s="5">
        <v>1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2</v>
      </c>
      <c r="V465" s="5">
        <v>1</v>
      </c>
      <c r="W465" s="7">
        <v>0</v>
      </c>
      <c r="X465" s="7">
        <v>0</v>
      </c>
      <c r="Y465" s="7">
        <v>0</v>
      </c>
      <c r="Z465" s="7">
        <v>0</v>
      </c>
      <c r="AA465" s="5">
        <v>1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30">
        <v>0</v>
      </c>
    </row>
    <row r="466">
      <c r="A466" s="24">
        <v>4140</v>
      </c>
      <c r="B466" s="9" t="s">
        <v>691</v>
      </c>
      <c r="C466" s="9" t="s">
        <v>67</v>
      </c>
      <c r="D466" s="9" t="s">
        <v>79</v>
      </c>
      <c r="E466" s="9" t="s">
        <v>80</v>
      </c>
      <c r="F466" s="11">
        <v>1</v>
      </c>
      <c r="G466" s="12">
        <v>0</v>
      </c>
      <c r="H466" s="12">
        <v>0</v>
      </c>
      <c r="I466" s="10">
        <v>1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1</v>
      </c>
      <c r="V466" s="12">
        <v>0</v>
      </c>
      <c r="W466" s="12">
        <v>0</v>
      </c>
      <c r="X466" s="10">
        <v>1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31">
        <v>0</v>
      </c>
    </row>
    <row r="467">
      <c r="A467" s="23">
        <v>4148</v>
      </c>
      <c r="B467" s="4" t="s">
        <v>692</v>
      </c>
      <c r="C467" s="4" t="s">
        <v>67</v>
      </c>
      <c r="D467" s="4" t="s">
        <v>79</v>
      </c>
      <c r="E467" s="4" t="s">
        <v>80</v>
      </c>
      <c r="F467" s="6">
        <v>1</v>
      </c>
      <c r="G467" s="7">
        <v>0</v>
      </c>
      <c r="H467" s="7">
        <v>0</v>
      </c>
      <c r="I467" s="7">
        <v>0</v>
      </c>
      <c r="J467" s="7">
        <v>0</v>
      </c>
      <c r="K467" s="7">
        <v>0</v>
      </c>
      <c r="L467" s="5">
        <v>1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1</v>
      </c>
      <c r="V467" s="7">
        <v>0</v>
      </c>
      <c r="W467" s="7">
        <v>0</v>
      </c>
      <c r="X467" s="7">
        <v>0</v>
      </c>
      <c r="Y467" s="7">
        <v>0</v>
      </c>
      <c r="Z467" s="7">
        <v>0</v>
      </c>
      <c r="AA467" s="5">
        <v>1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30">
        <v>0</v>
      </c>
    </row>
    <row r="468">
      <c r="A468" s="24">
        <v>4150</v>
      </c>
      <c r="B468" s="9" t="s">
        <v>693</v>
      </c>
      <c r="C468" s="9" t="s">
        <v>316</v>
      </c>
      <c r="D468" s="9" t="s">
        <v>694</v>
      </c>
      <c r="E468" s="9" t="s">
        <v>318</v>
      </c>
      <c r="F468" s="11">
        <v>1</v>
      </c>
      <c r="G468" s="12">
        <v>0</v>
      </c>
      <c r="H468" s="10">
        <v>1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1</v>
      </c>
      <c r="V468" s="12">
        <v>0</v>
      </c>
      <c r="W468" s="10">
        <v>1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29">
        <v>0.22</v>
      </c>
    </row>
    <row r="469">
      <c r="A469" s="23">
        <v>4154</v>
      </c>
      <c r="B469" s="4" t="s">
        <v>695</v>
      </c>
      <c r="C469" s="4" t="s">
        <v>316</v>
      </c>
      <c r="D469" s="4" t="s">
        <v>696</v>
      </c>
      <c r="E469" s="4" t="s">
        <v>318</v>
      </c>
      <c r="F469" s="6">
        <v>2</v>
      </c>
      <c r="G469" s="7">
        <v>0</v>
      </c>
      <c r="H469" s="7">
        <v>0</v>
      </c>
      <c r="I469" s="5">
        <v>2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2</v>
      </c>
      <c r="V469" s="7">
        <v>0</v>
      </c>
      <c r="W469" s="7">
        <v>0</v>
      </c>
      <c r="X469" s="5">
        <v>2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2</v>
      </c>
      <c r="AK469" s="8">
        <v>2</v>
      </c>
      <c r="AL469" s="5">
        <v>2</v>
      </c>
      <c r="AM469" s="5">
        <v>2</v>
      </c>
      <c r="AN469" s="30">
        <v>0</v>
      </c>
    </row>
    <row r="470">
      <c r="A470" s="24">
        <v>4164</v>
      </c>
      <c r="B470" s="9" t="s">
        <v>697</v>
      </c>
      <c r="C470" s="9" t="s">
        <v>67</v>
      </c>
      <c r="D470" s="9" t="s">
        <v>89</v>
      </c>
      <c r="E470" s="9" t="s">
        <v>90</v>
      </c>
      <c r="F470" s="11">
        <v>1</v>
      </c>
      <c r="G470" s="12">
        <v>0</v>
      </c>
      <c r="H470" s="12">
        <v>0</v>
      </c>
      <c r="I470" s="12">
        <v>0</v>
      </c>
      <c r="J470" s="10">
        <v>1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1</v>
      </c>
      <c r="V470" s="12">
        <v>0</v>
      </c>
      <c r="W470" s="12">
        <v>0</v>
      </c>
      <c r="X470" s="12">
        <v>0</v>
      </c>
      <c r="Y470" s="10">
        <v>1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29">
        <v>0.25</v>
      </c>
    </row>
    <row r="471">
      <c r="A471" s="23">
        <v>4175</v>
      </c>
      <c r="B471" s="4" t="s">
        <v>698</v>
      </c>
      <c r="C471" s="4" t="s">
        <v>67</v>
      </c>
      <c r="D471" s="4" t="s">
        <v>84</v>
      </c>
      <c r="E471" s="4" t="s">
        <v>145</v>
      </c>
      <c r="F471" s="6">
        <v>2</v>
      </c>
      <c r="G471" s="5">
        <v>1</v>
      </c>
      <c r="H471" s="7">
        <v>0</v>
      </c>
      <c r="I471" s="7">
        <v>0</v>
      </c>
      <c r="J471" s="5">
        <v>1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2</v>
      </c>
      <c r="V471" s="5">
        <v>1</v>
      </c>
      <c r="W471" s="7">
        <v>0</v>
      </c>
      <c r="X471" s="7">
        <v>0</v>
      </c>
      <c r="Y471" s="5">
        <v>1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30">
        <v>0</v>
      </c>
    </row>
    <row r="472">
      <c r="A472" s="24">
        <v>4181</v>
      </c>
      <c r="B472" s="9" t="s">
        <v>699</v>
      </c>
      <c r="C472" s="9" t="s">
        <v>67</v>
      </c>
      <c r="D472" s="9" t="s">
        <v>84</v>
      </c>
      <c r="E472" s="9" t="s">
        <v>103</v>
      </c>
      <c r="F472" s="11">
        <v>4</v>
      </c>
      <c r="G472" s="12">
        <v>0</v>
      </c>
      <c r="H472" s="12">
        <v>0</v>
      </c>
      <c r="I472" s="12">
        <v>0</v>
      </c>
      <c r="J472" s="10">
        <v>4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3</v>
      </c>
      <c r="V472" s="12">
        <v>0</v>
      </c>
      <c r="W472" s="12">
        <v>0</v>
      </c>
      <c r="X472" s="12">
        <v>0</v>
      </c>
      <c r="Y472" s="10">
        <v>3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4</v>
      </c>
      <c r="AK472" s="13">
        <v>4</v>
      </c>
      <c r="AL472" s="10">
        <v>4</v>
      </c>
      <c r="AM472" s="10">
        <v>4</v>
      </c>
      <c r="AN472" s="29">
        <v>0.75</v>
      </c>
    </row>
    <row r="473">
      <c r="A473" s="23">
        <v>4182</v>
      </c>
      <c r="B473" s="4" t="s">
        <v>700</v>
      </c>
      <c r="C473" s="4" t="s">
        <v>67</v>
      </c>
      <c r="D473" s="4" t="s">
        <v>84</v>
      </c>
      <c r="E473" s="4" t="s">
        <v>103</v>
      </c>
      <c r="F473" s="6">
        <v>2</v>
      </c>
      <c r="G473" s="5">
        <v>2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1</v>
      </c>
      <c r="V473" s="5">
        <v>1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2</v>
      </c>
      <c r="AK473" s="8">
        <v>2</v>
      </c>
      <c r="AL473" s="5">
        <v>2</v>
      </c>
      <c r="AM473" s="5">
        <v>2</v>
      </c>
      <c r="AN473" s="30">
        <v>0</v>
      </c>
    </row>
    <row r="474">
      <c r="A474" s="24">
        <v>4184</v>
      </c>
      <c r="B474" s="9" t="s">
        <v>701</v>
      </c>
      <c r="C474" s="9" t="s">
        <v>67</v>
      </c>
      <c r="D474" s="9" t="s">
        <v>111</v>
      </c>
      <c r="E474" s="9" t="s">
        <v>149</v>
      </c>
      <c r="F474" s="11">
        <v>1</v>
      </c>
      <c r="G474" s="12">
        <v>0</v>
      </c>
      <c r="H474" s="12">
        <v>0</v>
      </c>
      <c r="I474" s="12">
        <v>0</v>
      </c>
      <c r="J474" s="10">
        <v>1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1</v>
      </c>
      <c r="V474" s="12">
        <v>0</v>
      </c>
      <c r="W474" s="12">
        <v>0</v>
      </c>
      <c r="X474" s="12">
        <v>0</v>
      </c>
      <c r="Y474" s="10">
        <v>1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29">
        <v>0.24</v>
      </c>
    </row>
    <row r="475">
      <c r="A475" s="23">
        <v>4191</v>
      </c>
      <c r="B475" s="4" t="s">
        <v>702</v>
      </c>
      <c r="C475" s="4" t="s">
        <v>136</v>
      </c>
      <c r="D475" s="4" t="s">
        <v>618</v>
      </c>
      <c r="E475" s="4" t="s">
        <v>619</v>
      </c>
      <c r="F475" s="6">
        <v>9</v>
      </c>
      <c r="G475" s="7">
        <v>0</v>
      </c>
      <c r="H475" s="5">
        <v>1</v>
      </c>
      <c r="I475" s="7">
        <v>0</v>
      </c>
      <c r="J475" s="5">
        <v>8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9</v>
      </c>
      <c r="V475" s="7">
        <v>0</v>
      </c>
      <c r="W475" s="5">
        <v>1</v>
      </c>
      <c r="X475" s="7">
        <v>0</v>
      </c>
      <c r="Y475" s="5">
        <v>8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3</v>
      </c>
      <c r="AL475" s="5">
        <v>1</v>
      </c>
      <c r="AM475" s="5">
        <v>7</v>
      </c>
      <c r="AN475" s="28">
        <v>2.34</v>
      </c>
    </row>
    <row r="476">
      <c r="A476" s="24">
        <v>4196</v>
      </c>
      <c r="B476" s="9" t="s">
        <v>703</v>
      </c>
      <c r="C476" s="9" t="s">
        <v>163</v>
      </c>
      <c r="D476" s="9" t="s">
        <v>704</v>
      </c>
      <c r="E476" s="9" t="s">
        <v>704</v>
      </c>
      <c r="F476" s="11">
        <v>1</v>
      </c>
      <c r="G476" s="12">
        <v>0</v>
      </c>
      <c r="H476" s="10">
        <v>1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1</v>
      </c>
      <c r="V476" s="12">
        <v>0</v>
      </c>
      <c r="W476" s="10">
        <v>1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31">
        <v>0</v>
      </c>
    </row>
    <row r="477">
      <c r="A477" s="23">
        <v>4198</v>
      </c>
      <c r="B477" s="4" t="s">
        <v>705</v>
      </c>
      <c r="C477" s="4" t="s">
        <v>67</v>
      </c>
      <c r="D477" s="4" t="s">
        <v>76</v>
      </c>
      <c r="E477" s="4" t="s">
        <v>156</v>
      </c>
      <c r="F477" s="6">
        <v>1</v>
      </c>
      <c r="G477" s="7">
        <v>0</v>
      </c>
      <c r="H477" s="7">
        <v>0</v>
      </c>
      <c r="I477" s="7">
        <v>0</v>
      </c>
      <c r="J477" s="5">
        <v>1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1</v>
      </c>
      <c r="V477" s="7">
        <v>0</v>
      </c>
      <c r="W477" s="7">
        <v>0</v>
      </c>
      <c r="X477" s="7">
        <v>0</v>
      </c>
      <c r="Y477" s="5">
        <v>1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28">
        <v>0.26</v>
      </c>
    </row>
    <row r="478">
      <c r="A478" s="24">
        <v>4207</v>
      </c>
      <c r="B478" s="9" t="s">
        <v>706</v>
      </c>
      <c r="C478" s="9" t="s">
        <v>67</v>
      </c>
      <c r="D478" s="9" t="s">
        <v>84</v>
      </c>
      <c r="E478" s="9" t="s">
        <v>145</v>
      </c>
      <c r="F478" s="11">
        <v>1</v>
      </c>
      <c r="G478" s="10">
        <v>1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1</v>
      </c>
      <c r="V478" s="10">
        <v>1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29">
        <v>0.26</v>
      </c>
    </row>
    <row r="479">
      <c r="A479" s="23">
        <v>4208</v>
      </c>
      <c r="B479" s="4" t="s">
        <v>707</v>
      </c>
      <c r="C479" s="4" t="s">
        <v>67</v>
      </c>
      <c r="D479" s="4" t="s">
        <v>84</v>
      </c>
      <c r="E479" s="4" t="s">
        <v>145</v>
      </c>
      <c r="F479" s="6">
        <v>1</v>
      </c>
      <c r="G479" s="5">
        <v>1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1</v>
      </c>
      <c r="V479" s="5">
        <v>1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30">
        <v>0</v>
      </c>
    </row>
    <row r="480">
      <c r="A480" s="24">
        <v>4209</v>
      </c>
      <c r="B480" s="9" t="s">
        <v>708</v>
      </c>
      <c r="C480" s="9" t="s">
        <v>67</v>
      </c>
      <c r="D480" s="9" t="s">
        <v>84</v>
      </c>
      <c r="E480" s="9" t="s">
        <v>103</v>
      </c>
      <c r="F480" s="11">
        <v>4</v>
      </c>
      <c r="G480" s="10">
        <v>1</v>
      </c>
      <c r="H480" s="12">
        <v>0</v>
      </c>
      <c r="I480" s="12">
        <v>0</v>
      </c>
      <c r="J480" s="10">
        <v>3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4</v>
      </c>
      <c r="V480" s="10">
        <v>1</v>
      </c>
      <c r="W480" s="12">
        <v>0</v>
      </c>
      <c r="X480" s="12">
        <v>0</v>
      </c>
      <c r="Y480" s="10">
        <v>3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2</v>
      </c>
      <c r="AL480" s="10">
        <v>2</v>
      </c>
      <c r="AM480" s="10">
        <v>3</v>
      </c>
      <c r="AN480" s="29">
        <v>0.78</v>
      </c>
    </row>
    <row r="481">
      <c r="A481" s="23">
        <v>4213</v>
      </c>
      <c r="B481" s="4" t="s">
        <v>709</v>
      </c>
      <c r="C481" s="4" t="s">
        <v>558</v>
      </c>
      <c r="D481" s="4" t="s">
        <v>710</v>
      </c>
      <c r="E481" s="4" t="s">
        <v>318</v>
      </c>
      <c r="F481" s="6">
        <v>2</v>
      </c>
      <c r="G481" s="7">
        <v>0</v>
      </c>
      <c r="H481" s="7">
        <v>0</v>
      </c>
      <c r="I481" s="5">
        <v>2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2</v>
      </c>
      <c r="V481" s="7">
        <v>0</v>
      </c>
      <c r="W481" s="7">
        <v>0</v>
      </c>
      <c r="X481" s="5">
        <v>2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2</v>
      </c>
      <c r="AK481" s="8">
        <v>2</v>
      </c>
      <c r="AL481" s="5">
        <v>2</v>
      </c>
      <c r="AM481" s="5">
        <v>2</v>
      </c>
      <c r="AN481" s="30">
        <v>0</v>
      </c>
    </row>
    <row r="482">
      <c r="A482" s="24">
        <v>4216</v>
      </c>
      <c r="B482" s="9" t="s">
        <v>711</v>
      </c>
      <c r="C482" s="9" t="s">
        <v>67</v>
      </c>
      <c r="D482" s="9" t="s">
        <v>68</v>
      </c>
      <c r="E482" s="9" t="s">
        <v>71</v>
      </c>
      <c r="F482" s="11">
        <v>1</v>
      </c>
      <c r="G482" s="12">
        <v>0</v>
      </c>
      <c r="H482" s="12">
        <v>0</v>
      </c>
      <c r="I482" s="12">
        <v>0</v>
      </c>
      <c r="J482" s="10">
        <v>1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1</v>
      </c>
      <c r="V482" s="12">
        <v>0</v>
      </c>
      <c r="W482" s="12">
        <v>0</v>
      </c>
      <c r="X482" s="12">
        <v>0</v>
      </c>
      <c r="Y482" s="10">
        <v>1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29">
        <v>0.25</v>
      </c>
    </row>
    <row r="483">
      <c r="A483" s="23">
        <v>4221</v>
      </c>
      <c r="B483" s="4" t="s">
        <v>712</v>
      </c>
      <c r="C483" s="4" t="s">
        <v>67</v>
      </c>
      <c r="D483" s="4" t="s">
        <v>111</v>
      </c>
      <c r="E483" s="4" t="s">
        <v>149</v>
      </c>
      <c r="F483" s="6">
        <v>1</v>
      </c>
      <c r="G483" s="7">
        <v>0</v>
      </c>
      <c r="H483" s="5">
        <v>1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1</v>
      </c>
      <c r="V483" s="7">
        <v>0</v>
      </c>
      <c r="W483" s="5">
        <v>1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0.25</v>
      </c>
    </row>
    <row r="484">
      <c r="A484" s="24">
        <v>4228</v>
      </c>
      <c r="B484" s="9" t="s">
        <v>713</v>
      </c>
      <c r="C484" s="9" t="s">
        <v>67</v>
      </c>
      <c r="D484" s="9" t="s">
        <v>79</v>
      </c>
      <c r="E484" s="9" t="s">
        <v>332</v>
      </c>
      <c r="F484" s="11">
        <v>2</v>
      </c>
      <c r="G484" s="12">
        <v>0</v>
      </c>
      <c r="H484" s="12">
        <v>0</v>
      </c>
      <c r="I484" s="12">
        <v>0</v>
      </c>
      <c r="J484" s="10">
        <v>2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1</v>
      </c>
      <c r="V484" s="12">
        <v>0</v>
      </c>
      <c r="W484" s="12">
        <v>0</v>
      </c>
      <c r="X484" s="12">
        <v>0</v>
      </c>
      <c r="Y484" s="10">
        <v>1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2</v>
      </c>
      <c r="AK484" s="13">
        <v>2</v>
      </c>
      <c r="AL484" s="10">
        <v>2</v>
      </c>
      <c r="AM484" s="10">
        <v>2</v>
      </c>
      <c r="AN484" s="29">
        <v>0.25</v>
      </c>
    </row>
    <row r="485">
      <c r="A485" s="23">
        <v>4232</v>
      </c>
      <c r="B485" s="4" t="s">
        <v>714</v>
      </c>
      <c r="C485" s="4" t="s">
        <v>67</v>
      </c>
      <c r="D485" s="4" t="s">
        <v>76</v>
      </c>
      <c r="E485" s="4" t="s">
        <v>120</v>
      </c>
      <c r="F485" s="6">
        <v>2</v>
      </c>
      <c r="G485" s="5">
        <v>1</v>
      </c>
      <c r="H485" s="7">
        <v>0</v>
      </c>
      <c r="I485" s="5">
        <v>1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2</v>
      </c>
      <c r="V485" s="5">
        <v>1</v>
      </c>
      <c r="W485" s="7">
        <v>0</v>
      </c>
      <c r="X485" s="5">
        <v>1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28">
        <v>0.7</v>
      </c>
    </row>
    <row r="486">
      <c r="A486" s="24">
        <v>4251</v>
      </c>
      <c r="B486" s="9" t="s">
        <v>715</v>
      </c>
      <c r="C486" s="9" t="s">
        <v>136</v>
      </c>
      <c r="D486" s="9" t="s">
        <v>349</v>
      </c>
      <c r="E486" s="9" t="s">
        <v>350</v>
      </c>
      <c r="F486" s="11">
        <v>1</v>
      </c>
      <c r="G486" s="12">
        <v>0</v>
      </c>
      <c r="H486" s="10">
        <v>1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1</v>
      </c>
      <c r="V486" s="12">
        <v>0</v>
      </c>
      <c r="W486" s="10">
        <v>1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29">
        <v>0.24</v>
      </c>
    </row>
    <row r="487">
      <c r="A487" s="23">
        <v>4254</v>
      </c>
      <c r="B487" s="4" t="s">
        <v>716</v>
      </c>
      <c r="C487" s="4" t="s">
        <v>136</v>
      </c>
      <c r="D487" s="4" t="s">
        <v>349</v>
      </c>
      <c r="E487" s="4" t="s">
        <v>717</v>
      </c>
      <c r="F487" s="6">
        <v>2</v>
      </c>
      <c r="G487" s="7">
        <v>0</v>
      </c>
      <c r="H487" s="7">
        <v>0</v>
      </c>
      <c r="I487" s="5">
        <v>2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2</v>
      </c>
      <c r="V487" s="7">
        <v>0</v>
      </c>
      <c r="W487" s="7">
        <v>0</v>
      </c>
      <c r="X487" s="5">
        <v>2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28">
        <v>0.22</v>
      </c>
    </row>
    <row r="488">
      <c r="A488" s="24">
        <v>4264</v>
      </c>
      <c r="B488" s="9" t="s">
        <v>718</v>
      </c>
      <c r="C488" s="9" t="s">
        <v>136</v>
      </c>
      <c r="D488" s="9" t="s">
        <v>385</v>
      </c>
      <c r="E488" s="9" t="s">
        <v>719</v>
      </c>
      <c r="F488" s="11">
        <v>2</v>
      </c>
      <c r="G488" s="12">
        <v>0</v>
      </c>
      <c r="H488" s="12">
        <v>0</v>
      </c>
      <c r="I488" s="10">
        <v>2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2</v>
      </c>
      <c r="V488" s="12">
        <v>0</v>
      </c>
      <c r="W488" s="12">
        <v>0</v>
      </c>
      <c r="X488" s="10">
        <v>2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2</v>
      </c>
      <c r="AK488" s="13">
        <v>2</v>
      </c>
      <c r="AL488" s="10">
        <v>2</v>
      </c>
      <c r="AM488" s="10">
        <v>2</v>
      </c>
      <c r="AN488" s="29">
        <v>0.34</v>
      </c>
    </row>
    <row r="489">
      <c r="A489" s="23">
        <v>4281</v>
      </c>
      <c r="B489" s="4" t="s">
        <v>720</v>
      </c>
      <c r="C489" s="4" t="s">
        <v>67</v>
      </c>
      <c r="D489" s="4" t="s">
        <v>84</v>
      </c>
      <c r="E489" s="4" t="s">
        <v>85</v>
      </c>
      <c r="F489" s="6">
        <v>1</v>
      </c>
      <c r="G489" s="7">
        <v>0</v>
      </c>
      <c r="H489" s="7">
        <v>0</v>
      </c>
      <c r="I489" s="5">
        <v>1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1</v>
      </c>
      <c r="V489" s="7">
        <v>0</v>
      </c>
      <c r="W489" s="7">
        <v>0</v>
      </c>
      <c r="X489" s="5">
        <v>1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30">
        <v>0</v>
      </c>
    </row>
    <row r="490">
      <c r="A490" s="24">
        <v>4289</v>
      </c>
      <c r="B490" s="9" t="s">
        <v>721</v>
      </c>
      <c r="C490" s="9" t="s">
        <v>67</v>
      </c>
      <c r="D490" s="9" t="s">
        <v>79</v>
      </c>
      <c r="E490" s="9" t="s">
        <v>80</v>
      </c>
      <c r="F490" s="11">
        <v>1</v>
      </c>
      <c r="G490" s="12">
        <v>0</v>
      </c>
      <c r="H490" s="12">
        <v>0</v>
      </c>
      <c r="I490" s="10">
        <v>1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1</v>
      </c>
      <c r="V490" s="12">
        <v>0</v>
      </c>
      <c r="W490" s="12">
        <v>0</v>
      </c>
      <c r="X490" s="10">
        <v>1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31">
        <v>0</v>
      </c>
    </row>
    <row r="491">
      <c r="A491" s="23">
        <v>4291</v>
      </c>
      <c r="B491" s="4" t="s">
        <v>722</v>
      </c>
      <c r="C491" s="4" t="s">
        <v>67</v>
      </c>
      <c r="D491" s="4" t="s">
        <v>100</v>
      </c>
      <c r="E491" s="4" t="s">
        <v>723</v>
      </c>
      <c r="F491" s="6">
        <v>1</v>
      </c>
      <c r="G491" s="7">
        <v>0</v>
      </c>
      <c r="H491" s="7">
        <v>0</v>
      </c>
      <c r="I491" s="7">
        <v>0</v>
      </c>
      <c r="J491" s="7">
        <v>0</v>
      </c>
      <c r="K491" s="7">
        <v>0</v>
      </c>
      <c r="L491" s="5">
        <v>1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1</v>
      </c>
      <c r="V491" s="7">
        <v>0</v>
      </c>
      <c r="W491" s="7">
        <v>0</v>
      </c>
      <c r="X491" s="7">
        <v>0</v>
      </c>
      <c r="Y491" s="7">
        <v>0</v>
      </c>
      <c r="Z491" s="7">
        <v>0</v>
      </c>
      <c r="AA491" s="5">
        <v>1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30">
        <v>0</v>
      </c>
    </row>
    <row r="492">
      <c r="A492" s="24">
        <v>4297</v>
      </c>
      <c r="B492" s="9" t="s">
        <v>724</v>
      </c>
      <c r="C492" s="9" t="s">
        <v>67</v>
      </c>
      <c r="D492" s="9" t="s">
        <v>111</v>
      </c>
      <c r="E492" s="9" t="s">
        <v>195</v>
      </c>
      <c r="F492" s="11">
        <v>1</v>
      </c>
      <c r="G492" s="10">
        <v>1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1</v>
      </c>
      <c r="V492" s="10">
        <v>1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31">
        <v>0</v>
      </c>
    </row>
    <row r="493">
      <c r="A493" s="23">
        <v>4306</v>
      </c>
      <c r="B493" s="4" t="s">
        <v>725</v>
      </c>
      <c r="C493" s="4" t="s">
        <v>136</v>
      </c>
      <c r="D493" s="4" t="s">
        <v>349</v>
      </c>
      <c r="E493" s="4" t="s">
        <v>602</v>
      </c>
      <c r="F493" s="6">
        <v>2</v>
      </c>
      <c r="G493" s="7">
        <v>0</v>
      </c>
      <c r="H493" s="5">
        <v>1</v>
      </c>
      <c r="I493" s="7">
        <v>0</v>
      </c>
      <c r="J493" s="5">
        <v>1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2</v>
      </c>
      <c r="V493" s="7">
        <v>0</v>
      </c>
      <c r="W493" s="5">
        <v>1</v>
      </c>
      <c r="X493" s="7">
        <v>0</v>
      </c>
      <c r="Y493" s="5">
        <v>1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30">
        <v>0</v>
      </c>
    </row>
    <row r="494">
      <c r="A494" s="24">
        <v>4310</v>
      </c>
      <c r="B494" s="9" t="s">
        <v>726</v>
      </c>
      <c r="C494" s="9" t="s">
        <v>67</v>
      </c>
      <c r="D494" s="9" t="s">
        <v>79</v>
      </c>
      <c r="E494" s="9" t="s">
        <v>116</v>
      </c>
      <c r="F494" s="11">
        <v>1</v>
      </c>
      <c r="G494" s="12">
        <v>0</v>
      </c>
      <c r="H494" s="12">
        <v>0</v>
      </c>
      <c r="I494" s="12">
        <v>0</v>
      </c>
      <c r="J494" s="10">
        <v>1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1</v>
      </c>
      <c r="V494" s="12">
        <v>0</v>
      </c>
      <c r="W494" s="12">
        <v>0</v>
      </c>
      <c r="X494" s="12">
        <v>0</v>
      </c>
      <c r="Y494" s="10">
        <v>1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0.26</v>
      </c>
    </row>
    <row r="495">
      <c r="A495" s="23">
        <v>4311</v>
      </c>
      <c r="B495" s="4" t="s">
        <v>727</v>
      </c>
      <c r="C495" s="4" t="s">
        <v>136</v>
      </c>
      <c r="D495" s="4" t="s">
        <v>385</v>
      </c>
      <c r="E495" s="4" t="s">
        <v>386</v>
      </c>
      <c r="F495" s="6">
        <v>1</v>
      </c>
      <c r="G495" s="7">
        <v>0</v>
      </c>
      <c r="H495" s="7">
        <v>0</v>
      </c>
      <c r="I495" s="7">
        <v>0</v>
      </c>
      <c r="J495" s="7">
        <v>0</v>
      </c>
      <c r="K495" s="7">
        <v>0</v>
      </c>
      <c r="L495" s="5">
        <v>1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1</v>
      </c>
      <c r="V495" s="7">
        <v>0</v>
      </c>
      <c r="W495" s="7">
        <v>0</v>
      </c>
      <c r="X495" s="7">
        <v>0</v>
      </c>
      <c r="Y495" s="7">
        <v>0</v>
      </c>
      <c r="Z495" s="7">
        <v>0</v>
      </c>
      <c r="AA495" s="5">
        <v>1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30">
        <v>0</v>
      </c>
    </row>
    <row r="496">
      <c r="A496" s="24">
        <v>4314</v>
      </c>
      <c r="B496" s="9" t="s">
        <v>728</v>
      </c>
      <c r="C496" s="9" t="s">
        <v>67</v>
      </c>
      <c r="D496" s="9" t="s">
        <v>105</v>
      </c>
      <c r="E496" s="9" t="s">
        <v>106</v>
      </c>
      <c r="F496" s="11">
        <v>1</v>
      </c>
      <c r="G496" s="12">
        <v>0</v>
      </c>
      <c r="H496" s="10">
        <v>1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1</v>
      </c>
      <c r="V496" s="12">
        <v>0</v>
      </c>
      <c r="W496" s="10">
        <v>1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31">
        <v>0</v>
      </c>
    </row>
    <row r="497">
      <c r="A497" s="23">
        <v>4337</v>
      </c>
      <c r="B497" s="4" t="s">
        <v>729</v>
      </c>
      <c r="C497" s="4" t="s">
        <v>136</v>
      </c>
      <c r="D497" s="4" t="s">
        <v>349</v>
      </c>
      <c r="E497" s="4" t="s">
        <v>602</v>
      </c>
      <c r="F497" s="6">
        <v>5</v>
      </c>
      <c r="G497" s="5">
        <v>1</v>
      </c>
      <c r="H497" s="5">
        <v>1</v>
      </c>
      <c r="I497" s="7">
        <v>0</v>
      </c>
      <c r="J497" s="5">
        <v>3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4</v>
      </c>
      <c r="V497" s="5">
        <v>1</v>
      </c>
      <c r="W497" s="5">
        <v>1</v>
      </c>
      <c r="X497" s="7">
        <v>0</v>
      </c>
      <c r="Y497" s="5">
        <v>2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1.25</v>
      </c>
      <c r="AL497" s="5">
        <v>1</v>
      </c>
      <c r="AM497" s="5">
        <v>2</v>
      </c>
      <c r="AN497" s="28">
        <v>0.48</v>
      </c>
    </row>
    <row r="498">
      <c r="A498" s="24">
        <v>4343</v>
      </c>
      <c r="B498" s="9" t="s">
        <v>730</v>
      </c>
      <c r="C498" s="9" t="s">
        <v>136</v>
      </c>
      <c r="D498" s="9" t="s">
        <v>385</v>
      </c>
      <c r="E498" s="9" t="s">
        <v>731</v>
      </c>
      <c r="F498" s="11">
        <v>1</v>
      </c>
      <c r="G498" s="12">
        <v>0</v>
      </c>
      <c r="H498" s="12">
        <v>0</v>
      </c>
      <c r="I498" s="10">
        <v>1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1</v>
      </c>
      <c r="V498" s="12">
        <v>0</v>
      </c>
      <c r="W498" s="12">
        <v>0</v>
      </c>
      <c r="X498" s="10">
        <v>1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31">
        <v>0</v>
      </c>
    </row>
    <row r="499">
      <c r="A499" s="23">
        <v>4345</v>
      </c>
      <c r="B499" s="4" t="s">
        <v>732</v>
      </c>
      <c r="C499" s="4" t="s">
        <v>136</v>
      </c>
      <c r="D499" s="4" t="s">
        <v>385</v>
      </c>
      <c r="E499" s="4" t="s">
        <v>731</v>
      </c>
      <c r="F499" s="6">
        <v>3</v>
      </c>
      <c r="G499" s="7">
        <v>0</v>
      </c>
      <c r="H499" s="7">
        <v>0</v>
      </c>
      <c r="I499" s="5">
        <v>2</v>
      </c>
      <c r="J499" s="5">
        <v>1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3</v>
      </c>
      <c r="V499" s="7">
        <v>0</v>
      </c>
      <c r="W499" s="7">
        <v>0</v>
      </c>
      <c r="X499" s="5">
        <v>2</v>
      </c>
      <c r="Y499" s="5">
        <v>1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30">
        <v>0</v>
      </c>
    </row>
    <row r="500">
      <c r="A500" s="24">
        <v>4388</v>
      </c>
      <c r="B500" s="9" t="s">
        <v>733</v>
      </c>
      <c r="C500" s="9" t="s">
        <v>504</v>
      </c>
      <c r="D500" s="9" t="s">
        <v>734</v>
      </c>
      <c r="E500" s="9" t="s">
        <v>735</v>
      </c>
      <c r="F500" s="11">
        <v>1</v>
      </c>
      <c r="G500" s="12">
        <v>0</v>
      </c>
      <c r="H500" s="12">
        <v>0</v>
      </c>
      <c r="I500" s="10">
        <v>1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1</v>
      </c>
      <c r="V500" s="12">
        <v>0</v>
      </c>
      <c r="W500" s="12">
        <v>0</v>
      </c>
      <c r="X500" s="10">
        <v>1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31">
        <v>0</v>
      </c>
    </row>
    <row r="501">
      <c r="A501" s="23">
        <v>4399</v>
      </c>
      <c r="B501" s="4" t="s">
        <v>736</v>
      </c>
      <c r="C501" s="4" t="s">
        <v>67</v>
      </c>
      <c r="D501" s="4" t="s">
        <v>84</v>
      </c>
      <c r="E501" s="4" t="s">
        <v>85</v>
      </c>
      <c r="F501" s="6">
        <v>1</v>
      </c>
      <c r="G501" s="7">
        <v>0</v>
      </c>
      <c r="H501" s="5">
        <v>1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1</v>
      </c>
      <c r="V501" s="7">
        <v>0</v>
      </c>
      <c r="W501" s="5">
        <v>1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28">
        <v>0.25</v>
      </c>
    </row>
    <row r="502">
      <c r="A502" s="24">
        <v>4400</v>
      </c>
      <c r="B502" s="9" t="s">
        <v>737</v>
      </c>
      <c r="C502" s="9" t="s">
        <v>67</v>
      </c>
      <c r="D502" s="9" t="s">
        <v>84</v>
      </c>
      <c r="E502" s="9" t="s">
        <v>85</v>
      </c>
      <c r="F502" s="11">
        <v>1</v>
      </c>
      <c r="G502" s="10">
        <v>1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1</v>
      </c>
      <c r="V502" s="10">
        <v>1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31">
        <v>0</v>
      </c>
    </row>
    <row r="503">
      <c r="A503" s="23">
        <v>4410</v>
      </c>
      <c r="B503" s="4" t="s">
        <v>738</v>
      </c>
      <c r="C503" s="4" t="s">
        <v>67</v>
      </c>
      <c r="D503" s="4" t="s">
        <v>84</v>
      </c>
      <c r="E503" s="4" t="s">
        <v>197</v>
      </c>
      <c r="F503" s="6">
        <v>1</v>
      </c>
      <c r="G503" s="7">
        <v>0</v>
      </c>
      <c r="H503" s="7">
        <v>0</v>
      </c>
      <c r="I503" s="7">
        <v>0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1</v>
      </c>
      <c r="V503" s="7">
        <v>0</v>
      </c>
      <c r="W503" s="7">
        <v>0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28">
        <v>0.25</v>
      </c>
    </row>
    <row r="504">
      <c r="A504" s="24">
        <v>4411</v>
      </c>
      <c r="B504" s="9" t="s">
        <v>739</v>
      </c>
      <c r="C504" s="9" t="s">
        <v>136</v>
      </c>
      <c r="D504" s="9" t="s">
        <v>740</v>
      </c>
      <c r="E504" s="9" t="s">
        <v>318</v>
      </c>
      <c r="F504" s="11">
        <v>1</v>
      </c>
      <c r="G504" s="12">
        <v>0</v>
      </c>
      <c r="H504" s="12">
        <v>0</v>
      </c>
      <c r="I504" s="12">
        <v>0</v>
      </c>
      <c r="J504" s="10">
        <v>1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1</v>
      </c>
      <c r="V504" s="12">
        <v>0</v>
      </c>
      <c r="W504" s="12">
        <v>0</v>
      </c>
      <c r="X504" s="12">
        <v>0</v>
      </c>
      <c r="Y504" s="10">
        <v>1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29">
        <v>0.26</v>
      </c>
    </row>
    <row r="505">
      <c r="A505" s="23">
        <v>4414</v>
      </c>
      <c r="B505" s="4" t="s">
        <v>741</v>
      </c>
      <c r="C505" s="4" t="s">
        <v>67</v>
      </c>
      <c r="D505" s="4" t="s">
        <v>76</v>
      </c>
      <c r="E505" s="4" t="s">
        <v>123</v>
      </c>
      <c r="F505" s="6">
        <v>3</v>
      </c>
      <c r="G505" s="5">
        <v>1</v>
      </c>
      <c r="H505" s="5">
        <v>2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3</v>
      </c>
      <c r="V505" s="5">
        <v>1</v>
      </c>
      <c r="W505" s="5">
        <v>2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1.5</v>
      </c>
      <c r="AL505" s="5">
        <v>1</v>
      </c>
      <c r="AM505" s="5">
        <v>2</v>
      </c>
      <c r="AN505" s="28">
        <v>0.87</v>
      </c>
    </row>
    <row r="506">
      <c r="A506" s="24">
        <v>4418</v>
      </c>
      <c r="B506" s="9" t="s">
        <v>742</v>
      </c>
      <c r="C506" s="9" t="s">
        <v>67</v>
      </c>
      <c r="D506" s="9" t="s">
        <v>79</v>
      </c>
      <c r="E506" s="9" t="s">
        <v>80</v>
      </c>
      <c r="F506" s="11">
        <v>1</v>
      </c>
      <c r="G506" s="10">
        <v>1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1</v>
      </c>
      <c r="V506" s="10">
        <v>1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31">
        <v>0</v>
      </c>
    </row>
    <row r="507">
      <c r="A507" s="23">
        <v>4438</v>
      </c>
      <c r="B507" s="4" t="s">
        <v>743</v>
      </c>
      <c r="C507" s="4" t="s">
        <v>67</v>
      </c>
      <c r="D507" s="4" t="s">
        <v>84</v>
      </c>
      <c r="E507" s="4" t="s">
        <v>85</v>
      </c>
      <c r="F507" s="6">
        <v>1</v>
      </c>
      <c r="G507" s="7">
        <v>0</v>
      </c>
      <c r="H507" s="7">
        <v>0</v>
      </c>
      <c r="I507" s="7">
        <v>0</v>
      </c>
      <c r="J507" s="5">
        <v>1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1</v>
      </c>
      <c r="V507" s="7">
        <v>0</v>
      </c>
      <c r="W507" s="7">
        <v>0</v>
      </c>
      <c r="X507" s="7">
        <v>0</v>
      </c>
      <c r="Y507" s="5">
        <v>1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0.26</v>
      </c>
    </row>
    <row r="508">
      <c r="A508" s="24">
        <v>4444</v>
      </c>
      <c r="B508" s="9" t="s">
        <v>744</v>
      </c>
      <c r="C508" s="9" t="s">
        <v>316</v>
      </c>
      <c r="D508" s="9" t="s">
        <v>745</v>
      </c>
      <c r="E508" s="9" t="s">
        <v>318</v>
      </c>
      <c r="F508" s="11">
        <v>1</v>
      </c>
      <c r="G508" s="12">
        <v>0</v>
      </c>
      <c r="H508" s="12">
        <v>0</v>
      </c>
      <c r="I508" s="10">
        <v>1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1</v>
      </c>
      <c r="V508" s="12">
        <v>0</v>
      </c>
      <c r="W508" s="12">
        <v>0</v>
      </c>
      <c r="X508" s="10">
        <v>1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31">
        <v>0</v>
      </c>
    </row>
    <row r="509">
      <c r="A509" s="23">
        <v>4455</v>
      </c>
      <c r="B509" s="4" t="s">
        <v>746</v>
      </c>
      <c r="C509" s="4" t="s">
        <v>163</v>
      </c>
      <c r="D509" s="4" t="s">
        <v>164</v>
      </c>
      <c r="E509" s="4" t="s">
        <v>169</v>
      </c>
      <c r="F509" s="6">
        <v>1</v>
      </c>
      <c r="G509" s="5">
        <v>1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1</v>
      </c>
      <c r="V509" s="5">
        <v>1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30">
        <v>0</v>
      </c>
    </row>
    <row r="510">
      <c r="A510" s="24">
        <v>4456</v>
      </c>
      <c r="B510" s="9" t="s">
        <v>747</v>
      </c>
      <c r="C510" s="9" t="s">
        <v>163</v>
      </c>
      <c r="D510" s="9" t="s">
        <v>164</v>
      </c>
      <c r="E510" s="9" t="s">
        <v>171</v>
      </c>
      <c r="F510" s="11">
        <v>1</v>
      </c>
      <c r="G510" s="10">
        <v>1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1</v>
      </c>
      <c r="V510" s="10">
        <v>1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31">
        <v>0</v>
      </c>
    </row>
    <row r="511">
      <c r="A511" s="23">
        <v>4457</v>
      </c>
      <c r="B511" s="4" t="s">
        <v>748</v>
      </c>
      <c r="C511" s="4" t="s">
        <v>163</v>
      </c>
      <c r="D511" s="4" t="s">
        <v>164</v>
      </c>
      <c r="E511" s="4" t="s">
        <v>171</v>
      </c>
      <c r="F511" s="6">
        <v>5</v>
      </c>
      <c r="G511" s="5">
        <v>3</v>
      </c>
      <c r="H511" s="7">
        <v>0</v>
      </c>
      <c r="I511" s="5">
        <v>1</v>
      </c>
      <c r="J511" s="7">
        <v>0</v>
      </c>
      <c r="K511" s="5">
        <v>1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5</v>
      </c>
      <c r="V511" s="5">
        <v>3</v>
      </c>
      <c r="W511" s="7">
        <v>0</v>
      </c>
      <c r="X511" s="5">
        <v>1</v>
      </c>
      <c r="Y511" s="7">
        <v>0</v>
      </c>
      <c r="Z511" s="5">
        <v>1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1.25</v>
      </c>
      <c r="AL511" s="5">
        <v>1</v>
      </c>
      <c r="AM511" s="5">
        <v>2</v>
      </c>
      <c r="AN511" s="28">
        <v>0.22</v>
      </c>
    </row>
    <row r="512">
      <c r="A512" s="24">
        <v>4458</v>
      </c>
      <c r="B512" s="9" t="s">
        <v>749</v>
      </c>
      <c r="C512" s="9" t="s">
        <v>67</v>
      </c>
      <c r="D512" s="9" t="s">
        <v>100</v>
      </c>
      <c r="E512" s="9" t="s">
        <v>127</v>
      </c>
      <c r="F512" s="11">
        <v>2</v>
      </c>
      <c r="G512" s="10">
        <v>1</v>
      </c>
      <c r="H512" s="12">
        <v>0</v>
      </c>
      <c r="I512" s="10">
        <v>1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2</v>
      </c>
      <c r="V512" s="10">
        <v>1</v>
      </c>
      <c r="W512" s="12">
        <v>0</v>
      </c>
      <c r="X512" s="10">
        <v>1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29">
        <v>0.25</v>
      </c>
    </row>
    <row r="513">
      <c r="A513" s="23">
        <v>4467</v>
      </c>
      <c r="B513" s="4" t="s">
        <v>750</v>
      </c>
      <c r="C513" s="4" t="s">
        <v>67</v>
      </c>
      <c r="D513" s="4" t="s">
        <v>111</v>
      </c>
      <c r="E513" s="4" t="s">
        <v>751</v>
      </c>
      <c r="F513" s="6">
        <v>1</v>
      </c>
      <c r="G513" s="7">
        <v>0</v>
      </c>
      <c r="H513" s="7">
        <v>0</v>
      </c>
      <c r="I513" s="7">
        <v>0</v>
      </c>
      <c r="J513" s="5">
        <v>1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1</v>
      </c>
      <c r="V513" s="7">
        <v>0</v>
      </c>
      <c r="W513" s="7">
        <v>0</v>
      </c>
      <c r="X513" s="7">
        <v>0</v>
      </c>
      <c r="Y513" s="5">
        <v>1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0.25</v>
      </c>
    </row>
    <row r="514">
      <c r="A514" s="24">
        <v>4476</v>
      </c>
      <c r="B514" s="9" t="s">
        <v>752</v>
      </c>
      <c r="C514" s="9" t="s">
        <v>67</v>
      </c>
      <c r="D514" s="9" t="s">
        <v>76</v>
      </c>
      <c r="E514" s="9" t="s">
        <v>120</v>
      </c>
      <c r="F514" s="11">
        <v>2</v>
      </c>
      <c r="G514" s="12">
        <v>0</v>
      </c>
      <c r="H514" s="10">
        <v>2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2</v>
      </c>
      <c r="V514" s="12">
        <v>0</v>
      </c>
      <c r="W514" s="10">
        <v>2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2</v>
      </c>
      <c r="AK514" s="13">
        <v>2</v>
      </c>
      <c r="AL514" s="10">
        <v>2</v>
      </c>
      <c r="AM514" s="10">
        <v>2</v>
      </c>
      <c r="AN514" s="29">
        <v>0.52</v>
      </c>
    </row>
    <row r="515">
      <c r="A515" s="23">
        <v>4478</v>
      </c>
      <c r="B515" s="4" t="s">
        <v>753</v>
      </c>
      <c r="C515" s="4" t="s">
        <v>316</v>
      </c>
      <c r="D515" s="4" t="s">
        <v>754</v>
      </c>
      <c r="E515" s="4" t="s">
        <v>318</v>
      </c>
      <c r="F515" s="6">
        <v>1</v>
      </c>
      <c r="G515" s="7">
        <v>0</v>
      </c>
      <c r="H515" s="7">
        <v>0</v>
      </c>
      <c r="I515" s="7">
        <v>0</v>
      </c>
      <c r="J515" s="5">
        <v>1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1</v>
      </c>
      <c r="V515" s="7">
        <v>0</v>
      </c>
      <c r="W515" s="7">
        <v>0</v>
      </c>
      <c r="X515" s="7">
        <v>0</v>
      </c>
      <c r="Y515" s="5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28">
        <v>0.26</v>
      </c>
    </row>
    <row r="516">
      <c r="A516" s="24">
        <v>4484</v>
      </c>
      <c r="B516" s="9" t="s">
        <v>755</v>
      </c>
      <c r="C516" s="9" t="s">
        <v>163</v>
      </c>
      <c r="D516" s="9" t="s">
        <v>173</v>
      </c>
      <c r="E516" s="9" t="s">
        <v>174</v>
      </c>
      <c r="F516" s="11">
        <v>7</v>
      </c>
      <c r="G516" s="10">
        <v>1</v>
      </c>
      <c r="H516" s="10">
        <v>1</v>
      </c>
      <c r="I516" s="10">
        <v>1</v>
      </c>
      <c r="J516" s="12">
        <v>0</v>
      </c>
      <c r="K516" s="10">
        <v>4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6</v>
      </c>
      <c r="V516" s="10">
        <v>1</v>
      </c>
      <c r="W516" s="10">
        <v>1</v>
      </c>
      <c r="X516" s="10">
        <v>1</v>
      </c>
      <c r="Y516" s="12">
        <v>0</v>
      </c>
      <c r="Z516" s="10">
        <v>3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1.75</v>
      </c>
      <c r="AL516" s="10">
        <v>1</v>
      </c>
      <c r="AM516" s="10">
        <v>4</v>
      </c>
      <c r="AN516" s="29">
        <v>0.25</v>
      </c>
    </row>
    <row r="517">
      <c r="A517" s="23">
        <v>4522</v>
      </c>
      <c r="B517" s="4" t="s">
        <v>756</v>
      </c>
      <c r="C517" s="4" t="s">
        <v>316</v>
      </c>
      <c r="D517" s="4" t="s">
        <v>330</v>
      </c>
      <c r="E517" s="4" t="s">
        <v>318</v>
      </c>
      <c r="F517" s="6">
        <v>1</v>
      </c>
      <c r="G517" s="7">
        <v>0</v>
      </c>
      <c r="H517" s="7">
        <v>0</v>
      </c>
      <c r="I517" s="5">
        <v>1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1</v>
      </c>
      <c r="V517" s="7">
        <v>0</v>
      </c>
      <c r="W517" s="7">
        <v>0</v>
      </c>
      <c r="X517" s="5">
        <v>1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0.26</v>
      </c>
    </row>
    <row r="518">
      <c r="A518" s="24">
        <v>4525</v>
      </c>
      <c r="B518" s="9" t="s">
        <v>757</v>
      </c>
      <c r="C518" s="9" t="s">
        <v>67</v>
      </c>
      <c r="D518" s="9" t="s">
        <v>111</v>
      </c>
      <c r="E518" s="9" t="s">
        <v>149</v>
      </c>
      <c r="F518" s="11">
        <v>2</v>
      </c>
      <c r="G518" s="10">
        <v>1</v>
      </c>
      <c r="H518" s="12">
        <v>0</v>
      </c>
      <c r="I518" s="12">
        <v>0</v>
      </c>
      <c r="J518" s="10">
        <v>1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2</v>
      </c>
      <c r="V518" s="10">
        <v>1</v>
      </c>
      <c r="W518" s="12">
        <v>0</v>
      </c>
      <c r="X518" s="12">
        <v>0</v>
      </c>
      <c r="Y518" s="10">
        <v>1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31">
        <v>0</v>
      </c>
    </row>
    <row r="519">
      <c r="A519" s="23">
        <v>4529</v>
      </c>
      <c r="B519" s="4" t="s">
        <v>758</v>
      </c>
      <c r="C519" s="4" t="s">
        <v>67</v>
      </c>
      <c r="D519" s="4" t="s">
        <v>73</v>
      </c>
      <c r="E519" s="4" t="s">
        <v>301</v>
      </c>
      <c r="F519" s="6">
        <v>4</v>
      </c>
      <c r="G519" s="5">
        <v>4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3</v>
      </c>
      <c r="V519" s="5">
        <v>3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2</v>
      </c>
      <c r="AL519" s="5">
        <v>2</v>
      </c>
      <c r="AM519" s="5">
        <v>3</v>
      </c>
      <c r="AN519" s="28">
        <v>0.39</v>
      </c>
    </row>
    <row r="520">
      <c r="A520" s="24">
        <v>4544</v>
      </c>
      <c r="B520" s="9" t="s">
        <v>759</v>
      </c>
      <c r="C520" s="9" t="s">
        <v>316</v>
      </c>
      <c r="D520" s="9" t="s">
        <v>518</v>
      </c>
      <c r="E520" s="9" t="s">
        <v>318</v>
      </c>
      <c r="F520" s="11">
        <v>2</v>
      </c>
      <c r="G520" s="12">
        <v>0</v>
      </c>
      <c r="H520" s="12">
        <v>0</v>
      </c>
      <c r="I520" s="12">
        <v>0</v>
      </c>
      <c r="J520" s="10">
        <v>2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1</v>
      </c>
      <c r="V520" s="12">
        <v>0</v>
      </c>
      <c r="W520" s="12">
        <v>0</v>
      </c>
      <c r="X520" s="12">
        <v>0</v>
      </c>
      <c r="Y520" s="10">
        <v>1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2</v>
      </c>
      <c r="AK520" s="13">
        <v>2</v>
      </c>
      <c r="AL520" s="10">
        <v>2</v>
      </c>
      <c r="AM520" s="10">
        <v>2</v>
      </c>
      <c r="AN520" s="29">
        <v>0.26</v>
      </c>
    </row>
    <row r="521">
      <c r="A521" s="23">
        <v>4548</v>
      </c>
      <c r="B521" s="4" t="s">
        <v>760</v>
      </c>
      <c r="C521" s="4" t="s">
        <v>67</v>
      </c>
      <c r="D521" s="4" t="s">
        <v>111</v>
      </c>
      <c r="E521" s="4" t="s">
        <v>112</v>
      </c>
      <c r="F521" s="6">
        <v>1</v>
      </c>
      <c r="G521" s="5">
        <v>1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1</v>
      </c>
      <c r="V521" s="5">
        <v>1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30">
        <v>0</v>
      </c>
    </row>
    <row r="522">
      <c r="A522" s="24">
        <v>4552</v>
      </c>
      <c r="B522" s="9" t="s">
        <v>761</v>
      </c>
      <c r="C522" s="9" t="s">
        <v>67</v>
      </c>
      <c r="D522" s="9" t="s">
        <v>84</v>
      </c>
      <c r="E522" s="9" t="s">
        <v>197</v>
      </c>
      <c r="F522" s="11">
        <v>1</v>
      </c>
      <c r="G522" s="12">
        <v>0</v>
      </c>
      <c r="H522" s="12">
        <v>0</v>
      </c>
      <c r="I522" s="12">
        <v>0</v>
      </c>
      <c r="J522" s="10">
        <v>1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1</v>
      </c>
      <c r="V522" s="12">
        <v>0</v>
      </c>
      <c r="W522" s="12">
        <v>0</v>
      </c>
      <c r="X522" s="12">
        <v>0</v>
      </c>
      <c r="Y522" s="10">
        <v>1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29">
        <v>0.25</v>
      </c>
    </row>
    <row r="523">
      <c r="A523" s="23">
        <v>4561</v>
      </c>
      <c r="B523" s="4" t="s">
        <v>762</v>
      </c>
      <c r="C523" s="4" t="s">
        <v>67</v>
      </c>
      <c r="D523" s="4" t="s">
        <v>100</v>
      </c>
      <c r="E523" s="4" t="s">
        <v>299</v>
      </c>
      <c r="F523" s="6">
        <v>1</v>
      </c>
      <c r="G523" s="5">
        <v>1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1</v>
      </c>
      <c r="V523" s="5">
        <v>1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30">
        <v>0</v>
      </c>
    </row>
    <row r="524">
      <c r="A524" s="24">
        <v>4583</v>
      </c>
      <c r="B524" s="9" t="s">
        <v>763</v>
      </c>
      <c r="C524" s="9" t="s">
        <v>67</v>
      </c>
      <c r="D524" s="9" t="s">
        <v>111</v>
      </c>
      <c r="E524" s="9" t="s">
        <v>412</v>
      </c>
      <c r="F524" s="11">
        <v>2</v>
      </c>
      <c r="G524" s="10">
        <v>1</v>
      </c>
      <c r="H524" s="12">
        <v>0</v>
      </c>
      <c r="I524" s="10">
        <v>1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2</v>
      </c>
      <c r="V524" s="10">
        <v>1</v>
      </c>
      <c r="W524" s="12">
        <v>0</v>
      </c>
      <c r="X524" s="10">
        <v>1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31">
        <v>0</v>
      </c>
    </row>
    <row r="525">
      <c r="A525" s="23">
        <v>4596</v>
      </c>
      <c r="B525" s="4" t="s">
        <v>764</v>
      </c>
      <c r="C525" s="4" t="s">
        <v>163</v>
      </c>
      <c r="D525" s="4" t="s">
        <v>164</v>
      </c>
      <c r="E525" s="4" t="s">
        <v>165</v>
      </c>
      <c r="F525" s="6">
        <v>2</v>
      </c>
      <c r="G525" s="5">
        <v>1</v>
      </c>
      <c r="H525" s="7">
        <v>0</v>
      </c>
      <c r="I525" s="5">
        <v>1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2</v>
      </c>
      <c r="V525" s="5">
        <v>1</v>
      </c>
      <c r="W525" s="7">
        <v>0</v>
      </c>
      <c r="X525" s="5">
        <v>1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0.26</v>
      </c>
    </row>
    <row r="526">
      <c r="A526" s="24">
        <v>4606</v>
      </c>
      <c r="B526" s="9" t="s">
        <v>765</v>
      </c>
      <c r="C526" s="9" t="s">
        <v>67</v>
      </c>
      <c r="D526" s="9" t="s">
        <v>73</v>
      </c>
      <c r="E526" s="9" t="s">
        <v>393</v>
      </c>
      <c r="F526" s="11">
        <v>1</v>
      </c>
      <c r="G526" s="10">
        <v>1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1</v>
      </c>
      <c r="V526" s="10">
        <v>1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31">
        <v>0</v>
      </c>
    </row>
    <row r="527">
      <c r="A527" s="23">
        <v>4618</v>
      </c>
      <c r="B527" s="4" t="s">
        <v>766</v>
      </c>
      <c r="C527" s="4" t="s">
        <v>67</v>
      </c>
      <c r="D527" s="4" t="s">
        <v>100</v>
      </c>
      <c r="E527" s="4" t="s">
        <v>578</v>
      </c>
      <c r="F527" s="6">
        <v>2</v>
      </c>
      <c r="G527" s="7">
        <v>0</v>
      </c>
      <c r="H527" s="7">
        <v>0</v>
      </c>
      <c r="I527" s="5">
        <v>1</v>
      </c>
      <c r="J527" s="5">
        <v>1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2</v>
      </c>
      <c r="V527" s="7">
        <v>0</v>
      </c>
      <c r="W527" s="7">
        <v>0</v>
      </c>
      <c r="X527" s="5">
        <v>1</v>
      </c>
      <c r="Y527" s="5">
        <v>1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30">
        <v>0</v>
      </c>
    </row>
    <row r="528">
      <c r="A528" s="24">
        <v>4619</v>
      </c>
      <c r="B528" s="9" t="s">
        <v>767</v>
      </c>
      <c r="C528" s="9" t="s">
        <v>67</v>
      </c>
      <c r="D528" s="9" t="s">
        <v>100</v>
      </c>
      <c r="E528" s="9" t="s">
        <v>768</v>
      </c>
      <c r="F528" s="11">
        <v>1</v>
      </c>
      <c r="G528" s="10">
        <v>1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1</v>
      </c>
      <c r="V528" s="10">
        <v>1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31">
        <v>0</v>
      </c>
    </row>
    <row r="529">
      <c r="A529" s="23">
        <v>4626</v>
      </c>
      <c r="B529" s="4" t="s">
        <v>769</v>
      </c>
      <c r="C529" s="4" t="s">
        <v>67</v>
      </c>
      <c r="D529" s="4" t="s">
        <v>73</v>
      </c>
      <c r="E529" s="4" t="s">
        <v>301</v>
      </c>
      <c r="F529" s="6">
        <v>9</v>
      </c>
      <c r="G529" s="7">
        <v>0</v>
      </c>
      <c r="H529" s="5">
        <v>9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9</v>
      </c>
      <c r="V529" s="7">
        <v>0</v>
      </c>
      <c r="W529" s="5">
        <v>9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9</v>
      </c>
      <c r="AK529" s="8">
        <v>9</v>
      </c>
      <c r="AL529" s="5">
        <v>9</v>
      </c>
      <c r="AM529" s="5">
        <v>9</v>
      </c>
      <c r="AN529" s="28">
        <v>2.34</v>
      </c>
    </row>
    <row r="530">
      <c r="A530" s="24">
        <v>4667</v>
      </c>
      <c r="B530" s="9" t="s">
        <v>770</v>
      </c>
      <c r="C530" s="9" t="s">
        <v>67</v>
      </c>
      <c r="D530" s="9" t="s">
        <v>79</v>
      </c>
      <c r="E530" s="9" t="s">
        <v>82</v>
      </c>
      <c r="F530" s="11">
        <v>3</v>
      </c>
      <c r="G530" s="10">
        <v>3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3</v>
      </c>
      <c r="V530" s="10">
        <v>3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3</v>
      </c>
      <c r="AK530" s="13">
        <v>3</v>
      </c>
      <c r="AL530" s="10">
        <v>3</v>
      </c>
      <c r="AM530" s="10">
        <v>3</v>
      </c>
      <c r="AN530" s="29">
        <v>0.88</v>
      </c>
    </row>
    <row r="531">
      <c r="A531" s="23">
        <v>4672</v>
      </c>
      <c r="B531" s="4" t="s">
        <v>771</v>
      </c>
      <c r="C531" s="4" t="s">
        <v>67</v>
      </c>
      <c r="D531" s="4" t="s">
        <v>142</v>
      </c>
      <c r="E531" s="4" t="s">
        <v>772</v>
      </c>
      <c r="F531" s="6">
        <v>1</v>
      </c>
      <c r="G531" s="5">
        <v>1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1</v>
      </c>
      <c r="V531" s="5">
        <v>1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30">
        <v>0</v>
      </c>
    </row>
    <row r="532">
      <c r="A532" s="24">
        <v>4674</v>
      </c>
      <c r="B532" s="9" t="s">
        <v>773</v>
      </c>
      <c r="C532" s="9" t="s">
        <v>67</v>
      </c>
      <c r="D532" s="9" t="s">
        <v>84</v>
      </c>
      <c r="E532" s="9" t="s">
        <v>85</v>
      </c>
      <c r="F532" s="11">
        <v>5</v>
      </c>
      <c r="G532" s="10">
        <v>1</v>
      </c>
      <c r="H532" s="12">
        <v>0</v>
      </c>
      <c r="I532" s="10">
        <v>1</v>
      </c>
      <c r="J532" s="10">
        <v>3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5</v>
      </c>
      <c r="V532" s="10">
        <v>1</v>
      </c>
      <c r="W532" s="12">
        <v>0</v>
      </c>
      <c r="X532" s="10">
        <v>1</v>
      </c>
      <c r="Y532" s="10">
        <v>3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29">
        <v>1.04</v>
      </c>
    </row>
    <row r="533">
      <c r="A533" s="23">
        <v>4675</v>
      </c>
      <c r="B533" s="4" t="s">
        <v>774</v>
      </c>
      <c r="C533" s="4" t="s">
        <v>67</v>
      </c>
      <c r="D533" s="4" t="s">
        <v>92</v>
      </c>
      <c r="E533" s="4" t="s">
        <v>153</v>
      </c>
      <c r="F533" s="6">
        <v>2</v>
      </c>
      <c r="G533" s="5">
        <v>2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2</v>
      </c>
      <c r="V533" s="5">
        <v>2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2</v>
      </c>
      <c r="AK533" s="8">
        <v>2</v>
      </c>
      <c r="AL533" s="5">
        <v>2</v>
      </c>
      <c r="AM533" s="5">
        <v>2</v>
      </c>
      <c r="AN533" s="30">
        <v>0</v>
      </c>
    </row>
    <row r="534">
      <c r="A534" s="24">
        <v>4680</v>
      </c>
      <c r="B534" s="9" t="s">
        <v>775</v>
      </c>
      <c r="C534" s="9" t="s">
        <v>67</v>
      </c>
      <c r="D534" s="9" t="s">
        <v>84</v>
      </c>
      <c r="E534" s="9" t="s">
        <v>404</v>
      </c>
      <c r="F534" s="11">
        <v>4</v>
      </c>
      <c r="G534" s="10">
        <v>4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2</v>
      </c>
      <c r="V534" s="10">
        <v>2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4</v>
      </c>
      <c r="AK534" s="13">
        <v>4</v>
      </c>
      <c r="AL534" s="10">
        <v>4</v>
      </c>
      <c r="AM534" s="10">
        <v>4</v>
      </c>
      <c r="AN534" s="31">
        <v>0</v>
      </c>
    </row>
    <row r="535">
      <c r="A535" s="23">
        <v>4684</v>
      </c>
      <c r="B535" s="4" t="s">
        <v>776</v>
      </c>
      <c r="C535" s="4" t="s">
        <v>67</v>
      </c>
      <c r="D535" s="4" t="s">
        <v>84</v>
      </c>
      <c r="E535" s="4" t="s">
        <v>404</v>
      </c>
      <c r="F535" s="6">
        <v>6</v>
      </c>
      <c r="G535" s="7">
        <v>0</v>
      </c>
      <c r="H535" s="5">
        <v>1</v>
      </c>
      <c r="I535" s="5">
        <v>1</v>
      </c>
      <c r="J535" s="5">
        <v>4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6</v>
      </c>
      <c r="V535" s="7">
        <v>0</v>
      </c>
      <c r="W535" s="5">
        <v>1</v>
      </c>
      <c r="X535" s="5">
        <v>1</v>
      </c>
      <c r="Y535" s="5">
        <v>4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1.5</v>
      </c>
      <c r="AL535" s="5">
        <v>1</v>
      </c>
      <c r="AM535" s="5">
        <v>3</v>
      </c>
      <c r="AN535" s="28">
        <v>0.25</v>
      </c>
    </row>
    <row r="536">
      <c r="A536" s="24">
        <v>4697</v>
      </c>
      <c r="B536" s="9" t="s">
        <v>777</v>
      </c>
      <c r="C536" s="9" t="s">
        <v>67</v>
      </c>
      <c r="D536" s="9" t="s">
        <v>76</v>
      </c>
      <c r="E536" s="9" t="s">
        <v>132</v>
      </c>
      <c r="F536" s="11">
        <v>2</v>
      </c>
      <c r="G536" s="10">
        <v>2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2</v>
      </c>
      <c r="V536" s="10">
        <v>2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2</v>
      </c>
      <c r="AK536" s="13">
        <v>2</v>
      </c>
      <c r="AL536" s="10">
        <v>2</v>
      </c>
      <c r="AM536" s="10">
        <v>2</v>
      </c>
      <c r="AN536" s="31">
        <v>0</v>
      </c>
    </row>
    <row r="537">
      <c r="A537" s="23">
        <v>4707</v>
      </c>
      <c r="B537" s="4" t="s">
        <v>778</v>
      </c>
      <c r="C537" s="4" t="s">
        <v>67</v>
      </c>
      <c r="D537" s="4" t="s">
        <v>92</v>
      </c>
      <c r="E537" s="4" t="s">
        <v>153</v>
      </c>
      <c r="F537" s="6">
        <v>3</v>
      </c>
      <c r="G537" s="5">
        <v>3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3</v>
      </c>
      <c r="V537" s="5">
        <v>3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3</v>
      </c>
      <c r="AK537" s="8">
        <v>3</v>
      </c>
      <c r="AL537" s="5">
        <v>3</v>
      </c>
      <c r="AM537" s="5">
        <v>3</v>
      </c>
      <c r="AN537" s="30">
        <v>0</v>
      </c>
    </row>
    <row r="538">
      <c r="A538" s="24">
        <v>4709</v>
      </c>
      <c r="B538" s="9" t="s">
        <v>779</v>
      </c>
      <c r="C538" s="9" t="s">
        <v>67</v>
      </c>
      <c r="D538" s="9" t="s">
        <v>92</v>
      </c>
      <c r="E538" s="9" t="s">
        <v>153</v>
      </c>
      <c r="F538" s="11">
        <v>1</v>
      </c>
      <c r="G538" s="10">
        <v>1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1</v>
      </c>
      <c r="V538" s="10">
        <v>1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31">
        <v>0</v>
      </c>
    </row>
    <row r="539">
      <c r="A539" s="23">
        <v>4712</v>
      </c>
      <c r="B539" s="4" t="s">
        <v>780</v>
      </c>
      <c r="C539" s="4" t="s">
        <v>67</v>
      </c>
      <c r="D539" s="4" t="s">
        <v>79</v>
      </c>
      <c r="E539" s="4" t="s">
        <v>87</v>
      </c>
      <c r="F539" s="6">
        <v>5</v>
      </c>
      <c r="G539" s="5">
        <v>3</v>
      </c>
      <c r="H539" s="5">
        <v>1</v>
      </c>
      <c r="I539" s="7">
        <v>0</v>
      </c>
      <c r="J539" s="7">
        <v>0</v>
      </c>
      <c r="K539" s="7">
        <v>0</v>
      </c>
      <c r="L539" s="5">
        <v>1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5</v>
      </c>
      <c r="V539" s="5">
        <v>3</v>
      </c>
      <c r="W539" s="5">
        <v>1</v>
      </c>
      <c r="X539" s="7">
        <v>0</v>
      </c>
      <c r="Y539" s="7">
        <v>0</v>
      </c>
      <c r="Z539" s="7">
        <v>0</v>
      </c>
      <c r="AA539" s="5">
        <v>1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1.25</v>
      </c>
      <c r="AL539" s="5">
        <v>1</v>
      </c>
      <c r="AM539" s="5">
        <v>2</v>
      </c>
      <c r="AN539" s="28">
        <v>0.62</v>
      </c>
    </row>
    <row r="540">
      <c r="A540" s="24">
        <v>4715</v>
      </c>
      <c r="B540" s="9" t="s">
        <v>781</v>
      </c>
      <c r="C540" s="9" t="s">
        <v>67</v>
      </c>
      <c r="D540" s="9" t="s">
        <v>105</v>
      </c>
      <c r="E540" s="9" t="s">
        <v>227</v>
      </c>
      <c r="F540" s="11">
        <v>1</v>
      </c>
      <c r="G540" s="12">
        <v>0</v>
      </c>
      <c r="H540" s="12">
        <v>0</v>
      </c>
      <c r="I540" s="10">
        <v>1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1</v>
      </c>
      <c r="V540" s="12">
        <v>0</v>
      </c>
      <c r="W540" s="12">
        <v>0</v>
      </c>
      <c r="X540" s="10">
        <v>1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31">
        <v>0</v>
      </c>
    </row>
    <row r="541">
      <c r="A541" s="23">
        <v>4716</v>
      </c>
      <c r="B541" s="4" t="s">
        <v>782</v>
      </c>
      <c r="C541" s="4" t="s">
        <v>67</v>
      </c>
      <c r="D541" s="4" t="s">
        <v>111</v>
      </c>
      <c r="E541" s="4" t="s">
        <v>149</v>
      </c>
      <c r="F541" s="6">
        <v>1</v>
      </c>
      <c r="G541" s="7">
        <v>0</v>
      </c>
      <c r="H541" s="5">
        <v>1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1</v>
      </c>
      <c r="V541" s="7">
        <v>0</v>
      </c>
      <c r="W541" s="5">
        <v>1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28">
        <v>0.25</v>
      </c>
    </row>
    <row r="542">
      <c r="A542" s="24">
        <v>4752</v>
      </c>
      <c r="B542" s="9" t="s">
        <v>783</v>
      </c>
      <c r="C542" s="9" t="s">
        <v>67</v>
      </c>
      <c r="D542" s="9" t="s">
        <v>111</v>
      </c>
      <c r="E542" s="9" t="s">
        <v>147</v>
      </c>
      <c r="F542" s="11">
        <v>1</v>
      </c>
      <c r="G542" s="10">
        <v>1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1</v>
      </c>
      <c r="V542" s="10">
        <v>1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29">
        <v>0.25</v>
      </c>
    </row>
    <row r="543">
      <c r="A543" s="23">
        <v>4754</v>
      </c>
      <c r="B543" s="4" t="s">
        <v>784</v>
      </c>
      <c r="C543" s="4" t="s">
        <v>67</v>
      </c>
      <c r="D543" s="4" t="s">
        <v>108</v>
      </c>
      <c r="E543" s="4" t="s">
        <v>346</v>
      </c>
      <c r="F543" s="6">
        <v>1</v>
      </c>
      <c r="G543" s="7">
        <v>0</v>
      </c>
      <c r="H543" s="7">
        <v>0</v>
      </c>
      <c r="I543" s="7">
        <v>0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1</v>
      </c>
      <c r="V543" s="7">
        <v>0</v>
      </c>
      <c r="W543" s="7">
        <v>0</v>
      </c>
      <c r="X543" s="7">
        <v>0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0.25</v>
      </c>
    </row>
    <row r="544">
      <c r="A544" s="24">
        <v>4755</v>
      </c>
      <c r="B544" s="9" t="s">
        <v>785</v>
      </c>
      <c r="C544" s="9" t="s">
        <v>136</v>
      </c>
      <c r="D544" s="9" t="s">
        <v>137</v>
      </c>
      <c r="E544" s="9" t="s">
        <v>561</v>
      </c>
      <c r="F544" s="11">
        <v>6</v>
      </c>
      <c r="G544" s="12">
        <v>0</v>
      </c>
      <c r="H544" s="10">
        <v>5</v>
      </c>
      <c r="I544" s="12">
        <v>0</v>
      </c>
      <c r="J544" s="10">
        <v>1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4</v>
      </c>
      <c r="V544" s="12">
        <v>0</v>
      </c>
      <c r="W544" s="10">
        <v>3</v>
      </c>
      <c r="X544" s="12">
        <v>0</v>
      </c>
      <c r="Y544" s="10">
        <v>1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2</v>
      </c>
      <c r="AL544" s="10">
        <v>1</v>
      </c>
      <c r="AM544" s="10">
        <v>4</v>
      </c>
      <c r="AN544" s="29">
        <v>0.66</v>
      </c>
    </row>
    <row r="545">
      <c r="A545" s="23">
        <v>4757</v>
      </c>
      <c r="B545" s="4" t="s">
        <v>786</v>
      </c>
      <c r="C545" s="4" t="s">
        <v>67</v>
      </c>
      <c r="D545" s="4" t="s">
        <v>105</v>
      </c>
      <c r="E545" s="4" t="s">
        <v>106</v>
      </c>
      <c r="F545" s="6">
        <v>2</v>
      </c>
      <c r="G545" s="5">
        <v>1</v>
      </c>
      <c r="H545" s="7">
        <v>0</v>
      </c>
      <c r="I545" s="7">
        <v>0</v>
      </c>
      <c r="J545" s="5">
        <v>1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2</v>
      </c>
      <c r="V545" s="5">
        <v>1</v>
      </c>
      <c r="W545" s="7">
        <v>0</v>
      </c>
      <c r="X545" s="7">
        <v>0</v>
      </c>
      <c r="Y545" s="5">
        <v>1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0.59</v>
      </c>
    </row>
    <row r="546">
      <c r="A546" s="24">
        <v>4759</v>
      </c>
      <c r="B546" s="9" t="s">
        <v>787</v>
      </c>
      <c r="C546" s="9" t="s">
        <v>67</v>
      </c>
      <c r="D546" s="9" t="s">
        <v>73</v>
      </c>
      <c r="E546" s="9" t="s">
        <v>393</v>
      </c>
      <c r="F546" s="11">
        <v>1</v>
      </c>
      <c r="G546" s="10">
        <v>1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1</v>
      </c>
      <c r="V546" s="10">
        <v>1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31">
        <v>0</v>
      </c>
    </row>
    <row r="547">
      <c r="A547" s="23">
        <v>4781</v>
      </c>
      <c r="B547" s="4" t="s">
        <v>788</v>
      </c>
      <c r="C547" s="4" t="s">
        <v>163</v>
      </c>
      <c r="D547" s="4" t="s">
        <v>164</v>
      </c>
      <c r="E547" s="4" t="s">
        <v>165</v>
      </c>
      <c r="F547" s="6">
        <v>1</v>
      </c>
      <c r="G547" s="7">
        <v>0</v>
      </c>
      <c r="H547" s="7">
        <v>0</v>
      </c>
      <c r="I547" s="7">
        <v>0</v>
      </c>
      <c r="J547" s="5">
        <v>1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1</v>
      </c>
      <c r="V547" s="7">
        <v>0</v>
      </c>
      <c r="W547" s="7">
        <v>0</v>
      </c>
      <c r="X547" s="7">
        <v>0</v>
      </c>
      <c r="Y547" s="5">
        <v>1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30">
        <v>0</v>
      </c>
    </row>
    <row r="548">
      <c r="A548" s="24">
        <v>4785</v>
      </c>
      <c r="B548" s="9" t="s">
        <v>789</v>
      </c>
      <c r="C548" s="9" t="s">
        <v>208</v>
      </c>
      <c r="D548" s="9" t="s">
        <v>209</v>
      </c>
      <c r="E548" s="9" t="s">
        <v>790</v>
      </c>
      <c r="F548" s="11">
        <v>2</v>
      </c>
      <c r="G548" s="12">
        <v>0</v>
      </c>
      <c r="H548" s="10">
        <v>2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2</v>
      </c>
      <c r="V548" s="12">
        <v>0</v>
      </c>
      <c r="W548" s="10">
        <v>2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2</v>
      </c>
      <c r="AK548" s="13">
        <v>2</v>
      </c>
      <c r="AL548" s="10">
        <v>2</v>
      </c>
      <c r="AM548" s="10">
        <v>2</v>
      </c>
      <c r="AN548" s="29">
        <v>0.5</v>
      </c>
    </row>
    <row r="549">
      <c r="A549" s="23">
        <v>4790</v>
      </c>
      <c r="B549" s="4" t="s">
        <v>791</v>
      </c>
      <c r="C549" s="4" t="s">
        <v>67</v>
      </c>
      <c r="D549" s="4" t="s">
        <v>79</v>
      </c>
      <c r="E549" s="4" t="s">
        <v>293</v>
      </c>
      <c r="F549" s="6">
        <v>1</v>
      </c>
      <c r="G549" s="7">
        <v>0</v>
      </c>
      <c r="H549" s="7">
        <v>0</v>
      </c>
      <c r="I549" s="5">
        <v>1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1</v>
      </c>
      <c r="V549" s="7">
        <v>0</v>
      </c>
      <c r="W549" s="7">
        <v>0</v>
      </c>
      <c r="X549" s="5">
        <v>1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28">
        <v>0.25</v>
      </c>
    </row>
    <row r="550">
      <c r="A550" s="24">
        <v>4791</v>
      </c>
      <c r="B550" s="9" t="s">
        <v>792</v>
      </c>
      <c r="C550" s="9" t="s">
        <v>67</v>
      </c>
      <c r="D550" s="9" t="s">
        <v>79</v>
      </c>
      <c r="E550" s="9" t="s">
        <v>293</v>
      </c>
      <c r="F550" s="11">
        <v>2</v>
      </c>
      <c r="G550" s="10">
        <v>2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1</v>
      </c>
      <c r="V550" s="10">
        <v>1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2</v>
      </c>
      <c r="AK550" s="13">
        <v>2</v>
      </c>
      <c r="AL550" s="10">
        <v>2</v>
      </c>
      <c r="AM550" s="10">
        <v>2</v>
      </c>
      <c r="AN550" s="29">
        <v>0.38</v>
      </c>
    </row>
    <row r="551">
      <c r="A551" s="23">
        <v>4792</v>
      </c>
      <c r="B551" s="4" t="s">
        <v>793</v>
      </c>
      <c r="C551" s="4" t="s">
        <v>67</v>
      </c>
      <c r="D551" s="4" t="s">
        <v>79</v>
      </c>
      <c r="E551" s="4" t="s">
        <v>293</v>
      </c>
      <c r="F551" s="6">
        <v>2</v>
      </c>
      <c r="G551" s="5">
        <v>2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2</v>
      </c>
      <c r="V551" s="5">
        <v>2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2</v>
      </c>
      <c r="AK551" s="8">
        <v>2</v>
      </c>
      <c r="AL551" s="5">
        <v>2</v>
      </c>
      <c r="AM551" s="5">
        <v>2</v>
      </c>
      <c r="AN551" s="30">
        <v>0</v>
      </c>
    </row>
    <row r="552">
      <c r="A552" s="24">
        <v>4807</v>
      </c>
      <c r="B552" s="9" t="s">
        <v>794</v>
      </c>
      <c r="C552" s="9" t="s">
        <v>67</v>
      </c>
      <c r="D552" s="9" t="s">
        <v>105</v>
      </c>
      <c r="E552" s="9" t="s">
        <v>303</v>
      </c>
      <c r="F552" s="11">
        <v>1</v>
      </c>
      <c r="G552" s="10">
        <v>1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1</v>
      </c>
      <c r="V552" s="10">
        <v>1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31">
        <v>0</v>
      </c>
    </row>
    <row r="553">
      <c r="A553" s="23">
        <v>4808</v>
      </c>
      <c r="B553" s="4" t="s">
        <v>795</v>
      </c>
      <c r="C553" s="4" t="s">
        <v>67</v>
      </c>
      <c r="D553" s="4" t="s">
        <v>105</v>
      </c>
      <c r="E553" s="4" t="s">
        <v>227</v>
      </c>
      <c r="F553" s="6">
        <v>21</v>
      </c>
      <c r="G553" s="5">
        <v>1</v>
      </c>
      <c r="H553" s="7">
        <v>0</v>
      </c>
      <c r="I553" s="5">
        <v>1</v>
      </c>
      <c r="J553" s="5">
        <v>19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19</v>
      </c>
      <c r="V553" s="5">
        <v>1</v>
      </c>
      <c r="W553" s="7">
        <v>0</v>
      </c>
      <c r="X553" s="5">
        <v>1</v>
      </c>
      <c r="Y553" s="5">
        <v>17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7</v>
      </c>
      <c r="AL553" s="5">
        <v>1</v>
      </c>
      <c r="AM553" s="5">
        <v>19</v>
      </c>
      <c r="AN553" s="28">
        <v>4.68</v>
      </c>
    </row>
    <row r="554">
      <c r="A554" s="24">
        <v>4811</v>
      </c>
      <c r="B554" s="9" t="s">
        <v>796</v>
      </c>
      <c r="C554" s="9" t="s">
        <v>67</v>
      </c>
      <c r="D554" s="9" t="s">
        <v>105</v>
      </c>
      <c r="E554" s="9" t="s">
        <v>106</v>
      </c>
      <c r="F554" s="11">
        <v>1</v>
      </c>
      <c r="G554" s="10">
        <v>1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1</v>
      </c>
      <c r="V554" s="10">
        <v>1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31">
        <v>0</v>
      </c>
    </row>
    <row r="555">
      <c r="A555" s="23">
        <v>4817</v>
      </c>
      <c r="B555" s="4" t="s">
        <v>797</v>
      </c>
      <c r="C555" s="4" t="s">
        <v>67</v>
      </c>
      <c r="D555" s="4" t="s">
        <v>142</v>
      </c>
      <c r="E555" s="4" t="s">
        <v>520</v>
      </c>
      <c r="F555" s="6">
        <v>2</v>
      </c>
      <c r="G555" s="5">
        <v>1</v>
      </c>
      <c r="H555" s="7">
        <v>0</v>
      </c>
      <c r="I555" s="5">
        <v>1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2</v>
      </c>
      <c r="V555" s="5">
        <v>1</v>
      </c>
      <c r="W555" s="7">
        <v>0</v>
      </c>
      <c r="X555" s="5">
        <v>1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30">
        <v>0</v>
      </c>
    </row>
    <row r="556">
      <c r="A556" s="24">
        <v>4819</v>
      </c>
      <c r="B556" s="9" t="s">
        <v>798</v>
      </c>
      <c r="C556" s="9" t="s">
        <v>67</v>
      </c>
      <c r="D556" s="9" t="s">
        <v>79</v>
      </c>
      <c r="E556" s="9" t="s">
        <v>82</v>
      </c>
      <c r="F556" s="11">
        <v>2</v>
      </c>
      <c r="G556" s="10">
        <v>2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1</v>
      </c>
      <c r="V556" s="10">
        <v>1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2</v>
      </c>
      <c r="AK556" s="13">
        <v>2</v>
      </c>
      <c r="AL556" s="10">
        <v>2</v>
      </c>
      <c r="AM556" s="10">
        <v>2</v>
      </c>
      <c r="AN556" s="29">
        <v>0.26</v>
      </c>
    </row>
    <row r="557">
      <c r="A557" s="23">
        <v>4831</v>
      </c>
      <c r="B557" s="4" t="s">
        <v>799</v>
      </c>
      <c r="C557" s="4" t="s">
        <v>67</v>
      </c>
      <c r="D557" s="4" t="s">
        <v>105</v>
      </c>
      <c r="E557" s="4" t="s">
        <v>227</v>
      </c>
      <c r="F557" s="6">
        <v>1</v>
      </c>
      <c r="G557" s="5">
        <v>1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1</v>
      </c>
      <c r="V557" s="5">
        <v>1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30">
        <v>0</v>
      </c>
    </row>
    <row r="558">
      <c r="A558" s="24">
        <v>4833</v>
      </c>
      <c r="B558" s="9" t="s">
        <v>800</v>
      </c>
      <c r="C558" s="9" t="s">
        <v>67</v>
      </c>
      <c r="D558" s="9" t="s">
        <v>105</v>
      </c>
      <c r="E558" s="9" t="s">
        <v>227</v>
      </c>
      <c r="F558" s="11">
        <v>1</v>
      </c>
      <c r="G558" s="12">
        <v>0</v>
      </c>
      <c r="H558" s="12">
        <v>0</v>
      </c>
      <c r="I558" s="12">
        <v>0</v>
      </c>
      <c r="J558" s="10">
        <v>1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1</v>
      </c>
      <c r="V558" s="12">
        <v>0</v>
      </c>
      <c r="W558" s="12">
        <v>0</v>
      </c>
      <c r="X558" s="12">
        <v>0</v>
      </c>
      <c r="Y558" s="10">
        <v>1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0.25</v>
      </c>
    </row>
    <row r="559">
      <c r="A559" s="23">
        <v>4835</v>
      </c>
      <c r="B559" s="4" t="s">
        <v>801</v>
      </c>
      <c r="C559" s="4" t="s">
        <v>67</v>
      </c>
      <c r="D559" s="4" t="s">
        <v>100</v>
      </c>
      <c r="E559" s="4" t="s">
        <v>624</v>
      </c>
      <c r="F559" s="6">
        <v>3</v>
      </c>
      <c r="G559" s="5">
        <v>3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3</v>
      </c>
      <c r="V559" s="5">
        <v>3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1.5</v>
      </c>
      <c r="AL559" s="5">
        <v>1</v>
      </c>
      <c r="AM559" s="5">
        <v>2</v>
      </c>
      <c r="AN559" s="28">
        <v>0.26</v>
      </c>
    </row>
    <row r="560">
      <c r="A560" s="24">
        <v>4836</v>
      </c>
      <c r="B560" s="9" t="s">
        <v>802</v>
      </c>
      <c r="C560" s="9" t="s">
        <v>67</v>
      </c>
      <c r="D560" s="9" t="s">
        <v>105</v>
      </c>
      <c r="E560" s="9" t="s">
        <v>106</v>
      </c>
      <c r="F560" s="11">
        <v>5</v>
      </c>
      <c r="G560" s="12">
        <v>0</v>
      </c>
      <c r="H560" s="12">
        <v>0</v>
      </c>
      <c r="I560" s="12">
        <v>0</v>
      </c>
      <c r="J560" s="10">
        <v>5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5</v>
      </c>
      <c r="V560" s="12">
        <v>0</v>
      </c>
      <c r="W560" s="12">
        <v>0</v>
      </c>
      <c r="X560" s="12">
        <v>0</v>
      </c>
      <c r="Y560" s="10">
        <v>5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2</v>
      </c>
      <c r="AK560" s="13">
        <v>2.5</v>
      </c>
      <c r="AL560" s="10">
        <v>2</v>
      </c>
      <c r="AM560" s="10">
        <v>3</v>
      </c>
      <c r="AN560" s="29">
        <v>1.25</v>
      </c>
    </row>
    <row r="561">
      <c r="A561" s="23">
        <v>4843</v>
      </c>
      <c r="B561" s="4" t="s">
        <v>803</v>
      </c>
      <c r="C561" s="4" t="s">
        <v>67</v>
      </c>
      <c r="D561" s="4" t="s">
        <v>111</v>
      </c>
      <c r="E561" s="4" t="s">
        <v>195</v>
      </c>
      <c r="F561" s="6">
        <v>1</v>
      </c>
      <c r="G561" s="7">
        <v>0</v>
      </c>
      <c r="H561" s="7">
        <v>0</v>
      </c>
      <c r="I561" s="7">
        <v>0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1</v>
      </c>
      <c r="V561" s="7">
        <v>0</v>
      </c>
      <c r="W561" s="7">
        <v>0</v>
      </c>
      <c r="X561" s="7">
        <v>0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30">
        <v>0</v>
      </c>
    </row>
    <row r="562">
      <c r="A562" s="24">
        <v>4861</v>
      </c>
      <c r="B562" s="9" t="s">
        <v>804</v>
      </c>
      <c r="C562" s="9" t="s">
        <v>67</v>
      </c>
      <c r="D562" s="9" t="s">
        <v>111</v>
      </c>
      <c r="E562" s="9" t="s">
        <v>195</v>
      </c>
      <c r="F562" s="11">
        <v>1</v>
      </c>
      <c r="G562" s="10">
        <v>1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1</v>
      </c>
      <c r="V562" s="10">
        <v>1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0.25</v>
      </c>
    </row>
    <row r="563">
      <c r="A563" s="23">
        <v>4862</v>
      </c>
      <c r="B563" s="4" t="s">
        <v>805</v>
      </c>
      <c r="C563" s="4" t="s">
        <v>67</v>
      </c>
      <c r="D563" s="4" t="s">
        <v>111</v>
      </c>
      <c r="E563" s="4" t="s">
        <v>195</v>
      </c>
      <c r="F563" s="6">
        <v>1</v>
      </c>
      <c r="G563" s="7">
        <v>0</v>
      </c>
      <c r="H563" s="7">
        <v>0</v>
      </c>
      <c r="I563" s="7">
        <v>0</v>
      </c>
      <c r="J563" s="5">
        <v>1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1</v>
      </c>
      <c r="V563" s="7">
        <v>0</v>
      </c>
      <c r="W563" s="7">
        <v>0</v>
      </c>
      <c r="X563" s="7">
        <v>0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30">
        <v>0</v>
      </c>
    </row>
    <row r="564">
      <c r="A564" s="24">
        <v>4866</v>
      </c>
      <c r="B564" s="9" t="s">
        <v>806</v>
      </c>
      <c r="C564" s="9" t="s">
        <v>67</v>
      </c>
      <c r="D564" s="9" t="s">
        <v>105</v>
      </c>
      <c r="E564" s="9" t="s">
        <v>227</v>
      </c>
      <c r="F564" s="11">
        <v>1</v>
      </c>
      <c r="G564" s="12">
        <v>0</v>
      </c>
      <c r="H564" s="12">
        <v>0</v>
      </c>
      <c r="I564" s="10">
        <v>1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1</v>
      </c>
      <c r="V564" s="12">
        <v>0</v>
      </c>
      <c r="W564" s="12">
        <v>0</v>
      </c>
      <c r="X564" s="10">
        <v>1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0.25</v>
      </c>
    </row>
    <row r="565">
      <c r="A565" s="23">
        <v>4869</v>
      </c>
      <c r="B565" s="4" t="s">
        <v>807</v>
      </c>
      <c r="C565" s="4" t="s">
        <v>67</v>
      </c>
      <c r="D565" s="4" t="s">
        <v>105</v>
      </c>
      <c r="E565" s="4" t="s">
        <v>106</v>
      </c>
      <c r="F565" s="6">
        <v>1</v>
      </c>
      <c r="G565" s="7">
        <v>0</v>
      </c>
      <c r="H565" s="7">
        <v>0</v>
      </c>
      <c r="I565" s="7">
        <v>0</v>
      </c>
      <c r="J565" s="5">
        <v>1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1</v>
      </c>
      <c r="V565" s="7">
        <v>0</v>
      </c>
      <c r="W565" s="7">
        <v>0</v>
      </c>
      <c r="X565" s="7">
        <v>0</v>
      </c>
      <c r="Y565" s="5">
        <v>1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0.22</v>
      </c>
    </row>
    <row r="566">
      <c r="A566" s="24">
        <v>4870</v>
      </c>
      <c r="B566" s="9" t="s">
        <v>808</v>
      </c>
      <c r="C566" s="9" t="s">
        <v>67</v>
      </c>
      <c r="D566" s="9" t="s">
        <v>105</v>
      </c>
      <c r="E566" s="9" t="s">
        <v>227</v>
      </c>
      <c r="F566" s="11">
        <v>1</v>
      </c>
      <c r="G566" s="12">
        <v>0</v>
      </c>
      <c r="H566" s="12">
        <v>0</v>
      </c>
      <c r="I566" s="10">
        <v>1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1</v>
      </c>
      <c r="V566" s="12">
        <v>0</v>
      </c>
      <c r="W566" s="12">
        <v>0</v>
      </c>
      <c r="X566" s="10">
        <v>1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31">
        <v>0</v>
      </c>
    </row>
    <row r="567">
      <c r="A567" s="23">
        <v>4871</v>
      </c>
      <c r="B567" s="4" t="s">
        <v>809</v>
      </c>
      <c r="C567" s="4" t="s">
        <v>67</v>
      </c>
      <c r="D567" s="4" t="s">
        <v>79</v>
      </c>
      <c r="E567" s="4" t="s">
        <v>87</v>
      </c>
      <c r="F567" s="6">
        <v>2</v>
      </c>
      <c r="G567" s="5">
        <v>1</v>
      </c>
      <c r="H567" s="7">
        <v>0</v>
      </c>
      <c r="I567" s="7">
        <v>0</v>
      </c>
      <c r="J567" s="7">
        <v>0</v>
      </c>
      <c r="K567" s="7">
        <v>0</v>
      </c>
      <c r="L567" s="5">
        <v>1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2</v>
      </c>
      <c r="V567" s="5">
        <v>1</v>
      </c>
      <c r="W567" s="7">
        <v>0</v>
      </c>
      <c r="X567" s="7">
        <v>0</v>
      </c>
      <c r="Y567" s="7">
        <v>0</v>
      </c>
      <c r="Z567" s="7">
        <v>0</v>
      </c>
      <c r="AA567" s="5">
        <v>1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0.25</v>
      </c>
    </row>
    <row r="568">
      <c r="A568" s="24">
        <v>4875</v>
      </c>
      <c r="B568" s="9" t="s">
        <v>810</v>
      </c>
      <c r="C568" s="9" t="s">
        <v>67</v>
      </c>
      <c r="D568" s="9" t="s">
        <v>84</v>
      </c>
      <c r="E568" s="9" t="s">
        <v>85</v>
      </c>
      <c r="F568" s="11">
        <v>3</v>
      </c>
      <c r="G568" s="10">
        <v>2</v>
      </c>
      <c r="H568" s="12">
        <v>0</v>
      </c>
      <c r="I568" s="12">
        <v>0</v>
      </c>
      <c r="J568" s="10">
        <v>1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3</v>
      </c>
      <c r="V568" s="10">
        <v>2</v>
      </c>
      <c r="W568" s="12">
        <v>0</v>
      </c>
      <c r="X568" s="12">
        <v>0</v>
      </c>
      <c r="Y568" s="10">
        <v>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1.5</v>
      </c>
      <c r="AL568" s="10">
        <v>1</v>
      </c>
      <c r="AM568" s="10">
        <v>2</v>
      </c>
      <c r="AN568" s="29">
        <v>0.25</v>
      </c>
    </row>
    <row r="569">
      <c r="A569" s="23">
        <v>4882</v>
      </c>
      <c r="B569" s="4" t="s">
        <v>811</v>
      </c>
      <c r="C569" s="4" t="s">
        <v>67</v>
      </c>
      <c r="D569" s="4" t="s">
        <v>812</v>
      </c>
      <c r="E569" s="4" t="s">
        <v>813</v>
      </c>
      <c r="F569" s="6">
        <v>1</v>
      </c>
      <c r="G569" s="7">
        <v>0</v>
      </c>
      <c r="H569" s="7">
        <v>0</v>
      </c>
      <c r="I569" s="5">
        <v>1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1</v>
      </c>
      <c r="V569" s="7">
        <v>0</v>
      </c>
      <c r="W569" s="7">
        <v>0</v>
      </c>
      <c r="X569" s="5">
        <v>1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0.24</v>
      </c>
    </row>
    <row r="570">
      <c r="A570" s="24">
        <v>4884</v>
      </c>
      <c r="B570" s="9" t="s">
        <v>814</v>
      </c>
      <c r="C570" s="9" t="s">
        <v>67</v>
      </c>
      <c r="D570" s="9" t="s">
        <v>84</v>
      </c>
      <c r="E570" s="9" t="s">
        <v>815</v>
      </c>
      <c r="F570" s="11">
        <v>1</v>
      </c>
      <c r="G570" s="10">
        <v>1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1</v>
      </c>
      <c r="V570" s="10">
        <v>1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31">
        <v>0</v>
      </c>
    </row>
    <row r="571">
      <c r="A571" s="23">
        <v>4901</v>
      </c>
      <c r="B571" s="4" t="s">
        <v>816</v>
      </c>
      <c r="C571" s="4" t="s">
        <v>67</v>
      </c>
      <c r="D571" s="4" t="s">
        <v>73</v>
      </c>
      <c r="E571" s="4" t="s">
        <v>362</v>
      </c>
      <c r="F571" s="6">
        <v>1</v>
      </c>
      <c r="G571" s="7">
        <v>0</v>
      </c>
      <c r="H571" s="7">
        <v>0</v>
      </c>
      <c r="I571" s="7">
        <v>0</v>
      </c>
      <c r="J571" s="5">
        <v>1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1</v>
      </c>
      <c r="V571" s="7">
        <v>0</v>
      </c>
      <c r="W571" s="7">
        <v>0</v>
      </c>
      <c r="X571" s="7">
        <v>0</v>
      </c>
      <c r="Y571" s="5">
        <v>1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30">
        <v>0</v>
      </c>
    </row>
    <row r="572">
      <c r="A572" s="24">
        <v>4913</v>
      </c>
      <c r="B572" s="9" t="s">
        <v>817</v>
      </c>
      <c r="C572" s="9" t="s">
        <v>67</v>
      </c>
      <c r="D572" s="9" t="s">
        <v>76</v>
      </c>
      <c r="E572" s="9" t="s">
        <v>202</v>
      </c>
      <c r="F572" s="11">
        <v>2</v>
      </c>
      <c r="G572" s="12">
        <v>0</v>
      </c>
      <c r="H572" s="10">
        <v>1</v>
      </c>
      <c r="I572" s="12">
        <v>0</v>
      </c>
      <c r="J572" s="10">
        <v>1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2</v>
      </c>
      <c r="V572" s="12">
        <v>0</v>
      </c>
      <c r="W572" s="10">
        <v>1</v>
      </c>
      <c r="X572" s="12">
        <v>0</v>
      </c>
      <c r="Y572" s="10">
        <v>1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29">
        <v>0.5</v>
      </c>
    </row>
    <row r="573">
      <c r="A573" s="23">
        <v>4915</v>
      </c>
      <c r="B573" s="4" t="s">
        <v>818</v>
      </c>
      <c r="C573" s="4" t="s">
        <v>67</v>
      </c>
      <c r="D573" s="4" t="s">
        <v>812</v>
      </c>
      <c r="E573" s="4" t="s">
        <v>813</v>
      </c>
      <c r="F573" s="6">
        <v>2</v>
      </c>
      <c r="G573" s="7">
        <v>0</v>
      </c>
      <c r="H573" s="5">
        <v>2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1</v>
      </c>
      <c r="V573" s="7">
        <v>0</v>
      </c>
      <c r="W573" s="5">
        <v>1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2</v>
      </c>
      <c r="AK573" s="8">
        <v>2</v>
      </c>
      <c r="AL573" s="5">
        <v>2</v>
      </c>
      <c r="AM573" s="5">
        <v>2</v>
      </c>
      <c r="AN573" s="30">
        <v>0</v>
      </c>
    </row>
    <row r="574">
      <c r="A574" s="24">
        <v>4916</v>
      </c>
      <c r="B574" s="9" t="s">
        <v>819</v>
      </c>
      <c r="C574" s="9" t="s">
        <v>67</v>
      </c>
      <c r="D574" s="9" t="s">
        <v>105</v>
      </c>
      <c r="E574" s="9" t="s">
        <v>227</v>
      </c>
      <c r="F574" s="11">
        <v>1</v>
      </c>
      <c r="G574" s="12">
        <v>0</v>
      </c>
      <c r="H574" s="12">
        <v>0</v>
      </c>
      <c r="I574" s="10">
        <v>1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1</v>
      </c>
      <c r="V574" s="12">
        <v>0</v>
      </c>
      <c r="W574" s="12">
        <v>0</v>
      </c>
      <c r="X574" s="10">
        <v>1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31">
        <v>0</v>
      </c>
    </row>
    <row r="575">
      <c r="A575" s="23">
        <v>4920</v>
      </c>
      <c r="B575" s="4" t="s">
        <v>820</v>
      </c>
      <c r="C575" s="4" t="s">
        <v>67</v>
      </c>
      <c r="D575" s="4" t="s">
        <v>84</v>
      </c>
      <c r="E575" s="4" t="s">
        <v>85</v>
      </c>
      <c r="F575" s="6">
        <v>1</v>
      </c>
      <c r="G575" s="7">
        <v>0</v>
      </c>
      <c r="H575" s="5">
        <v>1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1</v>
      </c>
      <c r="V575" s="7">
        <v>0</v>
      </c>
      <c r="W575" s="5">
        <v>1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30">
        <v>0</v>
      </c>
    </row>
    <row r="576">
      <c r="A576" s="24">
        <v>4933</v>
      </c>
      <c r="B576" s="9" t="s">
        <v>821</v>
      </c>
      <c r="C576" s="9" t="s">
        <v>67</v>
      </c>
      <c r="D576" s="9" t="s">
        <v>84</v>
      </c>
      <c r="E576" s="9" t="s">
        <v>399</v>
      </c>
      <c r="F576" s="11">
        <v>3</v>
      </c>
      <c r="G576" s="10">
        <v>2</v>
      </c>
      <c r="H576" s="12">
        <v>0</v>
      </c>
      <c r="I576" s="10">
        <v>1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2</v>
      </c>
      <c r="V576" s="10">
        <v>1</v>
      </c>
      <c r="W576" s="12">
        <v>0</v>
      </c>
      <c r="X576" s="10">
        <v>1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1.5</v>
      </c>
      <c r="AL576" s="10">
        <v>1</v>
      </c>
      <c r="AM576" s="10">
        <v>2</v>
      </c>
      <c r="AN576" s="31">
        <v>0</v>
      </c>
    </row>
    <row r="577">
      <c r="A577" s="23">
        <v>4944</v>
      </c>
      <c r="B577" s="4" t="s">
        <v>822</v>
      </c>
      <c r="C577" s="4" t="s">
        <v>67</v>
      </c>
      <c r="D577" s="4" t="s">
        <v>105</v>
      </c>
      <c r="E577" s="4" t="s">
        <v>193</v>
      </c>
      <c r="F577" s="6">
        <v>2</v>
      </c>
      <c r="G577" s="5">
        <v>1</v>
      </c>
      <c r="H577" s="5">
        <v>1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2</v>
      </c>
      <c r="V577" s="5">
        <v>1</v>
      </c>
      <c r="W577" s="5">
        <v>1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0.68</v>
      </c>
    </row>
    <row r="578">
      <c r="A578" s="24">
        <v>4945</v>
      </c>
      <c r="B578" s="9" t="s">
        <v>823</v>
      </c>
      <c r="C578" s="9" t="s">
        <v>67</v>
      </c>
      <c r="D578" s="9" t="s">
        <v>92</v>
      </c>
      <c r="E578" s="9" t="s">
        <v>153</v>
      </c>
      <c r="F578" s="11">
        <v>4</v>
      </c>
      <c r="G578" s="10">
        <v>2</v>
      </c>
      <c r="H578" s="12">
        <v>0</v>
      </c>
      <c r="I578" s="12">
        <v>0</v>
      </c>
      <c r="J578" s="10">
        <v>2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4</v>
      </c>
      <c r="V578" s="10">
        <v>2</v>
      </c>
      <c r="W578" s="12">
        <v>0</v>
      </c>
      <c r="X578" s="12">
        <v>0</v>
      </c>
      <c r="Y578" s="10">
        <v>2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1.33</v>
      </c>
      <c r="AL578" s="10">
        <v>1</v>
      </c>
      <c r="AM578" s="10">
        <v>2</v>
      </c>
      <c r="AN578" s="29">
        <v>0.5</v>
      </c>
    </row>
    <row r="579">
      <c r="A579" s="23">
        <v>4948</v>
      </c>
      <c r="B579" s="4" t="s">
        <v>824</v>
      </c>
      <c r="C579" s="4" t="s">
        <v>67</v>
      </c>
      <c r="D579" s="4" t="s">
        <v>79</v>
      </c>
      <c r="E579" s="4" t="s">
        <v>80</v>
      </c>
      <c r="F579" s="6">
        <v>1</v>
      </c>
      <c r="G579" s="5">
        <v>1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1</v>
      </c>
      <c r="V579" s="5">
        <v>1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30">
        <v>0</v>
      </c>
    </row>
    <row r="580">
      <c r="A580" s="24">
        <v>4961</v>
      </c>
      <c r="B580" s="9" t="s">
        <v>825</v>
      </c>
      <c r="C580" s="9" t="s">
        <v>67</v>
      </c>
      <c r="D580" s="9" t="s">
        <v>68</v>
      </c>
      <c r="E580" s="9" t="s">
        <v>71</v>
      </c>
      <c r="F580" s="11">
        <v>2</v>
      </c>
      <c r="G580" s="12">
        <v>0</v>
      </c>
      <c r="H580" s="10">
        <v>2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2</v>
      </c>
      <c r="V580" s="12">
        <v>0</v>
      </c>
      <c r="W580" s="10">
        <v>2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2</v>
      </c>
      <c r="AK580" s="13">
        <v>2</v>
      </c>
      <c r="AL580" s="10">
        <v>2</v>
      </c>
      <c r="AM580" s="10">
        <v>2</v>
      </c>
      <c r="AN580" s="29">
        <v>0.5</v>
      </c>
    </row>
    <row r="581">
      <c r="A581" s="23">
        <v>4962</v>
      </c>
      <c r="B581" s="4" t="s">
        <v>826</v>
      </c>
      <c r="C581" s="4" t="s">
        <v>67</v>
      </c>
      <c r="D581" s="4" t="s">
        <v>76</v>
      </c>
      <c r="E581" s="4" t="s">
        <v>262</v>
      </c>
      <c r="F581" s="6">
        <v>3</v>
      </c>
      <c r="G581" s="7">
        <v>0</v>
      </c>
      <c r="H581" s="7">
        <v>0</v>
      </c>
      <c r="I581" s="7">
        <v>0</v>
      </c>
      <c r="J581" s="5">
        <v>3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3</v>
      </c>
      <c r="V581" s="7">
        <v>0</v>
      </c>
      <c r="W581" s="7">
        <v>0</v>
      </c>
      <c r="X581" s="7">
        <v>0</v>
      </c>
      <c r="Y581" s="5">
        <v>3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3</v>
      </c>
      <c r="AK581" s="8">
        <v>3</v>
      </c>
      <c r="AL581" s="5">
        <v>3</v>
      </c>
      <c r="AM581" s="5">
        <v>3</v>
      </c>
      <c r="AN581" s="28">
        <v>0.75</v>
      </c>
    </row>
    <row r="582">
      <c r="A582" s="24">
        <v>4966</v>
      </c>
      <c r="B582" s="9" t="s">
        <v>827</v>
      </c>
      <c r="C582" s="9" t="s">
        <v>67</v>
      </c>
      <c r="D582" s="9" t="s">
        <v>105</v>
      </c>
      <c r="E582" s="9" t="s">
        <v>303</v>
      </c>
      <c r="F582" s="11">
        <v>2</v>
      </c>
      <c r="G582" s="10">
        <v>1</v>
      </c>
      <c r="H582" s="12">
        <v>0</v>
      </c>
      <c r="I582" s="12">
        <v>0</v>
      </c>
      <c r="J582" s="10">
        <v>1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2</v>
      </c>
      <c r="V582" s="10">
        <v>1</v>
      </c>
      <c r="W582" s="12">
        <v>0</v>
      </c>
      <c r="X582" s="12">
        <v>0</v>
      </c>
      <c r="Y582" s="10">
        <v>1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0.26</v>
      </c>
    </row>
    <row r="583">
      <c r="A583" s="23">
        <v>4972</v>
      </c>
      <c r="B583" s="4" t="s">
        <v>828</v>
      </c>
      <c r="C583" s="4" t="s">
        <v>67</v>
      </c>
      <c r="D583" s="4" t="s">
        <v>68</v>
      </c>
      <c r="E583" s="4" t="s">
        <v>237</v>
      </c>
      <c r="F583" s="6">
        <v>1</v>
      </c>
      <c r="G583" s="5">
        <v>1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1</v>
      </c>
      <c r="V583" s="5">
        <v>1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30">
        <v>0</v>
      </c>
    </row>
    <row r="584">
      <c r="A584" s="24">
        <v>4975</v>
      </c>
      <c r="B584" s="9" t="s">
        <v>829</v>
      </c>
      <c r="C584" s="9" t="s">
        <v>67</v>
      </c>
      <c r="D584" s="9" t="s">
        <v>84</v>
      </c>
      <c r="E584" s="9" t="s">
        <v>85</v>
      </c>
      <c r="F584" s="11">
        <v>1</v>
      </c>
      <c r="G584" s="12">
        <v>0</v>
      </c>
      <c r="H584" s="12">
        <v>0</v>
      </c>
      <c r="I584" s="10">
        <v>1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1</v>
      </c>
      <c r="V584" s="12">
        <v>0</v>
      </c>
      <c r="W584" s="12">
        <v>0</v>
      </c>
      <c r="X584" s="10">
        <v>1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31">
        <v>0</v>
      </c>
    </row>
    <row r="585">
      <c r="A585" s="23">
        <v>4979</v>
      </c>
      <c r="B585" s="4" t="s">
        <v>830</v>
      </c>
      <c r="C585" s="4" t="s">
        <v>67</v>
      </c>
      <c r="D585" s="4" t="s">
        <v>84</v>
      </c>
      <c r="E585" s="4" t="s">
        <v>85</v>
      </c>
      <c r="F585" s="6">
        <v>1</v>
      </c>
      <c r="G585" s="5">
        <v>1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1</v>
      </c>
      <c r="V585" s="5">
        <v>1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30">
        <v>0</v>
      </c>
    </row>
    <row r="586">
      <c r="A586" s="24">
        <v>4983</v>
      </c>
      <c r="B586" s="9" t="s">
        <v>831</v>
      </c>
      <c r="C586" s="9" t="s">
        <v>67</v>
      </c>
      <c r="D586" s="9" t="s">
        <v>105</v>
      </c>
      <c r="E586" s="9" t="s">
        <v>227</v>
      </c>
      <c r="F586" s="11">
        <v>1</v>
      </c>
      <c r="G586" s="12">
        <v>0</v>
      </c>
      <c r="H586" s="12">
        <v>0</v>
      </c>
      <c r="I586" s="10">
        <v>1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1</v>
      </c>
      <c r="V586" s="12">
        <v>0</v>
      </c>
      <c r="W586" s="12">
        <v>0</v>
      </c>
      <c r="X586" s="10">
        <v>1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29">
        <v>0.25</v>
      </c>
    </row>
    <row r="587">
      <c r="A587" s="23">
        <v>4987</v>
      </c>
      <c r="B587" s="4" t="s">
        <v>832</v>
      </c>
      <c r="C587" s="4" t="s">
        <v>67</v>
      </c>
      <c r="D587" s="4" t="s">
        <v>79</v>
      </c>
      <c r="E587" s="4" t="s">
        <v>80</v>
      </c>
      <c r="F587" s="6">
        <v>2</v>
      </c>
      <c r="G587" s="5">
        <v>1</v>
      </c>
      <c r="H587" s="7">
        <v>0</v>
      </c>
      <c r="I587" s="5">
        <v>1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2</v>
      </c>
      <c r="V587" s="5">
        <v>1</v>
      </c>
      <c r="W587" s="7">
        <v>0</v>
      </c>
      <c r="X587" s="5">
        <v>1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30">
        <v>0</v>
      </c>
    </row>
    <row r="588">
      <c r="A588" s="24">
        <v>4988</v>
      </c>
      <c r="B588" s="9" t="s">
        <v>833</v>
      </c>
      <c r="C588" s="9" t="s">
        <v>67</v>
      </c>
      <c r="D588" s="9" t="s">
        <v>79</v>
      </c>
      <c r="E588" s="9" t="s">
        <v>82</v>
      </c>
      <c r="F588" s="11">
        <v>1</v>
      </c>
      <c r="G588" s="12">
        <v>0</v>
      </c>
      <c r="H588" s="12">
        <v>0</v>
      </c>
      <c r="I588" s="10">
        <v>1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1</v>
      </c>
      <c r="V588" s="12">
        <v>0</v>
      </c>
      <c r="W588" s="12">
        <v>0</v>
      </c>
      <c r="X588" s="10">
        <v>1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29">
        <v>0.26</v>
      </c>
    </row>
    <row r="589">
      <c r="A589" s="23">
        <v>4999</v>
      </c>
      <c r="B589" s="4" t="s">
        <v>834</v>
      </c>
      <c r="C589" s="4" t="s">
        <v>67</v>
      </c>
      <c r="D589" s="4" t="s">
        <v>92</v>
      </c>
      <c r="E589" s="4" t="s">
        <v>153</v>
      </c>
      <c r="F589" s="6">
        <v>1</v>
      </c>
      <c r="G589" s="7">
        <v>0</v>
      </c>
      <c r="H589" s="7">
        <v>0</v>
      </c>
      <c r="I589" s="5">
        <v>1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1</v>
      </c>
      <c r="V589" s="7">
        <v>0</v>
      </c>
      <c r="W589" s="7">
        <v>0</v>
      </c>
      <c r="X589" s="5">
        <v>1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28">
        <v>0.25</v>
      </c>
    </row>
    <row r="590">
      <c r="A590" s="24">
        <v>5007</v>
      </c>
      <c r="B590" s="9" t="s">
        <v>835</v>
      </c>
      <c r="C590" s="9" t="s">
        <v>67</v>
      </c>
      <c r="D590" s="9" t="s">
        <v>84</v>
      </c>
      <c r="E590" s="9" t="s">
        <v>95</v>
      </c>
      <c r="F590" s="11">
        <v>10</v>
      </c>
      <c r="G590" s="12">
        <v>0</v>
      </c>
      <c r="H590" s="12">
        <v>0</v>
      </c>
      <c r="I590" s="12">
        <v>0</v>
      </c>
      <c r="J590" s="10">
        <v>10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9</v>
      </c>
      <c r="V590" s="12">
        <v>0</v>
      </c>
      <c r="W590" s="12">
        <v>0</v>
      </c>
      <c r="X590" s="12">
        <v>0</v>
      </c>
      <c r="Y590" s="10">
        <v>9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4</v>
      </c>
      <c r="AK590" s="13">
        <v>5</v>
      </c>
      <c r="AL590" s="10">
        <v>5</v>
      </c>
      <c r="AM590" s="10">
        <v>6</v>
      </c>
      <c r="AN590" s="29">
        <v>2.34</v>
      </c>
    </row>
    <row r="591">
      <c r="A591" s="23">
        <v>5023</v>
      </c>
      <c r="B591" s="4" t="s">
        <v>836</v>
      </c>
      <c r="C591" s="4" t="s">
        <v>163</v>
      </c>
      <c r="D591" s="4" t="s">
        <v>173</v>
      </c>
      <c r="E591" s="4" t="s">
        <v>179</v>
      </c>
      <c r="F591" s="6">
        <v>5</v>
      </c>
      <c r="G591" s="5">
        <v>2</v>
      </c>
      <c r="H591" s="5">
        <v>1</v>
      </c>
      <c r="I591" s="7">
        <v>0</v>
      </c>
      <c r="J591" s="7">
        <v>0</v>
      </c>
      <c r="K591" s="5">
        <v>2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3</v>
      </c>
      <c r="V591" s="5">
        <v>1</v>
      </c>
      <c r="W591" s="5">
        <v>1</v>
      </c>
      <c r="X591" s="7">
        <v>0</v>
      </c>
      <c r="Y591" s="7">
        <v>0</v>
      </c>
      <c r="Z591" s="5">
        <v>1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1.67</v>
      </c>
      <c r="AL591" s="5">
        <v>2</v>
      </c>
      <c r="AM591" s="5">
        <v>2</v>
      </c>
      <c r="AN591" s="28">
        <v>0.75</v>
      </c>
    </row>
    <row r="592">
      <c r="A592" s="24">
        <v>5028</v>
      </c>
      <c r="B592" s="9" t="s">
        <v>837</v>
      </c>
      <c r="C592" s="9" t="s">
        <v>67</v>
      </c>
      <c r="D592" s="9" t="s">
        <v>111</v>
      </c>
      <c r="E592" s="9" t="s">
        <v>195</v>
      </c>
      <c r="F592" s="11">
        <v>1</v>
      </c>
      <c r="G592" s="12">
        <v>0</v>
      </c>
      <c r="H592" s="12">
        <v>0</v>
      </c>
      <c r="I592" s="12">
        <v>0</v>
      </c>
      <c r="J592" s="10">
        <v>1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1</v>
      </c>
      <c r="V592" s="12">
        <v>0</v>
      </c>
      <c r="W592" s="12">
        <v>0</v>
      </c>
      <c r="X592" s="12">
        <v>0</v>
      </c>
      <c r="Y592" s="10">
        <v>1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31">
        <v>0</v>
      </c>
    </row>
    <row r="593">
      <c r="A593" s="23">
        <v>5029</v>
      </c>
      <c r="B593" s="4" t="s">
        <v>838</v>
      </c>
      <c r="C593" s="4" t="s">
        <v>67</v>
      </c>
      <c r="D593" s="4" t="s">
        <v>100</v>
      </c>
      <c r="E593" s="4" t="s">
        <v>127</v>
      </c>
      <c r="F593" s="6">
        <v>1</v>
      </c>
      <c r="G593" s="5">
        <v>1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1</v>
      </c>
      <c r="V593" s="5">
        <v>1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30">
        <v>0</v>
      </c>
    </row>
    <row r="594">
      <c r="A594" s="24">
        <v>5032</v>
      </c>
      <c r="B594" s="9" t="s">
        <v>839</v>
      </c>
      <c r="C594" s="9" t="s">
        <v>67</v>
      </c>
      <c r="D594" s="9" t="s">
        <v>73</v>
      </c>
      <c r="E594" s="9" t="s">
        <v>393</v>
      </c>
      <c r="F594" s="11">
        <v>5</v>
      </c>
      <c r="G594" s="10">
        <v>2</v>
      </c>
      <c r="H594" s="12">
        <v>0</v>
      </c>
      <c r="I594" s="10">
        <v>2</v>
      </c>
      <c r="J594" s="10">
        <v>1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4</v>
      </c>
      <c r="V594" s="10">
        <v>2</v>
      </c>
      <c r="W594" s="12">
        <v>0</v>
      </c>
      <c r="X594" s="10">
        <v>1</v>
      </c>
      <c r="Y594" s="10">
        <v>1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1.25</v>
      </c>
      <c r="AL594" s="10">
        <v>1</v>
      </c>
      <c r="AM594" s="10">
        <v>2</v>
      </c>
      <c r="AN594" s="29">
        <v>0.25</v>
      </c>
    </row>
    <row r="595">
      <c r="A595" s="23">
        <v>5045</v>
      </c>
      <c r="B595" s="4" t="s">
        <v>840</v>
      </c>
      <c r="C595" s="4" t="s">
        <v>67</v>
      </c>
      <c r="D595" s="4" t="s">
        <v>142</v>
      </c>
      <c r="E595" s="4" t="s">
        <v>520</v>
      </c>
      <c r="F595" s="6">
        <v>2</v>
      </c>
      <c r="G595" s="5">
        <v>2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1</v>
      </c>
      <c r="V595" s="5">
        <v>1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2</v>
      </c>
      <c r="AK595" s="8">
        <v>2</v>
      </c>
      <c r="AL595" s="5">
        <v>2</v>
      </c>
      <c r="AM595" s="5">
        <v>2</v>
      </c>
      <c r="AN595" s="30">
        <v>0</v>
      </c>
    </row>
    <row r="596">
      <c r="A596" s="24">
        <v>5046</v>
      </c>
      <c r="B596" s="9" t="s">
        <v>841</v>
      </c>
      <c r="C596" s="9" t="s">
        <v>67</v>
      </c>
      <c r="D596" s="9" t="s">
        <v>105</v>
      </c>
      <c r="E596" s="9" t="s">
        <v>106</v>
      </c>
      <c r="F596" s="11">
        <v>2</v>
      </c>
      <c r="G596" s="12">
        <v>0</v>
      </c>
      <c r="H596" s="12">
        <v>0</v>
      </c>
      <c r="I596" s="10">
        <v>2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2</v>
      </c>
      <c r="V596" s="12">
        <v>0</v>
      </c>
      <c r="W596" s="12">
        <v>0</v>
      </c>
      <c r="X596" s="10">
        <v>2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2</v>
      </c>
      <c r="AK596" s="13">
        <v>2</v>
      </c>
      <c r="AL596" s="10">
        <v>2</v>
      </c>
      <c r="AM596" s="10">
        <v>2</v>
      </c>
      <c r="AN596" s="29">
        <v>0.44</v>
      </c>
    </row>
    <row r="597">
      <c r="A597" s="23">
        <v>5049</v>
      </c>
      <c r="B597" s="4" t="s">
        <v>842</v>
      </c>
      <c r="C597" s="4" t="s">
        <v>67</v>
      </c>
      <c r="D597" s="4" t="s">
        <v>105</v>
      </c>
      <c r="E597" s="4" t="s">
        <v>227</v>
      </c>
      <c r="F597" s="6">
        <v>4</v>
      </c>
      <c r="G597" s="5">
        <v>3</v>
      </c>
      <c r="H597" s="7">
        <v>0</v>
      </c>
      <c r="I597" s="5">
        <v>1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3</v>
      </c>
      <c r="V597" s="5">
        <v>2</v>
      </c>
      <c r="W597" s="7">
        <v>0</v>
      </c>
      <c r="X597" s="5">
        <v>1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2</v>
      </c>
      <c r="AL597" s="5">
        <v>2</v>
      </c>
      <c r="AM597" s="5">
        <v>3</v>
      </c>
      <c r="AN597" s="28">
        <v>0.22</v>
      </c>
    </row>
    <row r="598">
      <c r="A598" s="24">
        <v>5051</v>
      </c>
      <c r="B598" s="9" t="s">
        <v>843</v>
      </c>
      <c r="C598" s="9" t="s">
        <v>67</v>
      </c>
      <c r="D598" s="9" t="s">
        <v>76</v>
      </c>
      <c r="E598" s="9" t="s">
        <v>156</v>
      </c>
      <c r="F598" s="11">
        <v>1</v>
      </c>
      <c r="G598" s="12">
        <v>0</v>
      </c>
      <c r="H598" s="12">
        <v>0</v>
      </c>
      <c r="I598" s="12">
        <v>0</v>
      </c>
      <c r="J598" s="10">
        <v>1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1</v>
      </c>
      <c r="V598" s="12">
        <v>0</v>
      </c>
      <c r="W598" s="12">
        <v>0</v>
      </c>
      <c r="X598" s="12">
        <v>0</v>
      </c>
      <c r="Y598" s="10">
        <v>1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29">
        <v>0.25</v>
      </c>
    </row>
    <row r="599">
      <c r="A599" s="23">
        <v>5058</v>
      </c>
      <c r="B599" s="4" t="s">
        <v>844</v>
      </c>
      <c r="C599" s="4" t="s">
        <v>67</v>
      </c>
      <c r="D599" s="4" t="s">
        <v>79</v>
      </c>
      <c r="E599" s="4" t="s">
        <v>80</v>
      </c>
      <c r="F599" s="6">
        <v>1</v>
      </c>
      <c r="G599" s="7">
        <v>0</v>
      </c>
      <c r="H599" s="7">
        <v>0</v>
      </c>
      <c r="I599" s="7">
        <v>0</v>
      </c>
      <c r="J599" s="7">
        <v>0</v>
      </c>
      <c r="K599" s="7">
        <v>0</v>
      </c>
      <c r="L599" s="5">
        <v>1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1</v>
      </c>
      <c r="V599" s="7">
        <v>0</v>
      </c>
      <c r="W599" s="7">
        <v>0</v>
      </c>
      <c r="X599" s="7">
        <v>0</v>
      </c>
      <c r="Y599" s="7">
        <v>0</v>
      </c>
      <c r="Z599" s="7">
        <v>0</v>
      </c>
      <c r="AA599" s="5">
        <v>1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30">
        <v>0</v>
      </c>
    </row>
    <row r="600">
      <c r="A600" s="24">
        <v>5059</v>
      </c>
      <c r="B600" s="9" t="s">
        <v>845</v>
      </c>
      <c r="C600" s="9" t="s">
        <v>67</v>
      </c>
      <c r="D600" s="9" t="s">
        <v>100</v>
      </c>
      <c r="E600" s="9" t="s">
        <v>624</v>
      </c>
      <c r="F600" s="11">
        <v>1</v>
      </c>
      <c r="G600" s="12">
        <v>0</v>
      </c>
      <c r="H600" s="12">
        <v>0</v>
      </c>
      <c r="I600" s="12">
        <v>0</v>
      </c>
      <c r="J600" s="10">
        <v>1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1</v>
      </c>
      <c r="V600" s="12">
        <v>0</v>
      </c>
      <c r="W600" s="12">
        <v>0</v>
      </c>
      <c r="X600" s="12">
        <v>0</v>
      </c>
      <c r="Y600" s="10">
        <v>1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29">
        <v>0.25</v>
      </c>
    </row>
    <row r="601">
      <c r="A601" s="23">
        <v>5063</v>
      </c>
      <c r="B601" s="4" t="s">
        <v>846</v>
      </c>
      <c r="C601" s="4" t="s">
        <v>67</v>
      </c>
      <c r="D601" s="4" t="s">
        <v>89</v>
      </c>
      <c r="E601" s="4" t="s">
        <v>90</v>
      </c>
      <c r="F601" s="6">
        <v>2</v>
      </c>
      <c r="G601" s="5">
        <v>2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2</v>
      </c>
      <c r="V601" s="5">
        <v>2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2</v>
      </c>
      <c r="AK601" s="8">
        <v>2</v>
      </c>
      <c r="AL601" s="5">
        <v>2</v>
      </c>
      <c r="AM601" s="5">
        <v>2</v>
      </c>
      <c r="AN601" s="30">
        <v>0</v>
      </c>
    </row>
    <row r="602">
      <c r="A602" s="24">
        <v>5064</v>
      </c>
      <c r="B602" s="9" t="s">
        <v>847</v>
      </c>
      <c r="C602" s="9" t="s">
        <v>67</v>
      </c>
      <c r="D602" s="9" t="s">
        <v>76</v>
      </c>
      <c r="E602" s="9" t="s">
        <v>156</v>
      </c>
      <c r="F602" s="11">
        <v>2</v>
      </c>
      <c r="G602" s="10">
        <v>1</v>
      </c>
      <c r="H602" s="12">
        <v>0</v>
      </c>
      <c r="I602" s="12">
        <v>0</v>
      </c>
      <c r="J602" s="10">
        <v>1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2</v>
      </c>
      <c r="V602" s="10">
        <v>1</v>
      </c>
      <c r="W602" s="12">
        <v>0</v>
      </c>
      <c r="X602" s="12">
        <v>0</v>
      </c>
      <c r="Y602" s="10">
        <v>1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29">
        <v>0.25</v>
      </c>
    </row>
    <row r="603">
      <c r="A603" s="23">
        <v>5065</v>
      </c>
      <c r="B603" s="4" t="s">
        <v>848</v>
      </c>
      <c r="C603" s="4" t="s">
        <v>67</v>
      </c>
      <c r="D603" s="4" t="s">
        <v>84</v>
      </c>
      <c r="E603" s="4" t="s">
        <v>404</v>
      </c>
      <c r="F603" s="6">
        <v>5</v>
      </c>
      <c r="G603" s="5">
        <v>4</v>
      </c>
      <c r="H603" s="5">
        <v>1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5</v>
      </c>
      <c r="V603" s="5">
        <v>4</v>
      </c>
      <c r="W603" s="5">
        <v>1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1.67</v>
      </c>
      <c r="AL603" s="5">
        <v>1</v>
      </c>
      <c r="AM603" s="5">
        <v>3</v>
      </c>
      <c r="AN603" s="28">
        <v>0.25</v>
      </c>
    </row>
    <row r="604">
      <c r="A604" s="24">
        <v>5085</v>
      </c>
      <c r="B604" s="9" t="s">
        <v>849</v>
      </c>
      <c r="C604" s="9" t="s">
        <v>67</v>
      </c>
      <c r="D604" s="9" t="s">
        <v>92</v>
      </c>
      <c r="E604" s="9" t="s">
        <v>153</v>
      </c>
      <c r="F604" s="11">
        <v>1</v>
      </c>
      <c r="G604" s="10">
        <v>1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1</v>
      </c>
      <c r="V604" s="10">
        <v>1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31">
        <v>0</v>
      </c>
    </row>
    <row r="605">
      <c r="A605" s="23">
        <v>5102</v>
      </c>
      <c r="B605" s="4" t="s">
        <v>850</v>
      </c>
      <c r="C605" s="4" t="s">
        <v>67</v>
      </c>
      <c r="D605" s="4" t="s">
        <v>100</v>
      </c>
      <c r="E605" s="4" t="s">
        <v>127</v>
      </c>
      <c r="F605" s="6">
        <v>2</v>
      </c>
      <c r="G605" s="5">
        <v>2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2</v>
      </c>
      <c r="V605" s="5">
        <v>2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2</v>
      </c>
      <c r="AK605" s="8">
        <v>2</v>
      </c>
      <c r="AL605" s="5">
        <v>2</v>
      </c>
      <c r="AM605" s="5">
        <v>2</v>
      </c>
      <c r="AN605" s="30">
        <v>0</v>
      </c>
    </row>
    <row r="606">
      <c r="A606" s="24">
        <v>5103</v>
      </c>
      <c r="B606" s="9" t="s">
        <v>851</v>
      </c>
      <c r="C606" s="9" t="s">
        <v>136</v>
      </c>
      <c r="D606" s="9" t="s">
        <v>385</v>
      </c>
      <c r="E606" s="9" t="s">
        <v>852</v>
      </c>
      <c r="F606" s="11">
        <v>1</v>
      </c>
      <c r="G606" s="12">
        <v>0</v>
      </c>
      <c r="H606" s="12">
        <v>0</v>
      </c>
      <c r="I606" s="10">
        <v>1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1</v>
      </c>
      <c r="V606" s="12">
        <v>0</v>
      </c>
      <c r="W606" s="12">
        <v>0</v>
      </c>
      <c r="X606" s="10">
        <v>1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31">
        <v>0</v>
      </c>
    </row>
    <row r="607">
      <c r="A607" s="23">
        <v>5148</v>
      </c>
      <c r="B607" s="4" t="s">
        <v>853</v>
      </c>
      <c r="C607" s="4" t="s">
        <v>67</v>
      </c>
      <c r="D607" s="4" t="s">
        <v>84</v>
      </c>
      <c r="E607" s="4" t="s">
        <v>145</v>
      </c>
      <c r="F607" s="6">
        <v>1</v>
      </c>
      <c r="G607" s="7">
        <v>0</v>
      </c>
      <c r="H607" s="7">
        <v>0</v>
      </c>
      <c r="I607" s="7">
        <v>0</v>
      </c>
      <c r="J607" s="5">
        <v>1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1</v>
      </c>
      <c r="V607" s="7">
        <v>0</v>
      </c>
      <c r="W607" s="7">
        <v>0</v>
      </c>
      <c r="X607" s="7">
        <v>0</v>
      </c>
      <c r="Y607" s="5">
        <v>1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28">
        <v>0.26</v>
      </c>
    </row>
    <row r="608">
      <c r="A608" s="24">
        <v>5149</v>
      </c>
      <c r="B608" s="9" t="s">
        <v>854</v>
      </c>
      <c r="C608" s="9" t="s">
        <v>67</v>
      </c>
      <c r="D608" s="9" t="s">
        <v>84</v>
      </c>
      <c r="E608" s="9" t="s">
        <v>145</v>
      </c>
      <c r="F608" s="11">
        <v>68</v>
      </c>
      <c r="G608" s="12">
        <v>0</v>
      </c>
      <c r="H608" s="12">
        <v>0</v>
      </c>
      <c r="I608" s="12">
        <v>0</v>
      </c>
      <c r="J608" s="10">
        <v>68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45</v>
      </c>
      <c r="V608" s="12">
        <v>0</v>
      </c>
      <c r="W608" s="12">
        <v>0</v>
      </c>
      <c r="X608" s="12">
        <v>0</v>
      </c>
      <c r="Y608" s="10">
        <v>45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34</v>
      </c>
      <c r="AL608" s="10">
        <v>34</v>
      </c>
      <c r="AM608" s="10">
        <v>67</v>
      </c>
      <c r="AN608" s="29">
        <v>11</v>
      </c>
    </row>
    <row r="609">
      <c r="A609" s="23">
        <v>5150</v>
      </c>
      <c r="B609" s="4" t="s">
        <v>855</v>
      </c>
      <c r="C609" s="4" t="s">
        <v>67</v>
      </c>
      <c r="D609" s="4" t="s">
        <v>84</v>
      </c>
      <c r="E609" s="4" t="s">
        <v>145</v>
      </c>
      <c r="F609" s="6">
        <v>1</v>
      </c>
      <c r="G609" s="5">
        <v>1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1</v>
      </c>
      <c r="V609" s="5">
        <v>1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30">
        <v>0</v>
      </c>
    </row>
    <row r="610">
      <c r="A610" s="24">
        <v>5171</v>
      </c>
      <c r="B610" s="9" t="s">
        <v>856</v>
      </c>
      <c r="C610" s="9" t="s">
        <v>67</v>
      </c>
      <c r="D610" s="9" t="s">
        <v>79</v>
      </c>
      <c r="E610" s="9" t="s">
        <v>293</v>
      </c>
      <c r="F610" s="11">
        <v>1</v>
      </c>
      <c r="G610" s="12">
        <v>0</v>
      </c>
      <c r="H610" s="12">
        <v>0</v>
      </c>
      <c r="I610" s="10">
        <v>1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1</v>
      </c>
      <c r="V610" s="12">
        <v>0</v>
      </c>
      <c r="W610" s="12">
        <v>0</v>
      </c>
      <c r="X610" s="10">
        <v>1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31">
        <v>0</v>
      </c>
    </row>
    <row r="611">
      <c r="A611" s="23">
        <v>5193</v>
      </c>
      <c r="B611" s="4" t="s">
        <v>857</v>
      </c>
      <c r="C611" s="4" t="s">
        <v>67</v>
      </c>
      <c r="D611" s="4" t="s">
        <v>84</v>
      </c>
      <c r="E611" s="4" t="s">
        <v>85</v>
      </c>
      <c r="F611" s="6">
        <v>3</v>
      </c>
      <c r="G611" s="7">
        <v>0</v>
      </c>
      <c r="H611" s="7">
        <v>0</v>
      </c>
      <c r="I611" s="7">
        <v>0</v>
      </c>
      <c r="J611" s="5">
        <v>3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3</v>
      </c>
      <c r="V611" s="7">
        <v>0</v>
      </c>
      <c r="W611" s="7">
        <v>0</v>
      </c>
      <c r="X611" s="7">
        <v>0</v>
      </c>
      <c r="Y611" s="5">
        <v>3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0.75</v>
      </c>
    </row>
    <row r="612">
      <c r="A612" s="24">
        <v>5200</v>
      </c>
      <c r="B612" s="9" t="s">
        <v>858</v>
      </c>
      <c r="C612" s="9" t="s">
        <v>67</v>
      </c>
      <c r="D612" s="9" t="s">
        <v>79</v>
      </c>
      <c r="E612" s="9" t="s">
        <v>80</v>
      </c>
      <c r="F612" s="11">
        <v>5</v>
      </c>
      <c r="G612" s="10">
        <v>3</v>
      </c>
      <c r="H612" s="12">
        <v>0</v>
      </c>
      <c r="I612" s="10">
        <v>1</v>
      </c>
      <c r="J612" s="10">
        <v>1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4</v>
      </c>
      <c r="V612" s="10">
        <v>2</v>
      </c>
      <c r="W612" s="12">
        <v>0</v>
      </c>
      <c r="X612" s="10">
        <v>1</v>
      </c>
      <c r="Y612" s="10">
        <v>1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1.67</v>
      </c>
      <c r="AL612" s="10">
        <v>1</v>
      </c>
      <c r="AM612" s="10">
        <v>3</v>
      </c>
      <c r="AN612" s="29">
        <v>0.25</v>
      </c>
    </row>
    <row r="613">
      <c r="A613" s="23">
        <v>5212</v>
      </c>
      <c r="B613" s="4" t="s">
        <v>859</v>
      </c>
      <c r="C613" s="4" t="s">
        <v>67</v>
      </c>
      <c r="D613" s="4" t="s">
        <v>76</v>
      </c>
      <c r="E613" s="4" t="s">
        <v>120</v>
      </c>
      <c r="F613" s="6">
        <v>1</v>
      </c>
      <c r="G613" s="7">
        <v>0</v>
      </c>
      <c r="H613" s="7">
        <v>0</v>
      </c>
      <c r="I613" s="5">
        <v>1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1</v>
      </c>
      <c r="V613" s="7">
        <v>0</v>
      </c>
      <c r="W613" s="7">
        <v>0</v>
      </c>
      <c r="X613" s="5">
        <v>1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0.36</v>
      </c>
    </row>
    <row r="614">
      <c r="A614" s="24">
        <v>5221</v>
      </c>
      <c r="B614" s="9" t="s">
        <v>860</v>
      </c>
      <c r="C614" s="9" t="s">
        <v>163</v>
      </c>
      <c r="D614" s="9" t="s">
        <v>861</v>
      </c>
      <c r="E614" s="9" t="s">
        <v>862</v>
      </c>
      <c r="F614" s="11">
        <v>5</v>
      </c>
      <c r="G614" s="12">
        <v>0</v>
      </c>
      <c r="H614" s="10">
        <v>4</v>
      </c>
      <c r="I614" s="12">
        <v>0</v>
      </c>
      <c r="J614" s="12">
        <v>0</v>
      </c>
      <c r="K614" s="10">
        <v>1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5</v>
      </c>
      <c r="V614" s="12">
        <v>0</v>
      </c>
      <c r="W614" s="10">
        <v>4</v>
      </c>
      <c r="X614" s="12">
        <v>0</v>
      </c>
      <c r="Y614" s="12">
        <v>0</v>
      </c>
      <c r="Z614" s="10">
        <v>1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2.5</v>
      </c>
      <c r="AL614" s="10">
        <v>2</v>
      </c>
      <c r="AM614" s="10">
        <v>4</v>
      </c>
      <c r="AN614" s="29">
        <v>0.96</v>
      </c>
    </row>
    <row r="615">
      <c r="A615" s="23">
        <v>5223</v>
      </c>
      <c r="B615" s="4" t="s">
        <v>863</v>
      </c>
      <c r="C615" s="4" t="s">
        <v>67</v>
      </c>
      <c r="D615" s="4" t="s">
        <v>105</v>
      </c>
      <c r="E615" s="4" t="s">
        <v>193</v>
      </c>
      <c r="F615" s="6">
        <v>3</v>
      </c>
      <c r="G615" s="5">
        <v>2</v>
      </c>
      <c r="H615" s="7">
        <v>0</v>
      </c>
      <c r="I615" s="7">
        <v>0</v>
      </c>
      <c r="J615" s="5">
        <v>1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3</v>
      </c>
      <c r="V615" s="5">
        <v>2</v>
      </c>
      <c r="W615" s="7">
        <v>0</v>
      </c>
      <c r="X615" s="7">
        <v>0</v>
      </c>
      <c r="Y615" s="5">
        <v>1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1.5</v>
      </c>
      <c r="AL615" s="5">
        <v>1</v>
      </c>
      <c r="AM615" s="5">
        <v>2</v>
      </c>
      <c r="AN615" s="28">
        <v>0.25</v>
      </c>
    </row>
    <row r="616">
      <c r="A616" s="24">
        <v>5249</v>
      </c>
      <c r="B616" s="9" t="s">
        <v>864</v>
      </c>
      <c r="C616" s="9" t="s">
        <v>67</v>
      </c>
      <c r="D616" s="9" t="s">
        <v>84</v>
      </c>
      <c r="E616" s="9" t="s">
        <v>85</v>
      </c>
      <c r="F616" s="11">
        <v>4</v>
      </c>
      <c r="G616" s="10">
        <v>2</v>
      </c>
      <c r="H616" s="12">
        <v>0</v>
      </c>
      <c r="I616" s="10">
        <v>2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4</v>
      </c>
      <c r="V616" s="10">
        <v>2</v>
      </c>
      <c r="W616" s="12">
        <v>0</v>
      </c>
      <c r="X616" s="10">
        <v>2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1.33</v>
      </c>
      <c r="AL616" s="10">
        <v>1</v>
      </c>
      <c r="AM616" s="10">
        <v>2</v>
      </c>
      <c r="AN616" s="29">
        <v>0.33</v>
      </c>
    </row>
    <row r="617">
      <c r="A617" s="23">
        <v>5261</v>
      </c>
      <c r="B617" s="4" t="s">
        <v>865</v>
      </c>
      <c r="C617" s="4" t="s">
        <v>67</v>
      </c>
      <c r="D617" s="4" t="s">
        <v>68</v>
      </c>
      <c r="E617" s="4" t="s">
        <v>244</v>
      </c>
      <c r="F617" s="6">
        <v>2</v>
      </c>
      <c r="G617" s="5">
        <v>2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1</v>
      </c>
      <c r="V617" s="5">
        <v>1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2</v>
      </c>
      <c r="AK617" s="8">
        <v>2</v>
      </c>
      <c r="AL617" s="5">
        <v>2</v>
      </c>
      <c r="AM617" s="5">
        <v>2</v>
      </c>
      <c r="AN617" s="28">
        <v>0.37</v>
      </c>
    </row>
    <row r="618">
      <c r="A618" s="24">
        <v>5262</v>
      </c>
      <c r="B618" s="9" t="s">
        <v>866</v>
      </c>
      <c r="C618" s="9" t="s">
        <v>67</v>
      </c>
      <c r="D618" s="9" t="s">
        <v>84</v>
      </c>
      <c r="E618" s="9" t="s">
        <v>85</v>
      </c>
      <c r="F618" s="11">
        <v>1</v>
      </c>
      <c r="G618" s="12">
        <v>0</v>
      </c>
      <c r="H618" s="12">
        <v>0</v>
      </c>
      <c r="I618" s="12">
        <v>0</v>
      </c>
      <c r="J618" s="10">
        <v>1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1</v>
      </c>
      <c r="V618" s="12">
        <v>0</v>
      </c>
      <c r="W618" s="12">
        <v>0</v>
      </c>
      <c r="X618" s="12">
        <v>0</v>
      </c>
      <c r="Y618" s="10">
        <v>1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29">
        <v>0.25</v>
      </c>
    </row>
    <row r="619">
      <c r="A619" s="23">
        <v>5278</v>
      </c>
      <c r="B619" s="4" t="s">
        <v>867</v>
      </c>
      <c r="C619" s="4" t="s">
        <v>67</v>
      </c>
      <c r="D619" s="4" t="s">
        <v>84</v>
      </c>
      <c r="E619" s="4" t="s">
        <v>85</v>
      </c>
      <c r="F619" s="6">
        <v>3</v>
      </c>
      <c r="G619" s="5">
        <v>1</v>
      </c>
      <c r="H619" s="7">
        <v>0</v>
      </c>
      <c r="I619" s="5">
        <v>1</v>
      </c>
      <c r="J619" s="5">
        <v>1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3</v>
      </c>
      <c r="V619" s="5">
        <v>1</v>
      </c>
      <c r="W619" s="7">
        <v>0</v>
      </c>
      <c r="X619" s="5">
        <v>1</v>
      </c>
      <c r="Y619" s="5">
        <v>1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28">
        <v>0.5</v>
      </c>
    </row>
    <row r="620">
      <c r="A620" s="24">
        <v>5301</v>
      </c>
      <c r="B620" s="9" t="s">
        <v>868</v>
      </c>
      <c r="C620" s="9" t="s">
        <v>67</v>
      </c>
      <c r="D620" s="9" t="s">
        <v>100</v>
      </c>
      <c r="E620" s="9" t="s">
        <v>869</v>
      </c>
      <c r="F620" s="11">
        <v>8</v>
      </c>
      <c r="G620" s="10">
        <v>6</v>
      </c>
      <c r="H620" s="10">
        <v>1</v>
      </c>
      <c r="I620" s="10">
        <v>1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8</v>
      </c>
      <c r="V620" s="10">
        <v>6</v>
      </c>
      <c r="W620" s="10">
        <v>1</v>
      </c>
      <c r="X620" s="10">
        <v>1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2.67</v>
      </c>
      <c r="AL620" s="10">
        <v>1</v>
      </c>
      <c r="AM620" s="10">
        <v>6</v>
      </c>
      <c r="AN620" s="31">
        <v>0</v>
      </c>
    </row>
    <row r="621">
      <c r="A621" s="23">
        <v>5308</v>
      </c>
      <c r="B621" s="4" t="s">
        <v>870</v>
      </c>
      <c r="C621" s="4" t="s">
        <v>136</v>
      </c>
      <c r="D621" s="4" t="s">
        <v>223</v>
      </c>
      <c r="E621" s="4" t="s">
        <v>224</v>
      </c>
      <c r="F621" s="6">
        <v>1</v>
      </c>
      <c r="G621" s="7">
        <v>0</v>
      </c>
      <c r="H621" s="5">
        <v>1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1</v>
      </c>
      <c r="V621" s="7">
        <v>0</v>
      </c>
      <c r="W621" s="5">
        <v>1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30">
        <v>0</v>
      </c>
    </row>
    <row r="622">
      <c r="A622" s="24">
        <v>5328</v>
      </c>
      <c r="B622" s="9" t="s">
        <v>871</v>
      </c>
      <c r="C622" s="9" t="s">
        <v>67</v>
      </c>
      <c r="D622" s="9" t="s">
        <v>79</v>
      </c>
      <c r="E622" s="9" t="s">
        <v>80</v>
      </c>
      <c r="F622" s="11">
        <v>2</v>
      </c>
      <c r="G622" s="12">
        <v>0</v>
      </c>
      <c r="H622" s="12">
        <v>0</v>
      </c>
      <c r="I622" s="10">
        <v>1</v>
      </c>
      <c r="J622" s="10">
        <v>1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2</v>
      </c>
      <c r="V622" s="12">
        <v>0</v>
      </c>
      <c r="W622" s="12">
        <v>0</v>
      </c>
      <c r="X622" s="10">
        <v>1</v>
      </c>
      <c r="Y622" s="10">
        <v>1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0.25</v>
      </c>
    </row>
    <row r="623">
      <c r="A623" s="23">
        <v>5344</v>
      </c>
      <c r="B623" s="4" t="s">
        <v>872</v>
      </c>
      <c r="C623" s="4" t="s">
        <v>67</v>
      </c>
      <c r="D623" s="4" t="s">
        <v>111</v>
      </c>
      <c r="E623" s="4" t="s">
        <v>112</v>
      </c>
      <c r="F623" s="6">
        <v>1</v>
      </c>
      <c r="G623" s="5">
        <v>1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1</v>
      </c>
      <c r="V623" s="5">
        <v>1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30">
        <v>0</v>
      </c>
    </row>
    <row r="624">
      <c r="A624" s="24">
        <v>5362</v>
      </c>
      <c r="B624" s="9" t="s">
        <v>873</v>
      </c>
      <c r="C624" s="9" t="s">
        <v>67</v>
      </c>
      <c r="D624" s="9" t="s">
        <v>68</v>
      </c>
      <c r="E624" s="9" t="s">
        <v>71</v>
      </c>
      <c r="F624" s="11">
        <v>1</v>
      </c>
      <c r="G624" s="12">
        <v>0</v>
      </c>
      <c r="H624" s="12">
        <v>0</v>
      </c>
      <c r="I624" s="10">
        <v>1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1</v>
      </c>
      <c r="V624" s="12">
        <v>0</v>
      </c>
      <c r="W624" s="12">
        <v>0</v>
      </c>
      <c r="X624" s="10">
        <v>1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29">
        <v>0.25</v>
      </c>
    </row>
    <row r="625">
      <c r="A625" s="23">
        <v>5367</v>
      </c>
      <c r="B625" s="4" t="s">
        <v>874</v>
      </c>
      <c r="C625" s="4" t="s">
        <v>67</v>
      </c>
      <c r="D625" s="4" t="s">
        <v>111</v>
      </c>
      <c r="E625" s="4" t="s">
        <v>195</v>
      </c>
      <c r="F625" s="6">
        <v>1</v>
      </c>
      <c r="G625" s="5">
        <v>1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1</v>
      </c>
      <c r="V625" s="5">
        <v>1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28">
        <v>0.25</v>
      </c>
    </row>
    <row r="626">
      <c r="A626" s="24">
        <v>5371</v>
      </c>
      <c r="B626" s="9" t="s">
        <v>875</v>
      </c>
      <c r="C626" s="9" t="s">
        <v>67</v>
      </c>
      <c r="D626" s="9" t="s">
        <v>111</v>
      </c>
      <c r="E626" s="9" t="s">
        <v>112</v>
      </c>
      <c r="F626" s="11">
        <v>3</v>
      </c>
      <c r="G626" s="10">
        <v>1</v>
      </c>
      <c r="H626" s="10">
        <v>2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3</v>
      </c>
      <c r="V626" s="10">
        <v>1</v>
      </c>
      <c r="W626" s="10">
        <v>2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1.5</v>
      </c>
      <c r="AL626" s="10">
        <v>1</v>
      </c>
      <c r="AM626" s="10">
        <v>2</v>
      </c>
      <c r="AN626" s="29">
        <v>0.44</v>
      </c>
    </row>
    <row r="627">
      <c r="A627" s="23">
        <v>5379</v>
      </c>
      <c r="B627" s="4" t="s">
        <v>876</v>
      </c>
      <c r="C627" s="4" t="s">
        <v>67</v>
      </c>
      <c r="D627" s="4" t="s">
        <v>68</v>
      </c>
      <c r="E627" s="4" t="s">
        <v>71</v>
      </c>
      <c r="F627" s="6">
        <v>1</v>
      </c>
      <c r="G627" s="7">
        <v>0</v>
      </c>
      <c r="H627" s="7">
        <v>0</v>
      </c>
      <c r="I627" s="7">
        <v>0</v>
      </c>
      <c r="J627" s="5">
        <v>1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1</v>
      </c>
      <c r="V627" s="7">
        <v>0</v>
      </c>
      <c r="W627" s="7">
        <v>0</v>
      </c>
      <c r="X627" s="7">
        <v>0</v>
      </c>
      <c r="Y627" s="5">
        <v>1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28">
        <v>0.25</v>
      </c>
    </row>
    <row r="628">
      <c r="A628" s="24">
        <v>5382</v>
      </c>
      <c r="B628" s="9" t="s">
        <v>877</v>
      </c>
      <c r="C628" s="9" t="s">
        <v>67</v>
      </c>
      <c r="D628" s="9" t="s">
        <v>76</v>
      </c>
      <c r="E628" s="9" t="s">
        <v>120</v>
      </c>
      <c r="F628" s="11">
        <v>4</v>
      </c>
      <c r="G628" s="10">
        <v>3</v>
      </c>
      <c r="H628" s="12">
        <v>0</v>
      </c>
      <c r="I628" s="10">
        <v>1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4</v>
      </c>
      <c r="V628" s="10">
        <v>3</v>
      </c>
      <c r="W628" s="12">
        <v>0</v>
      </c>
      <c r="X628" s="10">
        <v>1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2</v>
      </c>
      <c r="AL628" s="10">
        <v>2</v>
      </c>
      <c r="AM628" s="10">
        <v>3</v>
      </c>
      <c r="AN628" s="31">
        <v>0</v>
      </c>
    </row>
    <row r="629">
      <c r="A629" s="23">
        <v>5402</v>
      </c>
      <c r="B629" s="4" t="s">
        <v>878</v>
      </c>
      <c r="C629" s="4" t="s">
        <v>67</v>
      </c>
      <c r="D629" s="4" t="s">
        <v>105</v>
      </c>
      <c r="E629" s="4" t="s">
        <v>106</v>
      </c>
      <c r="F629" s="6">
        <v>1</v>
      </c>
      <c r="G629" s="7">
        <v>0</v>
      </c>
      <c r="H629" s="7">
        <v>0</v>
      </c>
      <c r="I629" s="5">
        <v>1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1</v>
      </c>
      <c r="V629" s="7">
        <v>0</v>
      </c>
      <c r="W629" s="7">
        <v>0</v>
      </c>
      <c r="X629" s="5">
        <v>1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0.25</v>
      </c>
    </row>
    <row r="630">
      <c r="A630" s="24">
        <v>5438</v>
      </c>
      <c r="B630" s="9" t="s">
        <v>879</v>
      </c>
      <c r="C630" s="9" t="s">
        <v>67</v>
      </c>
      <c r="D630" s="9" t="s">
        <v>76</v>
      </c>
      <c r="E630" s="9" t="s">
        <v>262</v>
      </c>
      <c r="F630" s="11">
        <v>1</v>
      </c>
      <c r="G630" s="12">
        <v>0</v>
      </c>
      <c r="H630" s="12">
        <v>0</v>
      </c>
      <c r="I630" s="12">
        <v>0</v>
      </c>
      <c r="J630" s="10">
        <v>1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1</v>
      </c>
      <c r="V630" s="12">
        <v>0</v>
      </c>
      <c r="W630" s="12">
        <v>0</v>
      </c>
      <c r="X630" s="12">
        <v>0</v>
      </c>
      <c r="Y630" s="10">
        <v>1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29">
        <v>0.22</v>
      </c>
    </row>
    <row r="631">
      <c r="A631" s="23">
        <v>5446</v>
      </c>
      <c r="B631" s="4" t="s">
        <v>880</v>
      </c>
      <c r="C631" s="4" t="s">
        <v>67</v>
      </c>
      <c r="D631" s="4" t="s">
        <v>111</v>
      </c>
      <c r="E631" s="4" t="s">
        <v>125</v>
      </c>
      <c r="F631" s="6">
        <v>3</v>
      </c>
      <c r="G631" s="7">
        <v>0</v>
      </c>
      <c r="H631" s="7">
        <v>0</v>
      </c>
      <c r="I631" s="7">
        <v>0</v>
      </c>
      <c r="J631" s="5">
        <v>3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3</v>
      </c>
      <c r="V631" s="7">
        <v>0</v>
      </c>
      <c r="W631" s="7">
        <v>0</v>
      </c>
      <c r="X631" s="7">
        <v>0</v>
      </c>
      <c r="Y631" s="5">
        <v>3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1.5</v>
      </c>
      <c r="AL631" s="5">
        <v>1</v>
      </c>
      <c r="AM631" s="5">
        <v>2</v>
      </c>
      <c r="AN631" s="28">
        <v>0.75</v>
      </c>
    </row>
    <row r="632">
      <c r="A632" s="24">
        <v>5463</v>
      </c>
      <c r="B632" s="9" t="s">
        <v>881</v>
      </c>
      <c r="C632" s="9" t="s">
        <v>136</v>
      </c>
      <c r="D632" s="9" t="s">
        <v>882</v>
      </c>
      <c r="E632" s="9" t="s">
        <v>883</v>
      </c>
      <c r="F632" s="11">
        <v>2</v>
      </c>
      <c r="G632" s="12">
        <v>0</v>
      </c>
      <c r="H632" s="12">
        <v>0</v>
      </c>
      <c r="I632" s="12">
        <v>0</v>
      </c>
      <c r="J632" s="10">
        <v>2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2</v>
      </c>
      <c r="V632" s="12">
        <v>0</v>
      </c>
      <c r="W632" s="12">
        <v>0</v>
      </c>
      <c r="X632" s="12">
        <v>0</v>
      </c>
      <c r="Y632" s="10">
        <v>2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2</v>
      </c>
      <c r="AK632" s="13">
        <v>2</v>
      </c>
      <c r="AL632" s="10">
        <v>2</v>
      </c>
      <c r="AM632" s="10">
        <v>2</v>
      </c>
      <c r="AN632" s="31">
        <v>0</v>
      </c>
    </row>
    <row r="633">
      <c r="A633" s="23">
        <v>5475</v>
      </c>
      <c r="B633" s="4" t="s">
        <v>884</v>
      </c>
      <c r="C633" s="4" t="s">
        <v>67</v>
      </c>
      <c r="D633" s="4" t="s">
        <v>73</v>
      </c>
      <c r="E633" s="4" t="s">
        <v>885</v>
      </c>
      <c r="F633" s="6">
        <v>21</v>
      </c>
      <c r="G633" s="7">
        <v>0</v>
      </c>
      <c r="H633" s="7">
        <v>0</v>
      </c>
      <c r="I633" s="7">
        <v>0</v>
      </c>
      <c r="J633" s="5">
        <v>21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20</v>
      </c>
      <c r="V633" s="7">
        <v>0</v>
      </c>
      <c r="W633" s="7">
        <v>0</v>
      </c>
      <c r="X633" s="7">
        <v>0</v>
      </c>
      <c r="Y633" s="5">
        <v>20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7</v>
      </c>
      <c r="AL633" s="5">
        <v>2</v>
      </c>
      <c r="AM633" s="5">
        <v>18</v>
      </c>
      <c r="AN633" s="28">
        <v>5.2</v>
      </c>
    </row>
    <row r="634">
      <c r="A634" s="24">
        <v>5476</v>
      </c>
      <c r="B634" s="9" t="s">
        <v>886</v>
      </c>
      <c r="C634" s="9" t="s">
        <v>136</v>
      </c>
      <c r="D634" s="9" t="s">
        <v>349</v>
      </c>
      <c r="E634" s="9" t="s">
        <v>350</v>
      </c>
      <c r="F634" s="11">
        <v>3</v>
      </c>
      <c r="G634" s="10">
        <v>2</v>
      </c>
      <c r="H634" s="12">
        <v>0</v>
      </c>
      <c r="I634" s="12">
        <v>0</v>
      </c>
      <c r="J634" s="10">
        <v>1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3</v>
      </c>
      <c r="V634" s="10">
        <v>2</v>
      </c>
      <c r="W634" s="12">
        <v>0</v>
      </c>
      <c r="X634" s="12">
        <v>0</v>
      </c>
      <c r="Y634" s="10">
        <v>1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1.5</v>
      </c>
      <c r="AL634" s="10">
        <v>1</v>
      </c>
      <c r="AM634" s="10">
        <v>2</v>
      </c>
      <c r="AN634" s="29">
        <v>0.25</v>
      </c>
    </row>
    <row r="635">
      <c r="A635" s="23">
        <v>5479</v>
      </c>
      <c r="B635" s="4" t="s">
        <v>887</v>
      </c>
      <c r="C635" s="4" t="s">
        <v>67</v>
      </c>
      <c r="D635" s="4" t="s">
        <v>84</v>
      </c>
      <c r="E635" s="4" t="s">
        <v>197</v>
      </c>
      <c r="F635" s="6">
        <v>4</v>
      </c>
      <c r="G635" s="7">
        <v>0</v>
      </c>
      <c r="H635" s="7">
        <v>0</v>
      </c>
      <c r="I635" s="7">
        <v>0</v>
      </c>
      <c r="J635" s="5">
        <v>4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4</v>
      </c>
      <c r="V635" s="7">
        <v>0</v>
      </c>
      <c r="W635" s="7">
        <v>0</v>
      </c>
      <c r="X635" s="7">
        <v>0</v>
      </c>
      <c r="Y635" s="5">
        <v>4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2</v>
      </c>
      <c r="AK635" s="8">
        <v>2</v>
      </c>
      <c r="AL635" s="5">
        <v>2</v>
      </c>
      <c r="AM635" s="5">
        <v>2</v>
      </c>
      <c r="AN635" s="28">
        <v>1.04</v>
      </c>
    </row>
    <row r="636">
      <c r="A636" s="24">
        <v>5498</v>
      </c>
      <c r="B636" s="9" t="s">
        <v>888</v>
      </c>
      <c r="C636" s="9" t="s">
        <v>67</v>
      </c>
      <c r="D636" s="9" t="s">
        <v>84</v>
      </c>
      <c r="E636" s="9" t="s">
        <v>404</v>
      </c>
      <c r="F636" s="11">
        <v>1</v>
      </c>
      <c r="G636" s="10">
        <v>1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1</v>
      </c>
      <c r="V636" s="10">
        <v>1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31">
        <v>0</v>
      </c>
    </row>
    <row r="637">
      <c r="A637" s="23">
        <v>5500</v>
      </c>
      <c r="B637" s="4" t="s">
        <v>889</v>
      </c>
      <c r="C637" s="4" t="s">
        <v>67</v>
      </c>
      <c r="D637" s="4" t="s">
        <v>105</v>
      </c>
      <c r="E637" s="4" t="s">
        <v>106</v>
      </c>
      <c r="F637" s="6">
        <v>1</v>
      </c>
      <c r="G637" s="5">
        <v>1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1</v>
      </c>
      <c r="V637" s="5">
        <v>1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30">
        <v>0</v>
      </c>
    </row>
    <row r="638">
      <c r="A638" s="24">
        <v>5505</v>
      </c>
      <c r="B638" s="9" t="s">
        <v>890</v>
      </c>
      <c r="C638" s="9" t="s">
        <v>67</v>
      </c>
      <c r="D638" s="9" t="s">
        <v>68</v>
      </c>
      <c r="E638" s="9" t="s">
        <v>71</v>
      </c>
      <c r="F638" s="11">
        <v>1</v>
      </c>
      <c r="G638" s="10">
        <v>1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1</v>
      </c>
      <c r="V638" s="10">
        <v>1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31">
        <v>0</v>
      </c>
    </row>
    <row r="639">
      <c r="A639" s="23">
        <v>5507</v>
      </c>
      <c r="B639" s="4" t="s">
        <v>891</v>
      </c>
      <c r="C639" s="4" t="s">
        <v>67</v>
      </c>
      <c r="D639" s="4" t="s">
        <v>105</v>
      </c>
      <c r="E639" s="4" t="s">
        <v>106</v>
      </c>
      <c r="F639" s="6">
        <v>1</v>
      </c>
      <c r="G639" s="7">
        <v>0</v>
      </c>
      <c r="H639" s="7">
        <v>0</v>
      </c>
      <c r="I639" s="5">
        <v>1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1</v>
      </c>
      <c r="V639" s="7">
        <v>0</v>
      </c>
      <c r="W639" s="7">
        <v>0</v>
      </c>
      <c r="X639" s="5">
        <v>1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0.25</v>
      </c>
    </row>
    <row r="640">
      <c r="A640" s="24">
        <v>5513</v>
      </c>
      <c r="B640" s="9" t="s">
        <v>892</v>
      </c>
      <c r="C640" s="9" t="s">
        <v>67</v>
      </c>
      <c r="D640" s="9" t="s">
        <v>84</v>
      </c>
      <c r="E640" s="9" t="s">
        <v>103</v>
      </c>
      <c r="F640" s="11">
        <v>2</v>
      </c>
      <c r="G640" s="10">
        <v>2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1</v>
      </c>
      <c r="V640" s="10">
        <v>1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2</v>
      </c>
      <c r="AK640" s="13">
        <v>2</v>
      </c>
      <c r="AL640" s="10">
        <v>2</v>
      </c>
      <c r="AM640" s="10">
        <v>2</v>
      </c>
      <c r="AN640" s="29">
        <v>0.25</v>
      </c>
    </row>
    <row r="641">
      <c r="A641" s="23">
        <v>5515</v>
      </c>
      <c r="B641" s="4" t="s">
        <v>893</v>
      </c>
      <c r="C641" s="4" t="s">
        <v>67</v>
      </c>
      <c r="D641" s="4" t="s">
        <v>105</v>
      </c>
      <c r="E641" s="4" t="s">
        <v>227</v>
      </c>
      <c r="F641" s="6">
        <v>1</v>
      </c>
      <c r="G641" s="7">
        <v>0</v>
      </c>
      <c r="H641" s="7">
        <v>0</v>
      </c>
      <c r="I641" s="5">
        <v>1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1</v>
      </c>
      <c r="V641" s="7">
        <v>0</v>
      </c>
      <c r="W641" s="7">
        <v>0</v>
      </c>
      <c r="X641" s="5">
        <v>1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30">
        <v>0</v>
      </c>
    </row>
    <row r="642">
      <c r="A642" s="24">
        <v>5517</v>
      </c>
      <c r="B642" s="9" t="s">
        <v>894</v>
      </c>
      <c r="C642" s="9" t="s">
        <v>67</v>
      </c>
      <c r="D642" s="9" t="s">
        <v>84</v>
      </c>
      <c r="E642" s="9" t="s">
        <v>404</v>
      </c>
      <c r="F642" s="11">
        <v>2</v>
      </c>
      <c r="G642" s="10">
        <v>1</v>
      </c>
      <c r="H642" s="12">
        <v>0</v>
      </c>
      <c r="I642" s="10">
        <v>1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2</v>
      </c>
      <c r="V642" s="10">
        <v>1</v>
      </c>
      <c r="W642" s="12">
        <v>0</v>
      </c>
      <c r="X642" s="10">
        <v>1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31">
        <v>0</v>
      </c>
    </row>
    <row r="643">
      <c r="A643" s="23">
        <v>5632</v>
      </c>
      <c r="B643" s="4" t="s">
        <v>895</v>
      </c>
      <c r="C643" s="4" t="s">
        <v>316</v>
      </c>
      <c r="D643" s="4" t="s">
        <v>518</v>
      </c>
      <c r="E643" s="4" t="s">
        <v>318</v>
      </c>
      <c r="F643" s="6">
        <v>1</v>
      </c>
      <c r="G643" s="7">
        <v>0</v>
      </c>
      <c r="H643" s="7">
        <v>0</v>
      </c>
      <c r="I643" s="7">
        <v>0</v>
      </c>
      <c r="J643" s="5">
        <v>1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1</v>
      </c>
      <c r="V643" s="7">
        <v>0</v>
      </c>
      <c r="W643" s="7">
        <v>0</v>
      </c>
      <c r="X643" s="7">
        <v>0</v>
      </c>
      <c r="Y643" s="5">
        <v>1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30">
        <v>0</v>
      </c>
    </row>
    <row r="644">
      <c r="A644" s="24">
        <v>5633</v>
      </c>
      <c r="B644" s="9" t="s">
        <v>896</v>
      </c>
      <c r="C644" s="9" t="s">
        <v>316</v>
      </c>
      <c r="D644" s="9" t="s">
        <v>518</v>
      </c>
      <c r="E644" s="9" t="s">
        <v>318</v>
      </c>
      <c r="F644" s="11">
        <v>1</v>
      </c>
      <c r="G644" s="12">
        <v>0</v>
      </c>
      <c r="H644" s="12">
        <v>0</v>
      </c>
      <c r="I644" s="12">
        <v>0</v>
      </c>
      <c r="J644" s="10">
        <v>1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1</v>
      </c>
      <c r="V644" s="12">
        <v>0</v>
      </c>
      <c r="W644" s="12">
        <v>0</v>
      </c>
      <c r="X644" s="12">
        <v>0</v>
      </c>
      <c r="Y644" s="10">
        <v>1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29">
        <v>0.26</v>
      </c>
    </row>
    <row r="645">
      <c r="A645" s="23">
        <v>5645</v>
      </c>
      <c r="B645" s="4" t="s">
        <v>897</v>
      </c>
      <c r="C645" s="4" t="s">
        <v>316</v>
      </c>
      <c r="D645" s="4" t="s">
        <v>898</v>
      </c>
      <c r="E645" s="4" t="s">
        <v>318</v>
      </c>
      <c r="F645" s="6">
        <v>1</v>
      </c>
      <c r="G645" s="7">
        <v>0</v>
      </c>
      <c r="H645" s="7">
        <v>0</v>
      </c>
      <c r="I645" s="5">
        <v>1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1</v>
      </c>
      <c r="V645" s="7">
        <v>0</v>
      </c>
      <c r="W645" s="7">
        <v>0</v>
      </c>
      <c r="X645" s="5">
        <v>1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0.25</v>
      </c>
    </row>
    <row r="646">
      <c r="A646" s="24">
        <v>5744</v>
      </c>
      <c r="B646" s="9" t="s">
        <v>899</v>
      </c>
      <c r="C646" s="9" t="s">
        <v>316</v>
      </c>
      <c r="D646" s="9" t="s">
        <v>500</v>
      </c>
      <c r="E646" s="9" t="s">
        <v>318</v>
      </c>
      <c r="F646" s="11">
        <v>1</v>
      </c>
      <c r="G646" s="12">
        <v>0</v>
      </c>
      <c r="H646" s="12">
        <v>0</v>
      </c>
      <c r="I646" s="10">
        <v>1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1</v>
      </c>
      <c r="V646" s="12">
        <v>0</v>
      </c>
      <c r="W646" s="12">
        <v>0</v>
      </c>
      <c r="X646" s="10">
        <v>1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29">
        <v>0.24</v>
      </c>
    </row>
    <row r="647">
      <c r="A647" s="23">
        <v>5749</v>
      </c>
      <c r="B647" s="4" t="s">
        <v>900</v>
      </c>
      <c r="C647" s="4" t="s">
        <v>316</v>
      </c>
      <c r="D647" s="4" t="s">
        <v>317</v>
      </c>
      <c r="E647" s="4" t="s">
        <v>318</v>
      </c>
      <c r="F647" s="6">
        <v>2</v>
      </c>
      <c r="G647" s="7">
        <v>0</v>
      </c>
      <c r="H647" s="7">
        <v>0</v>
      </c>
      <c r="I647" s="5">
        <v>2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2</v>
      </c>
      <c r="V647" s="7">
        <v>0</v>
      </c>
      <c r="W647" s="7">
        <v>0</v>
      </c>
      <c r="X647" s="5">
        <v>2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2</v>
      </c>
      <c r="AK647" s="8">
        <v>2</v>
      </c>
      <c r="AL647" s="5">
        <v>2</v>
      </c>
      <c r="AM647" s="5">
        <v>2</v>
      </c>
      <c r="AN647" s="28">
        <v>0.5</v>
      </c>
    </row>
    <row r="648">
      <c r="A648" s="24">
        <v>5768</v>
      </c>
      <c r="B648" s="9" t="s">
        <v>901</v>
      </c>
      <c r="C648" s="9" t="s">
        <v>316</v>
      </c>
      <c r="D648" s="9" t="s">
        <v>745</v>
      </c>
      <c r="E648" s="9" t="s">
        <v>318</v>
      </c>
      <c r="F648" s="11">
        <v>2</v>
      </c>
      <c r="G648" s="10">
        <v>1</v>
      </c>
      <c r="H648" s="12">
        <v>0</v>
      </c>
      <c r="I648" s="12">
        <v>0</v>
      </c>
      <c r="J648" s="10">
        <v>1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2</v>
      </c>
      <c r="V648" s="10">
        <v>1</v>
      </c>
      <c r="W648" s="12">
        <v>0</v>
      </c>
      <c r="X648" s="12">
        <v>0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31">
        <v>0</v>
      </c>
    </row>
    <row r="649">
      <c r="A649" s="23">
        <v>5804</v>
      </c>
      <c r="B649" s="4" t="s">
        <v>902</v>
      </c>
      <c r="C649" s="4" t="s">
        <v>316</v>
      </c>
      <c r="D649" s="4" t="s">
        <v>898</v>
      </c>
      <c r="E649" s="4" t="s">
        <v>318</v>
      </c>
      <c r="F649" s="6">
        <v>1</v>
      </c>
      <c r="G649" s="7">
        <v>0</v>
      </c>
      <c r="H649" s="7">
        <v>0</v>
      </c>
      <c r="I649" s="5">
        <v>1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1</v>
      </c>
      <c r="V649" s="7">
        <v>0</v>
      </c>
      <c r="W649" s="7">
        <v>0</v>
      </c>
      <c r="X649" s="5">
        <v>1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30">
        <v>0</v>
      </c>
    </row>
    <row r="650">
      <c r="A650" s="24">
        <v>5868</v>
      </c>
      <c r="B650" s="9" t="s">
        <v>903</v>
      </c>
      <c r="C650" s="9" t="s">
        <v>316</v>
      </c>
      <c r="D650" s="9" t="s">
        <v>898</v>
      </c>
      <c r="E650" s="9" t="s">
        <v>318</v>
      </c>
      <c r="F650" s="11">
        <v>1</v>
      </c>
      <c r="G650" s="12">
        <v>0</v>
      </c>
      <c r="H650" s="10">
        <v>1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1</v>
      </c>
      <c r="V650" s="12">
        <v>0</v>
      </c>
      <c r="W650" s="10">
        <v>1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0.25</v>
      </c>
    </row>
    <row r="651">
      <c r="A651" s="23">
        <v>5895</v>
      </c>
      <c r="B651" s="4" t="s">
        <v>904</v>
      </c>
      <c r="C651" s="4" t="s">
        <v>316</v>
      </c>
      <c r="D651" s="4" t="s">
        <v>696</v>
      </c>
      <c r="E651" s="4" t="s">
        <v>318</v>
      </c>
      <c r="F651" s="6">
        <v>1</v>
      </c>
      <c r="G651" s="7">
        <v>0</v>
      </c>
      <c r="H651" s="5">
        <v>1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1</v>
      </c>
      <c r="V651" s="7">
        <v>0</v>
      </c>
      <c r="W651" s="5">
        <v>1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28">
        <v>0.22</v>
      </c>
    </row>
    <row r="652">
      <c r="A652" s="24">
        <v>5943</v>
      </c>
      <c r="B652" s="9" t="s">
        <v>905</v>
      </c>
      <c r="C652" s="9" t="s">
        <v>316</v>
      </c>
      <c r="D652" s="9" t="s">
        <v>518</v>
      </c>
      <c r="E652" s="9" t="s">
        <v>318</v>
      </c>
      <c r="F652" s="11">
        <v>1</v>
      </c>
      <c r="G652" s="12">
        <v>0</v>
      </c>
      <c r="H652" s="12">
        <v>0</v>
      </c>
      <c r="I652" s="12">
        <v>0</v>
      </c>
      <c r="J652" s="10">
        <v>1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1</v>
      </c>
      <c r="V652" s="12">
        <v>0</v>
      </c>
      <c r="W652" s="12">
        <v>0</v>
      </c>
      <c r="X652" s="12">
        <v>0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31">
        <v>0</v>
      </c>
    </row>
    <row r="653">
      <c r="A653" s="23">
        <v>5954</v>
      </c>
      <c r="B653" s="4" t="s">
        <v>906</v>
      </c>
      <c r="C653" s="4" t="s">
        <v>511</v>
      </c>
      <c r="D653" s="4" t="s">
        <v>907</v>
      </c>
      <c r="E653" s="4" t="s">
        <v>908</v>
      </c>
      <c r="F653" s="6">
        <v>3</v>
      </c>
      <c r="G653" s="7">
        <v>0</v>
      </c>
      <c r="H653" s="7">
        <v>0</v>
      </c>
      <c r="I653" s="7">
        <v>0</v>
      </c>
      <c r="J653" s="5">
        <v>3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2</v>
      </c>
      <c r="V653" s="7">
        <v>0</v>
      </c>
      <c r="W653" s="7">
        <v>0</v>
      </c>
      <c r="X653" s="7">
        <v>0</v>
      </c>
      <c r="Y653" s="5">
        <v>2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1.5</v>
      </c>
      <c r="AL653" s="5">
        <v>1</v>
      </c>
      <c r="AM653" s="5">
        <v>2</v>
      </c>
      <c r="AN653" s="28">
        <v>0.52</v>
      </c>
    </row>
    <row r="654">
      <c r="A654" s="24">
        <v>6001</v>
      </c>
      <c r="B654" s="9" t="s">
        <v>909</v>
      </c>
      <c r="C654" s="9" t="s">
        <v>136</v>
      </c>
      <c r="D654" s="9" t="s">
        <v>910</v>
      </c>
      <c r="E654" s="9" t="s">
        <v>911</v>
      </c>
      <c r="F654" s="11">
        <v>1</v>
      </c>
      <c r="G654" s="12">
        <v>0</v>
      </c>
      <c r="H654" s="10">
        <v>1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1</v>
      </c>
      <c r="V654" s="12">
        <v>0</v>
      </c>
      <c r="W654" s="10">
        <v>1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31">
        <v>0</v>
      </c>
    </row>
    <row r="655">
      <c r="A655" s="23">
        <v>6005</v>
      </c>
      <c r="B655" s="4" t="s">
        <v>912</v>
      </c>
      <c r="C655" s="4" t="s">
        <v>558</v>
      </c>
      <c r="D655" s="4" t="s">
        <v>913</v>
      </c>
      <c r="E655" s="4" t="s">
        <v>318</v>
      </c>
      <c r="F655" s="6">
        <v>4</v>
      </c>
      <c r="G655" s="7">
        <v>0</v>
      </c>
      <c r="H655" s="5">
        <v>2</v>
      </c>
      <c r="I655" s="5">
        <v>1</v>
      </c>
      <c r="J655" s="5">
        <v>1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4</v>
      </c>
      <c r="V655" s="7">
        <v>0</v>
      </c>
      <c r="W655" s="5">
        <v>2</v>
      </c>
      <c r="X655" s="5">
        <v>1</v>
      </c>
      <c r="Y655" s="5">
        <v>1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1.33</v>
      </c>
      <c r="AL655" s="5">
        <v>1</v>
      </c>
      <c r="AM655" s="5">
        <v>2</v>
      </c>
      <c r="AN655" s="28">
        <v>0.5</v>
      </c>
    </row>
    <row r="656">
      <c r="A656" s="24">
        <v>6026</v>
      </c>
      <c r="B656" s="9" t="s">
        <v>914</v>
      </c>
      <c r="C656" s="9" t="s">
        <v>511</v>
      </c>
      <c r="D656" s="9" t="s">
        <v>512</v>
      </c>
      <c r="E656" s="9" t="s">
        <v>915</v>
      </c>
      <c r="F656" s="11">
        <v>2</v>
      </c>
      <c r="G656" s="12">
        <v>0</v>
      </c>
      <c r="H656" s="12">
        <v>0</v>
      </c>
      <c r="I656" s="12">
        <v>0</v>
      </c>
      <c r="J656" s="10">
        <v>2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2</v>
      </c>
      <c r="V656" s="12">
        <v>0</v>
      </c>
      <c r="W656" s="12">
        <v>0</v>
      </c>
      <c r="X656" s="12">
        <v>0</v>
      </c>
      <c r="Y656" s="10">
        <v>2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2</v>
      </c>
      <c r="AK656" s="13">
        <v>2</v>
      </c>
      <c r="AL656" s="10">
        <v>2</v>
      </c>
      <c r="AM656" s="10">
        <v>2</v>
      </c>
      <c r="AN656" s="29">
        <v>0.5</v>
      </c>
    </row>
    <row r="657">
      <c r="A657" s="23">
        <v>6029</v>
      </c>
      <c r="B657" s="4" t="s">
        <v>916</v>
      </c>
      <c r="C657" s="4" t="s">
        <v>67</v>
      </c>
      <c r="D657" s="4" t="s">
        <v>105</v>
      </c>
      <c r="E657" s="4" t="s">
        <v>303</v>
      </c>
      <c r="F657" s="6">
        <v>1</v>
      </c>
      <c r="G657" s="7">
        <v>0</v>
      </c>
      <c r="H657" s="7">
        <v>0</v>
      </c>
      <c r="I657" s="5">
        <v>1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1</v>
      </c>
      <c r="V657" s="7">
        <v>0</v>
      </c>
      <c r="W657" s="7">
        <v>0</v>
      </c>
      <c r="X657" s="5">
        <v>1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28">
        <v>0.25</v>
      </c>
    </row>
    <row r="658">
      <c r="A658" s="24">
        <v>6030</v>
      </c>
      <c r="B658" s="9" t="s">
        <v>917</v>
      </c>
      <c r="C658" s="9" t="s">
        <v>163</v>
      </c>
      <c r="D658" s="9" t="s">
        <v>164</v>
      </c>
      <c r="E658" s="9" t="s">
        <v>171</v>
      </c>
      <c r="F658" s="11">
        <v>1</v>
      </c>
      <c r="G658" s="10">
        <v>1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1</v>
      </c>
      <c r="V658" s="10">
        <v>1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31">
        <v>0</v>
      </c>
    </row>
    <row r="659">
      <c r="A659" s="23">
        <v>6045</v>
      </c>
      <c r="B659" s="4" t="s">
        <v>918</v>
      </c>
      <c r="C659" s="4" t="s">
        <v>558</v>
      </c>
      <c r="D659" s="4" t="s">
        <v>913</v>
      </c>
      <c r="E659" s="4" t="s">
        <v>318</v>
      </c>
      <c r="F659" s="6">
        <v>4</v>
      </c>
      <c r="G659" s="7">
        <v>0</v>
      </c>
      <c r="H659" s="7">
        <v>0</v>
      </c>
      <c r="I659" s="5">
        <v>1</v>
      </c>
      <c r="J659" s="5">
        <v>3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4</v>
      </c>
      <c r="V659" s="7">
        <v>0</v>
      </c>
      <c r="W659" s="7">
        <v>0</v>
      </c>
      <c r="X659" s="5">
        <v>1</v>
      </c>
      <c r="Y659" s="5">
        <v>3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1.33</v>
      </c>
      <c r="AL659" s="5">
        <v>1</v>
      </c>
      <c r="AM659" s="5">
        <v>2</v>
      </c>
      <c r="AN659" s="28">
        <v>0.75</v>
      </c>
    </row>
    <row r="660">
      <c r="A660" s="24">
        <v>6080</v>
      </c>
      <c r="B660" s="9" t="s">
        <v>919</v>
      </c>
      <c r="C660" s="9" t="s">
        <v>136</v>
      </c>
      <c r="D660" s="9" t="s">
        <v>137</v>
      </c>
      <c r="E660" s="9" t="s">
        <v>561</v>
      </c>
      <c r="F660" s="11">
        <v>1</v>
      </c>
      <c r="G660" s="12">
        <v>0</v>
      </c>
      <c r="H660" s="12">
        <v>0</v>
      </c>
      <c r="I660" s="12">
        <v>0</v>
      </c>
      <c r="J660" s="10">
        <v>1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1</v>
      </c>
      <c r="V660" s="12">
        <v>0</v>
      </c>
      <c r="W660" s="12">
        <v>0</v>
      </c>
      <c r="X660" s="12">
        <v>0</v>
      </c>
      <c r="Y660" s="10">
        <v>1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31">
        <v>0</v>
      </c>
    </row>
    <row r="661">
      <c r="A661" s="23">
        <v>6102</v>
      </c>
      <c r="B661" s="4" t="s">
        <v>920</v>
      </c>
      <c r="C661" s="4" t="s">
        <v>67</v>
      </c>
      <c r="D661" s="4" t="s">
        <v>111</v>
      </c>
      <c r="E661" s="4" t="s">
        <v>112</v>
      </c>
      <c r="F661" s="6">
        <v>1</v>
      </c>
      <c r="G661" s="5">
        <v>1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1</v>
      </c>
      <c r="V661" s="5">
        <v>1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30">
        <v>0</v>
      </c>
    </row>
    <row r="662">
      <c r="A662" s="24">
        <v>6108</v>
      </c>
      <c r="B662" s="9" t="s">
        <v>921</v>
      </c>
      <c r="C662" s="9" t="s">
        <v>67</v>
      </c>
      <c r="D662" s="9" t="s">
        <v>84</v>
      </c>
      <c r="E662" s="9" t="s">
        <v>134</v>
      </c>
      <c r="F662" s="11">
        <v>2</v>
      </c>
      <c r="G662" s="12">
        <v>0</v>
      </c>
      <c r="H662" s="10">
        <v>1</v>
      </c>
      <c r="I662" s="12">
        <v>0</v>
      </c>
      <c r="J662" s="10">
        <v>1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2</v>
      </c>
      <c r="V662" s="12">
        <v>0</v>
      </c>
      <c r="W662" s="10">
        <v>1</v>
      </c>
      <c r="X662" s="12">
        <v>0</v>
      </c>
      <c r="Y662" s="10">
        <v>1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0.5</v>
      </c>
    </row>
    <row r="663">
      <c r="A663" s="23">
        <v>6114</v>
      </c>
      <c r="B663" s="4" t="s">
        <v>922</v>
      </c>
      <c r="C663" s="4" t="s">
        <v>136</v>
      </c>
      <c r="D663" s="4" t="s">
        <v>223</v>
      </c>
      <c r="E663" s="4" t="s">
        <v>923</v>
      </c>
      <c r="F663" s="6">
        <v>63</v>
      </c>
      <c r="G663" s="7">
        <v>0</v>
      </c>
      <c r="H663" s="7">
        <v>0</v>
      </c>
      <c r="I663" s="7">
        <v>0</v>
      </c>
      <c r="J663" s="5">
        <v>63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62</v>
      </c>
      <c r="V663" s="7">
        <v>0</v>
      </c>
      <c r="W663" s="7">
        <v>0</v>
      </c>
      <c r="X663" s="7">
        <v>0</v>
      </c>
      <c r="Y663" s="5">
        <v>62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21</v>
      </c>
      <c r="AL663" s="5">
        <v>2</v>
      </c>
      <c r="AM663" s="5">
        <v>60</v>
      </c>
      <c r="AN663" s="28">
        <v>16.12</v>
      </c>
    </row>
    <row r="664">
      <c r="A664" s="24">
        <v>6156</v>
      </c>
      <c r="B664" s="9" t="s">
        <v>924</v>
      </c>
      <c r="C664" s="9" t="s">
        <v>67</v>
      </c>
      <c r="D664" s="9" t="s">
        <v>100</v>
      </c>
      <c r="E664" s="9" t="s">
        <v>299</v>
      </c>
      <c r="F664" s="11">
        <v>4</v>
      </c>
      <c r="G664" s="10">
        <v>4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3</v>
      </c>
      <c r="V664" s="10">
        <v>3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2</v>
      </c>
      <c r="AK664" s="13">
        <v>2</v>
      </c>
      <c r="AL664" s="10">
        <v>2</v>
      </c>
      <c r="AM664" s="10">
        <v>2</v>
      </c>
      <c r="AN664" s="31">
        <v>0</v>
      </c>
    </row>
    <row r="665">
      <c r="A665" s="23">
        <v>6162</v>
      </c>
      <c r="B665" s="4" t="s">
        <v>925</v>
      </c>
      <c r="C665" s="4" t="s">
        <v>136</v>
      </c>
      <c r="D665" s="4" t="s">
        <v>416</v>
      </c>
      <c r="E665" s="4" t="s">
        <v>926</v>
      </c>
      <c r="F665" s="6">
        <v>1</v>
      </c>
      <c r="G665" s="7">
        <v>0</v>
      </c>
      <c r="H665" s="7">
        <v>0</v>
      </c>
      <c r="I665" s="7">
        <v>0</v>
      </c>
      <c r="J665" s="5">
        <v>1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1</v>
      </c>
      <c r="V665" s="7">
        <v>0</v>
      </c>
      <c r="W665" s="7">
        <v>0</v>
      </c>
      <c r="X665" s="7">
        <v>0</v>
      </c>
      <c r="Y665" s="5">
        <v>1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30">
        <v>0</v>
      </c>
    </row>
    <row r="666">
      <c r="A666" s="24">
        <v>6202</v>
      </c>
      <c r="B666" s="9" t="s">
        <v>927</v>
      </c>
      <c r="C666" s="9" t="s">
        <v>558</v>
      </c>
      <c r="D666" s="9" t="s">
        <v>559</v>
      </c>
      <c r="E666" s="9" t="s">
        <v>318</v>
      </c>
      <c r="F666" s="11">
        <v>5</v>
      </c>
      <c r="G666" s="12">
        <v>0</v>
      </c>
      <c r="H666" s="12">
        <v>0</v>
      </c>
      <c r="I666" s="10">
        <v>1</v>
      </c>
      <c r="J666" s="10">
        <v>4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5</v>
      </c>
      <c r="V666" s="12">
        <v>0</v>
      </c>
      <c r="W666" s="12">
        <v>0</v>
      </c>
      <c r="X666" s="10">
        <v>1</v>
      </c>
      <c r="Y666" s="10">
        <v>4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1.25</v>
      </c>
      <c r="AL666" s="10">
        <v>1</v>
      </c>
      <c r="AM666" s="10">
        <v>2</v>
      </c>
      <c r="AN666" s="29">
        <v>1.04</v>
      </c>
    </row>
    <row r="667">
      <c r="A667" s="23">
        <v>6227</v>
      </c>
      <c r="B667" s="4" t="s">
        <v>928</v>
      </c>
      <c r="C667" s="4" t="s">
        <v>511</v>
      </c>
      <c r="D667" s="4" t="s">
        <v>512</v>
      </c>
      <c r="E667" s="4" t="s">
        <v>915</v>
      </c>
      <c r="F667" s="6">
        <v>4</v>
      </c>
      <c r="G667" s="5">
        <v>1</v>
      </c>
      <c r="H667" s="5">
        <v>3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4</v>
      </c>
      <c r="V667" s="5">
        <v>1</v>
      </c>
      <c r="W667" s="5">
        <v>3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2</v>
      </c>
      <c r="AL667" s="5">
        <v>2</v>
      </c>
      <c r="AM667" s="5">
        <v>3</v>
      </c>
      <c r="AN667" s="28">
        <v>0.78</v>
      </c>
    </row>
    <row r="668">
      <c r="A668" s="24">
        <v>6280</v>
      </c>
      <c r="B668" s="9" t="s">
        <v>929</v>
      </c>
      <c r="C668" s="9" t="s">
        <v>67</v>
      </c>
      <c r="D668" s="9" t="s">
        <v>76</v>
      </c>
      <c r="E668" s="9" t="s">
        <v>77</v>
      </c>
      <c r="F668" s="11">
        <v>1</v>
      </c>
      <c r="G668" s="12">
        <v>0</v>
      </c>
      <c r="H668" s="12">
        <v>0</v>
      </c>
      <c r="I668" s="10">
        <v>1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1</v>
      </c>
      <c r="V668" s="12">
        <v>0</v>
      </c>
      <c r="W668" s="12">
        <v>0</v>
      </c>
      <c r="X668" s="10">
        <v>1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29">
        <v>0.25</v>
      </c>
    </row>
    <row r="669">
      <c r="A669" s="23">
        <v>6286</v>
      </c>
      <c r="B669" s="4" t="s">
        <v>930</v>
      </c>
      <c r="C669" s="4" t="s">
        <v>67</v>
      </c>
      <c r="D669" s="4" t="s">
        <v>76</v>
      </c>
      <c r="E669" s="4" t="s">
        <v>156</v>
      </c>
      <c r="F669" s="6">
        <v>1</v>
      </c>
      <c r="G669" s="7">
        <v>0</v>
      </c>
      <c r="H669" s="7">
        <v>0</v>
      </c>
      <c r="I669" s="7">
        <v>0</v>
      </c>
      <c r="J669" s="5">
        <v>1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1</v>
      </c>
      <c r="V669" s="7">
        <v>0</v>
      </c>
      <c r="W669" s="7">
        <v>0</v>
      </c>
      <c r="X669" s="7">
        <v>0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28">
        <v>0.25</v>
      </c>
    </row>
    <row r="670">
      <c r="A670" s="24">
        <v>6313</v>
      </c>
      <c r="B670" s="9" t="s">
        <v>931</v>
      </c>
      <c r="C670" s="9" t="s">
        <v>163</v>
      </c>
      <c r="D670" s="9" t="s">
        <v>164</v>
      </c>
      <c r="E670" s="9" t="s">
        <v>169</v>
      </c>
      <c r="F670" s="11">
        <v>1</v>
      </c>
      <c r="G670" s="10">
        <v>1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1</v>
      </c>
      <c r="V670" s="10">
        <v>1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31">
        <v>0</v>
      </c>
    </row>
    <row r="671">
      <c r="A671" s="23">
        <v>6315</v>
      </c>
      <c r="B671" s="4" t="s">
        <v>932</v>
      </c>
      <c r="C671" s="4" t="s">
        <v>163</v>
      </c>
      <c r="D671" s="4" t="s">
        <v>164</v>
      </c>
      <c r="E671" s="4" t="s">
        <v>169</v>
      </c>
      <c r="F671" s="6">
        <v>1</v>
      </c>
      <c r="G671" s="7">
        <v>0</v>
      </c>
      <c r="H671" s="7">
        <v>0</v>
      </c>
      <c r="I671" s="5">
        <v>1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1</v>
      </c>
      <c r="V671" s="7">
        <v>0</v>
      </c>
      <c r="W671" s="7">
        <v>0</v>
      </c>
      <c r="X671" s="5">
        <v>1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0.25</v>
      </c>
    </row>
    <row r="672">
      <c r="A672" s="24">
        <v>6341</v>
      </c>
      <c r="B672" s="9" t="s">
        <v>933</v>
      </c>
      <c r="C672" s="9" t="s">
        <v>67</v>
      </c>
      <c r="D672" s="9" t="s">
        <v>68</v>
      </c>
      <c r="E672" s="9" t="s">
        <v>237</v>
      </c>
      <c r="F672" s="11">
        <v>1</v>
      </c>
      <c r="G672" s="10">
        <v>1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1</v>
      </c>
      <c r="V672" s="10">
        <v>1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31">
        <v>0</v>
      </c>
    </row>
    <row r="673">
      <c r="A673" s="23">
        <v>6349</v>
      </c>
      <c r="B673" s="4" t="s">
        <v>934</v>
      </c>
      <c r="C673" s="4" t="s">
        <v>163</v>
      </c>
      <c r="D673" s="4" t="s">
        <v>164</v>
      </c>
      <c r="E673" s="4" t="s">
        <v>165</v>
      </c>
      <c r="F673" s="6">
        <v>2</v>
      </c>
      <c r="G673" s="5">
        <v>2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2</v>
      </c>
      <c r="V673" s="5">
        <v>2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2</v>
      </c>
      <c r="AK673" s="8">
        <v>2</v>
      </c>
      <c r="AL673" s="5">
        <v>2</v>
      </c>
      <c r="AM673" s="5">
        <v>2</v>
      </c>
      <c r="AN673" s="30">
        <v>0</v>
      </c>
    </row>
    <row r="674">
      <c r="A674" s="24">
        <v>6434</v>
      </c>
      <c r="B674" s="9" t="s">
        <v>527</v>
      </c>
      <c r="C674" s="9" t="s">
        <v>67</v>
      </c>
      <c r="D674" s="9" t="s">
        <v>76</v>
      </c>
      <c r="E674" s="9" t="s">
        <v>156</v>
      </c>
      <c r="F674" s="11">
        <v>1</v>
      </c>
      <c r="G674" s="12">
        <v>0</v>
      </c>
      <c r="H674" s="12">
        <v>0</v>
      </c>
      <c r="I674" s="12">
        <v>0</v>
      </c>
      <c r="J674" s="10">
        <v>1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1</v>
      </c>
      <c r="V674" s="12">
        <v>0</v>
      </c>
      <c r="W674" s="12">
        <v>0</v>
      </c>
      <c r="X674" s="12">
        <v>0</v>
      </c>
      <c r="Y674" s="10">
        <v>1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29">
        <v>0.25</v>
      </c>
    </row>
    <row r="675">
      <c r="A675" s="23">
        <v>6439</v>
      </c>
      <c r="B675" s="4" t="s">
        <v>935</v>
      </c>
      <c r="C675" s="4" t="s">
        <v>67</v>
      </c>
      <c r="D675" s="4" t="s">
        <v>79</v>
      </c>
      <c r="E675" s="4" t="s">
        <v>116</v>
      </c>
      <c r="F675" s="6">
        <v>1</v>
      </c>
      <c r="G675" s="7">
        <v>0</v>
      </c>
      <c r="H675" s="7">
        <v>0</v>
      </c>
      <c r="I675" s="7">
        <v>0</v>
      </c>
      <c r="J675" s="5">
        <v>1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1</v>
      </c>
      <c r="V675" s="7">
        <v>0</v>
      </c>
      <c r="W675" s="7">
        <v>0</v>
      </c>
      <c r="X675" s="7">
        <v>0</v>
      </c>
      <c r="Y675" s="5">
        <v>1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28">
        <v>0.25</v>
      </c>
    </row>
    <row r="676">
      <c r="A676" s="24">
        <v>6446</v>
      </c>
      <c r="B676" s="9" t="s">
        <v>936</v>
      </c>
      <c r="C676" s="9" t="s">
        <v>67</v>
      </c>
      <c r="D676" s="9" t="s">
        <v>76</v>
      </c>
      <c r="E676" s="9" t="s">
        <v>156</v>
      </c>
      <c r="F676" s="11">
        <v>2</v>
      </c>
      <c r="G676" s="12">
        <v>0</v>
      </c>
      <c r="H676" s="12">
        <v>0</v>
      </c>
      <c r="I676" s="12">
        <v>0</v>
      </c>
      <c r="J676" s="10">
        <v>2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2</v>
      </c>
      <c r="V676" s="12">
        <v>0</v>
      </c>
      <c r="W676" s="12">
        <v>0</v>
      </c>
      <c r="X676" s="12">
        <v>0</v>
      </c>
      <c r="Y676" s="10">
        <v>2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0.5</v>
      </c>
    </row>
    <row r="677">
      <c r="A677" s="23">
        <v>6447</v>
      </c>
      <c r="B677" s="4" t="s">
        <v>937</v>
      </c>
      <c r="C677" s="4" t="s">
        <v>67</v>
      </c>
      <c r="D677" s="4" t="s">
        <v>79</v>
      </c>
      <c r="E677" s="4" t="s">
        <v>82</v>
      </c>
      <c r="F677" s="6">
        <v>3</v>
      </c>
      <c r="G677" s="7">
        <v>0</v>
      </c>
      <c r="H677" s="7">
        <v>0</v>
      </c>
      <c r="I677" s="7">
        <v>0</v>
      </c>
      <c r="J677" s="5">
        <v>3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3</v>
      </c>
      <c r="V677" s="7">
        <v>0</v>
      </c>
      <c r="W677" s="7">
        <v>0</v>
      </c>
      <c r="X677" s="7">
        <v>0</v>
      </c>
      <c r="Y677" s="5">
        <v>3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3</v>
      </c>
      <c r="AK677" s="8">
        <v>3</v>
      </c>
      <c r="AL677" s="5">
        <v>3</v>
      </c>
      <c r="AM677" s="5">
        <v>3</v>
      </c>
      <c r="AN677" s="28">
        <v>0.78</v>
      </c>
    </row>
    <row r="678">
      <c r="A678" s="24">
        <v>6474</v>
      </c>
      <c r="B678" s="9" t="s">
        <v>938</v>
      </c>
      <c r="C678" s="9" t="s">
        <v>67</v>
      </c>
      <c r="D678" s="9" t="s">
        <v>84</v>
      </c>
      <c r="E678" s="9" t="s">
        <v>140</v>
      </c>
      <c r="F678" s="11">
        <v>2</v>
      </c>
      <c r="G678" s="12">
        <v>0</v>
      </c>
      <c r="H678" s="12">
        <v>0</v>
      </c>
      <c r="I678" s="12">
        <v>0</v>
      </c>
      <c r="J678" s="10">
        <v>2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2</v>
      </c>
      <c r="V678" s="12">
        <v>0</v>
      </c>
      <c r="W678" s="12">
        <v>0</v>
      </c>
      <c r="X678" s="12">
        <v>0</v>
      </c>
      <c r="Y678" s="10">
        <v>2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29">
        <v>0.48</v>
      </c>
    </row>
    <row r="679">
      <c r="A679" s="23">
        <v>6484</v>
      </c>
      <c r="B679" s="4" t="s">
        <v>939</v>
      </c>
      <c r="C679" s="4" t="s">
        <v>67</v>
      </c>
      <c r="D679" s="4" t="s">
        <v>812</v>
      </c>
      <c r="E679" s="4" t="s">
        <v>318</v>
      </c>
      <c r="F679" s="6">
        <v>1</v>
      </c>
      <c r="G679" s="7">
        <v>0</v>
      </c>
      <c r="H679" s="5">
        <v>1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1</v>
      </c>
      <c r="V679" s="7">
        <v>0</v>
      </c>
      <c r="W679" s="5">
        <v>1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28">
        <v>0.25</v>
      </c>
    </row>
    <row r="680">
      <c r="A680" s="24">
        <v>6485</v>
      </c>
      <c r="B680" s="9" t="s">
        <v>940</v>
      </c>
      <c r="C680" s="9" t="s">
        <v>67</v>
      </c>
      <c r="D680" s="9" t="s">
        <v>105</v>
      </c>
      <c r="E680" s="9" t="s">
        <v>106</v>
      </c>
      <c r="F680" s="11">
        <v>2</v>
      </c>
      <c r="G680" s="12">
        <v>0</v>
      </c>
      <c r="H680" s="12">
        <v>0</v>
      </c>
      <c r="I680" s="10">
        <v>2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2</v>
      </c>
      <c r="V680" s="12">
        <v>0</v>
      </c>
      <c r="W680" s="12">
        <v>0</v>
      </c>
      <c r="X680" s="10">
        <v>2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2</v>
      </c>
      <c r="AK680" s="13">
        <v>2</v>
      </c>
      <c r="AL680" s="10">
        <v>2</v>
      </c>
      <c r="AM680" s="10">
        <v>2</v>
      </c>
      <c r="AN680" s="31">
        <v>0</v>
      </c>
    </row>
    <row r="681">
      <c r="A681" s="23">
        <v>6497</v>
      </c>
      <c r="B681" s="4" t="s">
        <v>941</v>
      </c>
      <c r="C681" s="4" t="s">
        <v>208</v>
      </c>
      <c r="D681" s="4" t="s">
        <v>942</v>
      </c>
      <c r="E681" s="4" t="s">
        <v>943</v>
      </c>
      <c r="F681" s="6">
        <v>2</v>
      </c>
      <c r="G681" s="7">
        <v>0</v>
      </c>
      <c r="H681" s="7">
        <v>0</v>
      </c>
      <c r="I681" s="5">
        <v>1</v>
      </c>
      <c r="J681" s="5">
        <v>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2</v>
      </c>
      <c r="V681" s="7">
        <v>0</v>
      </c>
      <c r="W681" s="7">
        <v>0</v>
      </c>
      <c r="X681" s="5">
        <v>1</v>
      </c>
      <c r="Y681" s="5">
        <v>1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30">
        <v>0</v>
      </c>
    </row>
    <row r="682">
      <c r="A682" s="24">
        <v>6526</v>
      </c>
      <c r="B682" s="9" t="s">
        <v>944</v>
      </c>
      <c r="C682" s="9" t="s">
        <v>67</v>
      </c>
      <c r="D682" s="9" t="s">
        <v>100</v>
      </c>
      <c r="E682" s="9" t="s">
        <v>189</v>
      </c>
      <c r="F682" s="11">
        <v>1</v>
      </c>
      <c r="G682" s="12">
        <v>0</v>
      </c>
      <c r="H682" s="12">
        <v>0</v>
      </c>
      <c r="I682" s="10">
        <v>1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1</v>
      </c>
      <c r="V682" s="12">
        <v>0</v>
      </c>
      <c r="W682" s="12">
        <v>0</v>
      </c>
      <c r="X682" s="10">
        <v>1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31">
        <v>0</v>
      </c>
    </row>
    <row r="683">
      <c r="A683" s="23">
        <v>6541</v>
      </c>
      <c r="B683" s="4" t="s">
        <v>945</v>
      </c>
      <c r="C683" s="4" t="s">
        <v>136</v>
      </c>
      <c r="D683" s="4" t="s">
        <v>137</v>
      </c>
      <c r="E683" s="4" t="s">
        <v>946</v>
      </c>
      <c r="F683" s="6">
        <v>2</v>
      </c>
      <c r="G683" s="7">
        <v>0</v>
      </c>
      <c r="H683" s="7">
        <v>0</v>
      </c>
      <c r="I683" s="7">
        <v>0</v>
      </c>
      <c r="J683" s="5">
        <v>1</v>
      </c>
      <c r="K683" s="7">
        <v>0</v>
      </c>
      <c r="L683" s="5">
        <v>1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2</v>
      </c>
      <c r="V683" s="7">
        <v>0</v>
      </c>
      <c r="W683" s="7">
        <v>0</v>
      </c>
      <c r="X683" s="7">
        <v>0</v>
      </c>
      <c r="Y683" s="5">
        <v>1</v>
      </c>
      <c r="Z683" s="7">
        <v>0</v>
      </c>
      <c r="AA683" s="5">
        <v>1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28">
        <v>0.25</v>
      </c>
    </row>
    <row r="684">
      <c r="A684" s="24">
        <v>6605</v>
      </c>
      <c r="B684" s="9" t="s">
        <v>947</v>
      </c>
      <c r="C684" s="9" t="s">
        <v>511</v>
      </c>
      <c r="D684" s="9" t="s">
        <v>512</v>
      </c>
      <c r="E684" s="9" t="s">
        <v>948</v>
      </c>
      <c r="F684" s="11">
        <v>3</v>
      </c>
      <c r="G684" s="12">
        <v>0</v>
      </c>
      <c r="H684" s="10">
        <v>3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3</v>
      </c>
      <c r="V684" s="12">
        <v>0</v>
      </c>
      <c r="W684" s="10">
        <v>3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3</v>
      </c>
      <c r="AK684" s="13">
        <v>3</v>
      </c>
      <c r="AL684" s="10">
        <v>3</v>
      </c>
      <c r="AM684" s="10">
        <v>3</v>
      </c>
      <c r="AN684" s="29">
        <v>0.78</v>
      </c>
    </row>
    <row r="685">
      <c r="A685" s="23">
        <v>6622</v>
      </c>
      <c r="B685" s="4" t="s">
        <v>949</v>
      </c>
      <c r="C685" s="4" t="s">
        <v>558</v>
      </c>
      <c r="D685" s="4" t="s">
        <v>559</v>
      </c>
      <c r="E685" s="4" t="s">
        <v>318</v>
      </c>
      <c r="F685" s="6">
        <v>7</v>
      </c>
      <c r="G685" s="7">
        <v>0</v>
      </c>
      <c r="H685" s="7">
        <v>0</v>
      </c>
      <c r="I685" s="5">
        <v>3</v>
      </c>
      <c r="J685" s="5">
        <v>4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7</v>
      </c>
      <c r="V685" s="7">
        <v>0</v>
      </c>
      <c r="W685" s="7">
        <v>0</v>
      </c>
      <c r="X685" s="5">
        <v>3</v>
      </c>
      <c r="Y685" s="5">
        <v>4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3</v>
      </c>
      <c r="AK685" s="8">
        <v>3.5</v>
      </c>
      <c r="AL685" s="5">
        <v>3</v>
      </c>
      <c r="AM685" s="5">
        <v>4</v>
      </c>
      <c r="AN685" s="28">
        <v>1.04</v>
      </c>
    </row>
    <row r="686">
      <c r="A686" s="24">
        <v>6660</v>
      </c>
      <c r="B686" s="9" t="s">
        <v>950</v>
      </c>
      <c r="C686" s="9" t="s">
        <v>67</v>
      </c>
      <c r="D686" s="9" t="s">
        <v>105</v>
      </c>
      <c r="E686" s="9" t="s">
        <v>303</v>
      </c>
      <c r="F686" s="11">
        <v>1</v>
      </c>
      <c r="G686" s="12">
        <v>0</v>
      </c>
      <c r="H686" s="12">
        <v>0</v>
      </c>
      <c r="I686" s="12">
        <v>0</v>
      </c>
      <c r="J686" s="10">
        <v>1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1</v>
      </c>
      <c r="V686" s="12">
        <v>0</v>
      </c>
      <c r="W686" s="12">
        <v>0</v>
      </c>
      <c r="X686" s="12">
        <v>0</v>
      </c>
      <c r="Y686" s="10">
        <v>1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29">
        <v>0.25</v>
      </c>
    </row>
    <row r="687">
      <c r="A687" s="23">
        <v>6667</v>
      </c>
      <c r="B687" s="4" t="s">
        <v>951</v>
      </c>
      <c r="C687" s="4" t="s">
        <v>67</v>
      </c>
      <c r="D687" s="4" t="s">
        <v>105</v>
      </c>
      <c r="E687" s="4" t="s">
        <v>303</v>
      </c>
      <c r="F687" s="6">
        <v>2</v>
      </c>
      <c r="G687" s="5">
        <v>1</v>
      </c>
      <c r="H687" s="7">
        <v>0</v>
      </c>
      <c r="I687" s="7">
        <v>0</v>
      </c>
      <c r="J687" s="5">
        <v>1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2</v>
      </c>
      <c r="V687" s="5">
        <v>1</v>
      </c>
      <c r="W687" s="7">
        <v>0</v>
      </c>
      <c r="X687" s="7">
        <v>0</v>
      </c>
      <c r="Y687" s="5">
        <v>1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28">
        <v>0.25</v>
      </c>
    </row>
    <row r="688">
      <c r="A688" s="24">
        <v>6697</v>
      </c>
      <c r="B688" s="9" t="s">
        <v>952</v>
      </c>
      <c r="C688" s="9" t="s">
        <v>558</v>
      </c>
      <c r="D688" s="9" t="s">
        <v>913</v>
      </c>
      <c r="E688" s="9" t="s">
        <v>318</v>
      </c>
      <c r="F688" s="11">
        <v>1</v>
      </c>
      <c r="G688" s="12">
        <v>0</v>
      </c>
      <c r="H688" s="12">
        <v>0</v>
      </c>
      <c r="I688" s="12">
        <v>0</v>
      </c>
      <c r="J688" s="10">
        <v>1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1</v>
      </c>
      <c r="V688" s="12">
        <v>0</v>
      </c>
      <c r="W688" s="12">
        <v>0</v>
      </c>
      <c r="X688" s="12">
        <v>0</v>
      </c>
      <c r="Y688" s="10">
        <v>1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29">
        <v>0.26</v>
      </c>
    </row>
    <row r="689">
      <c r="A689" s="23">
        <v>6708</v>
      </c>
      <c r="B689" s="4" t="s">
        <v>953</v>
      </c>
      <c r="C689" s="4" t="s">
        <v>511</v>
      </c>
      <c r="D689" s="4" t="s">
        <v>954</v>
      </c>
      <c r="E689" s="4" t="s">
        <v>955</v>
      </c>
      <c r="F689" s="6">
        <v>1</v>
      </c>
      <c r="G689" s="7">
        <v>0</v>
      </c>
      <c r="H689" s="5">
        <v>1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1</v>
      </c>
      <c r="V689" s="7">
        <v>0</v>
      </c>
      <c r="W689" s="5">
        <v>1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28">
        <v>0.25</v>
      </c>
    </row>
    <row r="690">
      <c r="A690" s="24">
        <v>6709</v>
      </c>
      <c r="B690" s="9" t="s">
        <v>956</v>
      </c>
      <c r="C690" s="9" t="s">
        <v>67</v>
      </c>
      <c r="D690" s="9" t="s">
        <v>142</v>
      </c>
      <c r="E690" s="9" t="s">
        <v>143</v>
      </c>
      <c r="F690" s="11">
        <v>2</v>
      </c>
      <c r="G690" s="10">
        <v>2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1</v>
      </c>
      <c r="V690" s="10">
        <v>1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2</v>
      </c>
      <c r="AK690" s="13">
        <v>2</v>
      </c>
      <c r="AL690" s="10">
        <v>2</v>
      </c>
      <c r="AM690" s="10">
        <v>2</v>
      </c>
      <c r="AN690" s="31">
        <v>0</v>
      </c>
    </row>
    <row r="691">
      <c r="A691" s="23">
        <v>6729</v>
      </c>
      <c r="B691" s="4" t="s">
        <v>957</v>
      </c>
      <c r="C691" s="4" t="s">
        <v>67</v>
      </c>
      <c r="D691" s="4" t="s">
        <v>105</v>
      </c>
      <c r="E691" s="4" t="s">
        <v>227</v>
      </c>
      <c r="F691" s="6">
        <v>1</v>
      </c>
      <c r="G691" s="7">
        <v>0</v>
      </c>
      <c r="H691" s="5">
        <v>1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1</v>
      </c>
      <c r="V691" s="7">
        <v>0</v>
      </c>
      <c r="W691" s="5">
        <v>1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30">
        <v>0</v>
      </c>
    </row>
    <row r="692">
      <c r="A692" s="24">
        <v>6909</v>
      </c>
      <c r="B692" s="9" t="s">
        <v>958</v>
      </c>
      <c r="C692" s="9" t="s">
        <v>67</v>
      </c>
      <c r="D692" s="9" t="s">
        <v>84</v>
      </c>
      <c r="E692" s="9" t="s">
        <v>399</v>
      </c>
      <c r="F692" s="11">
        <v>2</v>
      </c>
      <c r="G692" s="12">
        <v>0</v>
      </c>
      <c r="H692" s="12">
        <v>0</v>
      </c>
      <c r="I692" s="12">
        <v>0</v>
      </c>
      <c r="J692" s="10">
        <v>2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2</v>
      </c>
      <c r="V692" s="12">
        <v>0</v>
      </c>
      <c r="W692" s="12">
        <v>0</v>
      </c>
      <c r="X692" s="12">
        <v>0</v>
      </c>
      <c r="Y692" s="10">
        <v>2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2</v>
      </c>
      <c r="AK692" s="13">
        <v>2</v>
      </c>
      <c r="AL692" s="10">
        <v>2</v>
      </c>
      <c r="AM692" s="10">
        <v>2</v>
      </c>
      <c r="AN692" s="29">
        <v>0.48</v>
      </c>
    </row>
    <row r="693">
      <c r="A693" s="23">
        <v>6947</v>
      </c>
      <c r="B693" s="4" t="s">
        <v>959</v>
      </c>
      <c r="C693" s="4" t="s">
        <v>558</v>
      </c>
      <c r="D693" s="4" t="s">
        <v>606</v>
      </c>
      <c r="E693" s="4" t="s">
        <v>318</v>
      </c>
      <c r="F693" s="6">
        <v>1</v>
      </c>
      <c r="G693" s="7">
        <v>0</v>
      </c>
      <c r="H693" s="7">
        <v>0</v>
      </c>
      <c r="I693" s="5">
        <v>1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1</v>
      </c>
      <c r="V693" s="7">
        <v>0</v>
      </c>
      <c r="W693" s="7">
        <v>0</v>
      </c>
      <c r="X693" s="5">
        <v>1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30">
        <v>0</v>
      </c>
    </row>
    <row r="694">
      <c r="A694" s="24">
        <v>6997</v>
      </c>
      <c r="B694" s="9" t="s">
        <v>960</v>
      </c>
      <c r="C694" s="9" t="s">
        <v>136</v>
      </c>
      <c r="D694" s="9" t="s">
        <v>137</v>
      </c>
      <c r="E694" s="9" t="s">
        <v>561</v>
      </c>
      <c r="F694" s="11">
        <v>3</v>
      </c>
      <c r="G694" s="10">
        <v>1</v>
      </c>
      <c r="H694" s="12">
        <v>0</v>
      </c>
      <c r="I694" s="10">
        <v>1</v>
      </c>
      <c r="J694" s="10">
        <v>1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3</v>
      </c>
      <c r="V694" s="10">
        <v>1</v>
      </c>
      <c r="W694" s="12">
        <v>0</v>
      </c>
      <c r="X694" s="10">
        <v>1</v>
      </c>
      <c r="Y694" s="10">
        <v>1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29">
        <v>0.22</v>
      </c>
    </row>
    <row r="695">
      <c r="A695" s="23">
        <v>6998</v>
      </c>
      <c r="B695" s="4" t="s">
        <v>961</v>
      </c>
      <c r="C695" s="4" t="s">
        <v>136</v>
      </c>
      <c r="D695" s="4" t="s">
        <v>137</v>
      </c>
      <c r="E695" s="4" t="s">
        <v>561</v>
      </c>
      <c r="F695" s="6">
        <v>1</v>
      </c>
      <c r="G695" s="7">
        <v>0</v>
      </c>
      <c r="H695" s="5">
        <v>1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1</v>
      </c>
      <c r="V695" s="7">
        <v>0</v>
      </c>
      <c r="W695" s="5">
        <v>1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28">
        <v>0.22</v>
      </c>
    </row>
    <row r="696">
      <c r="A696" s="24">
        <v>7008</v>
      </c>
      <c r="B696" s="9" t="s">
        <v>962</v>
      </c>
      <c r="C696" s="9" t="s">
        <v>136</v>
      </c>
      <c r="D696" s="9" t="s">
        <v>461</v>
      </c>
      <c r="E696" s="9" t="s">
        <v>963</v>
      </c>
      <c r="F696" s="11">
        <v>1</v>
      </c>
      <c r="G696" s="12">
        <v>0</v>
      </c>
      <c r="H696" s="12">
        <v>0</v>
      </c>
      <c r="I696" s="10">
        <v>1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1</v>
      </c>
      <c r="V696" s="12">
        <v>0</v>
      </c>
      <c r="W696" s="12">
        <v>0</v>
      </c>
      <c r="X696" s="10">
        <v>1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31">
        <v>0</v>
      </c>
    </row>
    <row r="697">
      <c r="A697" s="23">
        <v>7128</v>
      </c>
      <c r="B697" s="4" t="s">
        <v>964</v>
      </c>
      <c r="C697" s="4" t="s">
        <v>67</v>
      </c>
      <c r="D697" s="4" t="s">
        <v>111</v>
      </c>
      <c r="E697" s="4" t="s">
        <v>112</v>
      </c>
      <c r="F697" s="6">
        <v>1</v>
      </c>
      <c r="G697" s="7">
        <v>0</v>
      </c>
      <c r="H697" s="7">
        <v>0</v>
      </c>
      <c r="I697" s="5">
        <v>1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1</v>
      </c>
      <c r="V697" s="7">
        <v>0</v>
      </c>
      <c r="W697" s="7">
        <v>0</v>
      </c>
      <c r="X697" s="5">
        <v>1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30">
        <v>0</v>
      </c>
    </row>
    <row r="698">
      <c r="A698" s="24">
        <v>7201</v>
      </c>
      <c r="B698" s="9" t="s">
        <v>965</v>
      </c>
      <c r="C698" s="9" t="s">
        <v>966</v>
      </c>
      <c r="D698" s="9" t="s">
        <v>967</v>
      </c>
      <c r="E698" s="9" t="s">
        <v>318</v>
      </c>
      <c r="F698" s="11">
        <v>1</v>
      </c>
      <c r="G698" s="12">
        <v>0</v>
      </c>
      <c r="H698" s="12">
        <v>0</v>
      </c>
      <c r="I698" s="12">
        <v>0</v>
      </c>
      <c r="J698" s="10">
        <v>1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1</v>
      </c>
      <c r="V698" s="12">
        <v>0</v>
      </c>
      <c r="W698" s="12">
        <v>0</v>
      </c>
      <c r="X698" s="12">
        <v>0</v>
      </c>
      <c r="Y698" s="10">
        <v>1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29">
        <v>0.25</v>
      </c>
    </row>
    <row r="699">
      <c r="A699" s="23">
        <v>7225</v>
      </c>
      <c r="B699" s="4" t="s">
        <v>968</v>
      </c>
      <c r="C699" s="4" t="s">
        <v>67</v>
      </c>
      <c r="D699" s="4" t="s">
        <v>68</v>
      </c>
      <c r="E699" s="4" t="s">
        <v>71</v>
      </c>
      <c r="F699" s="6">
        <v>1</v>
      </c>
      <c r="G699" s="5">
        <v>1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1</v>
      </c>
      <c r="V699" s="5">
        <v>1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30">
        <v>0</v>
      </c>
    </row>
    <row r="700">
      <c r="A700" s="24">
        <v>7258</v>
      </c>
      <c r="B700" s="9" t="s">
        <v>969</v>
      </c>
      <c r="C700" s="9" t="s">
        <v>67</v>
      </c>
      <c r="D700" s="9" t="s">
        <v>111</v>
      </c>
      <c r="E700" s="9" t="s">
        <v>195</v>
      </c>
      <c r="F700" s="11">
        <v>1</v>
      </c>
      <c r="G700" s="12">
        <v>0</v>
      </c>
      <c r="H700" s="12">
        <v>0</v>
      </c>
      <c r="I700" s="10">
        <v>1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1</v>
      </c>
      <c r="V700" s="12">
        <v>0</v>
      </c>
      <c r="W700" s="12">
        <v>0</v>
      </c>
      <c r="X700" s="10">
        <v>1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29">
        <v>0.25</v>
      </c>
    </row>
    <row r="701">
      <c r="A701" s="23">
        <v>7341</v>
      </c>
      <c r="B701" s="4" t="s">
        <v>970</v>
      </c>
      <c r="C701" s="4" t="s">
        <v>971</v>
      </c>
      <c r="D701" s="4" t="s">
        <v>318</v>
      </c>
      <c r="E701" s="4" t="s">
        <v>318</v>
      </c>
      <c r="F701" s="6">
        <v>5</v>
      </c>
      <c r="G701" s="5">
        <v>1</v>
      </c>
      <c r="H701" s="7">
        <v>0</v>
      </c>
      <c r="I701" s="5">
        <v>2</v>
      </c>
      <c r="J701" s="5">
        <v>2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5</v>
      </c>
      <c r="V701" s="5">
        <v>1</v>
      </c>
      <c r="W701" s="7">
        <v>0</v>
      </c>
      <c r="X701" s="5">
        <v>2</v>
      </c>
      <c r="Y701" s="5">
        <v>2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1.25</v>
      </c>
      <c r="AL701" s="5">
        <v>1</v>
      </c>
      <c r="AM701" s="5">
        <v>2</v>
      </c>
      <c r="AN701" s="30">
        <v>0</v>
      </c>
    </row>
    <row r="702">
      <c r="A702" s="24">
        <v>7349</v>
      </c>
      <c r="B702" s="9" t="s">
        <v>972</v>
      </c>
      <c r="C702" s="9" t="s">
        <v>136</v>
      </c>
      <c r="D702" s="9" t="s">
        <v>910</v>
      </c>
      <c r="E702" s="9" t="s">
        <v>973</v>
      </c>
      <c r="F702" s="11">
        <v>1</v>
      </c>
      <c r="G702" s="12">
        <v>0</v>
      </c>
      <c r="H702" s="12">
        <v>0</v>
      </c>
      <c r="I702" s="12">
        <v>0</v>
      </c>
      <c r="J702" s="10">
        <v>1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1</v>
      </c>
      <c r="V702" s="12">
        <v>0</v>
      </c>
      <c r="W702" s="12">
        <v>0</v>
      </c>
      <c r="X702" s="12">
        <v>0</v>
      </c>
      <c r="Y702" s="10">
        <v>1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0.22</v>
      </c>
    </row>
    <row r="703">
      <c r="A703" s="23">
        <v>7370</v>
      </c>
      <c r="B703" s="4" t="s">
        <v>974</v>
      </c>
      <c r="C703" s="4" t="s">
        <v>67</v>
      </c>
      <c r="D703" s="4" t="s">
        <v>76</v>
      </c>
      <c r="E703" s="4" t="s">
        <v>120</v>
      </c>
      <c r="F703" s="6">
        <v>3</v>
      </c>
      <c r="G703" s="5">
        <v>2</v>
      </c>
      <c r="H703" s="5">
        <v>1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3</v>
      </c>
      <c r="V703" s="5">
        <v>2</v>
      </c>
      <c r="W703" s="5">
        <v>1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1.5</v>
      </c>
      <c r="AL703" s="5">
        <v>1</v>
      </c>
      <c r="AM703" s="5">
        <v>2</v>
      </c>
      <c r="AN703" s="28">
        <v>0.25</v>
      </c>
    </row>
    <row r="704">
      <c r="A704" s="24">
        <v>7439</v>
      </c>
      <c r="B704" s="9" t="s">
        <v>975</v>
      </c>
      <c r="C704" s="9" t="s">
        <v>558</v>
      </c>
      <c r="D704" s="9" t="s">
        <v>976</v>
      </c>
      <c r="E704" s="9" t="s">
        <v>318</v>
      </c>
      <c r="F704" s="11">
        <v>5</v>
      </c>
      <c r="G704" s="10">
        <v>1</v>
      </c>
      <c r="H704" s="10">
        <v>2</v>
      </c>
      <c r="I704" s="10">
        <v>1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5</v>
      </c>
      <c r="V704" s="10">
        <v>1</v>
      </c>
      <c r="W704" s="10">
        <v>2</v>
      </c>
      <c r="X704" s="10">
        <v>1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1.25</v>
      </c>
      <c r="AL704" s="10">
        <v>1</v>
      </c>
      <c r="AM704" s="10">
        <v>2</v>
      </c>
      <c r="AN704" s="29">
        <v>0.5</v>
      </c>
    </row>
    <row r="705">
      <c r="A705" s="23">
        <v>7440</v>
      </c>
      <c r="B705" s="4" t="s">
        <v>977</v>
      </c>
      <c r="C705" s="4" t="s">
        <v>558</v>
      </c>
      <c r="D705" s="4" t="s">
        <v>976</v>
      </c>
      <c r="E705" s="4" t="s">
        <v>318</v>
      </c>
      <c r="F705" s="6">
        <v>2</v>
      </c>
      <c r="G705" s="7">
        <v>0</v>
      </c>
      <c r="H705" s="5">
        <v>1</v>
      </c>
      <c r="I705" s="7">
        <v>0</v>
      </c>
      <c r="J705" s="5">
        <v>1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2</v>
      </c>
      <c r="V705" s="7">
        <v>0</v>
      </c>
      <c r="W705" s="5">
        <v>1</v>
      </c>
      <c r="X705" s="7">
        <v>0</v>
      </c>
      <c r="Y705" s="5">
        <v>1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28">
        <v>0.44</v>
      </c>
    </row>
    <row r="706">
      <c r="A706" s="24">
        <v>7496</v>
      </c>
      <c r="B706" s="9" t="s">
        <v>978</v>
      </c>
      <c r="C706" s="9" t="s">
        <v>67</v>
      </c>
      <c r="D706" s="9" t="s">
        <v>68</v>
      </c>
      <c r="E706" s="9" t="s">
        <v>237</v>
      </c>
      <c r="F706" s="11">
        <v>2</v>
      </c>
      <c r="G706" s="10">
        <v>2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2</v>
      </c>
      <c r="V706" s="10">
        <v>2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2</v>
      </c>
      <c r="AK706" s="13">
        <v>2</v>
      </c>
      <c r="AL706" s="10">
        <v>2</v>
      </c>
      <c r="AM706" s="10">
        <v>2</v>
      </c>
      <c r="AN706" s="31">
        <v>0</v>
      </c>
    </row>
    <row r="707">
      <c r="A707" s="23">
        <v>7514</v>
      </c>
      <c r="B707" s="4" t="s">
        <v>979</v>
      </c>
      <c r="C707" s="4" t="s">
        <v>136</v>
      </c>
      <c r="D707" s="4" t="s">
        <v>137</v>
      </c>
      <c r="E707" s="4" t="s">
        <v>561</v>
      </c>
      <c r="F707" s="6">
        <v>1</v>
      </c>
      <c r="G707" s="7">
        <v>0</v>
      </c>
      <c r="H707" s="7">
        <v>0</v>
      </c>
      <c r="I707" s="7">
        <v>0</v>
      </c>
      <c r="J707" s="5">
        <v>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1</v>
      </c>
      <c r="V707" s="7">
        <v>0</v>
      </c>
      <c r="W707" s="7">
        <v>0</v>
      </c>
      <c r="X707" s="7">
        <v>0</v>
      </c>
      <c r="Y707" s="5">
        <v>1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30">
        <v>0</v>
      </c>
    </row>
    <row r="708">
      <c r="A708" s="24">
        <v>7534</v>
      </c>
      <c r="B708" s="9" t="s">
        <v>980</v>
      </c>
      <c r="C708" s="9" t="s">
        <v>67</v>
      </c>
      <c r="D708" s="9" t="s">
        <v>73</v>
      </c>
      <c r="E708" s="9" t="s">
        <v>74</v>
      </c>
      <c r="F708" s="11">
        <v>1</v>
      </c>
      <c r="G708" s="12">
        <v>0</v>
      </c>
      <c r="H708" s="12">
        <v>0</v>
      </c>
      <c r="I708" s="12">
        <v>0</v>
      </c>
      <c r="J708" s="10">
        <v>1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1</v>
      </c>
      <c r="V708" s="12">
        <v>0</v>
      </c>
      <c r="W708" s="12">
        <v>0</v>
      </c>
      <c r="X708" s="12">
        <v>0</v>
      </c>
      <c r="Y708" s="10">
        <v>1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31">
        <v>0</v>
      </c>
    </row>
    <row r="709">
      <c r="A709" s="23">
        <v>7537</v>
      </c>
      <c r="B709" s="4" t="s">
        <v>981</v>
      </c>
      <c r="C709" s="4" t="s">
        <v>67</v>
      </c>
      <c r="D709" s="4" t="s">
        <v>105</v>
      </c>
      <c r="E709" s="4" t="s">
        <v>227</v>
      </c>
      <c r="F709" s="6">
        <v>1</v>
      </c>
      <c r="G709" s="7">
        <v>0</v>
      </c>
      <c r="H709" s="7">
        <v>0</v>
      </c>
      <c r="I709" s="7">
        <v>0</v>
      </c>
      <c r="J709" s="5">
        <v>1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1</v>
      </c>
      <c r="V709" s="7">
        <v>0</v>
      </c>
      <c r="W709" s="7">
        <v>0</v>
      </c>
      <c r="X709" s="7">
        <v>0</v>
      </c>
      <c r="Y709" s="5">
        <v>1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28">
        <v>0.25</v>
      </c>
    </row>
    <row r="710">
      <c r="A710" s="24">
        <v>7538</v>
      </c>
      <c r="B710" s="9" t="s">
        <v>982</v>
      </c>
      <c r="C710" s="9" t="s">
        <v>136</v>
      </c>
      <c r="D710" s="9" t="s">
        <v>461</v>
      </c>
      <c r="E710" s="9" t="s">
        <v>462</v>
      </c>
      <c r="F710" s="11">
        <v>2</v>
      </c>
      <c r="G710" s="10">
        <v>1</v>
      </c>
      <c r="H710" s="10">
        <v>1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2</v>
      </c>
      <c r="V710" s="10">
        <v>1</v>
      </c>
      <c r="W710" s="10">
        <v>1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29">
        <v>0.25</v>
      </c>
    </row>
    <row r="711">
      <c r="A711" s="23">
        <v>7552</v>
      </c>
      <c r="B711" s="4" t="s">
        <v>983</v>
      </c>
      <c r="C711" s="4" t="s">
        <v>136</v>
      </c>
      <c r="D711" s="4" t="s">
        <v>548</v>
      </c>
      <c r="E711" s="4" t="s">
        <v>318</v>
      </c>
      <c r="F711" s="6">
        <v>1</v>
      </c>
      <c r="G711" s="7">
        <v>0</v>
      </c>
      <c r="H711" s="7">
        <v>0</v>
      </c>
      <c r="I711" s="5">
        <v>1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1</v>
      </c>
      <c r="V711" s="7">
        <v>0</v>
      </c>
      <c r="W711" s="7">
        <v>0</v>
      </c>
      <c r="X711" s="5">
        <v>1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30">
        <v>0</v>
      </c>
    </row>
    <row r="712">
      <c r="A712" s="24">
        <v>7589</v>
      </c>
      <c r="B712" s="9" t="s">
        <v>984</v>
      </c>
      <c r="C712" s="9" t="s">
        <v>67</v>
      </c>
      <c r="D712" s="9" t="s">
        <v>76</v>
      </c>
      <c r="E712" s="9" t="s">
        <v>120</v>
      </c>
      <c r="F712" s="11">
        <v>2</v>
      </c>
      <c r="G712" s="10">
        <v>1</v>
      </c>
      <c r="H712" s="12">
        <v>0</v>
      </c>
      <c r="I712" s="10">
        <v>1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2</v>
      </c>
      <c r="V712" s="10">
        <v>1</v>
      </c>
      <c r="W712" s="12">
        <v>0</v>
      </c>
      <c r="X712" s="10">
        <v>1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31">
        <v>0</v>
      </c>
    </row>
    <row r="713">
      <c r="A713" s="23">
        <v>7591</v>
      </c>
      <c r="B713" s="4" t="s">
        <v>985</v>
      </c>
      <c r="C713" s="4" t="s">
        <v>67</v>
      </c>
      <c r="D713" s="4" t="s">
        <v>105</v>
      </c>
      <c r="E713" s="4" t="s">
        <v>106</v>
      </c>
      <c r="F713" s="6">
        <v>1</v>
      </c>
      <c r="G713" s="7">
        <v>0</v>
      </c>
      <c r="H713" s="5">
        <v>1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1</v>
      </c>
      <c r="V713" s="7">
        <v>0</v>
      </c>
      <c r="W713" s="5">
        <v>1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28">
        <v>0.36</v>
      </c>
    </row>
    <row r="714">
      <c r="A714" s="24">
        <v>7598</v>
      </c>
      <c r="B714" s="9" t="s">
        <v>986</v>
      </c>
      <c r="C714" s="9" t="s">
        <v>67</v>
      </c>
      <c r="D714" s="9" t="s">
        <v>142</v>
      </c>
      <c r="E714" s="9" t="s">
        <v>520</v>
      </c>
      <c r="F714" s="11">
        <v>2</v>
      </c>
      <c r="G714" s="10">
        <v>1</v>
      </c>
      <c r="H714" s="12">
        <v>0</v>
      </c>
      <c r="I714" s="10">
        <v>1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2</v>
      </c>
      <c r="V714" s="10">
        <v>1</v>
      </c>
      <c r="W714" s="12">
        <v>0</v>
      </c>
      <c r="X714" s="10">
        <v>1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31">
        <v>0</v>
      </c>
    </row>
    <row r="715">
      <c r="A715" s="23">
        <v>7622</v>
      </c>
      <c r="B715" s="4" t="s">
        <v>987</v>
      </c>
      <c r="C715" s="4" t="s">
        <v>67</v>
      </c>
      <c r="D715" s="4" t="s">
        <v>111</v>
      </c>
      <c r="E715" s="4" t="s">
        <v>412</v>
      </c>
      <c r="F715" s="6">
        <v>1</v>
      </c>
      <c r="G715" s="5">
        <v>1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1</v>
      </c>
      <c r="V715" s="5">
        <v>1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30">
        <v>0</v>
      </c>
    </row>
    <row r="716">
      <c r="A716" s="24">
        <v>7631</v>
      </c>
      <c r="B716" s="9" t="s">
        <v>988</v>
      </c>
      <c r="C716" s="9" t="s">
        <v>67</v>
      </c>
      <c r="D716" s="9" t="s">
        <v>105</v>
      </c>
      <c r="E716" s="9" t="s">
        <v>303</v>
      </c>
      <c r="F716" s="11">
        <v>1</v>
      </c>
      <c r="G716" s="10">
        <v>1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1</v>
      </c>
      <c r="V716" s="10">
        <v>1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31">
        <v>0</v>
      </c>
    </row>
    <row r="717">
      <c r="A717" s="23">
        <v>7633</v>
      </c>
      <c r="B717" s="4" t="s">
        <v>989</v>
      </c>
      <c r="C717" s="4" t="s">
        <v>67</v>
      </c>
      <c r="D717" s="4" t="s">
        <v>76</v>
      </c>
      <c r="E717" s="4" t="s">
        <v>123</v>
      </c>
      <c r="F717" s="6">
        <v>1</v>
      </c>
      <c r="G717" s="7">
        <v>0</v>
      </c>
      <c r="H717" s="7">
        <v>0</v>
      </c>
      <c r="I717" s="7">
        <v>0</v>
      </c>
      <c r="J717" s="5">
        <v>1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1</v>
      </c>
      <c r="V717" s="7">
        <v>0</v>
      </c>
      <c r="W717" s="7">
        <v>0</v>
      </c>
      <c r="X717" s="7">
        <v>0</v>
      </c>
      <c r="Y717" s="5">
        <v>1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30">
        <v>0</v>
      </c>
    </row>
    <row r="718">
      <c r="A718" s="24">
        <v>7654</v>
      </c>
      <c r="B718" s="9" t="s">
        <v>990</v>
      </c>
      <c r="C718" s="9" t="s">
        <v>67</v>
      </c>
      <c r="D718" s="9" t="s">
        <v>111</v>
      </c>
      <c r="E718" s="9" t="s">
        <v>195</v>
      </c>
      <c r="F718" s="11">
        <v>2</v>
      </c>
      <c r="G718" s="12">
        <v>0</v>
      </c>
      <c r="H718" s="10">
        <v>2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2</v>
      </c>
      <c r="V718" s="12">
        <v>0</v>
      </c>
      <c r="W718" s="10">
        <v>2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2</v>
      </c>
      <c r="AK718" s="13">
        <v>2</v>
      </c>
      <c r="AL718" s="10">
        <v>2</v>
      </c>
      <c r="AM718" s="10">
        <v>2</v>
      </c>
      <c r="AN718" s="29">
        <v>0.48</v>
      </c>
    </row>
    <row r="719">
      <c r="A719" s="23">
        <v>7657</v>
      </c>
      <c r="B719" s="4" t="s">
        <v>846</v>
      </c>
      <c r="C719" s="4" t="s">
        <v>67</v>
      </c>
      <c r="D719" s="4" t="s">
        <v>100</v>
      </c>
      <c r="E719" s="4" t="s">
        <v>869</v>
      </c>
      <c r="F719" s="6">
        <v>3</v>
      </c>
      <c r="G719" s="5">
        <v>1</v>
      </c>
      <c r="H719" s="7">
        <v>0</v>
      </c>
      <c r="I719" s="5">
        <v>1</v>
      </c>
      <c r="J719" s="5">
        <v>1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3</v>
      </c>
      <c r="V719" s="5">
        <v>1</v>
      </c>
      <c r="W719" s="7">
        <v>0</v>
      </c>
      <c r="X719" s="5">
        <v>1</v>
      </c>
      <c r="Y719" s="5">
        <v>1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30">
        <v>0</v>
      </c>
    </row>
    <row r="720">
      <c r="A720" s="24">
        <v>7671</v>
      </c>
      <c r="B720" s="9" t="s">
        <v>991</v>
      </c>
      <c r="C720" s="9" t="s">
        <v>992</v>
      </c>
      <c r="D720" s="9" t="s">
        <v>993</v>
      </c>
      <c r="E720" s="9" t="s">
        <v>994</v>
      </c>
      <c r="F720" s="11">
        <v>2</v>
      </c>
      <c r="G720" s="12">
        <v>0</v>
      </c>
      <c r="H720" s="12">
        <v>0</v>
      </c>
      <c r="I720" s="10">
        <v>2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2</v>
      </c>
      <c r="V720" s="12">
        <v>0</v>
      </c>
      <c r="W720" s="12">
        <v>0</v>
      </c>
      <c r="X720" s="10">
        <v>2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29">
        <v>0.25</v>
      </c>
    </row>
    <row r="721">
      <c r="A721" s="23">
        <v>7789</v>
      </c>
      <c r="B721" s="4" t="s">
        <v>995</v>
      </c>
      <c r="C721" s="4" t="s">
        <v>992</v>
      </c>
      <c r="D721" s="4" t="s">
        <v>996</v>
      </c>
      <c r="E721" s="4" t="s">
        <v>997</v>
      </c>
      <c r="F721" s="6">
        <v>1</v>
      </c>
      <c r="G721" s="7">
        <v>0</v>
      </c>
      <c r="H721" s="7">
        <v>0</v>
      </c>
      <c r="I721" s="7">
        <v>0</v>
      </c>
      <c r="J721" s="5">
        <v>1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1</v>
      </c>
      <c r="V721" s="7">
        <v>0</v>
      </c>
      <c r="W721" s="7">
        <v>0</v>
      </c>
      <c r="X721" s="7">
        <v>0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0.25</v>
      </c>
    </row>
    <row r="722">
      <c r="A722" s="24">
        <v>7793</v>
      </c>
      <c r="B722" s="9" t="s">
        <v>998</v>
      </c>
      <c r="C722" s="9" t="s">
        <v>992</v>
      </c>
      <c r="D722" s="9" t="s">
        <v>993</v>
      </c>
      <c r="E722" s="9" t="s">
        <v>999</v>
      </c>
      <c r="F722" s="11">
        <v>1</v>
      </c>
      <c r="G722" s="12">
        <v>0</v>
      </c>
      <c r="H722" s="12">
        <v>0</v>
      </c>
      <c r="I722" s="12">
        <v>0</v>
      </c>
      <c r="J722" s="10">
        <v>1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1</v>
      </c>
      <c r="V722" s="12">
        <v>0</v>
      </c>
      <c r="W722" s="12">
        <v>0</v>
      </c>
      <c r="X722" s="12">
        <v>0</v>
      </c>
      <c r="Y722" s="10">
        <v>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0.25</v>
      </c>
    </row>
    <row r="723">
      <c r="A723" s="23">
        <v>7818</v>
      </c>
      <c r="B723" s="4" t="s">
        <v>1000</v>
      </c>
      <c r="C723" s="4" t="s">
        <v>992</v>
      </c>
      <c r="D723" s="4" t="s">
        <v>1001</v>
      </c>
      <c r="E723" s="4" t="s">
        <v>1002</v>
      </c>
      <c r="F723" s="6">
        <v>1</v>
      </c>
      <c r="G723" s="7">
        <v>0</v>
      </c>
      <c r="H723" s="7">
        <v>0</v>
      </c>
      <c r="I723" s="7">
        <v>0</v>
      </c>
      <c r="J723" s="5">
        <v>1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1</v>
      </c>
      <c r="V723" s="7">
        <v>0</v>
      </c>
      <c r="W723" s="7">
        <v>0</v>
      </c>
      <c r="X723" s="7">
        <v>0</v>
      </c>
      <c r="Y723" s="5">
        <v>1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28">
        <v>0.25</v>
      </c>
    </row>
    <row r="724">
      <c r="A724" s="24">
        <v>7925</v>
      </c>
      <c r="B724" s="9" t="s">
        <v>1003</v>
      </c>
      <c r="C724" s="9" t="s">
        <v>163</v>
      </c>
      <c r="D724" s="9" t="s">
        <v>1004</v>
      </c>
      <c r="E724" s="9" t="s">
        <v>1005</v>
      </c>
      <c r="F724" s="11">
        <v>5</v>
      </c>
      <c r="G724" s="10">
        <v>2</v>
      </c>
      <c r="H724" s="10">
        <v>3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3</v>
      </c>
      <c r="V724" s="10">
        <v>2</v>
      </c>
      <c r="W724" s="10">
        <v>1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2</v>
      </c>
      <c r="AK724" s="13">
        <v>2.5</v>
      </c>
      <c r="AL724" s="10">
        <v>2</v>
      </c>
      <c r="AM724" s="10">
        <v>3</v>
      </c>
      <c r="AN724" s="29">
        <v>0.85</v>
      </c>
    </row>
    <row r="725">
      <c r="A725" s="23">
        <v>7935</v>
      </c>
      <c r="B725" s="4" t="s">
        <v>1006</v>
      </c>
      <c r="C725" s="4" t="s">
        <v>67</v>
      </c>
      <c r="D725" s="4" t="s">
        <v>89</v>
      </c>
      <c r="E725" s="4" t="s">
        <v>322</v>
      </c>
      <c r="F725" s="6">
        <v>5</v>
      </c>
      <c r="G725" s="5">
        <v>3</v>
      </c>
      <c r="H725" s="7">
        <v>0</v>
      </c>
      <c r="I725" s="5">
        <v>1</v>
      </c>
      <c r="J725" s="5">
        <v>1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5</v>
      </c>
      <c r="V725" s="5">
        <v>3</v>
      </c>
      <c r="W725" s="7">
        <v>0</v>
      </c>
      <c r="X725" s="5">
        <v>1</v>
      </c>
      <c r="Y725" s="5">
        <v>1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1.67</v>
      </c>
      <c r="AL725" s="5">
        <v>1</v>
      </c>
      <c r="AM725" s="5">
        <v>3</v>
      </c>
      <c r="AN725" s="28">
        <v>0.22</v>
      </c>
    </row>
    <row r="726">
      <c r="A726" s="24">
        <v>8021</v>
      </c>
      <c r="B726" s="9" t="s">
        <v>1007</v>
      </c>
      <c r="C726" s="9" t="s">
        <v>208</v>
      </c>
      <c r="D726" s="9" t="s">
        <v>209</v>
      </c>
      <c r="E726" s="9" t="s">
        <v>1008</v>
      </c>
      <c r="F726" s="11">
        <v>6</v>
      </c>
      <c r="G726" s="12">
        <v>0</v>
      </c>
      <c r="H726" s="10">
        <v>3</v>
      </c>
      <c r="I726" s="12">
        <v>0</v>
      </c>
      <c r="J726" s="10">
        <v>3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5</v>
      </c>
      <c r="V726" s="12">
        <v>0</v>
      </c>
      <c r="W726" s="10">
        <v>3</v>
      </c>
      <c r="X726" s="12">
        <v>0</v>
      </c>
      <c r="Y726" s="10">
        <v>2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3</v>
      </c>
      <c r="AK726" s="13">
        <v>3</v>
      </c>
      <c r="AL726" s="10">
        <v>3</v>
      </c>
      <c r="AM726" s="10">
        <v>3</v>
      </c>
      <c r="AN726" s="29">
        <v>1.25</v>
      </c>
    </row>
    <row r="727">
      <c r="A727" s="23">
        <v>8043</v>
      </c>
      <c r="B727" s="4" t="s">
        <v>1009</v>
      </c>
      <c r="C727" s="4" t="s">
        <v>504</v>
      </c>
      <c r="D727" s="4" t="s">
        <v>734</v>
      </c>
      <c r="E727" s="4" t="s">
        <v>898</v>
      </c>
      <c r="F727" s="6">
        <v>2</v>
      </c>
      <c r="G727" s="7">
        <v>0</v>
      </c>
      <c r="H727" s="5">
        <v>1</v>
      </c>
      <c r="I727" s="7">
        <v>0</v>
      </c>
      <c r="J727" s="5">
        <v>1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2</v>
      </c>
      <c r="V727" s="7">
        <v>0</v>
      </c>
      <c r="W727" s="5">
        <v>1</v>
      </c>
      <c r="X727" s="7">
        <v>0</v>
      </c>
      <c r="Y727" s="5">
        <v>1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28">
        <v>0.52</v>
      </c>
    </row>
    <row r="728">
      <c r="A728" s="24">
        <v>8095</v>
      </c>
      <c r="B728" s="9" t="s">
        <v>1010</v>
      </c>
      <c r="C728" s="9" t="s">
        <v>67</v>
      </c>
      <c r="D728" s="9" t="s">
        <v>89</v>
      </c>
      <c r="E728" s="9" t="s">
        <v>90</v>
      </c>
      <c r="F728" s="11">
        <v>2</v>
      </c>
      <c r="G728" s="12">
        <v>0</v>
      </c>
      <c r="H728" s="12">
        <v>0</v>
      </c>
      <c r="I728" s="12">
        <v>0</v>
      </c>
      <c r="J728" s="10">
        <v>2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1</v>
      </c>
      <c r="V728" s="12">
        <v>0</v>
      </c>
      <c r="W728" s="12">
        <v>0</v>
      </c>
      <c r="X728" s="12">
        <v>0</v>
      </c>
      <c r="Y728" s="10">
        <v>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2</v>
      </c>
      <c r="AK728" s="13">
        <v>2</v>
      </c>
      <c r="AL728" s="10">
        <v>2</v>
      </c>
      <c r="AM728" s="10">
        <v>2</v>
      </c>
      <c r="AN728" s="31">
        <v>0</v>
      </c>
    </row>
    <row r="729">
      <c r="A729" s="23">
        <v>8151</v>
      </c>
      <c r="B729" s="4" t="s">
        <v>1011</v>
      </c>
      <c r="C729" s="4" t="s">
        <v>136</v>
      </c>
      <c r="D729" s="4" t="s">
        <v>618</v>
      </c>
      <c r="E729" s="4" t="s">
        <v>619</v>
      </c>
      <c r="F729" s="6">
        <v>1</v>
      </c>
      <c r="G729" s="7">
        <v>0</v>
      </c>
      <c r="H729" s="7">
        <v>0</v>
      </c>
      <c r="I729" s="7">
        <v>0</v>
      </c>
      <c r="J729" s="5">
        <v>1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1</v>
      </c>
      <c r="V729" s="7">
        <v>0</v>
      </c>
      <c r="W729" s="7">
        <v>0</v>
      </c>
      <c r="X729" s="7">
        <v>0</v>
      </c>
      <c r="Y729" s="5">
        <v>1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28">
        <v>0.25</v>
      </c>
    </row>
    <row r="730">
      <c r="A730" s="24">
        <v>8211</v>
      </c>
      <c r="B730" s="9" t="s">
        <v>1012</v>
      </c>
      <c r="C730" s="9" t="s">
        <v>67</v>
      </c>
      <c r="D730" s="9" t="s">
        <v>105</v>
      </c>
      <c r="E730" s="9" t="s">
        <v>227</v>
      </c>
      <c r="F730" s="11">
        <v>14</v>
      </c>
      <c r="G730" s="12">
        <v>0</v>
      </c>
      <c r="H730" s="12">
        <v>0</v>
      </c>
      <c r="I730" s="12">
        <v>0</v>
      </c>
      <c r="J730" s="10">
        <v>14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10</v>
      </c>
      <c r="V730" s="12">
        <v>0</v>
      </c>
      <c r="W730" s="12">
        <v>0</v>
      </c>
      <c r="X730" s="12">
        <v>0</v>
      </c>
      <c r="Y730" s="10">
        <v>10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3</v>
      </c>
      <c r="AK730" s="13">
        <v>7</v>
      </c>
      <c r="AL730" s="10">
        <v>7</v>
      </c>
      <c r="AM730" s="10">
        <v>11</v>
      </c>
      <c r="AN730" s="29">
        <v>2.5</v>
      </c>
    </row>
    <row r="731">
      <c r="A731" s="23">
        <v>8214</v>
      </c>
      <c r="B731" s="4" t="s">
        <v>1013</v>
      </c>
      <c r="C731" s="4" t="s">
        <v>67</v>
      </c>
      <c r="D731" s="4" t="s">
        <v>105</v>
      </c>
      <c r="E731" s="4" t="s">
        <v>193</v>
      </c>
      <c r="F731" s="6">
        <v>2</v>
      </c>
      <c r="G731" s="5">
        <v>2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2</v>
      </c>
      <c r="V731" s="5">
        <v>2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28">
        <v>0.37</v>
      </c>
    </row>
    <row r="732">
      <c r="A732" s="24">
        <v>8278</v>
      </c>
      <c r="B732" s="9" t="s">
        <v>1014</v>
      </c>
      <c r="C732" s="9" t="s">
        <v>163</v>
      </c>
      <c r="D732" s="9" t="s">
        <v>1015</v>
      </c>
      <c r="E732" s="9" t="s">
        <v>1016</v>
      </c>
      <c r="F732" s="11">
        <v>1</v>
      </c>
      <c r="G732" s="12">
        <v>0</v>
      </c>
      <c r="H732" s="12">
        <v>0</v>
      </c>
      <c r="I732" s="12">
        <v>0</v>
      </c>
      <c r="J732" s="12">
        <v>0</v>
      </c>
      <c r="K732" s="10">
        <v>1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1</v>
      </c>
      <c r="V732" s="12">
        <v>0</v>
      </c>
      <c r="W732" s="12">
        <v>0</v>
      </c>
      <c r="X732" s="12">
        <v>0</v>
      </c>
      <c r="Y732" s="12">
        <v>0</v>
      </c>
      <c r="Z732" s="10">
        <v>1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31">
        <v>0</v>
      </c>
    </row>
    <row r="733">
      <c r="A733" s="23">
        <v>8289</v>
      </c>
      <c r="B733" s="4" t="s">
        <v>1017</v>
      </c>
      <c r="C733" s="4" t="s">
        <v>163</v>
      </c>
      <c r="D733" s="4" t="s">
        <v>173</v>
      </c>
      <c r="E733" s="4" t="s">
        <v>176</v>
      </c>
      <c r="F733" s="6">
        <v>1</v>
      </c>
      <c r="G733" s="7">
        <v>0</v>
      </c>
      <c r="H733" s="5">
        <v>1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1</v>
      </c>
      <c r="V733" s="7">
        <v>0</v>
      </c>
      <c r="W733" s="5">
        <v>1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28">
        <v>0.25</v>
      </c>
    </row>
    <row r="734">
      <c r="A734" s="24">
        <v>8352</v>
      </c>
      <c r="B734" s="9" t="s">
        <v>1018</v>
      </c>
      <c r="C734" s="9" t="s">
        <v>558</v>
      </c>
      <c r="D734" s="9" t="s">
        <v>570</v>
      </c>
      <c r="E734" s="9" t="s">
        <v>318</v>
      </c>
      <c r="F734" s="11">
        <v>1</v>
      </c>
      <c r="G734" s="12">
        <v>0</v>
      </c>
      <c r="H734" s="12">
        <v>0</v>
      </c>
      <c r="I734" s="10">
        <v>1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1</v>
      </c>
      <c r="V734" s="12">
        <v>0</v>
      </c>
      <c r="W734" s="12">
        <v>0</v>
      </c>
      <c r="X734" s="10">
        <v>1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31">
        <v>0</v>
      </c>
    </row>
    <row r="735">
      <c r="A735" s="23">
        <v>8481</v>
      </c>
      <c r="B735" s="4" t="s">
        <v>1019</v>
      </c>
      <c r="C735" s="4" t="s">
        <v>67</v>
      </c>
      <c r="D735" s="4" t="s">
        <v>79</v>
      </c>
      <c r="E735" s="4" t="s">
        <v>82</v>
      </c>
      <c r="F735" s="6">
        <v>3</v>
      </c>
      <c r="G735" s="5">
        <v>2</v>
      </c>
      <c r="H735" s="7">
        <v>0</v>
      </c>
      <c r="I735" s="7">
        <v>0</v>
      </c>
      <c r="J735" s="5">
        <v>1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2</v>
      </c>
      <c r="V735" s="5">
        <v>1</v>
      </c>
      <c r="W735" s="7">
        <v>0</v>
      </c>
      <c r="X735" s="7">
        <v>0</v>
      </c>
      <c r="Y735" s="5">
        <v>1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1.5</v>
      </c>
      <c r="AL735" s="5">
        <v>1</v>
      </c>
      <c r="AM735" s="5">
        <v>2</v>
      </c>
      <c r="AN735" s="28">
        <v>0.25</v>
      </c>
    </row>
    <row r="736">
      <c r="A736" s="24">
        <v>8535</v>
      </c>
      <c r="B736" s="9" t="s">
        <v>1020</v>
      </c>
      <c r="C736" s="9" t="s">
        <v>509</v>
      </c>
      <c r="D736" s="9" t="s">
        <v>1021</v>
      </c>
      <c r="E736" s="9" t="s">
        <v>318</v>
      </c>
      <c r="F736" s="11">
        <v>1</v>
      </c>
      <c r="G736" s="12">
        <v>0</v>
      </c>
      <c r="H736" s="12">
        <v>0</v>
      </c>
      <c r="I736" s="12">
        <v>0</v>
      </c>
      <c r="J736" s="10">
        <v>1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1</v>
      </c>
      <c r="V736" s="12">
        <v>0</v>
      </c>
      <c r="W736" s="12">
        <v>0</v>
      </c>
      <c r="X736" s="12">
        <v>0</v>
      </c>
      <c r="Y736" s="10">
        <v>1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29">
        <v>0.26</v>
      </c>
    </row>
    <row r="737">
      <c r="A737" s="23">
        <v>8540</v>
      </c>
      <c r="B737" s="4" t="s">
        <v>1022</v>
      </c>
      <c r="C737" s="4" t="s">
        <v>67</v>
      </c>
      <c r="D737" s="4" t="s">
        <v>73</v>
      </c>
      <c r="E737" s="4" t="s">
        <v>74</v>
      </c>
      <c r="F737" s="6">
        <v>1</v>
      </c>
      <c r="G737" s="7">
        <v>0</v>
      </c>
      <c r="H737" s="5">
        <v>1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1</v>
      </c>
      <c r="V737" s="7">
        <v>0</v>
      </c>
      <c r="W737" s="5">
        <v>1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30">
        <v>0</v>
      </c>
    </row>
    <row r="738">
      <c r="A738" s="24">
        <v>8566</v>
      </c>
      <c r="B738" s="9" t="s">
        <v>1023</v>
      </c>
      <c r="C738" s="9" t="s">
        <v>67</v>
      </c>
      <c r="D738" s="9" t="s">
        <v>142</v>
      </c>
      <c r="E738" s="9" t="s">
        <v>432</v>
      </c>
      <c r="F738" s="11">
        <v>1</v>
      </c>
      <c r="G738" s="12">
        <v>0</v>
      </c>
      <c r="H738" s="12">
        <v>0</v>
      </c>
      <c r="I738" s="10">
        <v>1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1</v>
      </c>
      <c r="V738" s="12">
        <v>0</v>
      </c>
      <c r="W738" s="12">
        <v>0</v>
      </c>
      <c r="X738" s="10">
        <v>1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31">
        <v>0</v>
      </c>
    </row>
    <row r="739">
      <c r="A739" s="23">
        <v>8635</v>
      </c>
      <c r="B739" s="4" t="s">
        <v>1024</v>
      </c>
      <c r="C739" s="4" t="s">
        <v>67</v>
      </c>
      <c r="D739" s="4" t="s">
        <v>84</v>
      </c>
      <c r="E739" s="4" t="s">
        <v>1025</v>
      </c>
      <c r="F739" s="6">
        <v>3</v>
      </c>
      <c r="G739" s="5">
        <v>1</v>
      </c>
      <c r="H739" s="7">
        <v>0</v>
      </c>
      <c r="I739" s="7">
        <v>0</v>
      </c>
      <c r="J739" s="5">
        <v>2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2</v>
      </c>
      <c r="V739" s="5">
        <v>1</v>
      </c>
      <c r="W739" s="7">
        <v>0</v>
      </c>
      <c r="X739" s="7">
        <v>0</v>
      </c>
      <c r="Y739" s="5">
        <v>1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1.5</v>
      </c>
      <c r="AL739" s="5">
        <v>1</v>
      </c>
      <c r="AM739" s="5">
        <v>2</v>
      </c>
      <c r="AN739" s="28">
        <v>0.26</v>
      </c>
    </row>
    <row r="740">
      <c r="A740" s="24">
        <v>8651</v>
      </c>
      <c r="B740" s="9" t="s">
        <v>1026</v>
      </c>
      <c r="C740" s="9" t="s">
        <v>67</v>
      </c>
      <c r="D740" s="9" t="s">
        <v>100</v>
      </c>
      <c r="E740" s="9" t="s">
        <v>869</v>
      </c>
      <c r="F740" s="11">
        <v>2</v>
      </c>
      <c r="G740" s="12">
        <v>0</v>
      </c>
      <c r="H740" s="12">
        <v>0</v>
      </c>
      <c r="I740" s="10">
        <v>2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2</v>
      </c>
      <c r="V740" s="12">
        <v>0</v>
      </c>
      <c r="W740" s="12">
        <v>0</v>
      </c>
      <c r="X740" s="10">
        <v>2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0.25</v>
      </c>
    </row>
    <row r="741">
      <c r="A741" s="23">
        <v>8695</v>
      </c>
      <c r="B741" s="4" t="s">
        <v>1027</v>
      </c>
      <c r="C741" s="4" t="s">
        <v>136</v>
      </c>
      <c r="D741" s="4" t="s">
        <v>223</v>
      </c>
      <c r="E741" s="4" t="s">
        <v>224</v>
      </c>
      <c r="F741" s="6">
        <v>1</v>
      </c>
      <c r="G741" s="7">
        <v>0</v>
      </c>
      <c r="H741" s="7">
        <v>0</v>
      </c>
      <c r="I741" s="5">
        <v>1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1</v>
      </c>
      <c r="V741" s="7">
        <v>0</v>
      </c>
      <c r="W741" s="7">
        <v>0</v>
      </c>
      <c r="X741" s="5">
        <v>1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28">
        <v>0.24</v>
      </c>
    </row>
    <row r="742">
      <c r="A742" s="24">
        <v>8696</v>
      </c>
      <c r="B742" s="9" t="s">
        <v>1028</v>
      </c>
      <c r="C742" s="9" t="s">
        <v>136</v>
      </c>
      <c r="D742" s="9" t="s">
        <v>1029</v>
      </c>
      <c r="E742" s="9" t="s">
        <v>1030</v>
      </c>
      <c r="F742" s="11">
        <v>2</v>
      </c>
      <c r="G742" s="12">
        <v>0</v>
      </c>
      <c r="H742" s="10">
        <v>2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2</v>
      </c>
      <c r="V742" s="12">
        <v>0</v>
      </c>
      <c r="W742" s="10">
        <v>2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0.44</v>
      </c>
    </row>
    <row r="743">
      <c r="A743" s="23">
        <v>8723</v>
      </c>
      <c r="B743" s="4" t="s">
        <v>1031</v>
      </c>
      <c r="C743" s="4" t="s">
        <v>67</v>
      </c>
      <c r="D743" s="4" t="s">
        <v>92</v>
      </c>
      <c r="E743" s="4" t="s">
        <v>649</v>
      </c>
      <c r="F743" s="6">
        <v>2</v>
      </c>
      <c r="G743" s="5">
        <v>1</v>
      </c>
      <c r="H743" s="7">
        <v>0</v>
      </c>
      <c r="I743" s="7">
        <v>0</v>
      </c>
      <c r="J743" s="5">
        <v>1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2</v>
      </c>
      <c r="V743" s="5">
        <v>1</v>
      </c>
      <c r="W743" s="7">
        <v>0</v>
      </c>
      <c r="X743" s="7">
        <v>0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0.25</v>
      </c>
    </row>
    <row r="744">
      <c r="A744" s="24">
        <v>8751</v>
      </c>
      <c r="B744" s="9" t="s">
        <v>1032</v>
      </c>
      <c r="C744" s="9" t="s">
        <v>67</v>
      </c>
      <c r="D744" s="9" t="s">
        <v>76</v>
      </c>
      <c r="E744" s="9" t="s">
        <v>77</v>
      </c>
      <c r="F744" s="11">
        <v>2</v>
      </c>
      <c r="G744" s="10">
        <v>1</v>
      </c>
      <c r="H744" s="12">
        <v>0</v>
      </c>
      <c r="I744" s="12">
        <v>0</v>
      </c>
      <c r="J744" s="10">
        <v>1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2</v>
      </c>
      <c r="V744" s="10">
        <v>1</v>
      </c>
      <c r="W744" s="12">
        <v>0</v>
      </c>
      <c r="X744" s="12">
        <v>0</v>
      </c>
      <c r="Y744" s="10">
        <v>1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0.25</v>
      </c>
    </row>
    <row r="745">
      <c r="A745" s="23">
        <v>8752</v>
      </c>
      <c r="B745" s="4" t="s">
        <v>1033</v>
      </c>
      <c r="C745" s="4" t="s">
        <v>558</v>
      </c>
      <c r="D745" s="4" t="s">
        <v>913</v>
      </c>
      <c r="E745" s="4" t="s">
        <v>318</v>
      </c>
      <c r="F745" s="6">
        <v>2</v>
      </c>
      <c r="G745" s="7">
        <v>0</v>
      </c>
      <c r="H745" s="7">
        <v>0</v>
      </c>
      <c r="I745" s="7">
        <v>0</v>
      </c>
      <c r="J745" s="5">
        <v>2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2</v>
      </c>
      <c r="V745" s="7">
        <v>0</v>
      </c>
      <c r="W745" s="7">
        <v>0</v>
      </c>
      <c r="X745" s="7">
        <v>0</v>
      </c>
      <c r="Y745" s="5">
        <v>2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28">
        <v>0.52</v>
      </c>
    </row>
    <row r="746">
      <c r="A746" s="24">
        <v>8755</v>
      </c>
      <c r="B746" s="9" t="s">
        <v>1034</v>
      </c>
      <c r="C746" s="9" t="s">
        <v>163</v>
      </c>
      <c r="D746" s="9" t="s">
        <v>704</v>
      </c>
      <c r="E746" s="9" t="s">
        <v>704</v>
      </c>
      <c r="F746" s="11">
        <v>4</v>
      </c>
      <c r="G746" s="10">
        <v>2</v>
      </c>
      <c r="H746" s="10">
        <v>1</v>
      </c>
      <c r="I746" s="10">
        <v>1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3</v>
      </c>
      <c r="V746" s="10">
        <v>1</v>
      </c>
      <c r="W746" s="10">
        <v>1</v>
      </c>
      <c r="X746" s="10">
        <v>1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1.33</v>
      </c>
      <c r="AL746" s="10">
        <v>1</v>
      </c>
      <c r="AM746" s="10">
        <v>2</v>
      </c>
      <c r="AN746" s="31">
        <v>0</v>
      </c>
    </row>
    <row r="747">
      <c r="A747" s="23">
        <v>8766</v>
      </c>
      <c r="B747" s="4" t="s">
        <v>1035</v>
      </c>
      <c r="C747" s="4" t="s">
        <v>67</v>
      </c>
      <c r="D747" s="4" t="s">
        <v>111</v>
      </c>
      <c r="E747" s="4" t="s">
        <v>112</v>
      </c>
      <c r="F747" s="6">
        <v>1</v>
      </c>
      <c r="G747" s="7">
        <v>0</v>
      </c>
      <c r="H747" s="7">
        <v>0</v>
      </c>
      <c r="I747" s="7">
        <v>0</v>
      </c>
      <c r="J747" s="5">
        <v>1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1</v>
      </c>
      <c r="V747" s="7">
        <v>0</v>
      </c>
      <c r="W747" s="7">
        <v>0</v>
      </c>
      <c r="X747" s="7">
        <v>0</v>
      </c>
      <c r="Y747" s="5">
        <v>1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28">
        <v>0.25</v>
      </c>
    </row>
    <row r="748">
      <c r="A748" s="24">
        <v>8795</v>
      </c>
      <c r="B748" s="9" t="s">
        <v>1036</v>
      </c>
      <c r="C748" s="9" t="s">
        <v>67</v>
      </c>
      <c r="D748" s="9" t="s">
        <v>73</v>
      </c>
      <c r="E748" s="9" t="s">
        <v>74</v>
      </c>
      <c r="F748" s="11">
        <v>6</v>
      </c>
      <c r="G748" s="10">
        <v>3</v>
      </c>
      <c r="H748" s="10">
        <v>1</v>
      </c>
      <c r="I748" s="10">
        <v>1</v>
      </c>
      <c r="J748" s="10">
        <v>1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6</v>
      </c>
      <c r="V748" s="10">
        <v>3</v>
      </c>
      <c r="W748" s="10">
        <v>1</v>
      </c>
      <c r="X748" s="10">
        <v>1</v>
      </c>
      <c r="Y748" s="10">
        <v>1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1.5</v>
      </c>
      <c r="AL748" s="10">
        <v>1</v>
      </c>
      <c r="AM748" s="10">
        <v>3</v>
      </c>
      <c r="AN748" s="29">
        <v>0.25</v>
      </c>
    </row>
    <row r="749">
      <c r="A749" s="23">
        <v>9221</v>
      </c>
      <c r="B749" s="4" t="s">
        <v>1037</v>
      </c>
      <c r="C749" s="4" t="s">
        <v>67</v>
      </c>
      <c r="D749" s="4" t="s">
        <v>79</v>
      </c>
      <c r="E749" s="4" t="s">
        <v>80</v>
      </c>
      <c r="F749" s="6">
        <v>4</v>
      </c>
      <c r="G749" s="5">
        <v>1</v>
      </c>
      <c r="H749" s="7">
        <v>0</v>
      </c>
      <c r="I749" s="5">
        <v>3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4</v>
      </c>
      <c r="V749" s="5">
        <v>1</v>
      </c>
      <c r="W749" s="7">
        <v>0</v>
      </c>
      <c r="X749" s="5">
        <v>3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1.33</v>
      </c>
      <c r="AL749" s="5">
        <v>1</v>
      </c>
      <c r="AM749" s="5">
        <v>2</v>
      </c>
      <c r="AN749" s="30">
        <v>0</v>
      </c>
    </row>
    <row r="750">
      <c r="A750" s="24">
        <v>9222</v>
      </c>
      <c r="B750" s="9" t="s">
        <v>1038</v>
      </c>
      <c r="C750" s="9" t="s">
        <v>511</v>
      </c>
      <c r="D750" s="9" t="s">
        <v>1039</v>
      </c>
      <c r="E750" s="9" t="s">
        <v>1040</v>
      </c>
      <c r="F750" s="11">
        <v>1</v>
      </c>
      <c r="G750" s="12">
        <v>0</v>
      </c>
      <c r="H750" s="10">
        <v>1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1</v>
      </c>
      <c r="V750" s="12">
        <v>0</v>
      </c>
      <c r="W750" s="10">
        <v>1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29">
        <v>0.26</v>
      </c>
    </row>
    <row r="751">
      <c r="A751" s="23">
        <v>9278</v>
      </c>
      <c r="B751" s="4" t="s">
        <v>1041</v>
      </c>
      <c r="C751" s="4" t="s">
        <v>67</v>
      </c>
      <c r="D751" s="4" t="s">
        <v>108</v>
      </c>
      <c r="E751" s="4" t="s">
        <v>114</v>
      </c>
      <c r="F751" s="6">
        <v>1</v>
      </c>
      <c r="G751" s="7">
        <v>0</v>
      </c>
      <c r="H751" s="7">
        <v>0</v>
      </c>
      <c r="I751" s="7">
        <v>0</v>
      </c>
      <c r="J751" s="5">
        <v>1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1</v>
      </c>
      <c r="V751" s="7">
        <v>0</v>
      </c>
      <c r="W751" s="7">
        <v>0</v>
      </c>
      <c r="X751" s="7">
        <v>0</v>
      </c>
      <c r="Y751" s="5">
        <v>1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0.25</v>
      </c>
    </row>
    <row r="752">
      <c r="A752" s="24">
        <v>9311</v>
      </c>
      <c r="B752" s="9" t="s">
        <v>1042</v>
      </c>
      <c r="C752" s="9" t="s">
        <v>67</v>
      </c>
      <c r="D752" s="9" t="s">
        <v>76</v>
      </c>
      <c r="E752" s="9" t="s">
        <v>156</v>
      </c>
      <c r="F752" s="11">
        <v>1</v>
      </c>
      <c r="G752" s="12">
        <v>0</v>
      </c>
      <c r="H752" s="12">
        <v>0</v>
      </c>
      <c r="I752" s="12">
        <v>0</v>
      </c>
      <c r="J752" s="10">
        <v>1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1</v>
      </c>
      <c r="V752" s="12">
        <v>0</v>
      </c>
      <c r="W752" s="12">
        <v>0</v>
      </c>
      <c r="X752" s="12">
        <v>0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29">
        <v>0.25</v>
      </c>
    </row>
    <row r="753">
      <c r="A753" s="23">
        <v>9483</v>
      </c>
      <c r="B753" s="4" t="s">
        <v>1043</v>
      </c>
      <c r="C753" s="4" t="s">
        <v>67</v>
      </c>
      <c r="D753" s="4" t="s">
        <v>100</v>
      </c>
      <c r="E753" s="4" t="s">
        <v>127</v>
      </c>
      <c r="F753" s="6">
        <v>4</v>
      </c>
      <c r="G753" s="5">
        <v>4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4</v>
      </c>
      <c r="V753" s="5">
        <v>4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4</v>
      </c>
      <c r="AK753" s="8">
        <v>4</v>
      </c>
      <c r="AL753" s="5">
        <v>4</v>
      </c>
      <c r="AM753" s="5">
        <v>4</v>
      </c>
      <c r="AN753" s="30">
        <v>0</v>
      </c>
    </row>
    <row r="754">
      <c r="A754" s="24">
        <v>9558</v>
      </c>
      <c r="B754" s="9" t="s">
        <v>1044</v>
      </c>
      <c r="C754" s="9" t="s">
        <v>67</v>
      </c>
      <c r="D754" s="9" t="s">
        <v>73</v>
      </c>
      <c r="E754" s="9" t="s">
        <v>301</v>
      </c>
      <c r="F754" s="11">
        <v>1</v>
      </c>
      <c r="G754" s="12">
        <v>0</v>
      </c>
      <c r="H754" s="12">
        <v>0</v>
      </c>
      <c r="I754" s="12">
        <v>0</v>
      </c>
      <c r="J754" s="10">
        <v>1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1</v>
      </c>
      <c r="V754" s="12">
        <v>0</v>
      </c>
      <c r="W754" s="12">
        <v>0</v>
      </c>
      <c r="X754" s="12">
        <v>0</v>
      </c>
      <c r="Y754" s="10">
        <v>1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0.26</v>
      </c>
    </row>
    <row r="755">
      <c r="A755" s="23">
        <v>9627</v>
      </c>
      <c r="B755" s="4" t="s">
        <v>1045</v>
      </c>
      <c r="C755" s="4" t="s">
        <v>136</v>
      </c>
      <c r="D755" s="4" t="s">
        <v>385</v>
      </c>
      <c r="E755" s="4" t="s">
        <v>1046</v>
      </c>
      <c r="F755" s="6">
        <v>1</v>
      </c>
      <c r="G755" s="7">
        <v>0</v>
      </c>
      <c r="H755" s="7">
        <v>0</v>
      </c>
      <c r="I755" s="5">
        <v>1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1</v>
      </c>
      <c r="V755" s="7">
        <v>0</v>
      </c>
      <c r="W755" s="7">
        <v>0</v>
      </c>
      <c r="X755" s="5">
        <v>1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30">
        <v>0</v>
      </c>
    </row>
    <row r="756">
      <c r="A756" s="24">
        <v>9630</v>
      </c>
      <c r="B756" s="9" t="s">
        <v>1047</v>
      </c>
      <c r="C756" s="9" t="s">
        <v>67</v>
      </c>
      <c r="D756" s="9" t="s">
        <v>84</v>
      </c>
      <c r="E756" s="9" t="s">
        <v>103</v>
      </c>
      <c r="F756" s="11">
        <v>1</v>
      </c>
      <c r="G756" s="12">
        <v>0</v>
      </c>
      <c r="H756" s="12">
        <v>0</v>
      </c>
      <c r="I756" s="12">
        <v>0</v>
      </c>
      <c r="J756" s="10">
        <v>1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1</v>
      </c>
      <c r="V756" s="12">
        <v>0</v>
      </c>
      <c r="W756" s="12">
        <v>0</v>
      </c>
      <c r="X756" s="12">
        <v>0</v>
      </c>
      <c r="Y756" s="10">
        <v>1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0.25</v>
      </c>
    </row>
    <row r="757">
      <c r="A757" s="23">
        <v>9631</v>
      </c>
      <c r="B757" s="4" t="s">
        <v>1048</v>
      </c>
      <c r="C757" s="4" t="s">
        <v>67</v>
      </c>
      <c r="D757" s="4" t="s">
        <v>142</v>
      </c>
      <c r="E757" s="4" t="s">
        <v>143</v>
      </c>
      <c r="F757" s="6">
        <v>1</v>
      </c>
      <c r="G757" s="7">
        <v>0</v>
      </c>
      <c r="H757" s="7">
        <v>0</v>
      </c>
      <c r="I757" s="7">
        <v>0</v>
      </c>
      <c r="J757" s="5">
        <v>1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1</v>
      </c>
      <c r="V757" s="7">
        <v>0</v>
      </c>
      <c r="W757" s="7">
        <v>0</v>
      </c>
      <c r="X757" s="7">
        <v>0</v>
      </c>
      <c r="Y757" s="5">
        <v>1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28">
        <v>0.25</v>
      </c>
    </row>
    <row r="758">
      <c r="A758" s="24">
        <v>9677</v>
      </c>
      <c r="B758" s="9" t="s">
        <v>1049</v>
      </c>
      <c r="C758" s="9" t="s">
        <v>163</v>
      </c>
      <c r="D758" s="9" t="s">
        <v>173</v>
      </c>
      <c r="E758" s="9" t="s">
        <v>185</v>
      </c>
      <c r="F758" s="11">
        <v>1</v>
      </c>
      <c r="G758" s="12">
        <v>0</v>
      </c>
      <c r="H758" s="10">
        <v>1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1</v>
      </c>
      <c r="V758" s="12">
        <v>0</v>
      </c>
      <c r="W758" s="10">
        <v>1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29">
        <v>0.24</v>
      </c>
    </row>
    <row r="759">
      <c r="A759" s="23">
        <v>9737</v>
      </c>
      <c r="B759" s="4" t="s">
        <v>1050</v>
      </c>
      <c r="C759" s="4" t="s">
        <v>67</v>
      </c>
      <c r="D759" s="4" t="s">
        <v>84</v>
      </c>
      <c r="E759" s="4" t="s">
        <v>197</v>
      </c>
      <c r="F759" s="6">
        <v>2</v>
      </c>
      <c r="G759" s="5">
        <v>1</v>
      </c>
      <c r="H759" s="7">
        <v>0</v>
      </c>
      <c r="I759" s="7">
        <v>0</v>
      </c>
      <c r="J759" s="5">
        <v>1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2</v>
      </c>
      <c r="V759" s="5">
        <v>1</v>
      </c>
      <c r="W759" s="7">
        <v>0</v>
      </c>
      <c r="X759" s="7">
        <v>0</v>
      </c>
      <c r="Y759" s="5">
        <v>1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28">
        <v>0.25</v>
      </c>
    </row>
    <row r="760">
      <c r="A760" s="24">
        <v>9759</v>
      </c>
      <c r="B760" s="9" t="s">
        <v>1051</v>
      </c>
      <c r="C760" s="9" t="s">
        <v>208</v>
      </c>
      <c r="D760" s="9" t="s">
        <v>1052</v>
      </c>
      <c r="E760" s="9" t="s">
        <v>318</v>
      </c>
      <c r="F760" s="11">
        <v>4</v>
      </c>
      <c r="G760" s="12">
        <v>0</v>
      </c>
      <c r="H760" s="10">
        <v>2</v>
      </c>
      <c r="I760" s="12">
        <v>0</v>
      </c>
      <c r="J760" s="10">
        <v>2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4</v>
      </c>
      <c r="V760" s="12">
        <v>0</v>
      </c>
      <c r="W760" s="10">
        <v>2</v>
      </c>
      <c r="X760" s="12">
        <v>0</v>
      </c>
      <c r="Y760" s="10">
        <v>2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1.33</v>
      </c>
      <c r="AL760" s="10">
        <v>1</v>
      </c>
      <c r="AM760" s="10">
        <v>2</v>
      </c>
      <c r="AN760" s="29">
        <v>1</v>
      </c>
    </row>
    <row r="761">
      <c r="A761" s="23">
        <v>9811</v>
      </c>
      <c r="B761" s="4" t="s">
        <v>1053</v>
      </c>
      <c r="C761" s="4" t="s">
        <v>67</v>
      </c>
      <c r="D761" s="4" t="s">
        <v>100</v>
      </c>
      <c r="E761" s="4" t="s">
        <v>127</v>
      </c>
      <c r="F761" s="6">
        <v>3</v>
      </c>
      <c r="G761" s="5">
        <v>3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3</v>
      </c>
      <c r="V761" s="5">
        <v>3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3</v>
      </c>
      <c r="AK761" s="8">
        <v>3</v>
      </c>
      <c r="AL761" s="5">
        <v>3</v>
      </c>
      <c r="AM761" s="5">
        <v>3</v>
      </c>
      <c r="AN761" s="30">
        <v>0</v>
      </c>
    </row>
    <row r="762">
      <c r="A762" s="24">
        <v>9836</v>
      </c>
      <c r="B762" s="9" t="s">
        <v>1054</v>
      </c>
      <c r="C762" s="9" t="s">
        <v>67</v>
      </c>
      <c r="D762" s="9" t="s">
        <v>92</v>
      </c>
      <c r="E762" s="9" t="s">
        <v>153</v>
      </c>
      <c r="F762" s="11">
        <v>4</v>
      </c>
      <c r="G762" s="10">
        <v>2</v>
      </c>
      <c r="H762" s="12">
        <v>0</v>
      </c>
      <c r="I762" s="10">
        <v>1</v>
      </c>
      <c r="J762" s="10">
        <v>1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3</v>
      </c>
      <c r="V762" s="10">
        <v>1</v>
      </c>
      <c r="W762" s="12">
        <v>0</v>
      </c>
      <c r="X762" s="10">
        <v>1</v>
      </c>
      <c r="Y762" s="10">
        <v>1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1.33</v>
      </c>
      <c r="AL762" s="10">
        <v>1</v>
      </c>
      <c r="AM762" s="10">
        <v>2</v>
      </c>
      <c r="AN762" s="29">
        <v>0.52</v>
      </c>
    </row>
    <row r="763">
      <c r="A763" s="23">
        <v>9840</v>
      </c>
      <c r="B763" s="4" t="s">
        <v>1055</v>
      </c>
      <c r="C763" s="4" t="s">
        <v>136</v>
      </c>
      <c r="D763" s="4" t="s">
        <v>137</v>
      </c>
      <c r="E763" s="4" t="s">
        <v>138</v>
      </c>
      <c r="F763" s="6">
        <v>1</v>
      </c>
      <c r="G763" s="5">
        <v>1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1</v>
      </c>
      <c r="V763" s="5">
        <v>1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30">
        <v>0</v>
      </c>
    </row>
    <row r="764">
      <c r="A764" s="24">
        <v>9962</v>
      </c>
      <c r="B764" s="9" t="s">
        <v>1056</v>
      </c>
      <c r="C764" s="9" t="s">
        <v>67</v>
      </c>
      <c r="D764" s="9" t="s">
        <v>84</v>
      </c>
      <c r="E764" s="9" t="s">
        <v>399</v>
      </c>
      <c r="F764" s="11">
        <v>2</v>
      </c>
      <c r="G764" s="12">
        <v>0</v>
      </c>
      <c r="H764" s="10">
        <v>2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2</v>
      </c>
      <c r="V764" s="12">
        <v>0</v>
      </c>
      <c r="W764" s="10">
        <v>2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2</v>
      </c>
      <c r="AK764" s="13">
        <v>2</v>
      </c>
      <c r="AL764" s="10">
        <v>2</v>
      </c>
      <c r="AM764" s="10">
        <v>2</v>
      </c>
      <c r="AN764" s="29">
        <v>0.5</v>
      </c>
    </row>
    <row r="765">
      <c r="A765" s="23">
        <v>10018</v>
      </c>
      <c r="B765" s="4" t="s">
        <v>1057</v>
      </c>
      <c r="C765" s="4" t="s">
        <v>67</v>
      </c>
      <c r="D765" s="4" t="s">
        <v>111</v>
      </c>
      <c r="E765" s="4" t="s">
        <v>412</v>
      </c>
      <c r="F765" s="6">
        <v>3</v>
      </c>
      <c r="G765" s="5">
        <v>3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3</v>
      </c>
      <c r="V765" s="5">
        <v>3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1.5</v>
      </c>
      <c r="AL765" s="5">
        <v>1</v>
      </c>
      <c r="AM765" s="5">
        <v>2</v>
      </c>
      <c r="AN765" s="28">
        <v>0.36</v>
      </c>
    </row>
    <row r="766">
      <c r="A766" s="24">
        <v>10062</v>
      </c>
      <c r="B766" s="9" t="s">
        <v>1058</v>
      </c>
      <c r="C766" s="9" t="s">
        <v>558</v>
      </c>
      <c r="D766" s="9" t="s">
        <v>913</v>
      </c>
      <c r="E766" s="9" t="s">
        <v>318</v>
      </c>
      <c r="F766" s="11">
        <v>1</v>
      </c>
      <c r="G766" s="12">
        <v>0</v>
      </c>
      <c r="H766" s="12">
        <v>0</v>
      </c>
      <c r="I766" s="10">
        <v>1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1</v>
      </c>
      <c r="V766" s="12">
        <v>0</v>
      </c>
      <c r="W766" s="12">
        <v>0</v>
      </c>
      <c r="X766" s="10">
        <v>1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0.26</v>
      </c>
    </row>
    <row r="767">
      <c r="A767" s="23">
        <v>10075</v>
      </c>
      <c r="B767" s="4" t="s">
        <v>1059</v>
      </c>
      <c r="C767" s="4" t="s">
        <v>504</v>
      </c>
      <c r="D767" s="4" t="s">
        <v>734</v>
      </c>
      <c r="E767" s="4" t="s">
        <v>1060</v>
      </c>
      <c r="F767" s="6">
        <v>3</v>
      </c>
      <c r="G767" s="7">
        <v>0</v>
      </c>
      <c r="H767" s="7">
        <v>0</v>
      </c>
      <c r="I767" s="5">
        <v>3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3</v>
      </c>
      <c r="V767" s="7">
        <v>0</v>
      </c>
      <c r="W767" s="7">
        <v>0</v>
      </c>
      <c r="X767" s="5">
        <v>3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1.5</v>
      </c>
      <c r="AL767" s="5">
        <v>1</v>
      </c>
      <c r="AM767" s="5">
        <v>2</v>
      </c>
      <c r="AN767" s="30">
        <v>0</v>
      </c>
    </row>
    <row r="768">
      <c r="A768" s="24">
        <v>10096</v>
      </c>
      <c r="B768" s="9" t="s">
        <v>1061</v>
      </c>
      <c r="C768" s="9" t="s">
        <v>316</v>
      </c>
      <c r="D768" s="9" t="s">
        <v>898</v>
      </c>
      <c r="E768" s="9" t="s">
        <v>318</v>
      </c>
      <c r="F768" s="11">
        <v>3</v>
      </c>
      <c r="G768" s="12">
        <v>0</v>
      </c>
      <c r="H768" s="12">
        <v>0</v>
      </c>
      <c r="I768" s="12">
        <v>0</v>
      </c>
      <c r="J768" s="10">
        <v>3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3</v>
      </c>
      <c r="V768" s="12">
        <v>0</v>
      </c>
      <c r="W768" s="12">
        <v>0</v>
      </c>
      <c r="X768" s="12">
        <v>0</v>
      </c>
      <c r="Y768" s="10">
        <v>3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1.5</v>
      </c>
      <c r="AL768" s="10">
        <v>1</v>
      </c>
      <c r="AM768" s="10">
        <v>2</v>
      </c>
      <c r="AN768" s="29">
        <v>0.66</v>
      </c>
    </row>
    <row r="769">
      <c r="A769" s="23">
        <v>10105</v>
      </c>
      <c r="B769" s="4" t="s">
        <v>1062</v>
      </c>
      <c r="C769" s="4" t="s">
        <v>67</v>
      </c>
      <c r="D769" s="4" t="s">
        <v>76</v>
      </c>
      <c r="E769" s="4" t="s">
        <v>156</v>
      </c>
      <c r="F769" s="6">
        <v>5</v>
      </c>
      <c r="G769" s="7">
        <v>0</v>
      </c>
      <c r="H769" s="5">
        <v>2</v>
      </c>
      <c r="I769" s="7">
        <v>0</v>
      </c>
      <c r="J769" s="5">
        <v>3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5</v>
      </c>
      <c r="V769" s="7">
        <v>0</v>
      </c>
      <c r="W769" s="5">
        <v>2</v>
      </c>
      <c r="X769" s="7">
        <v>0</v>
      </c>
      <c r="Y769" s="5">
        <v>3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1.67</v>
      </c>
      <c r="AL769" s="5">
        <v>2</v>
      </c>
      <c r="AM769" s="5">
        <v>2</v>
      </c>
      <c r="AN769" s="28">
        <v>1.25</v>
      </c>
    </row>
    <row r="770">
      <c r="A770" s="24">
        <v>10123</v>
      </c>
      <c r="B770" s="9" t="s">
        <v>1063</v>
      </c>
      <c r="C770" s="9" t="s">
        <v>163</v>
      </c>
      <c r="D770" s="9" t="s">
        <v>173</v>
      </c>
      <c r="E770" s="9" t="s">
        <v>176</v>
      </c>
      <c r="F770" s="11">
        <v>1</v>
      </c>
      <c r="G770" s="10">
        <v>1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1</v>
      </c>
      <c r="V770" s="10">
        <v>1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31">
        <v>0</v>
      </c>
    </row>
    <row r="771">
      <c r="A771" s="23">
        <v>10178</v>
      </c>
      <c r="B771" s="4" t="s">
        <v>1064</v>
      </c>
      <c r="C771" s="4" t="s">
        <v>67</v>
      </c>
      <c r="D771" s="4" t="s">
        <v>79</v>
      </c>
      <c r="E771" s="4" t="s">
        <v>116</v>
      </c>
      <c r="F771" s="6">
        <v>2</v>
      </c>
      <c r="G771" s="5">
        <v>1</v>
      </c>
      <c r="H771" s="7">
        <v>0</v>
      </c>
      <c r="I771" s="7">
        <v>0</v>
      </c>
      <c r="J771" s="5">
        <v>1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2</v>
      </c>
      <c r="V771" s="5">
        <v>1</v>
      </c>
      <c r="W771" s="7">
        <v>0</v>
      </c>
      <c r="X771" s="7">
        <v>0</v>
      </c>
      <c r="Y771" s="5">
        <v>1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28">
        <v>0.52</v>
      </c>
    </row>
    <row r="772">
      <c r="A772" s="24">
        <v>10187</v>
      </c>
      <c r="B772" s="9" t="s">
        <v>1065</v>
      </c>
      <c r="C772" s="9" t="s">
        <v>163</v>
      </c>
      <c r="D772" s="9" t="s">
        <v>353</v>
      </c>
      <c r="E772" s="9" t="s">
        <v>353</v>
      </c>
      <c r="F772" s="11">
        <v>1</v>
      </c>
      <c r="G772" s="10">
        <v>1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1</v>
      </c>
      <c r="V772" s="10">
        <v>1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31">
        <v>0</v>
      </c>
    </row>
    <row r="773">
      <c r="A773" s="23">
        <v>10214</v>
      </c>
      <c r="B773" s="4" t="s">
        <v>1066</v>
      </c>
      <c r="C773" s="4" t="s">
        <v>67</v>
      </c>
      <c r="D773" s="4" t="s">
        <v>100</v>
      </c>
      <c r="E773" s="4" t="s">
        <v>1067</v>
      </c>
      <c r="F773" s="6">
        <v>1</v>
      </c>
      <c r="G773" s="7">
        <v>0</v>
      </c>
      <c r="H773" s="5">
        <v>1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1</v>
      </c>
      <c r="V773" s="7">
        <v>0</v>
      </c>
      <c r="W773" s="5">
        <v>1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28">
        <v>0.25</v>
      </c>
    </row>
    <row r="774">
      <c r="A774" s="24">
        <v>10269</v>
      </c>
      <c r="B774" s="9" t="s">
        <v>1068</v>
      </c>
      <c r="C774" s="9" t="s">
        <v>67</v>
      </c>
      <c r="D774" s="9" t="s">
        <v>111</v>
      </c>
      <c r="E774" s="9" t="s">
        <v>149</v>
      </c>
      <c r="F774" s="11">
        <v>1</v>
      </c>
      <c r="G774" s="12">
        <v>0</v>
      </c>
      <c r="H774" s="12">
        <v>0</v>
      </c>
      <c r="I774" s="12">
        <v>0</v>
      </c>
      <c r="J774" s="10">
        <v>1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1</v>
      </c>
      <c r="V774" s="12">
        <v>0</v>
      </c>
      <c r="W774" s="12">
        <v>0</v>
      </c>
      <c r="X774" s="12">
        <v>0</v>
      </c>
      <c r="Y774" s="10">
        <v>1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0.25</v>
      </c>
    </row>
    <row r="775">
      <c r="A775" s="23">
        <v>10320</v>
      </c>
      <c r="B775" s="4" t="s">
        <v>1069</v>
      </c>
      <c r="C775" s="4" t="s">
        <v>558</v>
      </c>
      <c r="D775" s="4" t="s">
        <v>559</v>
      </c>
      <c r="E775" s="4" t="s">
        <v>318</v>
      </c>
      <c r="F775" s="6">
        <v>1</v>
      </c>
      <c r="G775" s="7">
        <v>0</v>
      </c>
      <c r="H775" s="7">
        <v>0</v>
      </c>
      <c r="I775" s="5">
        <v>1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1</v>
      </c>
      <c r="V775" s="7">
        <v>0</v>
      </c>
      <c r="W775" s="7">
        <v>0</v>
      </c>
      <c r="X775" s="5">
        <v>1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30">
        <v>0</v>
      </c>
    </row>
    <row r="776">
      <c r="A776" s="24">
        <v>10385</v>
      </c>
      <c r="B776" s="9" t="s">
        <v>1070</v>
      </c>
      <c r="C776" s="9" t="s">
        <v>163</v>
      </c>
      <c r="D776" s="9" t="s">
        <v>861</v>
      </c>
      <c r="E776" s="9" t="s">
        <v>862</v>
      </c>
      <c r="F776" s="11">
        <v>2</v>
      </c>
      <c r="G776" s="12">
        <v>0</v>
      </c>
      <c r="H776" s="12">
        <v>0</v>
      </c>
      <c r="I776" s="12">
        <v>0</v>
      </c>
      <c r="J776" s="10">
        <v>2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2</v>
      </c>
      <c r="V776" s="12">
        <v>0</v>
      </c>
      <c r="W776" s="12">
        <v>0</v>
      </c>
      <c r="X776" s="12">
        <v>0</v>
      </c>
      <c r="Y776" s="10">
        <v>2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2</v>
      </c>
      <c r="AK776" s="13">
        <v>2</v>
      </c>
      <c r="AL776" s="10">
        <v>2</v>
      </c>
      <c r="AM776" s="10">
        <v>2</v>
      </c>
      <c r="AN776" s="29">
        <v>0.5</v>
      </c>
    </row>
    <row r="777">
      <c r="A777" s="23">
        <v>10397</v>
      </c>
      <c r="B777" s="4" t="s">
        <v>1071</v>
      </c>
      <c r="C777" s="4" t="s">
        <v>316</v>
      </c>
      <c r="D777" s="4" t="s">
        <v>898</v>
      </c>
      <c r="E777" s="4" t="s">
        <v>318</v>
      </c>
      <c r="F777" s="6">
        <v>1</v>
      </c>
      <c r="G777" s="7">
        <v>0</v>
      </c>
      <c r="H777" s="7">
        <v>0</v>
      </c>
      <c r="I777" s="5">
        <v>1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1</v>
      </c>
      <c r="V777" s="7">
        <v>0</v>
      </c>
      <c r="W777" s="7">
        <v>0</v>
      </c>
      <c r="X777" s="5">
        <v>1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0.25</v>
      </c>
    </row>
    <row r="778">
      <c r="A778" s="24">
        <v>10480</v>
      </c>
      <c r="B778" s="9" t="s">
        <v>1072</v>
      </c>
      <c r="C778" s="9" t="s">
        <v>316</v>
      </c>
      <c r="D778" s="9" t="s">
        <v>317</v>
      </c>
      <c r="E778" s="9" t="s">
        <v>318</v>
      </c>
      <c r="F778" s="11">
        <v>1</v>
      </c>
      <c r="G778" s="12">
        <v>0</v>
      </c>
      <c r="H778" s="10">
        <v>1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1</v>
      </c>
      <c r="V778" s="12">
        <v>0</v>
      </c>
      <c r="W778" s="10">
        <v>1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29">
        <v>0.25</v>
      </c>
    </row>
    <row r="779">
      <c r="A779" s="23">
        <v>10487</v>
      </c>
      <c r="B779" s="4" t="s">
        <v>1073</v>
      </c>
      <c r="C779" s="4" t="s">
        <v>163</v>
      </c>
      <c r="D779" s="4" t="s">
        <v>164</v>
      </c>
      <c r="E779" s="4" t="s">
        <v>165</v>
      </c>
      <c r="F779" s="6">
        <v>3</v>
      </c>
      <c r="G779" s="5">
        <v>2</v>
      </c>
      <c r="H779" s="5">
        <v>1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3</v>
      </c>
      <c r="V779" s="5">
        <v>2</v>
      </c>
      <c r="W779" s="5">
        <v>1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1.5</v>
      </c>
      <c r="AL779" s="5">
        <v>1</v>
      </c>
      <c r="AM779" s="5">
        <v>2</v>
      </c>
      <c r="AN779" s="28">
        <v>0.25</v>
      </c>
    </row>
    <row r="780">
      <c r="A780" s="24">
        <v>10494</v>
      </c>
      <c r="B780" s="9" t="s">
        <v>1074</v>
      </c>
      <c r="C780" s="9" t="s">
        <v>67</v>
      </c>
      <c r="D780" s="9" t="s">
        <v>105</v>
      </c>
      <c r="E780" s="9" t="s">
        <v>303</v>
      </c>
      <c r="F780" s="11">
        <v>1</v>
      </c>
      <c r="G780" s="12">
        <v>0</v>
      </c>
      <c r="H780" s="10">
        <v>1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1</v>
      </c>
      <c r="V780" s="12">
        <v>0</v>
      </c>
      <c r="W780" s="10">
        <v>1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31">
        <v>0</v>
      </c>
    </row>
    <row r="781">
      <c r="A781" s="23">
        <v>10545</v>
      </c>
      <c r="B781" s="4" t="s">
        <v>1075</v>
      </c>
      <c r="C781" s="4" t="s">
        <v>67</v>
      </c>
      <c r="D781" s="4" t="s">
        <v>68</v>
      </c>
      <c r="E781" s="4" t="s">
        <v>69</v>
      </c>
      <c r="F781" s="6">
        <v>1</v>
      </c>
      <c r="G781" s="7">
        <v>0</v>
      </c>
      <c r="H781" s="5">
        <v>1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1</v>
      </c>
      <c r="V781" s="7">
        <v>0</v>
      </c>
      <c r="W781" s="5">
        <v>1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0.26</v>
      </c>
    </row>
    <row r="782">
      <c r="A782" s="24">
        <v>10546</v>
      </c>
      <c r="B782" s="9" t="s">
        <v>1076</v>
      </c>
      <c r="C782" s="9" t="s">
        <v>558</v>
      </c>
      <c r="D782" s="9" t="s">
        <v>606</v>
      </c>
      <c r="E782" s="9" t="s">
        <v>318</v>
      </c>
      <c r="F782" s="11">
        <v>2</v>
      </c>
      <c r="G782" s="12">
        <v>0</v>
      </c>
      <c r="H782" s="10">
        <v>1</v>
      </c>
      <c r="I782" s="12">
        <v>0</v>
      </c>
      <c r="J782" s="10">
        <v>1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2</v>
      </c>
      <c r="V782" s="12">
        <v>0</v>
      </c>
      <c r="W782" s="10">
        <v>1</v>
      </c>
      <c r="X782" s="12">
        <v>0</v>
      </c>
      <c r="Y782" s="10">
        <v>1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29">
        <v>0.5</v>
      </c>
    </row>
    <row r="783">
      <c r="A783" s="23">
        <v>10577</v>
      </c>
      <c r="B783" s="4" t="s">
        <v>1077</v>
      </c>
      <c r="C783" s="4" t="s">
        <v>558</v>
      </c>
      <c r="D783" s="4" t="s">
        <v>559</v>
      </c>
      <c r="E783" s="4" t="s">
        <v>318</v>
      </c>
      <c r="F783" s="6">
        <v>3</v>
      </c>
      <c r="G783" s="7">
        <v>0</v>
      </c>
      <c r="H783" s="7">
        <v>0</v>
      </c>
      <c r="I783" s="7">
        <v>0</v>
      </c>
      <c r="J783" s="5">
        <v>3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3</v>
      </c>
      <c r="V783" s="7">
        <v>0</v>
      </c>
      <c r="W783" s="7">
        <v>0</v>
      </c>
      <c r="X783" s="7">
        <v>0</v>
      </c>
      <c r="Y783" s="5">
        <v>3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3</v>
      </c>
      <c r="AK783" s="8">
        <v>3</v>
      </c>
      <c r="AL783" s="5">
        <v>3</v>
      </c>
      <c r="AM783" s="5">
        <v>3</v>
      </c>
      <c r="AN783" s="28">
        <v>0.78</v>
      </c>
    </row>
    <row r="784">
      <c r="A784" s="24">
        <v>10604</v>
      </c>
      <c r="B784" s="9" t="s">
        <v>1078</v>
      </c>
      <c r="C784" s="9" t="s">
        <v>136</v>
      </c>
      <c r="D784" s="9" t="s">
        <v>223</v>
      </c>
      <c r="E784" s="9" t="s">
        <v>923</v>
      </c>
      <c r="F784" s="11">
        <v>1</v>
      </c>
      <c r="G784" s="12">
        <v>0</v>
      </c>
      <c r="H784" s="12">
        <v>0</v>
      </c>
      <c r="I784" s="12">
        <v>0</v>
      </c>
      <c r="J784" s="12">
        <v>0</v>
      </c>
      <c r="K784" s="12">
        <v>0</v>
      </c>
      <c r="L784" s="10">
        <v>1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1</v>
      </c>
      <c r="V784" s="12">
        <v>0</v>
      </c>
      <c r="W784" s="12">
        <v>0</v>
      </c>
      <c r="X784" s="12">
        <v>0</v>
      </c>
      <c r="Y784" s="12">
        <v>0</v>
      </c>
      <c r="Z784" s="12">
        <v>0</v>
      </c>
      <c r="AA784" s="10">
        <v>1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31">
        <v>0</v>
      </c>
    </row>
    <row r="785">
      <c r="A785" s="23">
        <v>10612</v>
      </c>
      <c r="B785" s="4" t="s">
        <v>1079</v>
      </c>
      <c r="C785" s="4" t="s">
        <v>67</v>
      </c>
      <c r="D785" s="4" t="s">
        <v>105</v>
      </c>
      <c r="E785" s="4" t="s">
        <v>106</v>
      </c>
      <c r="F785" s="6">
        <v>2</v>
      </c>
      <c r="G785" s="5">
        <v>1</v>
      </c>
      <c r="H785" s="5">
        <v>1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2</v>
      </c>
      <c r="V785" s="5">
        <v>1</v>
      </c>
      <c r="W785" s="5">
        <v>1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0.25</v>
      </c>
    </row>
    <row r="786">
      <c r="A786" s="24">
        <v>10637</v>
      </c>
      <c r="B786" s="9" t="s">
        <v>1080</v>
      </c>
      <c r="C786" s="9" t="s">
        <v>67</v>
      </c>
      <c r="D786" s="9" t="s">
        <v>76</v>
      </c>
      <c r="E786" s="9" t="s">
        <v>270</v>
      </c>
      <c r="F786" s="11">
        <v>1</v>
      </c>
      <c r="G786" s="12">
        <v>0</v>
      </c>
      <c r="H786" s="12">
        <v>0</v>
      </c>
      <c r="I786" s="12">
        <v>0</v>
      </c>
      <c r="J786" s="10">
        <v>1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1</v>
      </c>
      <c r="V786" s="12">
        <v>0</v>
      </c>
      <c r="W786" s="12">
        <v>0</v>
      </c>
      <c r="X786" s="12">
        <v>0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29">
        <v>0.25</v>
      </c>
    </row>
    <row r="787">
      <c r="A787" s="23">
        <v>10638</v>
      </c>
      <c r="B787" s="4" t="s">
        <v>1081</v>
      </c>
      <c r="C787" s="4" t="s">
        <v>67</v>
      </c>
      <c r="D787" s="4" t="s">
        <v>76</v>
      </c>
      <c r="E787" s="4" t="s">
        <v>156</v>
      </c>
      <c r="F787" s="6">
        <v>1</v>
      </c>
      <c r="G787" s="7">
        <v>0</v>
      </c>
      <c r="H787" s="5">
        <v>1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1</v>
      </c>
      <c r="V787" s="7">
        <v>0</v>
      </c>
      <c r="W787" s="5">
        <v>1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28">
        <v>0.25</v>
      </c>
    </row>
    <row r="788">
      <c r="A788" s="24">
        <v>10725</v>
      </c>
      <c r="B788" s="9" t="s">
        <v>1082</v>
      </c>
      <c r="C788" s="9" t="s">
        <v>971</v>
      </c>
      <c r="D788" s="9" t="s">
        <v>318</v>
      </c>
      <c r="E788" s="9" t="s">
        <v>318</v>
      </c>
      <c r="F788" s="11">
        <v>4</v>
      </c>
      <c r="G788" s="12">
        <v>0</v>
      </c>
      <c r="H788" s="12">
        <v>0</v>
      </c>
      <c r="I788" s="10">
        <v>4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1</v>
      </c>
      <c r="V788" s="12">
        <v>0</v>
      </c>
      <c r="W788" s="12">
        <v>0</v>
      </c>
      <c r="X788" s="10">
        <v>1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4</v>
      </c>
      <c r="AK788" s="13">
        <v>4</v>
      </c>
      <c r="AL788" s="10">
        <v>4</v>
      </c>
      <c r="AM788" s="10">
        <v>4</v>
      </c>
      <c r="AN788" s="31">
        <v>0</v>
      </c>
    </row>
    <row r="789">
      <c r="A789" s="23">
        <v>10746</v>
      </c>
      <c r="B789" s="4" t="s">
        <v>1083</v>
      </c>
      <c r="C789" s="4" t="s">
        <v>163</v>
      </c>
      <c r="D789" s="4" t="s">
        <v>173</v>
      </c>
      <c r="E789" s="4" t="s">
        <v>174</v>
      </c>
      <c r="F789" s="6">
        <v>1</v>
      </c>
      <c r="G789" s="7">
        <v>0</v>
      </c>
      <c r="H789" s="7">
        <v>0</v>
      </c>
      <c r="I789" s="7">
        <v>0</v>
      </c>
      <c r="J789" s="7">
        <v>0</v>
      </c>
      <c r="K789" s="5">
        <v>1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1</v>
      </c>
      <c r="V789" s="7">
        <v>0</v>
      </c>
      <c r="W789" s="7">
        <v>0</v>
      </c>
      <c r="X789" s="7">
        <v>0</v>
      </c>
      <c r="Y789" s="7">
        <v>0</v>
      </c>
      <c r="Z789" s="5">
        <v>1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30">
        <v>0</v>
      </c>
    </row>
    <row r="790">
      <c r="A790" s="24">
        <v>10847</v>
      </c>
      <c r="B790" s="9" t="s">
        <v>1084</v>
      </c>
      <c r="C790" s="9" t="s">
        <v>67</v>
      </c>
      <c r="D790" s="9" t="s">
        <v>812</v>
      </c>
      <c r="E790" s="9" t="s">
        <v>813</v>
      </c>
      <c r="F790" s="11">
        <v>1</v>
      </c>
      <c r="G790" s="12">
        <v>0</v>
      </c>
      <c r="H790" s="12">
        <v>0</v>
      </c>
      <c r="I790" s="10">
        <v>1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1</v>
      </c>
      <c r="V790" s="12">
        <v>0</v>
      </c>
      <c r="W790" s="12">
        <v>0</v>
      </c>
      <c r="X790" s="10">
        <v>1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31">
        <v>0</v>
      </c>
    </row>
    <row r="791">
      <c r="A791" s="23">
        <v>10924</v>
      </c>
      <c r="B791" s="4" t="s">
        <v>1085</v>
      </c>
      <c r="C791" s="4" t="s">
        <v>67</v>
      </c>
      <c r="D791" s="4" t="s">
        <v>76</v>
      </c>
      <c r="E791" s="4" t="s">
        <v>120</v>
      </c>
      <c r="F791" s="6">
        <v>1</v>
      </c>
      <c r="G791" s="7">
        <v>0</v>
      </c>
      <c r="H791" s="5">
        <v>1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1</v>
      </c>
      <c r="V791" s="7">
        <v>0</v>
      </c>
      <c r="W791" s="5">
        <v>1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0.25</v>
      </c>
    </row>
    <row r="792">
      <c r="A792" s="24">
        <v>11144</v>
      </c>
      <c r="B792" s="9" t="s">
        <v>1086</v>
      </c>
      <c r="C792" s="9" t="s">
        <v>163</v>
      </c>
      <c r="D792" s="9" t="s">
        <v>390</v>
      </c>
      <c r="E792" s="9" t="s">
        <v>395</v>
      </c>
      <c r="F792" s="11">
        <v>2</v>
      </c>
      <c r="G792" s="10">
        <v>2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2</v>
      </c>
      <c r="V792" s="10">
        <v>2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2</v>
      </c>
      <c r="AK792" s="13">
        <v>2</v>
      </c>
      <c r="AL792" s="10">
        <v>2</v>
      </c>
      <c r="AM792" s="10">
        <v>2</v>
      </c>
      <c r="AN792" s="31">
        <v>0</v>
      </c>
    </row>
    <row r="793">
      <c r="A793" s="23">
        <v>11221</v>
      </c>
      <c r="B793" s="4" t="s">
        <v>1087</v>
      </c>
      <c r="C793" s="4" t="s">
        <v>67</v>
      </c>
      <c r="D793" s="4" t="s">
        <v>142</v>
      </c>
      <c r="E793" s="4" t="s">
        <v>520</v>
      </c>
      <c r="F793" s="6">
        <v>1</v>
      </c>
      <c r="G793" s="5">
        <v>1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1</v>
      </c>
      <c r="V793" s="5">
        <v>1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30">
        <v>0</v>
      </c>
    </row>
    <row r="794">
      <c r="A794" s="24">
        <v>11265</v>
      </c>
      <c r="B794" s="9" t="s">
        <v>1088</v>
      </c>
      <c r="C794" s="9" t="s">
        <v>558</v>
      </c>
      <c r="D794" s="9" t="s">
        <v>976</v>
      </c>
      <c r="E794" s="9" t="s">
        <v>318</v>
      </c>
      <c r="F794" s="11">
        <v>1</v>
      </c>
      <c r="G794" s="12">
        <v>0</v>
      </c>
      <c r="H794" s="12">
        <v>0</v>
      </c>
      <c r="I794" s="10">
        <v>1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1</v>
      </c>
      <c r="V794" s="12">
        <v>0</v>
      </c>
      <c r="W794" s="12">
        <v>0</v>
      </c>
      <c r="X794" s="10">
        <v>1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31">
        <v>0</v>
      </c>
    </row>
    <row r="795">
      <c r="A795" s="23">
        <v>11268</v>
      </c>
      <c r="B795" s="4" t="s">
        <v>1089</v>
      </c>
      <c r="C795" s="4" t="s">
        <v>558</v>
      </c>
      <c r="D795" s="4" t="s">
        <v>976</v>
      </c>
      <c r="E795" s="4" t="s">
        <v>318</v>
      </c>
      <c r="F795" s="6">
        <v>2</v>
      </c>
      <c r="G795" s="7">
        <v>0</v>
      </c>
      <c r="H795" s="7">
        <v>0</v>
      </c>
      <c r="I795" s="5">
        <v>2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2</v>
      </c>
      <c r="V795" s="7">
        <v>0</v>
      </c>
      <c r="W795" s="7">
        <v>0</v>
      </c>
      <c r="X795" s="5">
        <v>2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2</v>
      </c>
      <c r="AK795" s="8">
        <v>2</v>
      </c>
      <c r="AL795" s="5">
        <v>2</v>
      </c>
      <c r="AM795" s="5">
        <v>2</v>
      </c>
      <c r="AN795" s="30">
        <v>0</v>
      </c>
    </row>
    <row r="796">
      <c r="A796" s="24">
        <v>11281</v>
      </c>
      <c r="B796" s="9" t="s">
        <v>392</v>
      </c>
      <c r="C796" s="9" t="s">
        <v>67</v>
      </c>
      <c r="D796" s="9" t="s">
        <v>142</v>
      </c>
      <c r="E796" s="9" t="s">
        <v>160</v>
      </c>
      <c r="F796" s="11">
        <v>2</v>
      </c>
      <c r="G796" s="12">
        <v>0</v>
      </c>
      <c r="H796" s="12">
        <v>0</v>
      </c>
      <c r="I796" s="10">
        <v>2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2</v>
      </c>
      <c r="V796" s="12">
        <v>0</v>
      </c>
      <c r="W796" s="12">
        <v>0</v>
      </c>
      <c r="X796" s="10">
        <v>2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2</v>
      </c>
      <c r="AK796" s="13">
        <v>2</v>
      </c>
      <c r="AL796" s="10">
        <v>2</v>
      </c>
      <c r="AM796" s="10">
        <v>2</v>
      </c>
      <c r="AN796" s="31">
        <v>0</v>
      </c>
    </row>
    <row r="797">
      <c r="A797" s="23">
        <v>11310</v>
      </c>
      <c r="B797" s="4" t="s">
        <v>1090</v>
      </c>
      <c r="C797" s="4" t="s">
        <v>67</v>
      </c>
      <c r="D797" s="4" t="s">
        <v>100</v>
      </c>
      <c r="E797" s="4" t="s">
        <v>127</v>
      </c>
      <c r="F797" s="6">
        <v>1</v>
      </c>
      <c r="G797" s="5">
        <v>1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1</v>
      </c>
      <c r="V797" s="5">
        <v>1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30">
        <v>0</v>
      </c>
    </row>
    <row r="798">
      <c r="A798" s="24">
        <v>11363</v>
      </c>
      <c r="B798" s="9" t="s">
        <v>1091</v>
      </c>
      <c r="C798" s="9" t="s">
        <v>136</v>
      </c>
      <c r="D798" s="9" t="s">
        <v>461</v>
      </c>
      <c r="E798" s="9" t="s">
        <v>462</v>
      </c>
      <c r="F798" s="11">
        <v>1</v>
      </c>
      <c r="G798" s="12">
        <v>0</v>
      </c>
      <c r="H798" s="12">
        <v>0</v>
      </c>
      <c r="I798" s="10">
        <v>1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1</v>
      </c>
      <c r="V798" s="12">
        <v>0</v>
      </c>
      <c r="W798" s="12">
        <v>0</v>
      </c>
      <c r="X798" s="10">
        <v>1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31">
        <v>0</v>
      </c>
    </row>
    <row r="799">
      <c r="A799" s="23">
        <v>11423</v>
      </c>
      <c r="B799" s="4" t="s">
        <v>1092</v>
      </c>
      <c r="C799" s="4" t="s">
        <v>67</v>
      </c>
      <c r="D799" s="4" t="s">
        <v>105</v>
      </c>
      <c r="E799" s="4" t="s">
        <v>106</v>
      </c>
      <c r="F799" s="6">
        <v>1</v>
      </c>
      <c r="G799" s="5">
        <v>1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1</v>
      </c>
      <c r="V799" s="5">
        <v>1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30">
        <v>0</v>
      </c>
    </row>
    <row r="800">
      <c r="A800" s="24">
        <v>11529</v>
      </c>
      <c r="B800" s="9" t="s">
        <v>1093</v>
      </c>
      <c r="C800" s="9" t="s">
        <v>67</v>
      </c>
      <c r="D800" s="9" t="s">
        <v>111</v>
      </c>
      <c r="E800" s="9" t="s">
        <v>412</v>
      </c>
      <c r="F800" s="11">
        <v>2</v>
      </c>
      <c r="G800" s="10">
        <v>2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1</v>
      </c>
      <c r="V800" s="10">
        <v>1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2</v>
      </c>
      <c r="AK800" s="13">
        <v>2</v>
      </c>
      <c r="AL800" s="10">
        <v>2</v>
      </c>
      <c r="AM800" s="10">
        <v>2</v>
      </c>
      <c r="AN800" s="31">
        <v>0</v>
      </c>
    </row>
    <row r="801">
      <c r="A801" s="23">
        <v>11531</v>
      </c>
      <c r="B801" s="4" t="s">
        <v>1094</v>
      </c>
      <c r="C801" s="4" t="s">
        <v>67</v>
      </c>
      <c r="D801" s="4" t="s">
        <v>84</v>
      </c>
      <c r="E801" s="4" t="s">
        <v>197</v>
      </c>
      <c r="F801" s="6">
        <v>3</v>
      </c>
      <c r="G801" s="7">
        <v>0</v>
      </c>
      <c r="H801" s="7">
        <v>0</v>
      </c>
      <c r="I801" s="7">
        <v>0</v>
      </c>
      <c r="J801" s="5">
        <v>3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3</v>
      </c>
      <c r="V801" s="7">
        <v>0</v>
      </c>
      <c r="W801" s="7">
        <v>0</v>
      </c>
      <c r="X801" s="7">
        <v>0</v>
      </c>
      <c r="Y801" s="5">
        <v>3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1.5</v>
      </c>
      <c r="AL801" s="5">
        <v>1</v>
      </c>
      <c r="AM801" s="5">
        <v>2</v>
      </c>
      <c r="AN801" s="28">
        <v>0.78</v>
      </c>
    </row>
    <row r="802">
      <c r="A802" s="24">
        <v>11535</v>
      </c>
      <c r="B802" s="9" t="s">
        <v>1095</v>
      </c>
      <c r="C802" s="9" t="s">
        <v>316</v>
      </c>
      <c r="D802" s="9" t="s">
        <v>330</v>
      </c>
      <c r="E802" s="9" t="s">
        <v>318</v>
      </c>
      <c r="F802" s="11">
        <v>1</v>
      </c>
      <c r="G802" s="12">
        <v>0</v>
      </c>
      <c r="H802" s="12">
        <v>0</v>
      </c>
      <c r="I802" s="12">
        <v>0</v>
      </c>
      <c r="J802" s="10">
        <v>1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1</v>
      </c>
      <c r="V802" s="12">
        <v>0</v>
      </c>
      <c r="W802" s="12">
        <v>0</v>
      </c>
      <c r="X802" s="12">
        <v>0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0.25</v>
      </c>
    </row>
    <row r="803">
      <c r="A803" s="23">
        <v>11597</v>
      </c>
      <c r="B803" s="4" t="s">
        <v>1096</v>
      </c>
      <c r="C803" s="4" t="s">
        <v>67</v>
      </c>
      <c r="D803" s="4" t="s">
        <v>111</v>
      </c>
      <c r="E803" s="4" t="s">
        <v>218</v>
      </c>
      <c r="F803" s="6">
        <v>1</v>
      </c>
      <c r="G803" s="5">
        <v>1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1</v>
      </c>
      <c r="V803" s="5">
        <v>1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30">
        <v>0</v>
      </c>
    </row>
    <row r="804">
      <c r="A804" s="24">
        <v>11599</v>
      </c>
      <c r="B804" s="9" t="s">
        <v>1097</v>
      </c>
      <c r="C804" s="9" t="s">
        <v>67</v>
      </c>
      <c r="D804" s="9" t="s">
        <v>84</v>
      </c>
      <c r="E804" s="9" t="s">
        <v>103</v>
      </c>
      <c r="F804" s="11">
        <v>8</v>
      </c>
      <c r="G804" s="12">
        <v>0</v>
      </c>
      <c r="H804" s="12">
        <v>0</v>
      </c>
      <c r="I804" s="12">
        <v>0</v>
      </c>
      <c r="J804" s="10">
        <v>8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8</v>
      </c>
      <c r="V804" s="12">
        <v>0</v>
      </c>
      <c r="W804" s="12">
        <v>0</v>
      </c>
      <c r="X804" s="12">
        <v>0</v>
      </c>
      <c r="Y804" s="10">
        <v>8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3</v>
      </c>
      <c r="AK804" s="13">
        <v>4</v>
      </c>
      <c r="AL804" s="10">
        <v>4</v>
      </c>
      <c r="AM804" s="10">
        <v>5</v>
      </c>
      <c r="AN804" s="29">
        <v>2.08</v>
      </c>
    </row>
    <row r="805">
      <c r="A805" s="23">
        <v>11607</v>
      </c>
      <c r="B805" s="4" t="s">
        <v>1098</v>
      </c>
      <c r="C805" s="4" t="s">
        <v>67</v>
      </c>
      <c r="D805" s="4" t="s">
        <v>68</v>
      </c>
      <c r="E805" s="4" t="s">
        <v>71</v>
      </c>
      <c r="F805" s="6">
        <v>1</v>
      </c>
      <c r="G805" s="5">
        <v>1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1</v>
      </c>
      <c r="V805" s="5">
        <v>1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30">
        <v>0</v>
      </c>
    </row>
    <row r="806">
      <c r="A806" s="24">
        <v>11618</v>
      </c>
      <c r="B806" s="9" t="s">
        <v>1099</v>
      </c>
      <c r="C806" s="9" t="s">
        <v>163</v>
      </c>
      <c r="D806" s="9" t="s">
        <v>390</v>
      </c>
      <c r="E806" s="9" t="s">
        <v>395</v>
      </c>
      <c r="F806" s="11">
        <v>4</v>
      </c>
      <c r="G806" s="10">
        <v>3</v>
      </c>
      <c r="H806" s="12">
        <v>0</v>
      </c>
      <c r="I806" s="12">
        <v>0</v>
      </c>
      <c r="J806" s="12">
        <v>0</v>
      </c>
      <c r="K806" s="10">
        <v>1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4</v>
      </c>
      <c r="V806" s="10">
        <v>3</v>
      </c>
      <c r="W806" s="12">
        <v>0</v>
      </c>
      <c r="X806" s="12">
        <v>0</v>
      </c>
      <c r="Y806" s="12">
        <v>0</v>
      </c>
      <c r="Z806" s="10">
        <v>1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2</v>
      </c>
      <c r="AL806" s="10">
        <v>2</v>
      </c>
      <c r="AM806" s="10">
        <v>3</v>
      </c>
      <c r="AN806" s="31">
        <v>0</v>
      </c>
    </row>
    <row r="807">
      <c r="A807" s="23">
        <v>11636</v>
      </c>
      <c r="B807" s="4" t="s">
        <v>1100</v>
      </c>
      <c r="C807" s="4" t="s">
        <v>67</v>
      </c>
      <c r="D807" s="4" t="s">
        <v>105</v>
      </c>
      <c r="E807" s="4" t="s">
        <v>106</v>
      </c>
      <c r="F807" s="6">
        <v>2</v>
      </c>
      <c r="G807" s="5">
        <v>1</v>
      </c>
      <c r="H807" s="5">
        <v>1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2</v>
      </c>
      <c r="V807" s="5">
        <v>1</v>
      </c>
      <c r="W807" s="5">
        <v>1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30">
        <v>0</v>
      </c>
    </row>
    <row r="808">
      <c r="A808" s="24">
        <v>11638</v>
      </c>
      <c r="B808" s="9" t="s">
        <v>1101</v>
      </c>
      <c r="C808" s="9" t="s">
        <v>67</v>
      </c>
      <c r="D808" s="9" t="s">
        <v>111</v>
      </c>
      <c r="E808" s="9" t="s">
        <v>195</v>
      </c>
      <c r="F808" s="11">
        <v>2</v>
      </c>
      <c r="G808" s="12">
        <v>0</v>
      </c>
      <c r="H808" s="12">
        <v>0</v>
      </c>
      <c r="I808" s="12">
        <v>0</v>
      </c>
      <c r="J808" s="10">
        <v>2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2</v>
      </c>
      <c r="V808" s="12">
        <v>0</v>
      </c>
      <c r="W808" s="12">
        <v>0</v>
      </c>
      <c r="X808" s="12">
        <v>0</v>
      </c>
      <c r="Y808" s="10">
        <v>2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0.5</v>
      </c>
    </row>
    <row r="809">
      <c r="A809" s="23">
        <v>11639</v>
      </c>
      <c r="B809" s="4" t="s">
        <v>1102</v>
      </c>
      <c r="C809" s="4" t="s">
        <v>67</v>
      </c>
      <c r="D809" s="4" t="s">
        <v>111</v>
      </c>
      <c r="E809" s="4" t="s">
        <v>147</v>
      </c>
      <c r="F809" s="6">
        <v>1</v>
      </c>
      <c r="G809" s="5">
        <v>1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1</v>
      </c>
      <c r="V809" s="5">
        <v>1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30">
        <v>0</v>
      </c>
    </row>
    <row r="810">
      <c r="A810" s="24">
        <v>11660</v>
      </c>
      <c r="B810" s="9" t="s">
        <v>1103</v>
      </c>
      <c r="C810" s="9" t="s">
        <v>67</v>
      </c>
      <c r="D810" s="9" t="s">
        <v>76</v>
      </c>
      <c r="E810" s="9" t="s">
        <v>120</v>
      </c>
      <c r="F810" s="11">
        <v>1</v>
      </c>
      <c r="G810" s="10">
        <v>1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1</v>
      </c>
      <c r="V810" s="10">
        <v>1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31">
        <v>0</v>
      </c>
    </row>
    <row r="811">
      <c r="A811" s="23">
        <v>11679</v>
      </c>
      <c r="B811" s="4" t="s">
        <v>1104</v>
      </c>
      <c r="C811" s="4" t="s">
        <v>67</v>
      </c>
      <c r="D811" s="4" t="s">
        <v>111</v>
      </c>
      <c r="E811" s="4" t="s">
        <v>147</v>
      </c>
      <c r="F811" s="6">
        <v>1</v>
      </c>
      <c r="G811" s="7">
        <v>0</v>
      </c>
      <c r="H811" s="7">
        <v>0</v>
      </c>
      <c r="I811" s="7">
        <v>0</v>
      </c>
      <c r="J811" s="5">
        <v>1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1</v>
      </c>
      <c r="V811" s="7">
        <v>0</v>
      </c>
      <c r="W811" s="7">
        <v>0</v>
      </c>
      <c r="X811" s="7">
        <v>0</v>
      </c>
      <c r="Y811" s="5">
        <v>1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28">
        <v>0.25</v>
      </c>
    </row>
    <row r="812">
      <c r="A812" s="24">
        <v>11835</v>
      </c>
      <c r="B812" s="9" t="s">
        <v>1105</v>
      </c>
      <c r="C812" s="9" t="s">
        <v>67</v>
      </c>
      <c r="D812" s="9" t="s">
        <v>111</v>
      </c>
      <c r="E812" s="9" t="s">
        <v>412</v>
      </c>
      <c r="F812" s="11">
        <v>3</v>
      </c>
      <c r="G812" s="12">
        <v>0</v>
      </c>
      <c r="H812" s="12">
        <v>0</v>
      </c>
      <c r="I812" s="12">
        <v>0</v>
      </c>
      <c r="J812" s="10">
        <v>3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3</v>
      </c>
      <c r="V812" s="12">
        <v>0</v>
      </c>
      <c r="W812" s="12">
        <v>0</v>
      </c>
      <c r="X812" s="12">
        <v>0</v>
      </c>
      <c r="Y812" s="10">
        <v>3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3</v>
      </c>
      <c r="AK812" s="13">
        <v>3</v>
      </c>
      <c r="AL812" s="10">
        <v>3</v>
      </c>
      <c r="AM812" s="10">
        <v>3</v>
      </c>
      <c r="AN812" s="29">
        <v>0.75</v>
      </c>
    </row>
    <row r="813">
      <c r="A813" s="23">
        <v>11850</v>
      </c>
      <c r="B813" s="4" t="s">
        <v>1106</v>
      </c>
      <c r="C813" s="4" t="s">
        <v>67</v>
      </c>
      <c r="D813" s="4" t="s">
        <v>89</v>
      </c>
      <c r="E813" s="4" t="s">
        <v>322</v>
      </c>
      <c r="F813" s="6">
        <v>9</v>
      </c>
      <c r="G813" s="5">
        <v>8</v>
      </c>
      <c r="H813" s="7">
        <v>0</v>
      </c>
      <c r="I813" s="5">
        <v>1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5</v>
      </c>
      <c r="V813" s="5">
        <v>4</v>
      </c>
      <c r="W813" s="7">
        <v>0</v>
      </c>
      <c r="X813" s="5">
        <v>1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3</v>
      </c>
      <c r="AL813" s="5">
        <v>1</v>
      </c>
      <c r="AM813" s="5">
        <v>7</v>
      </c>
      <c r="AN813" s="28">
        <v>0.24</v>
      </c>
    </row>
    <row r="814">
      <c r="A814" s="24">
        <v>11852</v>
      </c>
      <c r="B814" s="9" t="s">
        <v>1107</v>
      </c>
      <c r="C814" s="9" t="s">
        <v>67</v>
      </c>
      <c r="D814" s="9" t="s">
        <v>76</v>
      </c>
      <c r="E814" s="9" t="s">
        <v>120</v>
      </c>
      <c r="F814" s="11">
        <v>2</v>
      </c>
      <c r="G814" s="12">
        <v>0</v>
      </c>
      <c r="H814" s="12">
        <v>0</v>
      </c>
      <c r="I814" s="10">
        <v>2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2</v>
      </c>
      <c r="V814" s="12">
        <v>0</v>
      </c>
      <c r="W814" s="12">
        <v>0</v>
      </c>
      <c r="X814" s="10">
        <v>2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2</v>
      </c>
      <c r="AK814" s="13">
        <v>2</v>
      </c>
      <c r="AL814" s="10">
        <v>2</v>
      </c>
      <c r="AM814" s="10">
        <v>2</v>
      </c>
      <c r="AN814" s="29">
        <v>0.5</v>
      </c>
    </row>
    <row r="815">
      <c r="A815" s="23">
        <v>11858</v>
      </c>
      <c r="B815" s="4" t="s">
        <v>1108</v>
      </c>
      <c r="C815" s="4" t="s">
        <v>67</v>
      </c>
      <c r="D815" s="4" t="s">
        <v>84</v>
      </c>
      <c r="E815" s="4" t="s">
        <v>399</v>
      </c>
      <c r="F815" s="6">
        <v>2</v>
      </c>
      <c r="G815" s="5">
        <v>2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2</v>
      </c>
      <c r="V815" s="5">
        <v>2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2</v>
      </c>
      <c r="AK815" s="8">
        <v>2</v>
      </c>
      <c r="AL815" s="5">
        <v>2</v>
      </c>
      <c r="AM815" s="5">
        <v>2</v>
      </c>
      <c r="AN815" s="30">
        <v>0</v>
      </c>
    </row>
    <row r="816">
      <c r="A816" s="24">
        <v>11933</v>
      </c>
      <c r="B816" s="9" t="s">
        <v>1109</v>
      </c>
      <c r="C816" s="9" t="s">
        <v>67</v>
      </c>
      <c r="D816" s="9" t="s">
        <v>111</v>
      </c>
      <c r="E816" s="9" t="s">
        <v>147</v>
      </c>
      <c r="F816" s="11">
        <v>1</v>
      </c>
      <c r="G816" s="10">
        <v>1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1</v>
      </c>
      <c r="V816" s="10">
        <v>1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31">
        <v>0</v>
      </c>
    </row>
    <row r="817">
      <c r="A817" s="23">
        <v>11946</v>
      </c>
      <c r="B817" s="4" t="s">
        <v>1110</v>
      </c>
      <c r="C817" s="4" t="s">
        <v>67</v>
      </c>
      <c r="D817" s="4" t="s">
        <v>111</v>
      </c>
      <c r="E817" s="4" t="s">
        <v>112</v>
      </c>
      <c r="F817" s="6">
        <v>1</v>
      </c>
      <c r="G817" s="5">
        <v>1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1</v>
      </c>
      <c r="V817" s="5">
        <v>1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30">
        <v>0</v>
      </c>
    </row>
    <row r="818">
      <c r="A818" s="24">
        <v>11973</v>
      </c>
      <c r="B818" s="9" t="s">
        <v>1111</v>
      </c>
      <c r="C818" s="9" t="s">
        <v>67</v>
      </c>
      <c r="D818" s="9" t="s">
        <v>100</v>
      </c>
      <c r="E818" s="9" t="s">
        <v>578</v>
      </c>
      <c r="F818" s="11">
        <v>1</v>
      </c>
      <c r="G818" s="12">
        <v>0</v>
      </c>
      <c r="H818" s="12">
        <v>0</v>
      </c>
      <c r="I818" s="12">
        <v>0</v>
      </c>
      <c r="J818" s="10">
        <v>1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1</v>
      </c>
      <c r="V818" s="12">
        <v>0</v>
      </c>
      <c r="W818" s="12">
        <v>0</v>
      </c>
      <c r="X818" s="12">
        <v>0</v>
      </c>
      <c r="Y818" s="10">
        <v>1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29">
        <v>0.26</v>
      </c>
    </row>
    <row r="819">
      <c r="A819" s="23">
        <v>12005</v>
      </c>
      <c r="B819" s="4" t="s">
        <v>1112</v>
      </c>
      <c r="C819" s="4" t="s">
        <v>67</v>
      </c>
      <c r="D819" s="4" t="s">
        <v>812</v>
      </c>
      <c r="E819" s="4" t="s">
        <v>813</v>
      </c>
      <c r="F819" s="6">
        <v>1</v>
      </c>
      <c r="G819" s="7">
        <v>0</v>
      </c>
      <c r="H819" s="7">
        <v>0</v>
      </c>
      <c r="I819" s="5">
        <v>1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1</v>
      </c>
      <c r="V819" s="7">
        <v>0</v>
      </c>
      <c r="W819" s="7">
        <v>0</v>
      </c>
      <c r="X819" s="5">
        <v>1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30">
        <v>0</v>
      </c>
    </row>
    <row r="820">
      <c r="A820" s="24">
        <v>12032</v>
      </c>
      <c r="B820" s="9" t="s">
        <v>1113</v>
      </c>
      <c r="C820" s="9" t="s">
        <v>67</v>
      </c>
      <c r="D820" s="9" t="s">
        <v>111</v>
      </c>
      <c r="E820" s="9" t="s">
        <v>195</v>
      </c>
      <c r="F820" s="11">
        <v>1</v>
      </c>
      <c r="G820" s="12">
        <v>0</v>
      </c>
      <c r="H820" s="10">
        <v>1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1</v>
      </c>
      <c r="V820" s="12">
        <v>0</v>
      </c>
      <c r="W820" s="10">
        <v>1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29">
        <v>0.25</v>
      </c>
    </row>
    <row r="821">
      <c r="A821" s="23">
        <v>12039</v>
      </c>
      <c r="B821" s="4" t="s">
        <v>1114</v>
      </c>
      <c r="C821" s="4" t="s">
        <v>67</v>
      </c>
      <c r="D821" s="4" t="s">
        <v>111</v>
      </c>
      <c r="E821" s="4" t="s">
        <v>149</v>
      </c>
      <c r="F821" s="6">
        <v>1</v>
      </c>
      <c r="G821" s="7">
        <v>0</v>
      </c>
      <c r="H821" s="5">
        <v>1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1</v>
      </c>
      <c r="V821" s="7">
        <v>0</v>
      </c>
      <c r="W821" s="5">
        <v>1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0.22</v>
      </c>
    </row>
    <row r="822">
      <c r="A822" s="24">
        <v>12047</v>
      </c>
      <c r="B822" s="9" t="s">
        <v>200</v>
      </c>
      <c r="C822" s="9" t="s">
        <v>67</v>
      </c>
      <c r="D822" s="9" t="s">
        <v>111</v>
      </c>
      <c r="E822" s="9" t="s">
        <v>147</v>
      </c>
      <c r="F822" s="11">
        <v>2</v>
      </c>
      <c r="G822" s="10">
        <v>1</v>
      </c>
      <c r="H822" s="12">
        <v>0</v>
      </c>
      <c r="I822" s="12">
        <v>0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2</v>
      </c>
      <c r="V822" s="10">
        <v>1</v>
      </c>
      <c r="W822" s="12">
        <v>0</v>
      </c>
      <c r="X822" s="12">
        <v>0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31">
        <v>0</v>
      </c>
    </row>
    <row r="823">
      <c r="A823" s="23">
        <v>12055</v>
      </c>
      <c r="B823" s="4" t="s">
        <v>1115</v>
      </c>
      <c r="C823" s="4" t="s">
        <v>67</v>
      </c>
      <c r="D823" s="4" t="s">
        <v>111</v>
      </c>
      <c r="E823" s="4" t="s">
        <v>112</v>
      </c>
      <c r="F823" s="6">
        <v>3</v>
      </c>
      <c r="G823" s="7">
        <v>0</v>
      </c>
      <c r="H823" s="5">
        <v>3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3</v>
      </c>
      <c r="V823" s="7">
        <v>0</v>
      </c>
      <c r="W823" s="5">
        <v>3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3</v>
      </c>
      <c r="AK823" s="8">
        <v>3</v>
      </c>
      <c r="AL823" s="5">
        <v>3</v>
      </c>
      <c r="AM823" s="5">
        <v>3</v>
      </c>
      <c r="AN823" s="28">
        <v>0.75</v>
      </c>
    </row>
    <row r="824">
      <c r="A824" s="24">
        <v>12059</v>
      </c>
      <c r="B824" s="9" t="s">
        <v>1116</v>
      </c>
      <c r="C824" s="9" t="s">
        <v>67</v>
      </c>
      <c r="D824" s="9" t="s">
        <v>76</v>
      </c>
      <c r="E824" s="9" t="s">
        <v>459</v>
      </c>
      <c r="F824" s="11">
        <v>2</v>
      </c>
      <c r="G824" s="10">
        <v>2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2</v>
      </c>
      <c r="V824" s="10">
        <v>2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2</v>
      </c>
      <c r="AK824" s="13">
        <v>2</v>
      </c>
      <c r="AL824" s="10">
        <v>2</v>
      </c>
      <c r="AM824" s="10">
        <v>2</v>
      </c>
      <c r="AN824" s="31">
        <v>0</v>
      </c>
    </row>
    <row r="825">
      <c r="A825" s="23">
        <v>12061</v>
      </c>
      <c r="B825" s="4" t="s">
        <v>1117</v>
      </c>
      <c r="C825" s="4" t="s">
        <v>67</v>
      </c>
      <c r="D825" s="4" t="s">
        <v>105</v>
      </c>
      <c r="E825" s="4" t="s">
        <v>106</v>
      </c>
      <c r="F825" s="6">
        <v>1</v>
      </c>
      <c r="G825" s="7">
        <v>0</v>
      </c>
      <c r="H825" s="7">
        <v>0</v>
      </c>
      <c r="I825" s="7">
        <v>0</v>
      </c>
      <c r="J825" s="5">
        <v>1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1</v>
      </c>
      <c r="V825" s="7">
        <v>0</v>
      </c>
      <c r="W825" s="7">
        <v>0</v>
      </c>
      <c r="X825" s="7">
        <v>0</v>
      </c>
      <c r="Y825" s="5">
        <v>1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28">
        <v>0.25</v>
      </c>
    </row>
    <row r="826">
      <c r="A826" s="24">
        <v>12062</v>
      </c>
      <c r="B826" s="9" t="s">
        <v>1118</v>
      </c>
      <c r="C826" s="9" t="s">
        <v>67</v>
      </c>
      <c r="D826" s="9" t="s">
        <v>105</v>
      </c>
      <c r="E826" s="9" t="s">
        <v>106</v>
      </c>
      <c r="F826" s="11">
        <v>2</v>
      </c>
      <c r="G826" s="12">
        <v>0</v>
      </c>
      <c r="H826" s="10">
        <v>2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1</v>
      </c>
      <c r="V826" s="12">
        <v>0</v>
      </c>
      <c r="W826" s="10">
        <v>1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2</v>
      </c>
      <c r="AK826" s="13">
        <v>2</v>
      </c>
      <c r="AL826" s="10">
        <v>2</v>
      </c>
      <c r="AM826" s="10">
        <v>2</v>
      </c>
      <c r="AN826" s="31">
        <v>0</v>
      </c>
    </row>
    <row r="827">
      <c r="A827" s="23">
        <v>12063</v>
      </c>
      <c r="B827" s="4" t="s">
        <v>1119</v>
      </c>
      <c r="C827" s="4" t="s">
        <v>67</v>
      </c>
      <c r="D827" s="4" t="s">
        <v>105</v>
      </c>
      <c r="E827" s="4" t="s">
        <v>106</v>
      </c>
      <c r="F827" s="6">
        <v>1</v>
      </c>
      <c r="G827" s="7">
        <v>0</v>
      </c>
      <c r="H827" s="7">
        <v>0</v>
      </c>
      <c r="I827" s="7">
        <v>0</v>
      </c>
      <c r="J827" s="5">
        <v>1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1</v>
      </c>
      <c r="V827" s="7">
        <v>0</v>
      </c>
      <c r="W827" s="7">
        <v>0</v>
      </c>
      <c r="X827" s="7">
        <v>0</v>
      </c>
      <c r="Y827" s="5">
        <v>1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0.25</v>
      </c>
    </row>
    <row r="828">
      <c r="A828" s="24">
        <v>12069</v>
      </c>
      <c r="B828" s="9" t="s">
        <v>1120</v>
      </c>
      <c r="C828" s="9" t="s">
        <v>67</v>
      </c>
      <c r="D828" s="9" t="s">
        <v>92</v>
      </c>
      <c r="E828" s="9" t="s">
        <v>423</v>
      </c>
      <c r="F828" s="11">
        <v>6</v>
      </c>
      <c r="G828" s="10">
        <v>3</v>
      </c>
      <c r="H828" s="12">
        <v>0</v>
      </c>
      <c r="I828" s="10">
        <v>1</v>
      </c>
      <c r="J828" s="10">
        <v>2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5</v>
      </c>
      <c r="V828" s="10">
        <v>3</v>
      </c>
      <c r="W828" s="12">
        <v>0</v>
      </c>
      <c r="X828" s="10">
        <v>1</v>
      </c>
      <c r="Y828" s="10">
        <v>1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1.5</v>
      </c>
      <c r="AL828" s="10">
        <v>1</v>
      </c>
      <c r="AM828" s="10">
        <v>2</v>
      </c>
      <c r="AN828" s="29">
        <v>0.38</v>
      </c>
    </row>
    <row r="829">
      <c r="A829" s="23">
        <v>12072</v>
      </c>
      <c r="B829" s="4" t="s">
        <v>1121</v>
      </c>
      <c r="C829" s="4" t="s">
        <v>67</v>
      </c>
      <c r="D829" s="4" t="s">
        <v>92</v>
      </c>
      <c r="E829" s="4" t="s">
        <v>93</v>
      </c>
      <c r="F829" s="6">
        <v>3</v>
      </c>
      <c r="G829" s="5">
        <v>3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3</v>
      </c>
      <c r="V829" s="5">
        <v>3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3</v>
      </c>
      <c r="AK829" s="8">
        <v>3</v>
      </c>
      <c r="AL829" s="5">
        <v>3</v>
      </c>
      <c r="AM829" s="5">
        <v>3</v>
      </c>
      <c r="AN829" s="30">
        <v>0</v>
      </c>
    </row>
    <row r="830">
      <c r="A830" s="24">
        <v>12092</v>
      </c>
      <c r="B830" s="9" t="s">
        <v>1122</v>
      </c>
      <c r="C830" s="9" t="s">
        <v>67</v>
      </c>
      <c r="D830" s="9" t="s">
        <v>68</v>
      </c>
      <c r="E830" s="9" t="s">
        <v>71</v>
      </c>
      <c r="F830" s="11">
        <v>1</v>
      </c>
      <c r="G830" s="12">
        <v>0</v>
      </c>
      <c r="H830" s="12">
        <v>0</v>
      </c>
      <c r="I830" s="10">
        <v>1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1</v>
      </c>
      <c r="V830" s="12">
        <v>0</v>
      </c>
      <c r="W830" s="12">
        <v>0</v>
      </c>
      <c r="X830" s="10">
        <v>1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29">
        <v>0.22</v>
      </c>
    </row>
    <row r="831">
      <c r="A831" s="23">
        <v>12097</v>
      </c>
      <c r="B831" s="4" t="s">
        <v>1123</v>
      </c>
      <c r="C831" s="4" t="s">
        <v>67</v>
      </c>
      <c r="D831" s="4" t="s">
        <v>142</v>
      </c>
      <c r="E831" s="4" t="s">
        <v>1124</v>
      </c>
      <c r="F831" s="6">
        <v>1</v>
      </c>
      <c r="G831" s="7">
        <v>0</v>
      </c>
      <c r="H831" s="7">
        <v>0</v>
      </c>
      <c r="I831" s="7">
        <v>0</v>
      </c>
      <c r="J831" s="5">
        <v>1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1</v>
      </c>
      <c r="V831" s="7">
        <v>0</v>
      </c>
      <c r="W831" s="7">
        <v>0</v>
      </c>
      <c r="X831" s="7">
        <v>0</v>
      </c>
      <c r="Y831" s="5">
        <v>1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28">
        <v>0.25</v>
      </c>
    </row>
    <row r="832">
      <c r="A832" s="24">
        <v>12102</v>
      </c>
      <c r="B832" s="9" t="s">
        <v>1125</v>
      </c>
      <c r="C832" s="9" t="s">
        <v>67</v>
      </c>
      <c r="D832" s="9" t="s">
        <v>68</v>
      </c>
      <c r="E832" s="9" t="s">
        <v>237</v>
      </c>
      <c r="F832" s="11">
        <v>2</v>
      </c>
      <c r="G832" s="10">
        <v>1</v>
      </c>
      <c r="H832" s="12">
        <v>0</v>
      </c>
      <c r="I832" s="12">
        <v>0</v>
      </c>
      <c r="J832" s="12">
        <v>0</v>
      </c>
      <c r="K832" s="12">
        <v>0</v>
      </c>
      <c r="L832" s="10">
        <v>1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2</v>
      </c>
      <c r="V832" s="10">
        <v>1</v>
      </c>
      <c r="W832" s="12">
        <v>0</v>
      </c>
      <c r="X832" s="12">
        <v>0</v>
      </c>
      <c r="Y832" s="12">
        <v>0</v>
      </c>
      <c r="Z832" s="12">
        <v>0</v>
      </c>
      <c r="AA832" s="10">
        <v>1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31">
        <v>0</v>
      </c>
    </row>
    <row r="833">
      <c r="A833" s="23">
        <v>12142</v>
      </c>
      <c r="B833" s="4" t="s">
        <v>1126</v>
      </c>
      <c r="C833" s="4" t="s">
        <v>67</v>
      </c>
      <c r="D833" s="4" t="s">
        <v>105</v>
      </c>
      <c r="E833" s="4" t="s">
        <v>106</v>
      </c>
      <c r="F833" s="6">
        <v>4</v>
      </c>
      <c r="G833" s="7">
        <v>0</v>
      </c>
      <c r="H833" s="5">
        <v>4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1</v>
      </c>
      <c r="V833" s="7">
        <v>0</v>
      </c>
      <c r="W833" s="5">
        <v>1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4</v>
      </c>
      <c r="AK833" s="8">
        <v>4</v>
      </c>
      <c r="AL833" s="5">
        <v>4</v>
      </c>
      <c r="AM833" s="5">
        <v>4</v>
      </c>
      <c r="AN833" s="30">
        <v>0</v>
      </c>
    </row>
    <row r="834">
      <c r="A834" s="24">
        <v>12176</v>
      </c>
      <c r="B834" s="9" t="s">
        <v>1127</v>
      </c>
      <c r="C834" s="9" t="s">
        <v>67</v>
      </c>
      <c r="D834" s="9" t="s">
        <v>111</v>
      </c>
      <c r="E834" s="9" t="s">
        <v>147</v>
      </c>
      <c r="F834" s="11">
        <v>2</v>
      </c>
      <c r="G834" s="12">
        <v>0</v>
      </c>
      <c r="H834" s="12">
        <v>0</v>
      </c>
      <c r="I834" s="12">
        <v>0</v>
      </c>
      <c r="J834" s="10">
        <v>2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2</v>
      </c>
      <c r="V834" s="12">
        <v>0</v>
      </c>
      <c r="W834" s="12">
        <v>0</v>
      </c>
      <c r="X834" s="12">
        <v>0</v>
      </c>
      <c r="Y834" s="10">
        <v>2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2</v>
      </c>
      <c r="AK834" s="13">
        <v>2</v>
      </c>
      <c r="AL834" s="10">
        <v>2</v>
      </c>
      <c r="AM834" s="10">
        <v>2</v>
      </c>
      <c r="AN834" s="31">
        <v>0</v>
      </c>
    </row>
    <row r="835">
      <c r="A835" s="23">
        <v>12177</v>
      </c>
      <c r="B835" s="4" t="s">
        <v>1128</v>
      </c>
      <c r="C835" s="4" t="s">
        <v>67</v>
      </c>
      <c r="D835" s="4" t="s">
        <v>111</v>
      </c>
      <c r="E835" s="4" t="s">
        <v>147</v>
      </c>
      <c r="F835" s="6">
        <v>1</v>
      </c>
      <c r="G835" s="7">
        <v>0</v>
      </c>
      <c r="H835" s="7">
        <v>0</v>
      </c>
      <c r="I835" s="5">
        <v>1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1</v>
      </c>
      <c r="V835" s="7">
        <v>0</v>
      </c>
      <c r="W835" s="7">
        <v>0</v>
      </c>
      <c r="X835" s="5">
        <v>1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28">
        <v>0.26</v>
      </c>
    </row>
    <row r="836">
      <c r="A836" s="24">
        <v>12190</v>
      </c>
      <c r="B836" s="9" t="s">
        <v>1129</v>
      </c>
      <c r="C836" s="9" t="s">
        <v>67</v>
      </c>
      <c r="D836" s="9" t="s">
        <v>111</v>
      </c>
      <c r="E836" s="9" t="s">
        <v>149</v>
      </c>
      <c r="F836" s="11">
        <v>1</v>
      </c>
      <c r="G836" s="12">
        <v>0</v>
      </c>
      <c r="H836" s="12">
        <v>0</v>
      </c>
      <c r="I836" s="12">
        <v>0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1</v>
      </c>
      <c r="V836" s="12">
        <v>0</v>
      </c>
      <c r="W836" s="12">
        <v>0</v>
      </c>
      <c r="X836" s="12">
        <v>0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29">
        <v>0.25</v>
      </c>
    </row>
    <row r="837">
      <c r="A837" s="23">
        <v>12192</v>
      </c>
      <c r="B837" s="4" t="s">
        <v>1130</v>
      </c>
      <c r="C837" s="4" t="s">
        <v>163</v>
      </c>
      <c r="D837" s="4" t="s">
        <v>164</v>
      </c>
      <c r="E837" s="4" t="s">
        <v>171</v>
      </c>
      <c r="F837" s="6">
        <v>1</v>
      </c>
      <c r="G837" s="7">
        <v>0</v>
      </c>
      <c r="H837" s="7">
        <v>0</v>
      </c>
      <c r="I837" s="7">
        <v>0</v>
      </c>
      <c r="J837" s="7">
        <v>0</v>
      </c>
      <c r="K837" s="7">
        <v>0</v>
      </c>
      <c r="L837" s="5">
        <v>1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1</v>
      </c>
      <c r="V837" s="7">
        <v>0</v>
      </c>
      <c r="W837" s="7">
        <v>0</v>
      </c>
      <c r="X837" s="7">
        <v>0</v>
      </c>
      <c r="Y837" s="7">
        <v>0</v>
      </c>
      <c r="Z837" s="7">
        <v>0</v>
      </c>
      <c r="AA837" s="5">
        <v>1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30">
        <v>0</v>
      </c>
    </row>
    <row r="838">
      <c r="A838" s="24">
        <v>12281</v>
      </c>
      <c r="B838" s="9" t="s">
        <v>1131</v>
      </c>
      <c r="C838" s="9" t="s">
        <v>136</v>
      </c>
      <c r="D838" s="9" t="s">
        <v>1132</v>
      </c>
      <c r="E838" s="9" t="s">
        <v>1133</v>
      </c>
      <c r="F838" s="11">
        <v>1</v>
      </c>
      <c r="G838" s="12">
        <v>0</v>
      </c>
      <c r="H838" s="12">
        <v>0</v>
      </c>
      <c r="I838" s="12">
        <v>0</v>
      </c>
      <c r="J838" s="10">
        <v>1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1</v>
      </c>
      <c r="V838" s="12">
        <v>0</v>
      </c>
      <c r="W838" s="12">
        <v>0</v>
      </c>
      <c r="X838" s="12">
        <v>0</v>
      </c>
      <c r="Y838" s="10">
        <v>1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31">
        <v>0</v>
      </c>
    </row>
    <row r="839">
      <c r="A839" s="23">
        <v>12286</v>
      </c>
      <c r="B839" s="4" t="s">
        <v>1134</v>
      </c>
      <c r="C839" s="4" t="s">
        <v>558</v>
      </c>
      <c r="D839" s="4" t="s">
        <v>580</v>
      </c>
      <c r="E839" s="4" t="s">
        <v>318</v>
      </c>
      <c r="F839" s="6">
        <v>2</v>
      </c>
      <c r="G839" s="7">
        <v>0</v>
      </c>
      <c r="H839" s="7">
        <v>0</v>
      </c>
      <c r="I839" s="5">
        <v>2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2</v>
      </c>
      <c r="V839" s="7">
        <v>0</v>
      </c>
      <c r="W839" s="7">
        <v>0</v>
      </c>
      <c r="X839" s="5">
        <v>2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2</v>
      </c>
      <c r="AK839" s="8">
        <v>2</v>
      </c>
      <c r="AL839" s="5">
        <v>2</v>
      </c>
      <c r="AM839" s="5">
        <v>2</v>
      </c>
      <c r="AN839" s="30">
        <v>0</v>
      </c>
    </row>
    <row r="840">
      <c r="A840" s="24">
        <v>12370</v>
      </c>
      <c r="B840" s="9" t="s">
        <v>1135</v>
      </c>
      <c r="C840" s="9" t="s">
        <v>136</v>
      </c>
      <c r="D840" s="9" t="s">
        <v>385</v>
      </c>
      <c r="E840" s="9" t="s">
        <v>852</v>
      </c>
      <c r="F840" s="11">
        <v>1</v>
      </c>
      <c r="G840" s="12">
        <v>0</v>
      </c>
      <c r="H840" s="12">
        <v>0</v>
      </c>
      <c r="I840" s="10">
        <v>1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1</v>
      </c>
      <c r="V840" s="12">
        <v>0</v>
      </c>
      <c r="W840" s="12">
        <v>0</v>
      </c>
      <c r="X840" s="10">
        <v>1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31">
        <v>0</v>
      </c>
    </row>
    <row r="841">
      <c r="A841" s="23">
        <v>12453</v>
      </c>
      <c r="B841" s="4" t="s">
        <v>1136</v>
      </c>
      <c r="C841" s="4" t="s">
        <v>558</v>
      </c>
      <c r="D841" s="4" t="s">
        <v>580</v>
      </c>
      <c r="E841" s="4" t="s">
        <v>318</v>
      </c>
      <c r="F841" s="6">
        <v>1</v>
      </c>
      <c r="G841" s="7">
        <v>0</v>
      </c>
      <c r="H841" s="7">
        <v>0</v>
      </c>
      <c r="I841" s="7">
        <v>0</v>
      </c>
      <c r="J841" s="5">
        <v>1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1</v>
      </c>
      <c r="V841" s="7">
        <v>0</v>
      </c>
      <c r="W841" s="7">
        <v>0</v>
      </c>
      <c r="X841" s="7">
        <v>0</v>
      </c>
      <c r="Y841" s="5">
        <v>1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0.26</v>
      </c>
    </row>
    <row r="842">
      <c r="A842" s="24">
        <v>12494</v>
      </c>
      <c r="B842" s="9" t="s">
        <v>1137</v>
      </c>
      <c r="C842" s="9" t="s">
        <v>163</v>
      </c>
      <c r="D842" s="9" t="s">
        <v>390</v>
      </c>
      <c r="E842" s="9" t="s">
        <v>395</v>
      </c>
      <c r="F842" s="11">
        <v>3</v>
      </c>
      <c r="G842" s="10">
        <v>1</v>
      </c>
      <c r="H842" s="12">
        <v>0</v>
      </c>
      <c r="I842" s="10">
        <v>2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2</v>
      </c>
      <c r="V842" s="10">
        <v>1</v>
      </c>
      <c r="W842" s="12">
        <v>0</v>
      </c>
      <c r="X842" s="10">
        <v>1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1.5</v>
      </c>
      <c r="AL842" s="10">
        <v>1</v>
      </c>
      <c r="AM842" s="10">
        <v>2</v>
      </c>
      <c r="AN842" s="31">
        <v>0</v>
      </c>
    </row>
    <row r="843">
      <c r="A843" s="23">
        <v>12495</v>
      </c>
      <c r="B843" s="4" t="s">
        <v>1138</v>
      </c>
      <c r="C843" s="4" t="s">
        <v>163</v>
      </c>
      <c r="D843" s="4" t="s">
        <v>861</v>
      </c>
      <c r="E843" s="4" t="s">
        <v>1139</v>
      </c>
      <c r="F843" s="6">
        <v>1</v>
      </c>
      <c r="G843" s="7">
        <v>0</v>
      </c>
      <c r="H843" s="7">
        <v>0</v>
      </c>
      <c r="I843" s="7">
        <v>0</v>
      </c>
      <c r="J843" s="5">
        <v>1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1</v>
      </c>
      <c r="V843" s="7">
        <v>0</v>
      </c>
      <c r="W843" s="7">
        <v>0</v>
      </c>
      <c r="X843" s="7">
        <v>0</v>
      </c>
      <c r="Y843" s="5">
        <v>1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0.24</v>
      </c>
    </row>
    <row r="844">
      <c r="A844" s="24">
        <v>12518</v>
      </c>
      <c r="B844" s="9" t="s">
        <v>1140</v>
      </c>
      <c r="C844" s="9" t="s">
        <v>558</v>
      </c>
      <c r="D844" s="9" t="s">
        <v>976</v>
      </c>
      <c r="E844" s="9" t="s">
        <v>318</v>
      </c>
      <c r="F844" s="11">
        <v>1</v>
      </c>
      <c r="G844" s="12">
        <v>0</v>
      </c>
      <c r="H844" s="12">
        <v>0</v>
      </c>
      <c r="I844" s="10">
        <v>1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1</v>
      </c>
      <c r="V844" s="12">
        <v>0</v>
      </c>
      <c r="W844" s="12">
        <v>0</v>
      </c>
      <c r="X844" s="10">
        <v>1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0.25</v>
      </c>
    </row>
    <row r="845">
      <c r="A845" s="23">
        <v>12614</v>
      </c>
      <c r="B845" s="4" t="s">
        <v>1141</v>
      </c>
      <c r="C845" s="4" t="s">
        <v>566</v>
      </c>
      <c r="D845" s="4" t="s">
        <v>567</v>
      </c>
      <c r="E845" s="4" t="s">
        <v>318</v>
      </c>
      <c r="F845" s="6">
        <v>2</v>
      </c>
      <c r="G845" s="7">
        <v>0</v>
      </c>
      <c r="H845" s="5">
        <v>2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2</v>
      </c>
      <c r="V845" s="7">
        <v>0</v>
      </c>
      <c r="W845" s="5">
        <v>2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28">
        <v>0.62</v>
      </c>
    </row>
    <row r="846">
      <c r="A846" s="24">
        <v>12617</v>
      </c>
      <c r="B846" s="9" t="s">
        <v>1142</v>
      </c>
      <c r="C846" s="9" t="s">
        <v>136</v>
      </c>
      <c r="D846" s="9" t="s">
        <v>461</v>
      </c>
      <c r="E846" s="9" t="s">
        <v>462</v>
      </c>
      <c r="F846" s="11">
        <v>1</v>
      </c>
      <c r="G846" s="12">
        <v>0</v>
      </c>
      <c r="H846" s="12">
        <v>0</v>
      </c>
      <c r="I846" s="10">
        <v>1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1</v>
      </c>
      <c r="V846" s="12">
        <v>0</v>
      </c>
      <c r="W846" s="12">
        <v>0</v>
      </c>
      <c r="X846" s="10">
        <v>1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0.22</v>
      </c>
    </row>
    <row r="847">
      <c r="A847" s="23">
        <v>12643</v>
      </c>
      <c r="B847" s="4" t="s">
        <v>1143</v>
      </c>
      <c r="C847" s="4" t="s">
        <v>67</v>
      </c>
      <c r="D847" s="4" t="s">
        <v>79</v>
      </c>
      <c r="E847" s="4" t="s">
        <v>116</v>
      </c>
      <c r="F847" s="6">
        <v>1</v>
      </c>
      <c r="G847" s="7">
        <v>0</v>
      </c>
      <c r="H847" s="7">
        <v>0</v>
      </c>
      <c r="I847" s="7">
        <v>0</v>
      </c>
      <c r="J847" s="5">
        <v>1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1</v>
      </c>
      <c r="V847" s="7">
        <v>0</v>
      </c>
      <c r="W847" s="7">
        <v>0</v>
      </c>
      <c r="X847" s="7">
        <v>0</v>
      </c>
      <c r="Y847" s="5">
        <v>1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28">
        <v>0.26</v>
      </c>
    </row>
    <row r="848">
      <c r="A848" s="24">
        <v>12647</v>
      </c>
      <c r="B848" s="9" t="s">
        <v>1144</v>
      </c>
      <c r="C848" s="9" t="s">
        <v>67</v>
      </c>
      <c r="D848" s="9" t="s">
        <v>76</v>
      </c>
      <c r="E848" s="9" t="s">
        <v>123</v>
      </c>
      <c r="F848" s="11">
        <v>3</v>
      </c>
      <c r="G848" s="10">
        <v>2</v>
      </c>
      <c r="H848" s="10">
        <v>1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2</v>
      </c>
      <c r="V848" s="10">
        <v>1</v>
      </c>
      <c r="W848" s="10">
        <v>1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1.5</v>
      </c>
      <c r="AL848" s="10">
        <v>1</v>
      </c>
      <c r="AM848" s="10">
        <v>2</v>
      </c>
      <c r="AN848" s="29">
        <v>0.6</v>
      </c>
    </row>
    <row r="849">
      <c r="A849" s="23">
        <v>12650</v>
      </c>
      <c r="B849" s="4" t="s">
        <v>1145</v>
      </c>
      <c r="C849" s="4" t="s">
        <v>136</v>
      </c>
      <c r="D849" s="4" t="s">
        <v>137</v>
      </c>
      <c r="E849" s="4" t="s">
        <v>561</v>
      </c>
      <c r="F849" s="6">
        <v>1</v>
      </c>
      <c r="G849" s="7">
        <v>0</v>
      </c>
      <c r="H849" s="7">
        <v>0</v>
      </c>
      <c r="I849" s="5">
        <v>1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1</v>
      </c>
      <c r="V849" s="7">
        <v>0</v>
      </c>
      <c r="W849" s="7">
        <v>0</v>
      </c>
      <c r="X849" s="5">
        <v>1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30">
        <v>0</v>
      </c>
    </row>
    <row r="850">
      <c r="A850" s="24">
        <v>12681</v>
      </c>
      <c r="B850" s="9" t="s">
        <v>1146</v>
      </c>
      <c r="C850" s="9" t="s">
        <v>67</v>
      </c>
      <c r="D850" s="9" t="s">
        <v>84</v>
      </c>
      <c r="E850" s="9" t="s">
        <v>85</v>
      </c>
      <c r="F850" s="11">
        <v>4</v>
      </c>
      <c r="G850" s="12">
        <v>0</v>
      </c>
      <c r="H850" s="10">
        <v>3</v>
      </c>
      <c r="I850" s="12">
        <v>0</v>
      </c>
      <c r="J850" s="10">
        <v>1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4</v>
      </c>
      <c r="V850" s="12">
        <v>0</v>
      </c>
      <c r="W850" s="10">
        <v>3</v>
      </c>
      <c r="X850" s="12">
        <v>0</v>
      </c>
      <c r="Y850" s="10">
        <v>1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2</v>
      </c>
      <c r="AL850" s="10">
        <v>2</v>
      </c>
      <c r="AM850" s="10">
        <v>3</v>
      </c>
      <c r="AN850" s="29">
        <v>1.04</v>
      </c>
    </row>
    <row r="851">
      <c r="A851" s="23">
        <v>12766</v>
      </c>
      <c r="B851" s="4" t="s">
        <v>1147</v>
      </c>
      <c r="C851" s="4" t="s">
        <v>992</v>
      </c>
      <c r="D851" s="4" t="s">
        <v>996</v>
      </c>
      <c r="E851" s="4" t="s">
        <v>1148</v>
      </c>
      <c r="F851" s="6">
        <v>1</v>
      </c>
      <c r="G851" s="7">
        <v>0</v>
      </c>
      <c r="H851" s="7">
        <v>0</v>
      </c>
      <c r="I851" s="7">
        <v>0</v>
      </c>
      <c r="J851" s="5">
        <v>1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1</v>
      </c>
      <c r="V851" s="7">
        <v>0</v>
      </c>
      <c r="W851" s="7">
        <v>0</v>
      </c>
      <c r="X851" s="7">
        <v>0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28">
        <v>0.26</v>
      </c>
    </row>
    <row r="852">
      <c r="A852" s="24">
        <v>12799</v>
      </c>
      <c r="B852" s="9" t="s">
        <v>1149</v>
      </c>
      <c r="C852" s="9" t="s">
        <v>67</v>
      </c>
      <c r="D852" s="9" t="s">
        <v>68</v>
      </c>
      <c r="E852" s="9" t="s">
        <v>71</v>
      </c>
      <c r="F852" s="11">
        <v>3</v>
      </c>
      <c r="G852" s="10">
        <v>2</v>
      </c>
      <c r="H852" s="12">
        <v>0</v>
      </c>
      <c r="I852" s="10">
        <v>1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3</v>
      </c>
      <c r="V852" s="10">
        <v>2</v>
      </c>
      <c r="W852" s="12">
        <v>0</v>
      </c>
      <c r="X852" s="10">
        <v>1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1.5</v>
      </c>
      <c r="AL852" s="10">
        <v>1</v>
      </c>
      <c r="AM852" s="10">
        <v>2</v>
      </c>
      <c r="AN852" s="29">
        <v>0.26</v>
      </c>
    </row>
    <row r="853">
      <c r="A853" s="23">
        <v>12807</v>
      </c>
      <c r="B853" s="4" t="s">
        <v>1150</v>
      </c>
      <c r="C853" s="4" t="s">
        <v>67</v>
      </c>
      <c r="D853" s="4" t="s">
        <v>73</v>
      </c>
      <c r="E853" s="4" t="s">
        <v>393</v>
      </c>
      <c r="F853" s="6">
        <v>3</v>
      </c>
      <c r="G853" s="5">
        <v>3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3</v>
      </c>
      <c r="V853" s="5">
        <v>3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3</v>
      </c>
      <c r="AK853" s="8">
        <v>3</v>
      </c>
      <c r="AL853" s="5">
        <v>3</v>
      </c>
      <c r="AM853" s="5">
        <v>3</v>
      </c>
      <c r="AN853" s="30">
        <v>0</v>
      </c>
    </row>
    <row r="854">
      <c r="A854" s="24">
        <v>12822</v>
      </c>
      <c r="B854" s="9" t="s">
        <v>1151</v>
      </c>
      <c r="C854" s="9" t="s">
        <v>67</v>
      </c>
      <c r="D854" s="9" t="s">
        <v>68</v>
      </c>
      <c r="E854" s="9" t="s">
        <v>237</v>
      </c>
      <c r="F854" s="11">
        <v>1</v>
      </c>
      <c r="G854" s="10">
        <v>1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1</v>
      </c>
      <c r="V854" s="10">
        <v>1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31">
        <v>0</v>
      </c>
    </row>
    <row r="855">
      <c r="A855" s="23">
        <v>12826</v>
      </c>
      <c r="B855" s="4" t="s">
        <v>1152</v>
      </c>
      <c r="C855" s="4" t="s">
        <v>67</v>
      </c>
      <c r="D855" s="4" t="s">
        <v>111</v>
      </c>
      <c r="E855" s="4" t="s">
        <v>147</v>
      </c>
      <c r="F855" s="6">
        <v>2</v>
      </c>
      <c r="G855" s="7">
        <v>0</v>
      </c>
      <c r="H855" s="7">
        <v>0</v>
      </c>
      <c r="I855" s="7">
        <v>0</v>
      </c>
      <c r="J855" s="5">
        <v>2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2</v>
      </c>
      <c r="V855" s="7">
        <v>0</v>
      </c>
      <c r="W855" s="7">
        <v>0</v>
      </c>
      <c r="X855" s="7">
        <v>0</v>
      </c>
      <c r="Y855" s="5">
        <v>2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0.52</v>
      </c>
    </row>
    <row r="856">
      <c r="A856" s="24">
        <v>12836</v>
      </c>
      <c r="B856" s="9" t="s">
        <v>1153</v>
      </c>
      <c r="C856" s="9" t="s">
        <v>67</v>
      </c>
      <c r="D856" s="9" t="s">
        <v>89</v>
      </c>
      <c r="E856" s="9" t="s">
        <v>322</v>
      </c>
      <c r="F856" s="11">
        <v>3</v>
      </c>
      <c r="G856" s="10">
        <v>2</v>
      </c>
      <c r="H856" s="12">
        <v>0</v>
      </c>
      <c r="I856" s="10">
        <v>1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3</v>
      </c>
      <c r="V856" s="10">
        <v>2</v>
      </c>
      <c r="W856" s="12">
        <v>0</v>
      </c>
      <c r="X856" s="10">
        <v>1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1.5</v>
      </c>
      <c r="AL856" s="10">
        <v>1</v>
      </c>
      <c r="AM856" s="10">
        <v>2</v>
      </c>
      <c r="AN856" s="31">
        <v>0</v>
      </c>
    </row>
    <row r="857">
      <c r="A857" s="23">
        <v>12856</v>
      </c>
      <c r="B857" s="4" t="s">
        <v>1154</v>
      </c>
      <c r="C857" s="4" t="s">
        <v>566</v>
      </c>
      <c r="D857" s="4" t="s">
        <v>629</v>
      </c>
      <c r="E857" s="4" t="s">
        <v>318</v>
      </c>
      <c r="F857" s="6">
        <v>3</v>
      </c>
      <c r="G857" s="7">
        <v>0</v>
      </c>
      <c r="H857" s="5">
        <v>2</v>
      </c>
      <c r="I857" s="7">
        <v>0</v>
      </c>
      <c r="J857" s="5">
        <v>1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3</v>
      </c>
      <c r="V857" s="7">
        <v>0</v>
      </c>
      <c r="W857" s="5">
        <v>2</v>
      </c>
      <c r="X857" s="7">
        <v>0</v>
      </c>
      <c r="Y857" s="5">
        <v>1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1.5</v>
      </c>
      <c r="AL857" s="5">
        <v>1</v>
      </c>
      <c r="AM857" s="5">
        <v>2</v>
      </c>
      <c r="AN857" s="28">
        <v>0.5</v>
      </c>
    </row>
    <row r="858">
      <c r="A858" s="24">
        <v>12894</v>
      </c>
      <c r="B858" s="9" t="s">
        <v>1155</v>
      </c>
      <c r="C858" s="9" t="s">
        <v>67</v>
      </c>
      <c r="D858" s="9" t="s">
        <v>68</v>
      </c>
      <c r="E858" s="9" t="s">
        <v>71</v>
      </c>
      <c r="F858" s="11">
        <v>1</v>
      </c>
      <c r="G858" s="10">
        <v>1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1</v>
      </c>
      <c r="V858" s="10">
        <v>1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31">
        <v>0</v>
      </c>
    </row>
    <row r="859">
      <c r="A859" s="23">
        <v>12907</v>
      </c>
      <c r="B859" s="4" t="s">
        <v>1156</v>
      </c>
      <c r="C859" s="4" t="s">
        <v>67</v>
      </c>
      <c r="D859" s="4" t="s">
        <v>84</v>
      </c>
      <c r="E859" s="4" t="s">
        <v>95</v>
      </c>
      <c r="F859" s="6">
        <v>2</v>
      </c>
      <c r="G859" s="7">
        <v>0</v>
      </c>
      <c r="H859" s="7">
        <v>0</v>
      </c>
      <c r="I859" s="7">
        <v>0</v>
      </c>
      <c r="J859" s="5">
        <v>2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1</v>
      </c>
      <c r="V859" s="7">
        <v>0</v>
      </c>
      <c r="W859" s="7">
        <v>0</v>
      </c>
      <c r="X859" s="7">
        <v>0</v>
      </c>
      <c r="Y859" s="5">
        <v>1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2</v>
      </c>
      <c r="AK859" s="8">
        <v>2</v>
      </c>
      <c r="AL859" s="5">
        <v>2</v>
      </c>
      <c r="AM859" s="5">
        <v>2</v>
      </c>
      <c r="AN859" s="28">
        <v>0.25</v>
      </c>
    </row>
    <row r="860">
      <c r="A860" s="24">
        <v>12937</v>
      </c>
      <c r="B860" s="9" t="s">
        <v>1157</v>
      </c>
      <c r="C860" s="9" t="s">
        <v>67</v>
      </c>
      <c r="D860" s="9" t="s">
        <v>111</v>
      </c>
      <c r="E860" s="9" t="s">
        <v>195</v>
      </c>
      <c r="F860" s="11">
        <v>1</v>
      </c>
      <c r="G860" s="10">
        <v>1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1</v>
      </c>
      <c r="V860" s="10">
        <v>1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31">
        <v>0</v>
      </c>
    </row>
    <row r="861">
      <c r="A861" s="23">
        <v>13008</v>
      </c>
      <c r="B861" s="4" t="s">
        <v>1158</v>
      </c>
      <c r="C861" s="4" t="s">
        <v>67</v>
      </c>
      <c r="D861" s="4" t="s">
        <v>76</v>
      </c>
      <c r="E861" s="4" t="s">
        <v>77</v>
      </c>
      <c r="F861" s="6">
        <v>1</v>
      </c>
      <c r="G861" s="7">
        <v>0</v>
      </c>
      <c r="H861" s="7">
        <v>0</v>
      </c>
      <c r="I861" s="7">
        <v>0</v>
      </c>
      <c r="J861" s="5">
        <v>1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1</v>
      </c>
      <c r="V861" s="7">
        <v>0</v>
      </c>
      <c r="W861" s="7">
        <v>0</v>
      </c>
      <c r="X861" s="7">
        <v>0</v>
      </c>
      <c r="Y861" s="5">
        <v>1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0.25</v>
      </c>
    </row>
    <row r="862">
      <c r="A862" s="24">
        <v>13133</v>
      </c>
      <c r="B862" s="9" t="s">
        <v>1159</v>
      </c>
      <c r="C862" s="9" t="s">
        <v>163</v>
      </c>
      <c r="D862" s="9" t="s">
        <v>164</v>
      </c>
      <c r="E862" s="9" t="s">
        <v>171</v>
      </c>
      <c r="F862" s="11">
        <v>1</v>
      </c>
      <c r="G862" s="12">
        <v>0</v>
      </c>
      <c r="H862" s="12">
        <v>0</v>
      </c>
      <c r="I862" s="12">
        <v>0</v>
      </c>
      <c r="J862" s="12">
        <v>0</v>
      </c>
      <c r="K862" s="10">
        <v>1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1</v>
      </c>
      <c r="V862" s="12">
        <v>0</v>
      </c>
      <c r="W862" s="12">
        <v>0</v>
      </c>
      <c r="X862" s="12">
        <v>0</v>
      </c>
      <c r="Y862" s="12">
        <v>0</v>
      </c>
      <c r="Z862" s="10">
        <v>1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31">
        <v>0</v>
      </c>
    </row>
    <row r="863">
      <c r="A863" s="23">
        <v>13158</v>
      </c>
      <c r="B863" s="4" t="s">
        <v>1160</v>
      </c>
      <c r="C863" s="4" t="s">
        <v>67</v>
      </c>
      <c r="D863" s="4" t="s">
        <v>73</v>
      </c>
      <c r="E863" s="4" t="s">
        <v>393</v>
      </c>
      <c r="F863" s="6">
        <v>1</v>
      </c>
      <c r="G863" s="7">
        <v>0</v>
      </c>
      <c r="H863" s="7">
        <v>0</v>
      </c>
      <c r="I863" s="5">
        <v>1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1</v>
      </c>
      <c r="V863" s="7">
        <v>0</v>
      </c>
      <c r="W863" s="7">
        <v>0</v>
      </c>
      <c r="X863" s="5">
        <v>1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0.25</v>
      </c>
    </row>
    <row r="864">
      <c r="A864" s="24">
        <v>13225</v>
      </c>
      <c r="B864" s="9" t="s">
        <v>1161</v>
      </c>
      <c r="C864" s="9" t="s">
        <v>67</v>
      </c>
      <c r="D864" s="9" t="s">
        <v>92</v>
      </c>
      <c r="E864" s="9" t="s">
        <v>153</v>
      </c>
      <c r="F864" s="11">
        <v>1</v>
      </c>
      <c r="G864" s="12">
        <v>0</v>
      </c>
      <c r="H864" s="12">
        <v>0</v>
      </c>
      <c r="I864" s="10">
        <v>1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1</v>
      </c>
      <c r="V864" s="12">
        <v>0</v>
      </c>
      <c r="W864" s="12">
        <v>0</v>
      </c>
      <c r="X864" s="10">
        <v>1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0.25</v>
      </c>
    </row>
    <row r="865">
      <c r="A865" s="23">
        <v>13261</v>
      </c>
      <c r="B865" s="4" t="s">
        <v>1162</v>
      </c>
      <c r="C865" s="4" t="s">
        <v>67</v>
      </c>
      <c r="D865" s="4" t="s">
        <v>84</v>
      </c>
      <c r="E865" s="4" t="s">
        <v>318</v>
      </c>
      <c r="F865" s="6">
        <v>2</v>
      </c>
      <c r="G865" s="5">
        <v>1</v>
      </c>
      <c r="H865" s="7">
        <v>0</v>
      </c>
      <c r="I865" s="5">
        <v>1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2</v>
      </c>
      <c r="V865" s="5">
        <v>1</v>
      </c>
      <c r="W865" s="7">
        <v>0</v>
      </c>
      <c r="X865" s="5">
        <v>1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30">
        <v>0</v>
      </c>
    </row>
    <row r="866">
      <c r="A866" s="24">
        <v>13292</v>
      </c>
      <c r="B866" s="9" t="s">
        <v>1163</v>
      </c>
      <c r="C866" s="9" t="s">
        <v>67</v>
      </c>
      <c r="D866" s="9" t="s">
        <v>84</v>
      </c>
      <c r="E866" s="9" t="s">
        <v>399</v>
      </c>
      <c r="F866" s="11">
        <v>1</v>
      </c>
      <c r="G866" s="10">
        <v>1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1</v>
      </c>
      <c r="V866" s="10">
        <v>1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31">
        <v>0</v>
      </c>
    </row>
    <row r="867">
      <c r="A867" s="23">
        <v>13341</v>
      </c>
      <c r="B867" s="4" t="s">
        <v>1164</v>
      </c>
      <c r="C867" s="4" t="s">
        <v>67</v>
      </c>
      <c r="D867" s="4" t="s">
        <v>84</v>
      </c>
      <c r="E867" s="4" t="s">
        <v>1165</v>
      </c>
      <c r="F867" s="6">
        <v>1</v>
      </c>
      <c r="G867" s="7">
        <v>0</v>
      </c>
      <c r="H867" s="7">
        <v>0</v>
      </c>
      <c r="I867" s="5">
        <v>1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1</v>
      </c>
      <c r="V867" s="7">
        <v>0</v>
      </c>
      <c r="W867" s="7">
        <v>0</v>
      </c>
      <c r="X867" s="5">
        <v>1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28">
        <v>0.24</v>
      </c>
    </row>
    <row r="868">
      <c r="A868" s="24">
        <v>13354</v>
      </c>
      <c r="B868" s="9" t="s">
        <v>1166</v>
      </c>
      <c r="C868" s="9" t="s">
        <v>67</v>
      </c>
      <c r="D868" s="9" t="s">
        <v>68</v>
      </c>
      <c r="E868" s="9" t="s">
        <v>71</v>
      </c>
      <c r="F868" s="11">
        <v>1</v>
      </c>
      <c r="G868" s="12">
        <v>0</v>
      </c>
      <c r="H868" s="10">
        <v>1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1</v>
      </c>
      <c r="V868" s="12">
        <v>0</v>
      </c>
      <c r="W868" s="10">
        <v>1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0.25</v>
      </c>
    </row>
    <row r="869">
      <c r="A869" s="23">
        <v>13361</v>
      </c>
      <c r="B869" s="4" t="s">
        <v>1167</v>
      </c>
      <c r="C869" s="4" t="s">
        <v>67</v>
      </c>
      <c r="D869" s="4" t="s">
        <v>73</v>
      </c>
      <c r="E869" s="4" t="s">
        <v>393</v>
      </c>
      <c r="F869" s="6">
        <v>1</v>
      </c>
      <c r="G869" s="5">
        <v>1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1</v>
      </c>
      <c r="V869" s="5">
        <v>1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30">
        <v>0</v>
      </c>
    </row>
    <row r="870">
      <c r="A870" s="24">
        <v>13380</v>
      </c>
      <c r="B870" s="9" t="s">
        <v>1168</v>
      </c>
      <c r="C870" s="9" t="s">
        <v>136</v>
      </c>
      <c r="D870" s="9" t="s">
        <v>349</v>
      </c>
      <c r="E870" s="9" t="s">
        <v>397</v>
      </c>
      <c r="F870" s="11">
        <v>1</v>
      </c>
      <c r="G870" s="12">
        <v>0</v>
      </c>
      <c r="H870" s="12">
        <v>0</v>
      </c>
      <c r="I870" s="12">
        <v>0</v>
      </c>
      <c r="J870" s="12">
        <v>0</v>
      </c>
      <c r="K870" s="12">
        <v>0</v>
      </c>
      <c r="L870" s="10">
        <v>1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1</v>
      </c>
      <c r="V870" s="12">
        <v>0</v>
      </c>
      <c r="W870" s="12">
        <v>0</v>
      </c>
      <c r="X870" s="12">
        <v>0</v>
      </c>
      <c r="Y870" s="12">
        <v>0</v>
      </c>
      <c r="Z870" s="12">
        <v>0</v>
      </c>
      <c r="AA870" s="10">
        <v>1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31">
        <v>0</v>
      </c>
    </row>
    <row r="871">
      <c r="A871" s="23">
        <v>13382</v>
      </c>
      <c r="B871" s="4" t="s">
        <v>1169</v>
      </c>
      <c r="C871" s="4" t="s">
        <v>67</v>
      </c>
      <c r="D871" s="4" t="s">
        <v>111</v>
      </c>
      <c r="E871" s="4" t="s">
        <v>195</v>
      </c>
      <c r="F871" s="6">
        <v>1</v>
      </c>
      <c r="G871" s="5">
        <v>1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1</v>
      </c>
      <c r="V871" s="5">
        <v>1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30">
        <v>0</v>
      </c>
    </row>
    <row r="872">
      <c r="A872" s="24">
        <v>13398</v>
      </c>
      <c r="B872" s="9" t="s">
        <v>1170</v>
      </c>
      <c r="C872" s="9" t="s">
        <v>67</v>
      </c>
      <c r="D872" s="9" t="s">
        <v>100</v>
      </c>
      <c r="E872" s="9" t="s">
        <v>624</v>
      </c>
      <c r="F872" s="11">
        <v>3</v>
      </c>
      <c r="G872" s="10">
        <v>2</v>
      </c>
      <c r="H872" s="12">
        <v>0</v>
      </c>
      <c r="I872" s="12">
        <v>0</v>
      </c>
      <c r="J872" s="10">
        <v>1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3</v>
      </c>
      <c r="V872" s="10">
        <v>2</v>
      </c>
      <c r="W872" s="12">
        <v>0</v>
      </c>
      <c r="X872" s="12">
        <v>0</v>
      </c>
      <c r="Y872" s="10">
        <v>1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0.52</v>
      </c>
    </row>
    <row r="873">
      <c r="A873" s="23">
        <v>13411</v>
      </c>
      <c r="B873" s="4" t="s">
        <v>1171</v>
      </c>
      <c r="C873" s="4" t="s">
        <v>67</v>
      </c>
      <c r="D873" s="4" t="s">
        <v>105</v>
      </c>
      <c r="E873" s="4" t="s">
        <v>106</v>
      </c>
      <c r="F873" s="6">
        <v>1</v>
      </c>
      <c r="G873" s="5">
        <v>1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1</v>
      </c>
      <c r="V873" s="5">
        <v>1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30">
        <v>0</v>
      </c>
    </row>
    <row r="874">
      <c r="A874" s="24">
        <v>13433</v>
      </c>
      <c r="B874" s="9" t="s">
        <v>1172</v>
      </c>
      <c r="C874" s="9" t="s">
        <v>67</v>
      </c>
      <c r="D874" s="9" t="s">
        <v>105</v>
      </c>
      <c r="E874" s="9" t="s">
        <v>106</v>
      </c>
      <c r="F874" s="11">
        <v>3</v>
      </c>
      <c r="G874" s="10">
        <v>2</v>
      </c>
      <c r="H874" s="12">
        <v>0</v>
      </c>
      <c r="I874" s="10">
        <v>1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3</v>
      </c>
      <c r="V874" s="10">
        <v>2</v>
      </c>
      <c r="W874" s="12">
        <v>0</v>
      </c>
      <c r="X874" s="10">
        <v>1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1.5</v>
      </c>
      <c r="AL874" s="10">
        <v>1</v>
      </c>
      <c r="AM874" s="10">
        <v>2</v>
      </c>
      <c r="AN874" s="31">
        <v>0</v>
      </c>
    </row>
    <row r="875">
      <c r="A875" s="23">
        <v>13438</v>
      </c>
      <c r="B875" s="4" t="s">
        <v>1173</v>
      </c>
      <c r="C875" s="4" t="s">
        <v>67</v>
      </c>
      <c r="D875" s="4" t="s">
        <v>105</v>
      </c>
      <c r="E875" s="4" t="s">
        <v>227</v>
      </c>
      <c r="F875" s="6">
        <v>2</v>
      </c>
      <c r="G875" s="5">
        <v>1</v>
      </c>
      <c r="H875" s="7">
        <v>0</v>
      </c>
      <c r="I875" s="7">
        <v>0</v>
      </c>
      <c r="J875" s="5">
        <v>1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2</v>
      </c>
      <c r="V875" s="5">
        <v>1</v>
      </c>
      <c r="W875" s="7">
        <v>0</v>
      </c>
      <c r="X875" s="7">
        <v>0</v>
      </c>
      <c r="Y875" s="5">
        <v>1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28">
        <v>0.25</v>
      </c>
    </row>
    <row r="876">
      <c r="A876" s="24">
        <v>13456</v>
      </c>
      <c r="B876" s="9" t="s">
        <v>1174</v>
      </c>
      <c r="C876" s="9" t="s">
        <v>67</v>
      </c>
      <c r="D876" s="9" t="s">
        <v>105</v>
      </c>
      <c r="E876" s="9" t="s">
        <v>303</v>
      </c>
      <c r="F876" s="11">
        <v>2</v>
      </c>
      <c r="G876" s="10">
        <v>2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1</v>
      </c>
      <c r="V876" s="10">
        <v>1</v>
      </c>
      <c r="W876" s="12">
        <v>0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2</v>
      </c>
      <c r="AK876" s="13">
        <v>2</v>
      </c>
      <c r="AL876" s="10">
        <v>2</v>
      </c>
      <c r="AM876" s="10">
        <v>2</v>
      </c>
      <c r="AN876" s="31">
        <v>0</v>
      </c>
    </row>
    <row r="877">
      <c r="A877" s="23">
        <v>13461</v>
      </c>
      <c r="B877" s="4" t="s">
        <v>1175</v>
      </c>
      <c r="C877" s="4" t="s">
        <v>67</v>
      </c>
      <c r="D877" s="4" t="s">
        <v>105</v>
      </c>
      <c r="E877" s="4" t="s">
        <v>106</v>
      </c>
      <c r="F877" s="6">
        <v>1</v>
      </c>
      <c r="G877" s="5">
        <v>1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1</v>
      </c>
      <c r="V877" s="5">
        <v>1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30">
        <v>0</v>
      </c>
    </row>
    <row r="878">
      <c r="A878" s="24">
        <v>13489</v>
      </c>
      <c r="B878" s="9" t="s">
        <v>1176</v>
      </c>
      <c r="C878" s="9" t="s">
        <v>67</v>
      </c>
      <c r="D878" s="9" t="s">
        <v>105</v>
      </c>
      <c r="E878" s="9" t="s">
        <v>106</v>
      </c>
      <c r="F878" s="11">
        <v>2</v>
      </c>
      <c r="G878" s="10">
        <v>2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2</v>
      </c>
      <c r="V878" s="10">
        <v>2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2</v>
      </c>
      <c r="AK878" s="13">
        <v>2</v>
      </c>
      <c r="AL878" s="10">
        <v>2</v>
      </c>
      <c r="AM878" s="10">
        <v>2</v>
      </c>
      <c r="AN878" s="31">
        <v>0</v>
      </c>
    </row>
    <row r="879">
      <c r="A879" s="23">
        <v>13492</v>
      </c>
      <c r="B879" s="4" t="s">
        <v>1177</v>
      </c>
      <c r="C879" s="4" t="s">
        <v>67</v>
      </c>
      <c r="D879" s="4" t="s">
        <v>76</v>
      </c>
      <c r="E879" s="4" t="s">
        <v>156</v>
      </c>
      <c r="F879" s="6">
        <v>1</v>
      </c>
      <c r="G879" s="7">
        <v>0</v>
      </c>
      <c r="H879" s="7">
        <v>0</v>
      </c>
      <c r="I879" s="7">
        <v>0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1</v>
      </c>
      <c r="V879" s="7">
        <v>0</v>
      </c>
      <c r="W879" s="7">
        <v>0</v>
      </c>
      <c r="X879" s="7">
        <v>0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0.26</v>
      </c>
    </row>
    <row r="880">
      <c r="A880" s="24">
        <v>13503</v>
      </c>
      <c r="B880" s="9" t="s">
        <v>1178</v>
      </c>
      <c r="C880" s="9" t="s">
        <v>67</v>
      </c>
      <c r="D880" s="9" t="s">
        <v>100</v>
      </c>
      <c r="E880" s="9" t="s">
        <v>869</v>
      </c>
      <c r="F880" s="11">
        <v>1</v>
      </c>
      <c r="G880" s="10">
        <v>1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1</v>
      </c>
      <c r="V880" s="10">
        <v>1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31">
        <v>0</v>
      </c>
    </row>
    <row r="881">
      <c r="A881" s="23">
        <v>13504</v>
      </c>
      <c r="B881" s="4" t="s">
        <v>1179</v>
      </c>
      <c r="C881" s="4" t="s">
        <v>67</v>
      </c>
      <c r="D881" s="4" t="s">
        <v>92</v>
      </c>
      <c r="E881" s="4" t="s">
        <v>1180</v>
      </c>
      <c r="F881" s="6">
        <v>2</v>
      </c>
      <c r="G881" s="5">
        <v>2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1</v>
      </c>
      <c r="V881" s="5">
        <v>1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2</v>
      </c>
      <c r="AK881" s="8">
        <v>2</v>
      </c>
      <c r="AL881" s="5">
        <v>2</v>
      </c>
      <c r="AM881" s="5">
        <v>2</v>
      </c>
      <c r="AN881" s="30">
        <v>0</v>
      </c>
    </row>
    <row r="882">
      <c r="A882" s="24">
        <v>13505</v>
      </c>
      <c r="B882" s="9" t="s">
        <v>1181</v>
      </c>
      <c r="C882" s="9" t="s">
        <v>67</v>
      </c>
      <c r="D882" s="9" t="s">
        <v>76</v>
      </c>
      <c r="E882" s="9" t="s">
        <v>77</v>
      </c>
      <c r="F882" s="11">
        <v>1</v>
      </c>
      <c r="G882" s="10">
        <v>1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1</v>
      </c>
      <c r="V882" s="10">
        <v>1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31">
        <v>0</v>
      </c>
    </row>
    <row r="883">
      <c r="A883" s="23">
        <v>13528</v>
      </c>
      <c r="B883" s="4" t="s">
        <v>1182</v>
      </c>
      <c r="C883" s="4" t="s">
        <v>67</v>
      </c>
      <c r="D883" s="4" t="s">
        <v>68</v>
      </c>
      <c r="E883" s="4" t="s">
        <v>69</v>
      </c>
      <c r="F883" s="6">
        <v>1</v>
      </c>
      <c r="G883" s="7">
        <v>0</v>
      </c>
      <c r="H883" s="5">
        <v>1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1</v>
      </c>
      <c r="V883" s="7">
        <v>0</v>
      </c>
      <c r="W883" s="5">
        <v>1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28">
        <v>0.24</v>
      </c>
    </row>
    <row r="884">
      <c r="A884" s="24">
        <v>13532</v>
      </c>
      <c r="B884" s="9" t="s">
        <v>1183</v>
      </c>
      <c r="C884" s="9" t="s">
        <v>67</v>
      </c>
      <c r="D884" s="9" t="s">
        <v>84</v>
      </c>
      <c r="E884" s="9" t="s">
        <v>134</v>
      </c>
      <c r="F884" s="11">
        <v>1</v>
      </c>
      <c r="G884" s="10">
        <v>1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1</v>
      </c>
      <c r="V884" s="10">
        <v>1</v>
      </c>
      <c r="W884" s="12">
        <v>0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0.24</v>
      </c>
    </row>
    <row r="885">
      <c r="A885" s="23">
        <v>13567</v>
      </c>
      <c r="B885" s="4" t="s">
        <v>1184</v>
      </c>
      <c r="C885" s="4" t="s">
        <v>163</v>
      </c>
      <c r="D885" s="4" t="s">
        <v>390</v>
      </c>
      <c r="E885" s="4" t="s">
        <v>391</v>
      </c>
      <c r="F885" s="6">
        <v>1</v>
      </c>
      <c r="G885" s="7">
        <v>0</v>
      </c>
      <c r="H885" s="7">
        <v>0</v>
      </c>
      <c r="I885" s="7">
        <v>0</v>
      </c>
      <c r="J885" s="7">
        <v>0</v>
      </c>
      <c r="K885" s="5">
        <v>1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1</v>
      </c>
      <c r="V885" s="7">
        <v>0</v>
      </c>
      <c r="W885" s="7">
        <v>0</v>
      </c>
      <c r="X885" s="7">
        <v>0</v>
      </c>
      <c r="Y885" s="7">
        <v>0</v>
      </c>
      <c r="Z885" s="5">
        <v>1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30">
        <v>0</v>
      </c>
    </row>
    <row r="886">
      <c r="A886" s="24">
        <v>13577</v>
      </c>
      <c r="B886" s="9" t="s">
        <v>1185</v>
      </c>
      <c r="C886" s="9" t="s">
        <v>163</v>
      </c>
      <c r="D886" s="9" t="s">
        <v>164</v>
      </c>
      <c r="E886" s="9" t="s">
        <v>169</v>
      </c>
      <c r="F886" s="11">
        <v>3</v>
      </c>
      <c r="G886" s="10">
        <v>1</v>
      </c>
      <c r="H886" s="12">
        <v>0</v>
      </c>
      <c r="I886" s="10">
        <v>1</v>
      </c>
      <c r="J886" s="12">
        <v>0</v>
      </c>
      <c r="K886" s="10">
        <v>1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3</v>
      </c>
      <c r="V886" s="10">
        <v>1</v>
      </c>
      <c r="W886" s="12">
        <v>0</v>
      </c>
      <c r="X886" s="10">
        <v>1</v>
      </c>
      <c r="Y886" s="12">
        <v>0</v>
      </c>
      <c r="Z886" s="10">
        <v>1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31">
        <v>0</v>
      </c>
    </row>
    <row r="887">
      <c r="A887" s="23">
        <v>13586</v>
      </c>
      <c r="B887" s="4" t="s">
        <v>1186</v>
      </c>
      <c r="C887" s="4" t="s">
        <v>67</v>
      </c>
      <c r="D887" s="4" t="s">
        <v>84</v>
      </c>
      <c r="E887" s="4" t="s">
        <v>399</v>
      </c>
      <c r="F887" s="6">
        <v>3</v>
      </c>
      <c r="G887" s="5">
        <v>2</v>
      </c>
      <c r="H887" s="7">
        <v>0</v>
      </c>
      <c r="I887" s="5">
        <v>1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3</v>
      </c>
      <c r="V887" s="5">
        <v>2</v>
      </c>
      <c r="W887" s="7">
        <v>0</v>
      </c>
      <c r="X887" s="5">
        <v>1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1.5</v>
      </c>
      <c r="AL887" s="5">
        <v>1</v>
      </c>
      <c r="AM887" s="5">
        <v>2</v>
      </c>
      <c r="AN887" s="30">
        <v>0</v>
      </c>
    </row>
    <row r="888">
      <c r="A888" s="24">
        <v>13598</v>
      </c>
      <c r="B888" s="9" t="s">
        <v>1187</v>
      </c>
      <c r="C888" s="9" t="s">
        <v>67</v>
      </c>
      <c r="D888" s="9" t="s">
        <v>68</v>
      </c>
      <c r="E888" s="9" t="s">
        <v>71</v>
      </c>
      <c r="F888" s="11">
        <v>1</v>
      </c>
      <c r="G888" s="12">
        <v>0</v>
      </c>
      <c r="H888" s="12">
        <v>0</v>
      </c>
      <c r="I888" s="12">
        <v>0</v>
      </c>
      <c r="J888" s="10">
        <v>1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1</v>
      </c>
      <c r="V888" s="12">
        <v>0</v>
      </c>
      <c r="W888" s="12">
        <v>0</v>
      </c>
      <c r="X888" s="12">
        <v>0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0.22</v>
      </c>
    </row>
    <row r="889">
      <c r="A889" s="23">
        <v>13672</v>
      </c>
      <c r="B889" s="4" t="s">
        <v>1188</v>
      </c>
      <c r="C889" s="4" t="s">
        <v>67</v>
      </c>
      <c r="D889" s="4" t="s">
        <v>68</v>
      </c>
      <c r="E889" s="4" t="s">
        <v>71</v>
      </c>
      <c r="F889" s="6">
        <v>1</v>
      </c>
      <c r="G889" s="5">
        <v>1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1</v>
      </c>
      <c r="V889" s="5">
        <v>1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30">
        <v>0</v>
      </c>
    </row>
    <row r="890">
      <c r="A890" s="24">
        <v>13704</v>
      </c>
      <c r="B890" s="9" t="s">
        <v>1189</v>
      </c>
      <c r="C890" s="9" t="s">
        <v>67</v>
      </c>
      <c r="D890" s="9" t="s">
        <v>111</v>
      </c>
      <c r="E890" s="9" t="s">
        <v>195</v>
      </c>
      <c r="F890" s="11">
        <v>1</v>
      </c>
      <c r="G890" s="10">
        <v>1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1</v>
      </c>
      <c r="V890" s="10">
        <v>1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31">
        <v>0</v>
      </c>
    </row>
    <row r="891">
      <c r="A891" s="23">
        <v>13775</v>
      </c>
      <c r="B891" s="4" t="s">
        <v>1190</v>
      </c>
      <c r="C891" s="4" t="s">
        <v>67</v>
      </c>
      <c r="D891" s="4" t="s">
        <v>79</v>
      </c>
      <c r="E891" s="4" t="s">
        <v>80</v>
      </c>
      <c r="F891" s="6">
        <v>1</v>
      </c>
      <c r="G891" s="5">
        <v>1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1</v>
      </c>
      <c r="V891" s="5">
        <v>1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30">
        <v>0</v>
      </c>
    </row>
    <row r="892">
      <c r="A892" s="24">
        <v>13839</v>
      </c>
      <c r="B892" s="9" t="s">
        <v>1191</v>
      </c>
      <c r="C892" s="9" t="s">
        <v>163</v>
      </c>
      <c r="D892" s="9" t="s">
        <v>173</v>
      </c>
      <c r="E892" s="9" t="s">
        <v>1192</v>
      </c>
      <c r="F892" s="11">
        <v>1</v>
      </c>
      <c r="G892" s="12">
        <v>0</v>
      </c>
      <c r="H892" s="12">
        <v>0</v>
      </c>
      <c r="I892" s="12">
        <v>0</v>
      </c>
      <c r="J892" s="12">
        <v>0</v>
      </c>
      <c r="K892" s="10">
        <v>1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1</v>
      </c>
      <c r="V892" s="12">
        <v>0</v>
      </c>
      <c r="W892" s="12">
        <v>0</v>
      </c>
      <c r="X892" s="12">
        <v>0</v>
      </c>
      <c r="Y892" s="12">
        <v>0</v>
      </c>
      <c r="Z892" s="10">
        <v>1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29">
        <v>0.25</v>
      </c>
    </row>
    <row r="893">
      <c r="A893" s="23">
        <v>13882</v>
      </c>
      <c r="B893" s="4" t="s">
        <v>1193</v>
      </c>
      <c r="C893" s="4" t="s">
        <v>67</v>
      </c>
      <c r="D893" s="4" t="s">
        <v>100</v>
      </c>
      <c r="E893" s="4" t="s">
        <v>127</v>
      </c>
      <c r="F893" s="6">
        <v>1</v>
      </c>
      <c r="G893" s="7">
        <v>0</v>
      </c>
      <c r="H893" s="7">
        <v>0</v>
      </c>
      <c r="I893" s="7">
        <v>0</v>
      </c>
      <c r="J893" s="5">
        <v>1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1</v>
      </c>
      <c r="V893" s="7">
        <v>0</v>
      </c>
      <c r="W893" s="7">
        <v>0</v>
      </c>
      <c r="X893" s="7">
        <v>0</v>
      </c>
      <c r="Y893" s="5">
        <v>1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0.25</v>
      </c>
    </row>
    <row r="894">
      <c r="A894" s="24">
        <v>13905</v>
      </c>
      <c r="B894" s="9" t="s">
        <v>1194</v>
      </c>
      <c r="C894" s="9" t="s">
        <v>67</v>
      </c>
      <c r="D894" s="9" t="s">
        <v>84</v>
      </c>
      <c r="E894" s="9" t="s">
        <v>197</v>
      </c>
      <c r="F894" s="11">
        <v>2</v>
      </c>
      <c r="G894" s="12">
        <v>0</v>
      </c>
      <c r="H894" s="12">
        <v>0</v>
      </c>
      <c r="I894" s="12">
        <v>0</v>
      </c>
      <c r="J894" s="10">
        <v>2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1</v>
      </c>
      <c r="V894" s="12">
        <v>0</v>
      </c>
      <c r="W894" s="12">
        <v>0</v>
      </c>
      <c r="X894" s="12">
        <v>0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2</v>
      </c>
      <c r="AK894" s="13">
        <v>2</v>
      </c>
      <c r="AL894" s="10">
        <v>2</v>
      </c>
      <c r="AM894" s="10">
        <v>2</v>
      </c>
      <c r="AN894" s="29">
        <v>0.25</v>
      </c>
    </row>
    <row r="895">
      <c r="A895" s="23">
        <v>13913</v>
      </c>
      <c r="B895" s="4" t="s">
        <v>1195</v>
      </c>
      <c r="C895" s="4" t="s">
        <v>67</v>
      </c>
      <c r="D895" s="4" t="s">
        <v>79</v>
      </c>
      <c r="E895" s="4" t="s">
        <v>116</v>
      </c>
      <c r="F895" s="6">
        <v>1</v>
      </c>
      <c r="G895" s="7">
        <v>0</v>
      </c>
      <c r="H895" s="7">
        <v>0</v>
      </c>
      <c r="I895" s="5">
        <v>1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1</v>
      </c>
      <c r="V895" s="7">
        <v>0</v>
      </c>
      <c r="W895" s="7">
        <v>0</v>
      </c>
      <c r="X895" s="5">
        <v>1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0.25</v>
      </c>
    </row>
    <row r="896">
      <c r="A896" s="24">
        <v>13914</v>
      </c>
      <c r="B896" s="9" t="s">
        <v>1196</v>
      </c>
      <c r="C896" s="9" t="s">
        <v>67</v>
      </c>
      <c r="D896" s="9" t="s">
        <v>89</v>
      </c>
      <c r="E896" s="9" t="s">
        <v>322</v>
      </c>
      <c r="F896" s="11">
        <v>3</v>
      </c>
      <c r="G896" s="10">
        <v>3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2</v>
      </c>
      <c r="V896" s="10">
        <v>2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1.5</v>
      </c>
      <c r="AL896" s="10">
        <v>1</v>
      </c>
      <c r="AM896" s="10">
        <v>2</v>
      </c>
      <c r="AN896" s="29">
        <v>0.38</v>
      </c>
    </row>
    <row r="897">
      <c r="A897" s="23">
        <v>13917</v>
      </c>
      <c r="B897" s="4" t="s">
        <v>1197</v>
      </c>
      <c r="C897" s="4" t="s">
        <v>67</v>
      </c>
      <c r="D897" s="4" t="s">
        <v>68</v>
      </c>
      <c r="E897" s="4" t="s">
        <v>71</v>
      </c>
      <c r="F897" s="6">
        <v>3</v>
      </c>
      <c r="G897" s="5">
        <v>3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1</v>
      </c>
      <c r="V897" s="5">
        <v>1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3</v>
      </c>
      <c r="AK897" s="8">
        <v>3</v>
      </c>
      <c r="AL897" s="5">
        <v>3</v>
      </c>
      <c r="AM897" s="5">
        <v>3</v>
      </c>
      <c r="AN897" s="30">
        <v>0</v>
      </c>
    </row>
    <row r="898">
      <c r="A898" s="24">
        <v>13920</v>
      </c>
      <c r="B898" s="9" t="s">
        <v>1198</v>
      </c>
      <c r="C898" s="9" t="s">
        <v>67</v>
      </c>
      <c r="D898" s="9" t="s">
        <v>111</v>
      </c>
      <c r="E898" s="9" t="s">
        <v>149</v>
      </c>
      <c r="F898" s="11">
        <v>1</v>
      </c>
      <c r="G898" s="12">
        <v>0</v>
      </c>
      <c r="H898" s="12">
        <v>0</v>
      </c>
      <c r="I898" s="12">
        <v>0</v>
      </c>
      <c r="J898" s="10">
        <v>1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1</v>
      </c>
      <c r="V898" s="12">
        <v>0</v>
      </c>
      <c r="W898" s="12">
        <v>0</v>
      </c>
      <c r="X898" s="12">
        <v>0</v>
      </c>
      <c r="Y898" s="10">
        <v>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31">
        <v>0</v>
      </c>
    </row>
    <row r="899">
      <c r="A899" s="23">
        <v>13924</v>
      </c>
      <c r="B899" s="4" t="s">
        <v>1199</v>
      </c>
      <c r="C899" s="4" t="s">
        <v>67</v>
      </c>
      <c r="D899" s="4" t="s">
        <v>111</v>
      </c>
      <c r="E899" s="4" t="s">
        <v>149</v>
      </c>
      <c r="F899" s="6">
        <v>1</v>
      </c>
      <c r="G899" s="5">
        <v>1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1</v>
      </c>
      <c r="V899" s="5">
        <v>1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0.38</v>
      </c>
    </row>
    <row r="900">
      <c r="A900" s="24">
        <v>14013</v>
      </c>
      <c r="B900" s="9" t="s">
        <v>1200</v>
      </c>
      <c r="C900" s="9" t="s">
        <v>67</v>
      </c>
      <c r="D900" s="9" t="s">
        <v>73</v>
      </c>
      <c r="E900" s="9" t="s">
        <v>393</v>
      </c>
      <c r="F900" s="11">
        <v>2</v>
      </c>
      <c r="G900" s="10">
        <v>1</v>
      </c>
      <c r="H900" s="12">
        <v>0</v>
      </c>
      <c r="I900" s="12">
        <v>0</v>
      </c>
      <c r="J900" s="10">
        <v>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2</v>
      </c>
      <c r="V900" s="10">
        <v>1</v>
      </c>
      <c r="W900" s="12">
        <v>0</v>
      </c>
      <c r="X900" s="12">
        <v>0</v>
      </c>
      <c r="Y900" s="10">
        <v>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31">
        <v>0</v>
      </c>
    </row>
    <row r="901">
      <c r="A901" s="23">
        <v>14065</v>
      </c>
      <c r="B901" s="4" t="s">
        <v>1201</v>
      </c>
      <c r="C901" s="4" t="s">
        <v>163</v>
      </c>
      <c r="D901" s="4" t="s">
        <v>164</v>
      </c>
      <c r="E901" s="4" t="s">
        <v>171</v>
      </c>
      <c r="F901" s="6">
        <v>2</v>
      </c>
      <c r="G901" s="5">
        <v>2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2</v>
      </c>
      <c r="V901" s="5">
        <v>2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2</v>
      </c>
      <c r="AK901" s="8">
        <v>2</v>
      </c>
      <c r="AL901" s="5">
        <v>2</v>
      </c>
      <c r="AM901" s="5">
        <v>2</v>
      </c>
      <c r="AN901" s="30">
        <v>0</v>
      </c>
    </row>
    <row r="902">
      <c r="A902" s="24">
        <v>14069</v>
      </c>
      <c r="B902" s="9" t="s">
        <v>1202</v>
      </c>
      <c r="C902" s="9" t="s">
        <v>558</v>
      </c>
      <c r="D902" s="9" t="s">
        <v>606</v>
      </c>
      <c r="E902" s="9" t="s">
        <v>318</v>
      </c>
      <c r="F902" s="11">
        <v>2</v>
      </c>
      <c r="G902" s="12">
        <v>0</v>
      </c>
      <c r="H902" s="12">
        <v>0</v>
      </c>
      <c r="I902" s="10">
        <v>1</v>
      </c>
      <c r="J902" s="10">
        <v>1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2</v>
      </c>
      <c r="V902" s="12">
        <v>0</v>
      </c>
      <c r="W902" s="12">
        <v>0</v>
      </c>
      <c r="X902" s="10">
        <v>1</v>
      </c>
      <c r="Y902" s="10">
        <v>1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31">
        <v>0</v>
      </c>
    </row>
    <row r="903">
      <c r="A903" s="23">
        <v>14081</v>
      </c>
      <c r="B903" s="4" t="s">
        <v>1203</v>
      </c>
      <c r="C903" s="4" t="s">
        <v>67</v>
      </c>
      <c r="D903" s="4" t="s">
        <v>79</v>
      </c>
      <c r="E903" s="4" t="s">
        <v>87</v>
      </c>
      <c r="F903" s="6">
        <v>1</v>
      </c>
      <c r="G903" s="7">
        <v>0</v>
      </c>
      <c r="H903" s="7">
        <v>0</v>
      </c>
      <c r="I903" s="7">
        <v>0</v>
      </c>
      <c r="J903" s="5">
        <v>1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1</v>
      </c>
      <c r="V903" s="7">
        <v>0</v>
      </c>
      <c r="W903" s="7">
        <v>0</v>
      </c>
      <c r="X903" s="7">
        <v>0</v>
      </c>
      <c r="Y903" s="5">
        <v>1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28">
        <v>0.25</v>
      </c>
    </row>
    <row r="904">
      <c r="A904" s="24">
        <v>14089</v>
      </c>
      <c r="B904" s="9" t="s">
        <v>1204</v>
      </c>
      <c r="C904" s="9" t="s">
        <v>67</v>
      </c>
      <c r="D904" s="9" t="s">
        <v>84</v>
      </c>
      <c r="E904" s="9" t="s">
        <v>399</v>
      </c>
      <c r="F904" s="11">
        <v>1</v>
      </c>
      <c r="G904" s="10">
        <v>1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1</v>
      </c>
      <c r="V904" s="10">
        <v>1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31">
        <v>0</v>
      </c>
    </row>
    <row r="905">
      <c r="A905" s="23">
        <v>14180</v>
      </c>
      <c r="B905" s="4" t="s">
        <v>1205</v>
      </c>
      <c r="C905" s="4" t="s">
        <v>67</v>
      </c>
      <c r="D905" s="4" t="s">
        <v>100</v>
      </c>
      <c r="E905" s="4" t="s">
        <v>869</v>
      </c>
      <c r="F905" s="6">
        <v>3</v>
      </c>
      <c r="G905" s="5">
        <v>1</v>
      </c>
      <c r="H905" s="7">
        <v>0</v>
      </c>
      <c r="I905" s="5">
        <v>2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2</v>
      </c>
      <c r="V905" s="5">
        <v>1</v>
      </c>
      <c r="W905" s="7">
        <v>0</v>
      </c>
      <c r="X905" s="5">
        <v>1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1.5</v>
      </c>
      <c r="AL905" s="5">
        <v>1</v>
      </c>
      <c r="AM905" s="5">
        <v>2</v>
      </c>
      <c r="AN905" s="30">
        <v>0</v>
      </c>
    </row>
    <row r="906">
      <c r="A906" s="24">
        <v>14191</v>
      </c>
      <c r="B906" s="9" t="s">
        <v>1206</v>
      </c>
      <c r="C906" s="9" t="s">
        <v>992</v>
      </c>
      <c r="D906" s="9" t="s">
        <v>993</v>
      </c>
      <c r="E906" s="9" t="s">
        <v>318</v>
      </c>
      <c r="F906" s="11">
        <v>1</v>
      </c>
      <c r="G906" s="12">
        <v>0</v>
      </c>
      <c r="H906" s="12">
        <v>0</v>
      </c>
      <c r="I906" s="12">
        <v>0</v>
      </c>
      <c r="J906" s="10">
        <v>1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1</v>
      </c>
      <c r="V906" s="12">
        <v>0</v>
      </c>
      <c r="W906" s="12">
        <v>0</v>
      </c>
      <c r="X906" s="12">
        <v>0</v>
      </c>
      <c r="Y906" s="10">
        <v>1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29">
        <v>0.25</v>
      </c>
    </row>
    <row r="907">
      <c r="A907" s="23">
        <v>14192</v>
      </c>
      <c r="B907" s="4" t="s">
        <v>1207</v>
      </c>
      <c r="C907" s="4" t="s">
        <v>67</v>
      </c>
      <c r="D907" s="4" t="s">
        <v>111</v>
      </c>
      <c r="E907" s="4" t="s">
        <v>195</v>
      </c>
      <c r="F907" s="6">
        <v>1</v>
      </c>
      <c r="G907" s="7">
        <v>0</v>
      </c>
      <c r="H907" s="7">
        <v>0</v>
      </c>
      <c r="I907" s="7">
        <v>0</v>
      </c>
      <c r="J907" s="5">
        <v>1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1</v>
      </c>
      <c r="V907" s="7">
        <v>0</v>
      </c>
      <c r="W907" s="7">
        <v>0</v>
      </c>
      <c r="X907" s="7">
        <v>0</v>
      </c>
      <c r="Y907" s="5">
        <v>1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0.25</v>
      </c>
    </row>
    <row r="908">
      <c r="A908" s="24">
        <v>14238</v>
      </c>
      <c r="B908" s="9" t="s">
        <v>1208</v>
      </c>
      <c r="C908" s="9" t="s">
        <v>67</v>
      </c>
      <c r="D908" s="9" t="s">
        <v>111</v>
      </c>
      <c r="E908" s="9" t="s">
        <v>1209</v>
      </c>
      <c r="F908" s="11">
        <v>2</v>
      </c>
      <c r="G908" s="12">
        <v>0</v>
      </c>
      <c r="H908" s="10">
        <v>2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2</v>
      </c>
      <c r="V908" s="12">
        <v>0</v>
      </c>
      <c r="W908" s="10">
        <v>2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2</v>
      </c>
      <c r="AK908" s="13">
        <v>2</v>
      </c>
      <c r="AL908" s="10">
        <v>2</v>
      </c>
      <c r="AM908" s="10">
        <v>2</v>
      </c>
      <c r="AN908" s="29">
        <v>0.52</v>
      </c>
    </row>
    <row r="909">
      <c r="A909" s="23">
        <v>14240</v>
      </c>
      <c r="B909" s="4" t="s">
        <v>1210</v>
      </c>
      <c r="C909" s="4" t="s">
        <v>504</v>
      </c>
      <c r="D909" s="4" t="s">
        <v>505</v>
      </c>
      <c r="E909" s="4" t="s">
        <v>1211</v>
      </c>
      <c r="F909" s="6">
        <v>1</v>
      </c>
      <c r="G909" s="7">
        <v>0</v>
      </c>
      <c r="H909" s="7">
        <v>0</v>
      </c>
      <c r="I909" s="7">
        <v>0</v>
      </c>
      <c r="J909" s="5">
        <v>1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1</v>
      </c>
      <c r="V909" s="7">
        <v>0</v>
      </c>
      <c r="W909" s="7">
        <v>0</v>
      </c>
      <c r="X909" s="7">
        <v>0</v>
      </c>
      <c r="Y909" s="5">
        <v>1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28">
        <v>0.26</v>
      </c>
    </row>
    <row r="910">
      <c r="A910" s="24">
        <v>14257</v>
      </c>
      <c r="B910" s="9" t="s">
        <v>1212</v>
      </c>
      <c r="C910" s="9" t="s">
        <v>67</v>
      </c>
      <c r="D910" s="9" t="s">
        <v>84</v>
      </c>
      <c r="E910" s="9" t="s">
        <v>103</v>
      </c>
      <c r="F910" s="11">
        <v>1</v>
      </c>
      <c r="G910" s="12">
        <v>0</v>
      </c>
      <c r="H910" s="12">
        <v>0</v>
      </c>
      <c r="I910" s="12">
        <v>0</v>
      </c>
      <c r="J910" s="10">
        <v>1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1</v>
      </c>
      <c r="V910" s="12">
        <v>0</v>
      </c>
      <c r="W910" s="12">
        <v>0</v>
      </c>
      <c r="X910" s="12">
        <v>0</v>
      </c>
      <c r="Y910" s="10">
        <v>1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0.25</v>
      </c>
    </row>
    <row r="911">
      <c r="A911" s="23">
        <v>14270</v>
      </c>
      <c r="B911" s="4" t="s">
        <v>1213</v>
      </c>
      <c r="C911" s="4" t="s">
        <v>67</v>
      </c>
      <c r="D911" s="4" t="s">
        <v>111</v>
      </c>
      <c r="E911" s="4" t="s">
        <v>149</v>
      </c>
      <c r="F911" s="6">
        <v>3</v>
      </c>
      <c r="G911" s="7">
        <v>0</v>
      </c>
      <c r="H911" s="5">
        <v>1</v>
      </c>
      <c r="I911" s="5">
        <v>2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3</v>
      </c>
      <c r="V911" s="7">
        <v>0</v>
      </c>
      <c r="W911" s="5">
        <v>1</v>
      </c>
      <c r="X911" s="5">
        <v>2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1.5</v>
      </c>
      <c r="AL911" s="5">
        <v>1</v>
      </c>
      <c r="AM911" s="5">
        <v>2</v>
      </c>
      <c r="AN911" s="28">
        <v>0.25</v>
      </c>
    </row>
    <row r="912">
      <c r="A912" s="24">
        <v>14340</v>
      </c>
      <c r="B912" s="9" t="s">
        <v>1214</v>
      </c>
      <c r="C912" s="9" t="s">
        <v>67</v>
      </c>
      <c r="D912" s="9" t="s">
        <v>73</v>
      </c>
      <c r="E912" s="9" t="s">
        <v>393</v>
      </c>
      <c r="F912" s="11">
        <v>1</v>
      </c>
      <c r="G912" s="10">
        <v>1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1</v>
      </c>
      <c r="V912" s="10">
        <v>1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31">
        <v>0</v>
      </c>
    </row>
    <row r="913">
      <c r="A913" s="23">
        <v>14409</v>
      </c>
      <c r="B913" s="4" t="s">
        <v>1215</v>
      </c>
      <c r="C913" s="4" t="s">
        <v>163</v>
      </c>
      <c r="D913" s="4" t="s">
        <v>1004</v>
      </c>
      <c r="E913" s="4" t="s">
        <v>1005</v>
      </c>
      <c r="F913" s="6">
        <v>6</v>
      </c>
      <c r="G913" s="5">
        <v>1</v>
      </c>
      <c r="H913" s="7">
        <v>0</v>
      </c>
      <c r="I913" s="5">
        <v>1</v>
      </c>
      <c r="J913" s="5">
        <v>1</v>
      </c>
      <c r="K913" s="5">
        <v>3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6</v>
      </c>
      <c r="V913" s="5">
        <v>1</v>
      </c>
      <c r="W913" s="7">
        <v>0</v>
      </c>
      <c r="X913" s="5">
        <v>1</v>
      </c>
      <c r="Y913" s="5">
        <v>1</v>
      </c>
      <c r="Z913" s="5">
        <v>3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1.5</v>
      </c>
      <c r="AL913" s="5">
        <v>1</v>
      </c>
      <c r="AM913" s="5">
        <v>3</v>
      </c>
      <c r="AN913" s="30">
        <v>0</v>
      </c>
    </row>
    <row r="914">
      <c r="A914" s="24">
        <v>14418</v>
      </c>
      <c r="B914" s="9" t="s">
        <v>1216</v>
      </c>
      <c r="C914" s="9" t="s">
        <v>67</v>
      </c>
      <c r="D914" s="9" t="s">
        <v>92</v>
      </c>
      <c r="E914" s="9" t="s">
        <v>153</v>
      </c>
      <c r="F914" s="11">
        <v>2</v>
      </c>
      <c r="G914" s="12">
        <v>0</v>
      </c>
      <c r="H914" s="12">
        <v>0</v>
      </c>
      <c r="I914" s="10">
        <v>1</v>
      </c>
      <c r="J914" s="10">
        <v>1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2</v>
      </c>
      <c r="V914" s="12">
        <v>0</v>
      </c>
      <c r="W914" s="12">
        <v>0</v>
      </c>
      <c r="X914" s="10">
        <v>1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0.5</v>
      </c>
    </row>
    <row r="915">
      <c r="A915" s="23">
        <v>14434</v>
      </c>
      <c r="B915" s="4" t="s">
        <v>1217</v>
      </c>
      <c r="C915" s="4" t="s">
        <v>67</v>
      </c>
      <c r="D915" s="4" t="s">
        <v>111</v>
      </c>
      <c r="E915" s="4" t="s">
        <v>195</v>
      </c>
      <c r="F915" s="6">
        <v>3</v>
      </c>
      <c r="G915" s="5">
        <v>1</v>
      </c>
      <c r="H915" s="7">
        <v>0</v>
      </c>
      <c r="I915" s="5">
        <v>2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3</v>
      </c>
      <c r="V915" s="5">
        <v>1</v>
      </c>
      <c r="W915" s="7">
        <v>0</v>
      </c>
      <c r="X915" s="5">
        <v>2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1.5</v>
      </c>
      <c r="AL915" s="5">
        <v>1</v>
      </c>
      <c r="AM915" s="5">
        <v>2</v>
      </c>
      <c r="AN915" s="28">
        <v>0.85</v>
      </c>
    </row>
    <row r="916">
      <c r="A916" s="24">
        <v>14469</v>
      </c>
      <c r="B916" s="9" t="s">
        <v>1218</v>
      </c>
      <c r="C916" s="9" t="s">
        <v>67</v>
      </c>
      <c r="D916" s="9" t="s">
        <v>111</v>
      </c>
      <c r="E916" s="9" t="s">
        <v>147</v>
      </c>
      <c r="F916" s="11">
        <v>2</v>
      </c>
      <c r="G916" s="10">
        <v>1</v>
      </c>
      <c r="H916" s="12">
        <v>0</v>
      </c>
      <c r="I916" s="10">
        <v>1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2</v>
      </c>
      <c r="V916" s="10">
        <v>1</v>
      </c>
      <c r="W916" s="12">
        <v>0</v>
      </c>
      <c r="X916" s="10">
        <v>1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31">
        <v>0</v>
      </c>
    </row>
    <row r="917">
      <c r="A917" s="23">
        <v>14477</v>
      </c>
      <c r="B917" s="4" t="s">
        <v>1219</v>
      </c>
      <c r="C917" s="4" t="s">
        <v>67</v>
      </c>
      <c r="D917" s="4" t="s">
        <v>111</v>
      </c>
      <c r="E917" s="4" t="s">
        <v>149</v>
      </c>
      <c r="F917" s="6">
        <v>1</v>
      </c>
      <c r="G917" s="7">
        <v>0</v>
      </c>
      <c r="H917" s="7">
        <v>0</v>
      </c>
      <c r="I917" s="7">
        <v>0</v>
      </c>
      <c r="J917" s="5">
        <v>1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1</v>
      </c>
      <c r="V917" s="7">
        <v>0</v>
      </c>
      <c r="W917" s="7">
        <v>0</v>
      </c>
      <c r="X917" s="7">
        <v>0</v>
      </c>
      <c r="Y917" s="5">
        <v>1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0.25</v>
      </c>
    </row>
    <row r="918">
      <c r="A918" s="24">
        <v>14599</v>
      </c>
      <c r="B918" s="9" t="s">
        <v>1220</v>
      </c>
      <c r="C918" s="9" t="s">
        <v>136</v>
      </c>
      <c r="D918" s="9" t="s">
        <v>137</v>
      </c>
      <c r="E918" s="9" t="s">
        <v>561</v>
      </c>
      <c r="F918" s="11">
        <v>1</v>
      </c>
      <c r="G918" s="12">
        <v>0</v>
      </c>
      <c r="H918" s="12">
        <v>0</v>
      </c>
      <c r="I918" s="10">
        <v>1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1</v>
      </c>
      <c r="V918" s="12">
        <v>0</v>
      </c>
      <c r="W918" s="12">
        <v>0</v>
      </c>
      <c r="X918" s="10">
        <v>1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0.22</v>
      </c>
    </row>
    <row r="919">
      <c r="A919" s="23">
        <v>14601</v>
      </c>
      <c r="B919" s="4" t="s">
        <v>1221</v>
      </c>
      <c r="C919" s="4" t="s">
        <v>136</v>
      </c>
      <c r="D919" s="4" t="s">
        <v>385</v>
      </c>
      <c r="E919" s="4" t="s">
        <v>852</v>
      </c>
      <c r="F919" s="6">
        <v>2</v>
      </c>
      <c r="G919" s="7">
        <v>0</v>
      </c>
      <c r="H919" s="5">
        <v>1</v>
      </c>
      <c r="I919" s="7">
        <v>0</v>
      </c>
      <c r="J919" s="5">
        <v>1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2</v>
      </c>
      <c r="V919" s="7">
        <v>0</v>
      </c>
      <c r="W919" s="5">
        <v>1</v>
      </c>
      <c r="X919" s="7">
        <v>0</v>
      </c>
      <c r="Y919" s="5">
        <v>1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0.24</v>
      </c>
    </row>
    <row r="920">
      <c r="A920" s="24">
        <v>14613</v>
      </c>
      <c r="B920" s="9" t="s">
        <v>1222</v>
      </c>
      <c r="C920" s="9" t="s">
        <v>67</v>
      </c>
      <c r="D920" s="9" t="s">
        <v>105</v>
      </c>
      <c r="E920" s="9" t="s">
        <v>303</v>
      </c>
      <c r="F920" s="11">
        <v>4</v>
      </c>
      <c r="G920" s="12">
        <v>0</v>
      </c>
      <c r="H920" s="12">
        <v>0</v>
      </c>
      <c r="I920" s="12">
        <v>0</v>
      </c>
      <c r="J920" s="10">
        <v>4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4</v>
      </c>
      <c r="V920" s="12">
        <v>0</v>
      </c>
      <c r="W920" s="12">
        <v>0</v>
      </c>
      <c r="X920" s="12">
        <v>0</v>
      </c>
      <c r="Y920" s="10">
        <v>4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4</v>
      </c>
      <c r="AK920" s="13">
        <v>4</v>
      </c>
      <c r="AL920" s="10">
        <v>4</v>
      </c>
      <c r="AM920" s="10">
        <v>4</v>
      </c>
      <c r="AN920" s="29">
        <v>1.04</v>
      </c>
    </row>
    <row r="921">
      <c r="A921" s="23">
        <v>14624</v>
      </c>
      <c r="B921" s="4" t="s">
        <v>1223</v>
      </c>
      <c r="C921" s="4" t="s">
        <v>136</v>
      </c>
      <c r="D921" s="4" t="s">
        <v>349</v>
      </c>
      <c r="E921" s="4" t="s">
        <v>602</v>
      </c>
      <c r="F921" s="6">
        <v>4</v>
      </c>
      <c r="G921" s="5">
        <v>2</v>
      </c>
      <c r="H921" s="7">
        <v>0</v>
      </c>
      <c r="I921" s="7">
        <v>0</v>
      </c>
      <c r="J921" s="5">
        <v>1</v>
      </c>
      <c r="K921" s="7">
        <v>0</v>
      </c>
      <c r="L921" s="5">
        <v>1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3</v>
      </c>
      <c r="V921" s="5">
        <v>1</v>
      </c>
      <c r="W921" s="7">
        <v>0</v>
      </c>
      <c r="X921" s="7">
        <v>0</v>
      </c>
      <c r="Y921" s="5">
        <v>1</v>
      </c>
      <c r="Z921" s="7">
        <v>0</v>
      </c>
      <c r="AA921" s="5">
        <v>1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1.33</v>
      </c>
      <c r="AL921" s="5">
        <v>1</v>
      </c>
      <c r="AM921" s="5">
        <v>2</v>
      </c>
      <c r="AN921" s="30">
        <v>0</v>
      </c>
    </row>
    <row r="922">
      <c r="A922" s="24">
        <v>14632</v>
      </c>
      <c r="B922" s="9" t="s">
        <v>1224</v>
      </c>
      <c r="C922" s="9" t="s">
        <v>992</v>
      </c>
      <c r="D922" s="9" t="s">
        <v>993</v>
      </c>
      <c r="E922" s="9" t="s">
        <v>1225</v>
      </c>
      <c r="F922" s="11">
        <v>2</v>
      </c>
      <c r="G922" s="12">
        <v>0</v>
      </c>
      <c r="H922" s="12">
        <v>0</v>
      </c>
      <c r="I922" s="10">
        <v>1</v>
      </c>
      <c r="J922" s="10">
        <v>1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2</v>
      </c>
      <c r="V922" s="12">
        <v>0</v>
      </c>
      <c r="W922" s="12">
        <v>0</v>
      </c>
      <c r="X922" s="10">
        <v>1</v>
      </c>
      <c r="Y922" s="10">
        <v>1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29">
        <v>0.22</v>
      </c>
    </row>
    <row r="923">
      <c r="A923" s="23">
        <v>14726</v>
      </c>
      <c r="B923" s="4" t="s">
        <v>1226</v>
      </c>
      <c r="C923" s="4" t="s">
        <v>67</v>
      </c>
      <c r="D923" s="4" t="s">
        <v>68</v>
      </c>
      <c r="E923" s="4" t="s">
        <v>71</v>
      </c>
      <c r="F923" s="6">
        <v>1</v>
      </c>
      <c r="G923" s="7">
        <v>0</v>
      </c>
      <c r="H923" s="7">
        <v>0</v>
      </c>
      <c r="I923" s="5">
        <v>1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1</v>
      </c>
      <c r="V923" s="7">
        <v>0</v>
      </c>
      <c r="W923" s="7">
        <v>0</v>
      </c>
      <c r="X923" s="5">
        <v>1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28">
        <v>0.17</v>
      </c>
    </row>
    <row r="924">
      <c r="A924" s="24">
        <v>14728</v>
      </c>
      <c r="B924" s="9" t="s">
        <v>1227</v>
      </c>
      <c r="C924" s="9" t="s">
        <v>316</v>
      </c>
      <c r="D924" s="9" t="s">
        <v>1228</v>
      </c>
      <c r="E924" s="9" t="s">
        <v>318</v>
      </c>
      <c r="F924" s="11">
        <v>1</v>
      </c>
      <c r="G924" s="12">
        <v>0</v>
      </c>
      <c r="H924" s="12">
        <v>0</v>
      </c>
      <c r="I924" s="10">
        <v>1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1</v>
      </c>
      <c r="V924" s="12">
        <v>0</v>
      </c>
      <c r="W924" s="12">
        <v>0</v>
      </c>
      <c r="X924" s="10">
        <v>1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29">
        <v>0.22</v>
      </c>
    </row>
    <row r="925">
      <c r="A925" s="23">
        <v>14818</v>
      </c>
      <c r="B925" s="4" t="s">
        <v>1229</v>
      </c>
      <c r="C925" s="4" t="s">
        <v>67</v>
      </c>
      <c r="D925" s="4" t="s">
        <v>79</v>
      </c>
      <c r="E925" s="4" t="s">
        <v>293</v>
      </c>
      <c r="F925" s="6">
        <v>2</v>
      </c>
      <c r="G925" s="7">
        <v>0</v>
      </c>
      <c r="H925" s="7">
        <v>0</v>
      </c>
      <c r="I925" s="7">
        <v>0</v>
      </c>
      <c r="J925" s="5">
        <v>2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1</v>
      </c>
      <c r="V925" s="7">
        <v>0</v>
      </c>
      <c r="W925" s="7">
        <v>0</v>
      </c>
      <c r="X925" s="7">
        <v>0</v>
      </c>
      <c r="Y925" s="5">
        <v>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2</v>
      </c>
      <c r="AK925" s="8">
        <v>2</v>
      </c>
      <c r="AL925" s="5">
        <v>2</v>
      </c>
      <c r="AM925" s="5">
        <v>2</v>
      </c>
      <c r="AN925" s="28">
        <v>0.25</v>
      </c>
    </row>
    <row r="926">
      <c r="A926" s="24">
        <v>14824</v>
      </c>
      <c r="B926" s="9" t="s">
        <v>1230</v>
      </c>
      <c r="C926" s="9" t="s">
        <v>136</v>
      </c>
      <c r="D926" s="9" t="s">
        <v>444</v>
      </c>
      <c r="E926" s="9" t="s">
        <v>1231</v>
      </c>
      <c r="F926" s="11">
        <v>1</v>
      </c>
      <c r="G926" s="10">
        <v>1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1</v>
      </c>
      <c r="V926" s="10">
        <v>1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31">
        <v>0</v>
      </c>
    </row>
    <row r="927">
      <c r="A927" s="23">
        <v>14855</v>
      </c>
      <c r="B927" s="4" t="s">
        <v>1232</v>
      </c>
      <c r="C927" s="4" t="s">
        <v>67</v>
      </c>
      <c r="D927" s="4" t="s">
        <v>142</v>
      </c>
      <c r="E927" s="4" t="s">
        <v>143</v>
      </c>
      <c r="F927" s="6">
        <v>1</v>
      </c>
      <c r="G927" s="5">
        <v>1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1</v>
      </c>
      <c r="V927" s="5">
        <v>1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28">
        <v>0.25</v>
      </c>
    </row>
    <row r="928">
      <c r="A928" s="24">
        <v>14871</v>
      </c>
      <c r="B928" s="9" t="s">
        <v>1233</v>
      </c>
      <c r="C928" s="9" t="s">
        <v>67</v>
      </c>
      <c r="D928" s="9" t="s">
        <v>68</v>
      </c>
      <c r="E928" s="9" t="s">
        <v>71</v>
      </c>
      <c r="F928" s="11">
        <v>1</v>
      </c>
      <c r="G928" s="10">
        <v>1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1</v>
      </c>
      <c r="V928" s="10">
        <v>1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31">
        <v>0</v>
      </c>
    </row>
    <row r="929">
      <c r="A929" s="23">
        <v>14901</v>
      </c>
      <c r="B929" s="4" t="s">
        <v>1234</v>
      </c>
      <c r="C929" s="4" t="s">
        <v>136</v>
      </c>
      <c r="D929" s="4" t="s">
        <v>882</v>
      </c>
      <c r="E929" s="4" t="s">
        <v>883</v>
      </c>
      <c r="F929" s="6">
        <v>3</v>
      </c>
      <c r="G929" s="7">
        <v>0</v>
      </c>
      <c r="H929" s="7">
        <v>0</v>
      </c>
      <c r="I929" s="5">
        <v>2</v>
      </c>
      <c r="J929" s="5">
        <v>1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3</v>
      </c>
      <c r="V929" s="7">
        <v>0</v>
      </c>
      <c r="W929" s="7">
        <v>0</v>
      </c>
      <c r="X929" s="5">
        <v>2</v>
      </c>
      <c r="Y929" s="5">
        <v>1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1.5</v>
      </c>
      <c r="AL929" s="5">
        <v>1</v>
      </c>
      <c r="AM929" s="5">
        <v>2</v>
      </c>
      <c r="AN929" s="28">
        <v>0.72</v>
      </c>
    </row>
    <row r="930">
      <c r="A930" s="24">
        <v>14932</v>
      </c>
      <c r="B930" s="9" t="s">
        <v>1235</v>
      </c>
      <c r="C930" s="9" t="s">
        <v>136</v>
      </c>
      <c r="D930" s="9" t="s">
        <v>349</v>
      </c>
      <c r="E930" s="9" t="s">
        <v>717</v>
      </c>
      <c r="F930" s="11">
        <v>1</v>
      </c>
      <c r="G930" s="10">
        <v>1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1</v>
      </c>
      <c r="V930" s="10">
        <v>1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31">
        <v>0</v>
      </c>
    </row>
    <row r="931">
      <c r="A931" s="23">
        <v>15007</v>
      </c>
      <c r="B931" s="4" t="s">
        <v>1236</v>
      </c>
      <c r="C931" s="4" t="s">
        <v>67</v>
      </c>
      <c r="D931" s="4" t="s">
        <v>76</v>
      </c>
      <c r="E931" s="4" t="s">
        <v>156</v>
      </c>
      <c r="F931" s="6">
        <v>2</v>
      </c>
      <c r="G931" s="7">
        <v>0</v>
      </c>
      <c r="H931" s="7">
        <v>0</v>
      </c>
      <c r="I931" s="5">
        <v>1</v>
      </c>
      <c r="J931" s="5">
        <v>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2</v>
      </c>
      <c r="V931" s="7">
        <v>0</v>
      </c>
      <c r="W931" s="7">
        <v>0</v>
      </c>
      <c r="X931" s="5">
        <v>1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0.25</v>
      </c>
    </row>
    <row r="932">
      <c r="A932" s="24">
        <v>15010</v>
      </c>
      <c r="B932" s="9" t="s">
        <v>1237</v>
      </c>
      <c r="C932" s="9" t="s">
        <v>163</v>
      </c>
      <c r="D932" s="9" t="s">
        <v>173</v>
      </c>
      <c r="E932" s="9" t="s">
        <v>176</v>
      </c>
      <c r="F932" s="11">
        <v>1</v>
      </c>
      <c r="G932" s="12">
        <v>0</v>
      </c>
      <c r="H932" s="12">
        <v>0</v>
      </c>
      <c r="I932" s="12">
        <v>0</v>
      </c>
      <c r="J932" s="12">
        <v>0</v>
      </c>
      <c r="K932" s="10">
        <v>1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1</v>
      </c>
      <c r="V932" s="12">
        <v>0</v>
      </c>
      <c r="W932" s="12">
        <v>0</v>
      </c>
      <c r="X932" s="12">
        <v>0</v>
      </c>
      <c r="Y932" s="12">
        <v>0</v>
      </c>
      <c r="Z932" s="10">
        <v>1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31">
        <v>0</v>
      </c>
    </row>
    <row r="933">
      <c r="A933" s="23">
        <v>15033</v>
      </c>
      <c r="B933" s="4" t="s">
        <v>1238</v>
      </c>
      <c r="C933" s="4" t="s">
        <v>67</v>
      </c>
      <c r="D933" s="4" t="s">
        <v>68</v>
      </c>
      <c r="E933" s="4" t="s">
        <v>71</v>
      </c>
      <c r="F933" s="6">
        <v>1</v>
      </c>
      <c r="G933" s="7">
        <v>0</v>
      </c>
      <c r="H933" s="7">
        <v>0</v>
      </c>
      <c r="I933" s="5">
        <v>1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1</v>
      </c>
      <c r="V933" s="7">
        <v>0</v>
      </c>
      <c r="W933" s="7">
        <v>0</v>
      </c>
      <c r="X933" s="5">
        <v>1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0.24</v>
      </c>
    </row>
    <row r="934">
      <c r="A934" s="24">
        <v>15040</v>
      </c>
      <c r="B934" s="9" t="s">
        <v>1239</v>
      </c>
      <c r="C934" s="9" t="s">
        <v>67</v>
      </c>
      <c r="D934" s="9" t="s">
        <v>105</v>
      </c>
      <c r="E934" s="9" t="s">
        <v>227</v>
      </c>
      <c r="F934" s="11">
        <v>1</v>
      </c>
      <c r="G934" s="12">
        <v>0</v>
      </c>
      <c r="H934" s="12">
        <v>0</v>
      </c>
      <c r="I934" s="10">
        <v>1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1</v>
      </c>
      <c r="V934" s="12">
        <v>0</v>
      </c>
      <c r="W934" s="12">
        <v>0</v>
      </c>
      <c r="X934" s="10">
        <v>1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29">
        <v>0.22</v>
      </c>
    </row>
    <row r="935">
      <c r="A935" s="23">
        <v>15091</v>
      </c>
      <c r="B935" s="4" t="s">
        <v>1240</v>
      </c>
      <c r="C935" s="4" t="s">
        <v>67</v>
      </c>
      <c r="D935" s="4" t="s">
        <v>84</v>
      </c>
      <c r="E935" s="4" t="s">
        <v>1025</v>
      </c>
      <c r="F935" s="6">
        <v>2</v>
      </c>
      <c r="G935" s="7">
        <v>0</v>
      </c>
      <c r="H935" s="5">
        <v>1</v>
      </c>
      <c r="I935" s="7">
        <v>0</v>
      </c>
      <c r="J935" s="5">
        <v>1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2</v>
      </c>
      <c r="V935" s="7">
        <v>0</v>
      </c>
      <c r="W935" s="5">
        <v>1</v>
      </c>
      <c r="X935" s="7">
        <v>0</v>
      </c>
      <c r="Y935" s="5">
        <v>1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28">
        <v>0.52</v>
      </c>
    </row>
    <row r="936">
      <c r="A936" s="24">
        <v>15360</v>
      </c>
      <c r="B936" s="9" t="s">
        <v>1241</v>
      </c>
      <c r="C936" s="9" t="s">
        <v>67</v>
      </c>
      <c r="D936" s="9" t="s">
        <v>111</v>
      </c>
      <c r="E936" s="9" t="s">
        <v>149</v>
      </c>
      <c r="F936" s="11">
        <v>1</v>
      </c>
      <c r="G936" s="12">
        <v>0</v>
      </c>
      <c r="H936" s="12">
        <v>0</v>
      </c>
      <c r="I936" s="12">
        <v>0</v>
      </c>
      <c r="J936" s="10">
        <v>1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1</v>
      </c>
      <c r="V936" s="12">
        <v>0</v>
      </c>
      <c r="W936" s="12">
        <v>0</v>
      </c>
      <c r="X936" s="12">
        <v>0</v>
      </c>
      <c r="Y936" s="10">
        <v>1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0.25</v>
      </c>
    </row>
    <row r="937">
      <c r="A937" s="23">
        <v>15406</v>
      </c>
      <c r="B937" s="4" t="s">
        <v>1242</v>
      </c>
      <c r="C937" s="4" t="s">
        <v>67</v>
      </c>
      <c r="D937" s="4" t="s">
        <v>84</v>
      </c>
      <c r="E937" s="4" t="s">
        <v>145</v>
      </c>
      <c r="F937" s="6">
        <v>1</v>
      </c>
      <c r="G937" s="7">
        <v>0</v>
      </c>
      <c r="H937" s="7">
        <v>0</v>
      </c>
      <c r="I937" s="7">
        <v>0</v>
      </c>
      <c r="J937" s="5">
        <v>1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1</v>
      </c>
      <c r="V937" s="7">
        <v>0</v>
      </c>
      <c r="W937" s="7">
        <v>0</v>
      </c>
      <c r="X937" s="7">
        <v>0</v>
      </c>
      <c r="Y937" s="5">
        <v>1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0.25</v>
      </c>
    </row>
    <row r="938">
      <c r="A938" s="24">
        <v>15408</v>
      </c>
      <c r="B938" s="9" t="s">
        <v>1243</v>
      </c>
      <c r="C938" s="9" t="s">
        <v>971</v>
      </c>
      <c r="D938" s="9" t="s">
        <v>318</v>
      </c>
      <c r="E938" s="9" t="s">
        <v>318</v>
      </c>
      <c r="F938" s="11">
        <v>2</v>
      </c>
      <c r="G938" s="12">
        <v>0</v>
      </c>
      <c r="H938" s="12">
        <v>0</v>
      </c>
      <c r="I938" s="12">
        <v>0</v>
      </c>
      <c r="J938" s="10">
        <v>2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2</v>
      </c>
      <c r="V938" s="12">
        <v>0</v>
      </c>
      <c r="W938" s="12">
        <v>0</v>
      </c>
      <c r="X938" s="12">
        <v>0</v>
      </c>
      <c r="Y938" s="10">
        <v>2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0.5</v>
      </c>
    </row>
    <row r="939">
      <c r="A939" s="23">
        <v>15556</v>
      </c>
      <c r="B939" s="4" t="s">
        <v>1244</v>
      </c>
      <c r="C939" s="4" t="s">
        <v>558</v>
      </c>
      <c r="D939" s="4" t="s">
        <v>913</v>
      </c>
      <c r="E939" s="4" t="s">
        <v>318</v>
      </c>
      <c r="F939" s="6">
        <v>2</v>
      </c>
      <c r="G939" s="7">
        <v>0</v>
      </c>
      <c r="H939" s="7">
        <v>0</v>
      </c>
      <c r="I939" s="5">
        <v>2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2</v>
      </c>
      <c r="V939" s="7">
        <v>0</v>
      </c>
      <c r="W939" s="7">
        <v>0</v>
      </c>
      <c r="X939" s="5">
        <v>2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2</v>
      </c>
      <c r="AK939" s="8">
        <v>2</v>
      </c>
      <c r="AL939" s="5">
        <v>2</v>
      </c>
      <c r="AM939" s="5">
        <v>2</v>
      </c>
      <c r="AN939" s="30">
        <v>0</v>
      </c>
    </row>
    <row r="940">
      <c r="A940" s="24">
        <v>15619</v>
      </c>
      <c r="B940" s="9" t="s">
        <v>1245</v>
      </c>
      <c r="C940" s="9" t="s">
        <v>67</v>
      </c>
      <c r="D940" s="9" t="s">
        <v>111</v>
      </c>
      <c r="E940" s="9" t="s">
        <v>195</v>
      </c>
      <c r="F940" s="11">
        <v>1</v>
      </c>
      <c r="G940" s="12">
        <v>0</v>
      </c>
      <c r="H940" s="12">
        <v>0</v>
      </c>
      <c r="I940" s="12">
        <v>0</v>
      </c>
      <c r="J940" s="10">
        <v>1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1</v>
      </c>
      <c r="V940" s="12">
        <v>0</v>
      </c>
      <c r="W940" s="12">
        <v>0</v>
      </c>
      <c r="X940" s="12">
        <v>0</v>
      </c>
      <c r="Y940" s="10">
        <v>1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0.26</v>
      </c>
    </row>
    <row r="941">
      <c r="A941" s="23">
        <v>15721</v>
      </c>
      <c r="B941" s="4" t="s">
        <v>1246</v>
      </c>
      <c r="C941" s="4" t="s">
        <v>67</v>
      </c>
      <c r="D941" s="4" t="s">
        <v>84</v>
      </c>
      <c r="E941" s="4" t="s">
        <v>85</v>
      </c>
      <c r="F941" s="6">
        <v>1</v>
      </c>
      <c r="G941" s="7">
        <v>0</v>
      </c>
      <c r="H941" s="5">
        <v>1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1</v>
      </c>
      <c r="V941" s="7">
        <v>0</v>
      </c>
      <c r="W941" s="5">
        <v>1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28">
        <v>0.22</v>
      </c>
    </row>
    <row r="942">
      <c r="A942" s="24">
        <v>15730</v>
      </c>
      <c r="B942" s="9" t="s">
        <v>1247</v>
      </c>
      <c r="C942" s="9" t="s">
        <v>136</v>
      </c>
      <c r="D942" s="9" t="s">
        <v>223</v>
      </c>
      <c r="E942" s="9" t="s">
        <v>224</v>
      </c>
      <c r="F942" s="11">
        <v>1</v>
      </c>
      <c r="G942" s="12">
        <v>0</v>
      </c>
      <c r="H942" s="12">
        <v>0</v>
      </c>
      <c r="I942" s="12">
        <v>0</v>
      </c>
      <c r="J942" s="10">
        <v>1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1</v>
      </c>
      <c r="V942" s="12">
        <v>0</v>
      </c>
      <c r="W942" s="12">
        <v>0</v>
      </c>
      <c r="X942" s="12">
        <v>0</v>
      </c>
      <c r="Y942" s="10">
        <v>1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0.25</v>
      </c>
    </row>
    <row r="943">
      <c r="A943" s="23">
        <v>15750</v>
      </c>
      <c r="B943" s="4" t="s">
        <v>1248</v>
      </c>
      <c r="C943" s="4" t="s">
        <v>67</v>
      </c>
      <c r="D943" s="4" t="s">
        <v>76</v>
      </c>
      <c r="E943" s="4" t="s">
        <v>202</v>
      </c>
      <c r="F943" s="6">
        <v>1</v>
      </c>
      <c r="G943" s="5">
        <v>1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1</v>
      </c>
      <c r="V943" s="5">
        <v>1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28">
        <v>0.25</v>
      </c>
    </row>
    <row r="944">
      <c r="A944" s="24">
        <v>15757</v>
      </c>
      <c r="B944" s="9" t="s">
        <v>1249</v>
      </c>
      <c r="C944" s="9" t="s">
        <v>1250</v>
      </c>
      <c r="D944" s="9" t="s">
        <v>1251</v>
      </c>
      <c r="E944" s="9" t="s">
        <v>318</v>
      </c>
      <c r="F944" s="11">
        <v>2</v>
      </c>
      <c r="G944" s="12">
        <v>0</v>
      </c>
      <c r="H944" s="10">
        <v>1</v>
      </c>
      <c r="I944" s="12">
        <v>0</v>
      </c>
      <c r="J944" s="10">
        <v>1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2</v>
      </c>
      <c r="V944" s="12">
        <v>0</v>
      </c>
      <c r="W944" s="10">
        <v>1</v>
      </c>
      <c r="X944" s="12">
        <v>0</v>
      </c>
      <c r="Y944" s="10">
        <v>1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0.52</v>
      </c>
    </row>
    <row r="945">
      <c r="A945" s="23">
        <v>15839</v>
      </c>
      <c r="B945" s="4" t="s">
        <v>1252</v>
      </c>
      <c r="C945" s="4" t="s">
        <v>558</v>
      </c>
      <c r="D945" s="4" t="s">
        <v>1253</v>
      </c>
      <c r="E945" s="4" t="s">
        <v>318</v>
      </c>
      <c r="F945" s="6">
        <v>1</v>
      </c>
      <c r="G945" s="7">
        <v>0</v>
      </c>
      <c r="H945" s="5">
        <v>1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1</v>
      </c>
      <c r="V945" s="7">
        <v>0</v>
      </c>
      <c r="W945" s="5">
        <v>1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0.25</v>
      </c>
    </row>
    <row r="946">
      <c r="A946" s="24">
        <v>15841</v>
      </c>
      <c r="B946" s="9" t="s">
        <v>1254</v>
      </c>
      <c r="C946" s="9" t="s">
        <v>67</v>
      </c>
      <c r="D946" s="9" t="s">
        <v>68</v>
      </c>
      <c r="E946" s="9" t="s">
        <v>237</v>
      </c>
      <c r="F946" s="11">
        <v>2</v>
      </c>
      <c r="G946" s="10">
        <v>2</v>
      </c>
      <c r="H946" s="12">
        <v>0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2</v>
      </c>
      <c r="V946" s="10">
        <v>2</v>
      </c>
      <c r="W946" s="12">
        <v>0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2</v>
      </c>
      <c r="AK946" s="13">
        <v>2</v>
      </c>
      <c r="AL946" s="10">
        <v>2</v>
      </c>
      <c r="AM946" s="10">
        <v>2</v>
      </c>
      <c r="AN946" s="31">
        <v>0</v>
      </c>
    </row>
    <row r="947">
      <c r="A947" s="23">
        <v>15848</v>
      </c>
      <c r="B947" s="4" t="s">
        <v>1255</v>
      </c>
      <c r="C947" s="4" t="s">
        <v>136</v>
      </c>
      <c r="D947" s="4" t="s">
        <v>1132</v>
      </c>
      <c r="E947" s="4" t="s">
        <v>1133</v>
      </c>
      <c r="F947" s="6">
        <v>2</v>
      </c>
      <c r="G947" s="7">
        <v>0</v>
      </c>
      <c r="H947" s="5">
        <v>1</v>
      </c>
      <c r="I947" s="7">
        <v>0</v>
      </c>
      <c r="J947" s="5">
        <v>1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2</v>
      </c>
      <c r="V947" s="7">
        <v>0</v>
      </c>
      <c r="W947" s="5">
        <v>1</v>
      </c>
      <c r="X947" s="7">
        <v>0</v>
      </c>
      <c r="Y947" s="5">
        <v>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0.5</v>
      </c>
    </row>
    <row r="948">
      <c r="A948" s="24">
        <v>15855</v>
      </c>
      <c r="B948" s="9" t="s">
        <v>1256</v>
      </c>
      <c r="C948" s="9" t="s">
        <v>163</v>
      </c>
      <c r="D948" s="9" t="s">
        <v>164</v>
      </c>
      <c r="E948" s="9" t="s">
        <v>651</v>
      </c>
      <c r="F948" s="11">
        <v>1</v>
      </c>
      <c r="G948" s="12">
        <v>0</v>
      </c>
      <c r="H948" s="10">
        <v>1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1</v>
      </c>
      <c r="V948" s="12">
        <v>0</v>
      </c>
      <c r="W948" s="10">
        <v>1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29">
        <v>0.26</v>
      </c>
    </row>
    <row r="949">
      <c r="A949" s="23">
        <v>15867</v>
      </c>
      <c r="B949" s="4" t="s">
        <v>1257</v>
      </c>
      <c r="C949" s="4" t="s">
        <v>67</v>
      </c>
      <c r="D949" s="4" t="s">
        <v>84</v>
      </c>
      <c r="E949" s="4" t="s">
        <v>95</v>
      </c>
      <c r="F949" s="6">
        <v>1</v>
      </c>
      <c r="G949" s="5">
        <v>1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1</v>
      </c>
      <c r="V949" s="5">
        <v>1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0.26</v>
      </c>
    </row>
    <row r="950">
      <c r="A950" s="24">
        <v>15881</v>
      </c>
      <c r="B950" s="9" t="s">
        <v>1258</v>
      </c>
      <c r="C950" s="9" t="s">
        <v>67</v>
      </c>
      <c r="D950" s="9" t="s">
        <v>73</v>
      </c>
      <c r="E950" s="9" t="s">
        <v>301</v>
      </c>
      <c r="F950" s="11">
        <v>2</v>
      </c>
      <c r="G950" s="10">
        <v>1</v>
      </c>
      <c r="H950" s="10">
        <v>1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2</v>
      </c>
      <c r="V950" s="10">
        <v>1</v>
      </c>
      <c r="W950" s="10">
        <v>1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31">
        <v>0</v>
      </c>
    </row>
    <row r="951">
      <c r="A951" s="23">
        <v>15917</v>
      </c>
      <c r="B951" s="4" t="s">
        <v>1259</v>
      </c>
      <c r="C951" s="4" t="s">
        <v>67</v>
      </c>
      <c r="D951" s="4" t="s">
        <v>73</v>
      </c>
      <c r="E951" s="4" t="s">
        <v>393</v>
      </c>
      <c r="F951" s="6">
        <v>1</v>
      </c>
      <c r="G951" s="5">
        <v>1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1</v>
      </c>
      <c r="V951" s="5">
        <v>1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30">
        <v>0</v>
      </c>
    </row>
    <row r="952">
      <c r="A952" s="24">
        <v>16015</v>
      </c>
      <c r="B952" s="9" t="s">
        <v>1260</v>
      </c>
      <c r="C952" s="9" t="s">
        <v>558</v>
      </c>
      <c r="D952" s="9" t="s">
        <v>1261</v>
      </c>
      <c r="E952" s="9" t="s">
        <v>318</v>
      </c>
      <c r="F952" s="11">
        <v>1</v>
      </c>
      <c r="G952" s="12">
        <v>0</v>
      </c>
      <c r="H952" s="12">
        <v>0</v>
      </c>
      <c r="I952" s="10">
        <v>1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1</v>
      </c>
      <c r="V952" s="12">
        <v>0</v>
      </c>
      <c r="W952" s="12">
        <v>0</v>
      </c>
      <c r="X952" s="10">
        <v>1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31">
        <v>0</v>
      </c>
    </row>
    <row r="953">
      <c r="A953" s="23">
        <v>16017</v>
      </c>
      <c r="B953" s="4" t="s">
        <v>1262</v>
      </c>
      <c r="C953" s="4" t="s">
        <v>1263</v>
      </c>
      <c r="D953" s="4" t="s">
        <v>1264</v>
      </c>
      <c r="E953" s="4" t="s">
        <v>318</v>
      </c>
      <c r="F953" s="6">
        <v>3</v>
      </c>
      <c r="G953" s="7">
        <v>0</v>
      </c>
      <c r="H953" s="5">
        <v>2</v>
      </c>
      <c r="I953" s="7">
        <v>0</v>
      </c>
      <c r="J953" s="5">
        <v>1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3</v>
      </c>
      <c r="V953" s="7">
        <v>0</v>
      </c>
      <c r="W953" s="5">
        <v>2</v>
      </c>
      <c r="X953" s="7">
        <v>0</v>
      </c>
      <c r="Y953" s="5">
        <v>1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28">
        <v>0.86</v>
      </c>
    </row>
    <row r="954">
      <c r="A954" s="24">
        <v>16029</v>
      </c>
      <c r="B954" s="9" t="s">
        <v>1265</v>
      </c>
      <c r="C954" s="9" t="s">
        <v>971</v>
      </c>
      <c r="D954" s="9" t="s">
        <v>1266</v>
      </c>
      <c r="E954" s="9" t="s">
        <v>318</v>
      </c>
      <c r="F954" s="11">
        <v>1</v>
      </c>
      <c r="G954" s="12">
        <v>0</v>
      </c>
      <c r="H954" s="12">
        <v>0</v>
      </c>
      <c r="I954" s="12">
        <v>0</v>
      </c>
      <c r="J954" s="10">
        <v>1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1</v>
      </c>
      <c r="V954" s="12">
        <v>0</v>
      </c>
      <c r="W954" s="12">
        <v>0</v>
      </c>
      <c r="X954" s="12">
        <v>0</v>
      </c>
      <c r="Y954" s="10">
        <v>1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0.26</v>
      </c>
    </row>
    <row r="955">
      <c r="A955" s="23">
        <v>16033</v>
      </c>
      <c r="B955" s="4" t="s">
        <v>1267</v>
      </c>
      <c r="C955" s="4" t="s">
        <v>67</v>
      </c>
      <c r="D955" s="4" t="s">
        <v>111</v>
      </c>
      <c r="E955" s="4" t="s">
        <v>195</v>
      </c>
      <c r="F955" s="6">
        <v>1</v>
      </c>
      <c r="G955" s="7">
        <v>0</v>
      </c>
      <c r="H955" s="7">
        <v>0</v>
      </c>
      <c r="I955" s="5">
        <v>1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1</v>
      </c>
      <c r="V955" s="7">
        <v>0</v>
      </c>
      <c r="W955" s="7">
        <v>0</v>
      </c>
      <c r="X955" s="5">
        <v>1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0.25</v>
      </c>
    </row>
    <row r="956">
      <c r="A956" s="24">
        <v>16037</v>
      </c>
      <c r="B956" s="9" t="s">
        <v>1268</v>
      </c>
      <c r="C956" s="9" t="s">
        <v>208</v>
      </c>
      <c r="D956" s="9" t="s">
        <v>1269</v>
      </c>
      <c r="E956" s="9" t="s">
        <v>1270</v>
      </c>
      <c r="F956" s="11">
        <v>2</v>
      </c>
      <c r="G956" s="12">
        <v>0</v>
      </c>
      <c r="H956" s="10">
        <v>2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2</v>
      </c>
      <c r="V956" s="12">
        <v>0</v>
      </c>
      <c r="W956" s="10">
        <v>2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2</v>
      </c>
      <c r="AK956" s="13">
        <v>2</v>
      </c>
      <c r="AL956" s="10">
        <v>2</v>
      </c>
      <c r="AM956" s="10">
        <v>2</v>
      </c>
      <c r="AN956" s="29">
        <v>0.5</v>
      </c>
    </row>
    <row r="957">
      <c r="A957" s="23">
        <v>16044</v>
      </c>
      <c r="B957" s="4" t="s">
        <v>1271</v>
      </c>
      <c r="C957" s="4" t="s">
        <v>67</v>
      </c>
      <c r="D957" s="4" t="s">
        <v>111</v>
      </c>
      <c r="E957" s="4" t="s">
        <v>195</v>
      </c>
      <c r="F957" s="6">
        <v>3</v>
      </c>
      <c r="G957" s="7">
        <v>0</v>
      </c>
      <c r="H957" s="5">
        <v>3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3</v>
      </c>
      <c r="V957" s="7">
        <v>0</v>
      </c>
      <c r="W957" s="5">
        <v>3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3</v>
      </c>
      <c r="AK957" s="8">
        <v>3</v>
      </c>
      <c r="AL957" s="5">
        <v>3</v>
      </c>
      <c r="AM957" s="5">
        <v>3</v>
      </c>
      <c r="AN957" s="28">
        <v>0.66</v>
      </c>
    </row>
    <row r="958">
      <c r="A958" s="24">
        <v>16091</v>
      </c>
      <c r="B958" s="9" t="s">
        <v>1272</v>
      </c>
      <c r="C958" s="9" t="s">
        <v>67</v>
      </c>
      <c r="D958" s="9" t="s">
        <v>89</v>
      </c>
      <c r="E958" s="9" t="s">
        <v>322</v>
      </c>
      <c r="F958" s="11">
        <v>1</v>
      </c>
      <c r="G958" s="12">
        <v>0</v>
      </c>
      <c r="H958" s="12">
        <v>0</v>
      </c>
      <c r="I958" s="10">
        <v>1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1</v>
      </c>
      <c r="V958" s="12">
        <v>0</v>
      </c>
      <c r="W958" s="12">
        <v>0</v>
      </c>
      <c r="X958" s="10">
        <v>1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29">
        <v>0.26</v>
      </c>
    </row>
    <row r="959">
      <c r="A959" s="23">
        <v>16107</v>
      </c>
      <c r="B959" s="4" t="s">
        <v>1273</v>
      </c>
      <c r="C959" s="4" t="s">
        <v>67</v>
      </c>
      <c r="D959" s="4" t="s">
        <v>92</v>
      </c>
      <c r="E959" s="4" t="s">
        <v>93</v>
      </c>
      <c r="F959" s="6">
        <v>1</v>
      </c>
      <c r="G959" s="5">
        <v>1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1</v>
      </c>
      <c r="V959" s="5">
        <v>1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30">
        <v>0</v>
      </c>
    </row>
    <row r="960">
      <c r="A960" s="24">
        <v>16124</v>
      </c>
      <c r="B960" s="9" t="s">
        <v>1274</v>
      </c>
      <c r="C960" s="9" t="s">
        <v>163</v>
      </c>
      <c r="D960" s="9" t="s">
        <v>1015</v>
      </c>
      <c r="E960" s="9" t="s">
        <v>1016</v>
      </c>
      <c r="F960" s="11">
        <v>1</v>
      </c>
      <c r="G960" s="12">
        <v>0</v>
      </c>
      <c r="H960" s="12">
        <v>0</v>
      </c>
      <c r="I960" s="12">
        <v>0</v>
      </c>
      <c r="J960" s="12">
        <v>0</v>
      </c>
      <c r="K960" s="10">
        <v>1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1</v>
      </c>
      <c r="V960" s="12">
        <v>0</v>
      </c>
      <c r="W960" s="12">
        <v>0</v>
      </c>
      <c r="X960" s="12">
        <v>0</v>
      </c>
      <c r="Y960" s="12">
        <v>0</v>
      </c>
      <c r="Z960" s="10">
        <v>1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31">
        <v>0</v>
      </c>
    </row>
    <row r="961">
      <c r="A961" s="23">
        <v>16137</v>
      </c>
      <c r="B961" s="4" t="s">
        <v>1275</v>
      </c>
      <c r="C961" s="4" t="s">
        <v>511</v>
      </c>
      <c r="D961" s="4" t="s">
        <v>550</v>
      </c>
      <c r="E961" s="4" t="s">
        <v>551</v>
      </c>
      <c r="F961" s="6">
        <v>3</v>
      </c>
      <c r="G961" s="7">
        <v>0</v>
      </c>
      <c r="H961" s="5">
        <v>3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3</v>
      </c>
      <c r="V961" s="7">
        <v>0</v>
      </c>
      <c r="W961" s="5">
        <v>3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3</v>
      </c>
      <c r="AK961" s="8">
        <v>3</v>
      </c>
      <c r="AL961" s="5">
        <v>3</v>
      </c>
      <c r="AM961" s="5">
        <v>3</v>
      </c>
      <c r="AN961" s="28">
        <v>0.78</v>
      </c>
    </row>
    <row r="962">
      <c r="A962" s="24">
        <v>16250</v>
      </c>
      <c r="B962" s="9" t="s">
        <v>1276</v>
      </c>
      <c r="C962" s="9" t="s">
        <v>511</v>
      </c>
      <c r="D962" s="9" t="s">
        <v>550</v>
      </c>
      <c r="E962" s="9" t="s">
        <v>551</v>
      </c>
      <c r="F962" s="11">
        <v>1</v>
      </c>
      <c r="G962" s="12">
        <v>0</v>
      </c>
      <c r="H962" s="12">
        <v>0</v>
      </c>
      <c r="I962" s="12">
        <v>0</v>
      </c>
      <c r="J962" s="10">
        <v>1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1</v>
      </c>
      <c r="V962" s="12">
        <v>0</v>
      </c>
      <c r="W962" s="12">
        <v>0</v>
      </c>
      <c r="X962" s="12">
        <v>0</v>
      </c>
      <c r="Y962" s="10">
        <v>1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29">
        <v>0.26</v>
      </c>
    </row>
    <row r="963">
      <c r="A963" s="23">
        <v>16301</v>
      </c>
      <c r="B963" s="4" t="s">
        <v>1277</v>
      </c>
      <c r="C963" s="4" t="s">
        <v>67</v>
      </c>
      <c r="D963" s="4" t="s">
        <v>105</v>
      </c>
      <c r="E963" s="4" t="s">
        <v>227</v>
      </c>
      <c r="F963" s="6">
        <v>7</v>
      </c>
      <c r="G963" s="5">
        <v>1</v>
      </c>
      <c r="H963" s="7">
        <v>0</v>
      </c>
      <c r="I963" s="7">
        <v>0</v>
      </c>
      <c r="J963" s="5">
        <v>6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7</v>
      </c>
      <c r="V963" s="5">
        <v>1</v>
      </c>
      <c r="W963" s="7">
        <v>0</v>
      </c>
      <c r="X963" s="7">
        <v>0</v>
      </c>
      <c r="Y963" s="5">
        <v>6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3.5</v>
      </c>
      <c r="AL963" s="5">
        <v>3</v>
      </c>
      <c r="AM963" s="5">
        <v>6</v>
      </c>
      <c r="AN963" s="28">
        <v>1.56</v>
      </c>
    </row>
    <row r="964">
      <c r="A964" s="24">
        <v>16345</v>
      </c>
      <c r="B964" s="9" t="s">
        <v>1278</v>
      </c>
      <c r="C964" s="9" t="s">
        <v>136</v>
      </c>
      <c r="D964" s="9" t="s">
        <v>385</v>
      </c>
      <c r="E964" s="9" t="s">
        <v>852</v>
      </c>
      <c r="F964" s="11">
        <v>1</v>
      </c>
      <c r="G964" s="12">
        <v>0</v>
      </c>
      <c r="H964" s="12">
        <v>0</v>
      </c>
      <c r="I964" s="12">
        <v>0</v>
      </c>
      <c r="J964" s="10">
        <v>1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1</v>
      </c>
      <c r="V964" s="12">
        <v>0</v>
      </c>
      <c r="W964" s="12">
        <v>0</v>
      </c>
      <c r="X964" s="12">
        <v>0</v>
      </c>
      <c r="Y964" s="10">
        <v>1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0.25</v>
      </c>
    </row>
    <row r="965">
      <c r="A965" s="23">
        <v>16347</v>
      </c>
      <c r="B965" s="4" t="s">
        <v>1279</v>
      </c>
      <c r="C965" s="4" t="s">
        <v>971</v>
      </c>
      <c r="D965" s="4" t="s">
        <v>318</v>
      </c>
      <c r="E965" s="4" t="s">
        <v>318</v>
      </c>
      <c r="F965" s="6">
        <v>14</v>
      </c>
      <c r="G965" s="7">
        <v>0</v>
      </c>
      <c r="H965" s="5">
        <v>1</v>
      </c>
      <c r="I965" s="5">
        <v>1</v>
      </c>
      <c r="J965" s="5">
        <v>12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13</v>
      </c>
      <c r="V965" s="7">
        <v>0</v>
      </c>
      <c r="W965" s="5">
        <v>1</v>
      </c>
      <c r="X965" s="5">
        <v>1</v>
      </c>
      <c r="Y965" s="5">
        <v>11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3.5</v>
      </c>
      <c r="AL965" s="5">
        <v>3</v>
      </c>
      <c r="AM965" s="5">
        <v>6</v>
      </c>
      <c r="AN965" s="28">
        <v>3.12</v>
      </c>
    </row>
    <row r="966">
      <c r="A966" s="24">
        <v>16483</v>
      </c>
      <c r="B966" s="9" t="s">
        <v>1280</v>
      </c>
      <c r="C966" s="9" t="s">
        <v>566</v>
      </c>
      <c r="D966" s="9" t="s">
        <v>567</v>
      </c>
      <c r="E966" s="9" t="s">
        <v>318</v>
      </c>
      <c r="F966" s="11">
        <v>4</v>
      </c>
      <c r="G966" s="12">
        <v>0</v>
      </c>
      <c r="H966" s="10">
        <v>2</v>
      </c>
      <c r="I966" s="10">
        <v>2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4</v>
      </c>
      <c r="V966" s="12">
        <v>0</v>
      </c>
      <c r="W966" s="10">
        <v>2</v>
      </c>
      <c r="X966" s="10">
        <v>2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2</v>
      </c>
      <c r="AK966" s="13">
        <v>2</v>
      </c>
      <c r="AL966" s="10">
        <v>2</v>
      </c>
      <c r="AM966" s="10">
        <v>2</v>
      </c>
      <c r="AN966" s="29">
        <v>0.5</v>
      </c>
    </row>
    <row r="967">
      <c r="A967" s="23">
        <v>16504</v>
      </c>
      <c r="B967" s="4" t="s">
        <v>1281</v>
      </c>
      <c r="C967" s="4" t="s">
        <v>67</v>
      </c>
      <c r="D967" s="4" t="s">
        <v>79</v>
      </c>
      <c r="E967" s="4" t="s">
        <v>82</v>
      </c>
      <c r="F967" s="6">
        <v>3</v>
      </c>
      <c r="G967" s="5">
        <v>2</v>
      </c>
      <c r="H967" s="7">
        <v>0</v>
      </c>
      <c r="I967" s="7">
        <v>0</v>
      </c>
      <c r="J967" s="5">
        <v>1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3</v>
      </c>
      <c r="V967" s="5">
        <v>2</v>
      </c>
      <c r="W967" s="7">
        <v>0</v>
      </c>
      <c r="X967" s="7">
        <v>0</v>
      </c>
      <c r="Y967" s="5">
        <v>1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28">
        <v>0.63</v>
      </c>
    </row>
    <row r="968">
      <c r="A968" s="24">
        <v>16542</v>
      </c>
      <c r="B968" s="9" t="s">
        <v>1282</v>
      </c>
      <c r="C968" s="9" t="s">
        <v>67</v>
      </c>
      <c r="D968" s="9" t="s">
        <v>68</v>
      </c>
      <c r="E968" s="9" t="s">
        <v>69</v>
      </c>
      <c r="F968" s="11">
        <v>1</v>
      </c>
      <c r="G968" s="10">
        <v>1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1</v>
      </c>
      <c r="V968" s="10">
        <v>1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0.26</v>
      </c>
    </row>
    <row r="969">
      <c r="A969" s="23">
        <v>16559</v>
      </c>
      <c r="B969" s="4" t="s">
        <v>1283</v>
      </c>
      <c r="C969" s="4" t="s">
        <v>566</v>
      </c>
      <c r="D969" s="4" t="s">
        <v>629</v>
      </c>
      <c r="E969" s="4" t="s">
        <v>318</v>
      </c>
      <c r="F969" s="6">
        <v>2</v>
      </c>
      <c r="G969" s="7">
        <v>0</v>
      </c>
      <c r="H969" s="7">
        <v>0</v>
      </c>
      <c r="I969" s="5">
        <v>2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2</v>
      </c>
      <c r="V969" s="7">
        <v>0</v>
      </c>
      <c r="W969" s="7">
        <v>0</v>
      </c>
      <c r="X969" s="5">
        <v>2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2</v>
      </c>
      <c r="AK969" s="8">
        <v>2</v>
      </c>
      <c r="AL969" s="5">
        <v>2</v>
      </c>
      <c r="AM969" s="5">
        <v>2</v>
      </c>
      <c r="AN969" s="30">
        <v>0</v>
      </c>
    </row>
    <row r="970">
      <c r="A970" s="24">
        <v>16604</v>
      </c>
      <c r="B970" s="9" t="s">
        <v>1284</v>
      </c>
      <c r="C970" s="9" t="s">
        <v>163</v>
      </c>
      <c r="D970" s="9" t="s">
        <v>173</v>
      </c>
      <c r="E970" s="9" t="s">
        <v>1192</v>
      </c>
      <c r="F970" s="11">
        <v>1</v>
      </c>
      <c r="G970" s="12">
        <v>0</v>
      </c>
      <c r="H970" s="12">
        <v>0</v>
      </c>
      <c r="I970" s="12">
        <v>0</v>
      </c>
      <c r="J970" s="12">
        <v>0</v>
      </c>
      <c r="K970" s="10">
        <v>1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1</v>
      </c>
      <c r="V970" s="12">
        <v>0</v>
      </c>
      <c r="W970" s="12">
        <v>0</v>
      </c>
      <c r="X970" s="12">
        <v>0</v>
      </c>
      <c r="Y970" s="12">
        <v>0</v>
      </c>
      <c r="Z970" s="10">
        <v>1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31">
        <v>0</v>
      </c>
    </row>
    <row r="971">
      <c r="A971" s="23">
        <v>16641</v>
      </c>
      <c r="B971" s="4" t="s">
        <v>1285</v>
      </c>
      <c r="C971" s="4" t="s">
        <v>67</v>
      </c>
      <c r="D971" s="4" t="s">
        <v>76</v>
      </c>
      <c r="E971" s="4" t="s">
        <v>123</v>
      </c>
      <c r="F971" s="6">
        <v>3</v>
      </c>
      <c r="G971" s="5">
        <v>1</v>
      </c>
      <c r="H971" s="7">
        <v>0</v>
      </c>
      <c r="I971" s="7">
        <v>0</v>
      </c>
      <c r="J971" s="5">
        <v>2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3</v>
      </c>
      <c r="V971" s="5">
        <v>1</v>
      </c>
      <c r="W971" s="7">
        <v>0</v>
      </c>
      <c r="X971" s="7">
        <v>0</v>
      </c>
      <c r="Y971" s="5">
        <v>2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1.5</v>
      </c>
      <c r="AL971" s="5">
        <v>1</v>
      </c>
      <c r="AM971" s="5">
        <v>2</v>
      </c>
      <c r="AN971" s="28">
        <v>0.5</v>
      </c>
    </row>
    <row r="972">
      <c r="A972" s="24">
        <v>16666</v>
      </c>
      <c r="B972" s="9" t="s">
        <v>1286</v>
      </c>
      <c r="C972" s="9" t="s">
        <v>67</v>
      </c>
      <c r="D972" s="9" t="s">
        <v>84</v>
      </c>
      <c r="E972" s="9" t="s">
        <v>134</v>
      </c>
      <c r="F972" s="11">
        <v>1</v>
      </c>
      <c r="G972" s="12">
        <v>0</v>
      </c>
      <c r="H972" s="10">
        <v>1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1</v>
      </c>
      <c r="V972" s="12">
        <v>0</v>
      </c>
      <c r="W972" s="10">
        <v>1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0.26</v>
      </c>
    </row>
    <row r="973">
      <c r="A973" s="23">
        <v>16761</v>
      </c>
      <c r="B973" s="4" t="s">
        <v>1287</v>
      </c>
      <c r="C973" s="4" t="s">
        <v>67</v>
      </c>
      <c r="D973" s="4" t="s">
        <v>73</v>
      </c>
      <c r="E973" s="4" t="s">
        <v>301</v>
      </c>
      <c r="F973" s="6">
        <v>1</v>
      </c>
      <c r="G973" s="7">
        <v>0</v>
      </c>
      <c r="H973" s="7">
        <v>0</v>
      </c>
      <c r="I973" s="7">
        <v>0</v>
      </c>
      <c r="J973" s="5">
        <v>1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1</v>
      </c>
      <c r="V973" s="7">
        <v>0</v>
      </c>
      <c r="W973" s="7">
        <v>0</v>
      </c>
      <c r="X973" s="7">
        <v>0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28">
        <v>0.25</v>
      </c>
    </row>
    <row r="974">
      <c r="A974" s="24">
        <v>16767</v>
      </c>
      <c r="B974" s="9" t="s">
        <v>1288</v>
      </c>
      <c r="C974" s="9" t="s">
        <v>511</v>
      </c>
      <c r="D974" s="9" t="s">
        <v>1289</v>
      </c>
      <c r="E974" s="9" t="s">
        <v>1290</v>
      </c>
      <c r="F974" s="11">
        <v>1</v>
      </c>
      <c r="G974" s="12">
        <v>0</v>
      </c>
      <c r="H974" s="10">
        <v>1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1</v>
      </c>
      <c r="V974" s="12">
        <v>0</v>
      </c>
      <c r="W974" s="10">
        <v>1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0.26</v>
      </c>
    </row>
    <row r="975">
      <c r="A975" s="23">
        <v>16845</v>
      </c>
      <c r="B975" s="4" t="s">
        <v>1291</v>
      </c>
      <c r="C975" s="4" t="s">
        <v>67</v>
      </c>
      <c r="D975" s="4" t="s">
        <v>79</v>
      </c>
      <c r="E975" s="4" t="s">
        <v>80</v>
      </c>
      <c r="F975" s="6">
        <v>1</v>
      </c>
      <c r="G975" s="7">
        <v>0</v>
      </c>
      <c r="H975" s="7">
        <v>0</v>
      </c>
      <c r="I975" s="5">
        <v>1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1</v>
      </c>
      <c r="V975" s="7">
        <v>0</v>
      </c>
      <c r="W975" s="7">
        <v>0</v>
      </c>
      <c r="X975" s="5">
        <v>1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0.25</v>
      </c>
    </row>
    <row r="976">
      <c r="A976" s="24">
        <v>16922</v>
      </c>
      <c r="B976" s="9" t="s">
        <v>1292</v>
      </c>
      <c r="C976" s="9" t="s">
        <v>163</v>
      </c>
      <c r="D976" s="9" t="s">
        <v>173</v>
      </c>
      <c r="E976" s="9" t="s">
        <v>176</v>
      </c>
      <c r="F976" s="11">
        <v>1</v>
      </c>
      <c r="G976" s="12">
        <v>0</v>
      </c>
      <c r="H976" s="12">
        <v>0</v>
      </c>
      <c r="I976" s="12">
        <v>0</v>
      </c>
      <c r="J976" s="12">
        <v>0</v>
      </c>
      <c r="K976" s="10">
        <v>1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1</v>
      </c>
      <c r="V976" s="12">
        <v>0</v>
      </c>
      <c r="W976" s="12">
        <v>0</v>
      </c>
      <c r="X976" s="12">
        <v>0</v>
      </c>
      <c r="Y976" s="12">
        <v>0</v>
      </c>
      <c r="Z976" s="10">
        <v>1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31">
        <v>0</v>
      </c>
    </row>
    <row r="977">
      <c r="A977" s="23">
        <v>16970</v>
      </c>
      <c r="B977" s="4" t="s">
        <v>1293</v>
      </c>
      <c r="C977" s="4" t="s">
        <v>67</v>
      </c>
      <c r="D977" s="4" t="s">
        <v>84</v>
      </c>
      <c r="E977" s="4" t="s">
        <v>197</v>
      </c>
      <c r="F977" s="6">
        <v>1</v>
      </c>
      <c r="G977" s="7">
        <v>0</v>
      </c>
      <c r="H977" s="7">
        <v>0</v>
      </c>
      <c r="I977" s="7">
        <v>0</v>
      </c>
      <c r="J977" s="5">
        <v>1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1</v>
      </c>
      <c r="V977" s="7">
        <v>0</v>
      </c>
      <c r="W977" s="7">
        <v>0</v>
      </c>
      <c r="X977" s="7">
        <v>0</v>
      </c>
      <c r="Y977" s="5">
        <v>1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0.25</v>
      </c>
    </row>
    <row r="978">
      <c r="A978" s="24">
        <v>17021</v>
      </c>
      <c r="B978" s="9" t="s">
        <v>1294</v>
      </c>
      <c r="C978" s="9" t="s">
        <v>67</v>
      </c>
      <c r="D978" s="9" t="s">
        <v>79</v>
      </c>
      <c r="E978" s="9" t="s">
        <v>82</v>
      </c>
      <c r="F978" s="11">
        <v>1</v>
      </c>
      <c r="G978" s="12">
        <v>0</v>
      </c>
      <c r="H978" s="10">
        <v>1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1</v>
      </c>
      <c r="V978" s="12">
        <v>0</v>
      </c>
      <c r="W978" s="10">
        <v>1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0.25</v>
      </c>
    </row>
    <row r="979">
      <c r="A979" s="23">
        <v>17028</v>
      </c>
      <c r="B979" s="4" t="s">
        <v>1295</v>
      </c>
      <c r="C979" s="4" t="s">
        <v>67</v>
      </c>
      <c r="D979" s="4" t="s">
        <v>79</v>
      </c>
      <c r="E979" s="4" t="s">
        <v>80</v>
      </c>
      <c r="F979" s="6">
        <v>1</v>
      </c>
      <c r="G979" s="7">
        <v>0</v>
      </c>
      <c r="H979" s="5">
        <v>1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1</v>
      </c>
      <c r="V979" s="7">
        <v>0</v>
      </c>
      <c r="W979" s="5">
        <v>1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0.25</v>
      </c>
    </row>
    <row r="980">
      <c r="A980" s="24">
        <v>17029</v>
      </c>
      <c r="B980" s="9" t="s">
        <v>1296</v>
      </c>
      <c r="C980" s="9" t="s">
        <v>67</v>
      </c>
      <c r="D980" s="9" t="s">
        <v>79</v>
      </c>
      <c r="E980" s="9" t="s">
        <v>80</v>
      </c>
      <c r="F980" s="11">
        <v>1</v>
      </c>
      <c r="G980" s="12">
        <v>0</v>
      </c>
      <c r="H980" s="10">
        <v>1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1</v>
      </c>
      <c r="V980" s="12">
        <v>0</v>
      </c>
      <c r="W980" s="10">
        <v>1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0.25</v>
      </c>
    </row>
    <row r="981">
      <c r="A981" s="23">
        <v>17035</v>
      </c>
      <c r="B981" s="4" t="s">
        <v>1297</v>
      </c>
      <c r="C981" s="4" t="s">
        <v>67</v>
      </c>
      <c r="D981" s="4" t="s">
        <v>105</v>
      </c>
      <c r="E981" s="4" t="s">
        <v>227</v>
      </c>
      <c r="F981" s="6">
        <v>1</v>
      </c>
      <c r="G981" s="7">
        <v>0</v>
      </c>
      <c r="H981" s="7">
        <v>0</v>
      </c>
      <c r="I981" s="7">
        <v>0</v>
      </c>
      <c r="J981" s="5">
        <v>1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1</v>
      </c>
      <c r="V981" s="7">
        <v>0</v>
      </c>
      <c r="W981" s="7">
        <v>0</v>
      </c>
      <c r="X981" s="7">
        <v>0</v>
      </c>
      <c r="Y981" s="5">
        <v>1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28">
        <v>0.25</v>
      </c>
    </row>
    <row r="982">
      <c r="A982" s="24">
        <v>17064</v>
      </c>
      <c r="B982" s="9" t="s">
        <v>1298</v>
      </c>
      <c r="C982" s="9" t="s">
        <v>67</v>
      </c>
      <c r="D982" s="9" t="s">
        <v>100</v>
      </c>
      <c r="E982" s="9" t="s">
        <v>127</v>
      </c>
      <c r="F982" s="11">
        <v>4</v>
      </c>
      <c r="G982" s="10">
        <v>4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4</v>
      </c>
      <c r="V982" s="10">
        <v>4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4</v>
      </c>
      <c r="AK982" s="13">
        <v>4</v>
      </c>
      <c r="AL982" s="10">
        <v>4</v>
      </c>
      <c r="AM982" s="10">
        <v>4</v>
      </c>
      <c r="AN982" s="29">
        <v>1</v>
      </c>
    </row>
    <row r="983">
      <c r="A983" s="23">
        <v>17105</v>
      </c>
      <c r="B983" s="4" t="s">
        <v>1299</v>
      </c>
      <c r="C983" s="4" t="s">
        <v>136</v>
      </c>
      <c r="D983" s="4" t="s">
        <v>416</v>
      </c>
      <c r="E983" s="4" t="s">
        <v>1300</v>
      </c>
      <c r="F983" s="6">
        <v>1</v>
      </c>
      <c r="G983" s="7">
        <v>0</v>
      </c>
      <c r="H983" s="5">
        <v>1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1</v>
      </c>
      <c r="V983" s="7">
        <v>0</v>
      </c>
      <c r="W983" s="5">
        <v>1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28">
        <v>0.24</v>
      </c>
    </row>
    <row r="984">
      <c r="A984" s="24">
        <v>17137</v>
      </c>
      <c r="B984" s="9" t="s">
        <v>1301</v>
      </c>
      <c r="C984" s="9" t="s">
        <v>67</v>
      </c>
      <c r="D984" s="9" t="s">
        <v>89</v>
      </c>
      <c r="E984" s="9" t="s">
        <v>90</v>
      </c>
      <c r="F984" s="11">
        <v>3</v>
      </c>
      <c r="G984" s="10">
        <v>2</v>
      </c>
      <c r="H984" s="10">
        <v>1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2</v>
      </c>
      <c r="V984" s="10">
        <v>1</v>
      </c>
      <c r="W984" s="10">
        <v>1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1.5</v>
      </c>
      <c r="AL984" s="10">
        <v>1</v>
      </c>
      <c r="AM984" s="10">
        <v>2</v>
      </c>
      <c r="AN984" s="29">
        <v>0.24</v>
      </c>
    </row>
    <row r="985">
      <c r="A985" s="23">
        <v>17214</v>
      </c>
      <c r="B985" s="4" t="s">
        <v>1302</v>
      </c>
      <c r="C985" s="4" t="s">
        <v>67</v>
      </c>
      <c r="D985" s="4" t="s">
        <v>105</v>
      </c>
      <c r="E985" s="4" t="s">
        <v>106</v>
      </c>
      <c r="F985" s="6">
        <v>1</v>
      </c>
      <c r="G985" s="5">
        <v>1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1</v>
      </c>
      <c r="V985" s="5">
        <v>1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30">
        <v>0</v>
      </c>
    </row>
    <row r="986">
      <c r="A986" s="24">
        <v>17215</v>
      </c>
      <c r="B986" s="9" t="s">
        <v>1303</v>
      </c>
      <c r="C986" s="9" t="s">
        <v>67</v>
      </c>
      <c r="D986" s="9" t="s">
        <v>68</v>
      </c>
      <c r="E986" s="9" t="s">
        <v>237</v>
      </c>
      <c r="F986" s="11">
        <v>1</v>
      </c>
      <c r="G986" s="10">
        <v>1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1</v>
      </c>
      <c r="V986" s="10">
        <v>1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31">
        <v>0</v>
      </c>
    </row>
    <row r="987">
      <c r="A987" s="23">
        <v>17216</v>
      </c>
      <c r="B987" s="4" t="s">
        <v>1304</v>
      </c>
      <c r="C987" s="4" t="s">
        <v>67</v>
      </c>
      <c r="D987" s="4" t="s">
        <v>105</v>
      </c>
      <c r="E987" s="4" t="s">
        <v>106</v>
      </c>
      <c r="F987" s="6">
        <v>2</v>
      </c>
      <c r="G987" s="5">
        <v>2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2</v>
      </c>
      <c r="V987" s="5">
        <v>2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2</v>
      </c>
      <c r="AK987" s="8">
        <v>2</v>
      </c>
      <c r="AL987" s="5">
        <v>2</v>
      </c>
      <c r="AM987" s="5">
        <v>2</v>
      </c>
      <c r="AN987" s="30">
        <v>0</v>
      </c>
    </row>
    <row r="988">
      <c r="A988" s="24">
        <v>17221</v>
      </c>
      <c r="B988" s="9" t="s">
        <v>1305</v>
      </c>
      <c r="C988" s="9" t="s">
        <v>509</v>
      </c>
      <c r="D988" s="9" t="s">
        <v>600</v>
      </c>
      <c r="E988" s="9" t="s">
        <v>318</v>
      </c>
      <c r="F988" s="11">
        <v>1</v>
      </c>
      <c r="G988" s="10">
        <v>1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1</v>
      </c>
      <c r="V988" s="10">
        <v>1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29">
        <v>0.24</v>
      </c>
    </row>
    <row r="989">
      <c r="A989" s="23">
        <v>17244</v>
      </c>
      <c r="B989" s="4" t="s">
        <v>1306</v>
      </c>
      <c r="C989" s="4" t="s">
        <v>136</v>
      </c>
      <c r="D989" s="4" t="s">
        <v>618</v>
      </c>
      <c r="E989" s="4" t="s">
        <v>1307</v>
      </c>
      <c r="F989" s="6">
        <v>4</v>
      </c>
      <c r="G989" s="5">
        <v>1</v>
      </c>
      <c r="H989" s="7">
        <v>0</v>
      </c>
      <c r="I989" s="7">
        <v>0</v>
      </c>
      <c r="J989" s="5">
        <v>3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4</v>
      </c>
      <c r="V989" s="5">
        <v>1</v>
      </c>
      <c r="W989" s="7">
        <v>0</v>
      </c>
      <c r="X989" s="7">
        <v>0</v>
      </c>
      <c r="Y989" s="5">
        <v>3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0.75</v>
      </c>
    </row>
    <row r="990">
      <c r="A990" s="24">
        <v>17256</v>
      </c>
      <c r="B990" s="9" t="s">
        <v>1308</v>
      </c>
      <c r="C990" s="9" t="s">
        <v>163</v>
      </c>
      <c r="D990" s="9" t="s">
        <v>164</v>
      </c>
      <c r="E990" s="9" t="s">
        <v>165</v>
      </c>
      <c r="F990" s="11">
        <v>3</v>
      </c>
      <c r="G990" s="10">
        <v>2</v>
      </c>
      <c r="H990" s="12">
        <v>0</v>
      </c>
      <c r="I990" s="10">
        <v>1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3</v>
      </c>
      <c r="V990" s="10">
        <v>2</v>
      </c>
      <c r="W990" s="12">
        <v>0</v>
      </c>
      <c r="X990" s="10">
        <v>1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1.5</v>
      </c>
      <c r="AL990" s="10">
        <v>1</v>
      </c>
      <c r="AM990" s="10">
        <v>2</v>
      </c>
      <c r="AN990" s="29">
        <v>0.24</v>
      </c>
    </row>
    <row r="991">
      <c r="A991" s="23">
        <v>17286</v>
      </c>
      <c r="B991" s="4" t="s">
        <v>1309</v>
      </c>
      <c r="C991" s="4" t="s">
        <v>316</v>
      </c>
      <c r="D991" s="4" t="s">
        <v>317</v>
      </c>
      <c r="E991" s="4" t="s">
        <v>318</v>
      </c>
      <c r="F991" s="6">
        <v>5</v>
      </c>
      <c r="G991" s="7">
        <v>0</v>
      </c>
      <c r="H991" s="7">
        <v>0</v>
      </c>
      <c r="I991" s="7">
        <v>0</v>
      </c>
      <c r="J991" s="5">
        <v>5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3</v>
      </c>
      <c r="V991" s="7">
        <v>0</v>
      </c>
      <c r="W991" s="7">
        <v>0</v>
      </c>
      <c r="X991" s="7">
        <v>0</v>
      </c>
      <c r="Y991" s="5">
        <v>3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2</v>
      </c>
      <c r="AK991" s="8">
        <v>2.5</v>
      </c>
      <c r="AL991" s="5">
        <v>2</v>
      </c>
      <c r="AM991" s="5">
        <v>3</v>
      </c>
      <c r="AN991" s="28">
        <v>0.5</v>
      </c>
    </row>
    <row r="992">
      <c r="A992" s="24">
        <v>17310</v>
      </c>
      <c r="B992" s="9" t="s">
        <v>1310</v>
      </c>
      <c r="C992" s="9" t="s">
        <v>558</v>
      </c>
      <c r="D992" s="9" t="s">
        <v>913</v>
      </c>
      <c r="E992" s="9" t="s">
        <v>318</v>
      </c>
      <c r="F992" s="11">
        <v>1</v>
      </c>
      <c r="G992" s="12">
        <v>0</v>
      </c>
      <c r="H992" s="12">
        <v>0</v>
      </c>
      <c r="I992" s="10">
        <v>1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1</v>
      </c>
      <c r="V992" s="12">
        <v>0</v>
      </c>
      <c r="W992" s="12">
        <v>0</v>
      </c>
      <c r="X992" s="10">
        <v>1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0.25</v>
      </c>
    </row>
    <row r="993">
      <c r="A993" s="23">
        <v>17315</v>
      </c>
      <c r="B993" s="4" t="s">
        <v>1311</v>
      </c>
      <c r="C993" s="4" t="s">
        <v>67</v>
      </c>
      <c r="D993" s="4" t="s">
        <v>92</v>
      </c>
      <c r="E993" s="4" t="s">
        <v>93</v>
      </c>
      <c r="F993" s="6">
        <v>1</v>
      </c>
      <c r="G993" s="5">
        <v>1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1</v>
      </c>
      <c r="V993" s="5">
        <v>1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30">
        <v>0</v>
      </c>
    </row>
    <row r="994">
      <c r="A994" s="24">
        <v>17318</v>
      </c>
      <c r="B994" s="9" t="s">
        <v>1312</v>
      </c>
      <c r="C994" s="9" t="s">
        <v>67</v>
      </c>
      <c r="D994" s="9" t="s">
        <v>105</v>
      </c>
      <c r="E994" s="9" t="s">
        <v>106</v>
      </c>
      <c r="F994" s="11">
        <v>1</v>
      </c>
      <c r="G994" s="12">
        <v>0</v>
      </c>
      <c r="H994" s="12">
        <v>0</v>
      </c>
      <c r="I994" s="10">
        <v>1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1</v>
      </c>
      <c r="V994" s="12">
        <v>0</v>
      </c>
      <c r="W994" s="12">
        <v>0</v>
      </c>
      <c r="X994" s="10">
        <v>1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0.22</v>
      </c>
    </row>
    <row r="995">
      <c r="A995" s="23">
        <v>17347</v>
      </c>
      <c r="B995" s="4" t="s">
        <v>1313</v>
      </c>
      <c r="C995" s="4" t="s">
        <v>67</v>
      </c>
      <c r="D995" s="4" t="s">
        <v>79</v>
      </c>
      <c r="E995" s="4" t="s">
        <v>332</v>
      </c>
      <c r="F995" s="6">
        <v>1</v>
      </c>
      <c r="G995" s="7">
        <v>0</v>
      </c>
      <c r="H995" s="7">
        <v>0</v>
      </c>
      <c r="I995" s="7">
        <v>0</v>
      </c>
      <c r="J995" s="5">
        <v>1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1</v>
      </c>
      <c r="V995" s="7">
        <v>0</v>
      </c>
      <c r="W995" s="7">
        <v>0</v>
      </c>
      <c r="X995" s="7">
        <v>0</v>
      </c>
      <c r="Y995" s="5">
        <v>1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28">
        <v>0.25</v>
      </c>
    </row>
    <row r="996">
      <c r="A996" s="24">
        <v>17359</v>
      </c>
      <c r="B996" s="9" t="s">
        <v>1314</v>
      </c>
      <c r="C996" s="9" t="s">
        <v>67</v>
      </c>
      <c r="D996" s="9" t="s">
        <v>111</v>
      </c>
      <c r="E996" s="9" t="s">
        <v>149</v>
      </c>
      <c r="F996" s="11">
        <v>4</v>
      </c>
      <c r="G996" s="12">
        <v>0</v>
      </c>
      <c r="H996" s="12">
        <v>0</v>
      </c>
      <c r="I996" s="10">
        <v>1</v>
      </c>
      <c r="J996" s="10">
        <v>3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4</v>
      </c>
      <c r="V996" s="12">
        <v>0</v>
      </c>
      <c r="W996" s="12">
        <v>0</v>
      </c>
      <c r="X996" s="10">
        <v>1</v>
      </c>
      <c r="Y996" s="10">
        <v>3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2</v>
      </c>
      <c r="AL996" s="10">
        <v>2</v>
      </c>
      <c r="AM996" s="10">
        <v>3</v>
      </c>
      <c r="AN996" s="29">
        <v>0.88</v>
      </c>
    </row>
    <row r="997">
      <c r="A997" s="23">
        <v>17365</v>
      </c>
      <c r="B997" s="4" t="s">
        <v>1315</v>
      </c>
      <c r="C997" s="4" t="s">
        <v>67</v>
      </c>
      <c r="D997" s="4" t="s">
        <v>76</v>
      </c>
      <c r="E997" s="4" t="s">
        <v>120</v>
      </c>
      <c r="F997" s="6">
        <v>3</v>
      </c>
      <c r="G997" s="7">
        <v>0</v>
      </c>
      <c r="H997" s="7">
        <v>0</v>
      </c>
      <c r="I997" s="5">
        <v>1</v>
      </c>
      <c r="J997" s="5">
        <v>2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3</v>
      </c>
      <c r="V997" s="7">
        <v>0</v>
      </c>
      <c r="W997" s="7">
        <v>0</v>
      </c>
      <c r="X997" s="5">
        <v>1</v>
      </c>
      <c r="Y997" s="5">
        <v>2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1.5</v>
      </c>
      <c r="AL997" s="5">
        <v>1</v>
      </c>
      <c r="AM997" s="5">
        <v>2</v>
      </c>
      <c r="AN997" s="28">
        <v>0.5</v>
      </c>
    </row>
    <row r="998">
      <c r="A998" s="24">
        <v>17459</v>
      </c>
      <c r="B998" s="9" t="s">
        <v>1316</v>
      </c>
      <c r="C998" s="9" t="s">
        <v>67</v>
      </c>
      <c r="D998" s="9" t="s">
        <v>79</v>
      </c>
      <c r="E998" s="9" t="s">
        <v>293</v>
      </c>
      <c r="F998" s="11">
        <v>1</v>
      </c>
      <c r="G998" s="10">
        <v>1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1</v>
      </c>
      <c r="V998" s="10">
        <v>1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0.36</v>
      </c>
    </row>
    <row r="999">
      <c r="A999" s="23">
        <v>17469</v>
      </c>
      <c r="B999" s="4" t="s">
        <v>1317</v>
      </c>
      <c r="C999" s="4" t="s">
        <v>136</v>
      </c>
      <c r="D999" s="4" t="s">
        <v>910</v>
      </c>
      <c r="E999" s="4" t="s">
        <v>911</v>
      </c>
      <c r="F999" s="6">
        <v>2</v>
      </c>
      <c r="G999" s="7">
        <v>0</v>
      </c>
      <c r="H999" s="7">
        <v>0</v>
      </c>
      <c r="I999" s="5">
        <v>1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2</v>
      </c>
      <c r="V999" s="7">
        <v>0</v>
      </c>
      <c r="W999" s="7">
        <v>0</v>
      </c>
      <c r="X999" s="5">
        <v>1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0.52</v>
      </c>
    </row>
    <row r="1000">
      <c r="A1000" s="24">
        <v>17487</v>
      </c>
      <c r="B1000" s="9" t="s">
        <v>1318</v>
      </c>
      <c r="C1000" s="9" t="s">
        <v>67</v>
      </c>
      <c r="D1000" s="9" t="s">
        <v>76</v>
      </c>
      <c r="E1000" s="9" t="s">
        <v>123</v>
      </c>
      <c r="F1000" s="11">
        <v>1</v>
      </c>
      <c r="G1000" s="10">
        <v>1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1</v>
      </c>
      <c r="V1000" s="10">
        <v>1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31">
        <v>0</v>
      </c>
    </row>
    <row r="1001">
      <c r="A1001" s="23">
        <v>17491</v>
      </c>
      <c r="B1001" s="4" t="s">
        <v>1319</v>
      </c>
      <c r="C1001" s="4" t="s">
        <v>163</v>
      </c>
      <c r="D1001" s="4" t="s">
        <v>164</v>
      </c>
      <c r="E1001" s="4" t="s">
        <v>171</v>
      </c>
      <c r="F1001" s="6">
        <v>1</v>
      </c>
      <c r="G1001" s="7">
        <v>0</v>
      </c>
      <c r="H1001" s="7">
        <v>0</v>
      </c>
      <c r="I1001" s="5">
        <v>1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1</v>
      </c>
      <c r="V1001" s="7">
        <v>0</v>
      </c>
      <c r="W1001" s="7">
        <v>0</v>
      </c>
      <c r="X1001" s="5">
        <v>1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0.24</v>
      </c>
    </row>
    <row r="1002">
      <c r="A1002" s="24">
        <v>17506</v>
      </c>
      <c r="B1002" s="9" t="s">
        <v>1320</v>
      </c>
      <c r="C1002" s="9" t="s">
        <v>67</v>
      </c>
      <c r="D1002" s="9" t="s">
        <v>105</v>
      </c>
      <c r="E1002" s="9" t="s">
        <v>106</v>
      </c>
      <c r="F1002" s="11">
        <v>1</v>
      </c>
      <c r="G1002" s="10">
        <v>1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1</v>
      </c>
      <c r="V1002" s="10">
        <v>1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31">
        <v>0</v>
      </c>
    </row>
    <row r="1003">
      <c r="A1003" s="23">
        <v>17564</v>
      </c>
      <c r="B1003" s="4" t="s">
        <v>1321</v>
      </c>
      <c r="C1003" s="4" t="s">
        <v>67</v>
      </c>
      <c r="D1003" s="4" t="s">
        <v>111</v>
      </c>
      <c r="E1003" s="4" t="s">
        <v>112</v>
      </c>
      <c r="F1003" s="6">
        <v>3</v>
      </c>
      <c r="G1003" s="5">
        <v>2</v>
      </c>
      <c r="H1003" s="5">
        <v>1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2</v>
      </c>
      <c r="V1003" s="5">
        <v>1</v>
      </c>
      <c r="W1003" s="5">
        <v>1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1.5</v>
      </c>
      <c r="AL1003" s="5">
        <v>1</v>
      </c>
      <c r="AM1003" s="5">
        <v>2</v>
      </c>
      <c r="AN1003" s="30">
        <v>0</v>
      </c>
    </row>
    <row r="1004">
      <c r="A1004" s="24">
        <v>17571</v>
      </c>
      <c r="B1004" s="9" t="s">
        <v>1322</v>
      </c>
      <c r="C1004" s="9" t="s">
        <v>163</v>
      </c>
      <c r="D1004" s="9" t="s">
        <v>164</v>
      </c>
      <c r="E1004" s="9" t="s">
        <v>165</v>
      </c>
      <c r="F1004" s="11">
        <v>2</v>
      </c>
      <c r="G1004" s="10">
        <v>1</v>
      </c>
      <c r="H1004" s="10">
        <v>1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2</v>
      </c>
      <c r="V1004" s="10">
        <v>1</v>
      </c>
      <c r="W1004" s="10">
        <v>1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0.25</v>
      </c>
    </row>
    <row r="1005">
      <c r="A1005" s="23">
        <v>17575</v>
      </c>
      <c r="B1005" s="4" t="s">
        <v>1323</v>
      </c>
      <c r="C1005" s="4" t="s">
        <v>316</v>
      </c>
      <c r="D1005" s="4" t="s">
        <v>518</v>
      </c>
      <c r="E1005" s="4" t="s">
        <v>318</v>
      </c>
      <c r="F1005" s="6">
        <v>1</v>
      </c>
      <c r="G1005" s="7">
        <v>0</v>
      </c>
      <c r="H1005" s="7">
        <v>0</v>
      </c>
      <c r="I1005" s="7">
        <v>0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1</v>
      </c>
      <c r="V1005" s="7">
        <v>0</v>
      </c>
      <c r="W1005" s="7">
        <v>0</v>
      </c>
      <c r="X1005" s="7">
        <v>0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28">
        <v>0.26</v>
      </c>
    </row>
    <row r="1006">
      <c r="A1006" s="24">
        <v>17596</v>
      </c>
      <c r="B1006" s="9" t="s">
        <v>1324</v>
      </c>
      <c r="C1006" s="9" t="s">
        <v>67</v>
      </c>
      <c r="D1006" s="9" t="s">
        <v>79</v>
      </c>
      <c r="E1006" s="9" t="s">
        <v>293</v>
      </c>
      <c r="F1006" s="11">
        <v>3</v>
      </c>
      <c r="G1006" s="12">
        <v>0</v>
      </c>
      <c r="H1006" s="12">
        <v>0</v>
      </c>
      <c r="I1006" s="12">
        <v>0</v>
      </c>
      <c r="J1006" s="10">
        <v>3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2</v>
      </c>
      <c r="V1006" s="12">
        <v>0</v>
      </c>
      <c r="W1006" s="12">
        <v>0</v>
      </c>
      <c r="X1006" s="12">
        <v>0</v>
      </c>
      <c r="Y1006" s="10">
        <v>2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1.5</v>
      </c>
      <c r="AL1006" s="10">
        <v>1</v>
      </c>
      <c r="AM1006" s="10">
        <v>2</v>
      </c>
      <c r="AN1006" s="29">
        <v>0.5</v>
      </c>
    </row>
    <row r="1007">
      <c r="A1007" s="23">
        <v>17600</v>
      </c>
      <c r="B1007" s="4" t="s">
        <v>1325</v>
      </c>
      <c r="C1007" s="4" t="s">
        <v>67</v>
      </c>
      <c r="D1007" s="4" t="s">
        <v>89</v>
      </c>
      <c r="E1007" s="4" t="s">
        <v>322</v>
      </c>
      <c r="F1007" s="6">
        <v>2</v>
      </c>
      <c r="G1007" s="5">
        <v>2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2</v>
      </c>
      <c r="V1007" s="5">
        <v>2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2</v>
      </c>
      <c r="AK1007" s="8">
        <v>2</v>
      </c>
      <c r="AL1007" s="5">
        <v>2</v>
      </c>
      <c r="AM1007" s="5">
        <v>2</v>
      </c>
      <c r="AN1007" s="28">
        <v>0.5</v>
      </c>
    </row>
    <row r="1008">
      <c r="A1008" s="24">
        <v>17651</v>
      </c>
      <c r="B1008" s="9" t="s">
        <v>1326</v>
      </c>
      <c r="C1008" s="9" t="s">
        <v>67</v>
      </c>
      <c r="D1008" s="9" t="s">
        <v>89</v>
      </c>
      <c r="E1008" s="9" t="s">
        <v>322</v>
      </c>
      <c r="F1008" s="11">
        <v>2</v>
      </c>
      <c r="G1008" s="10">
        <v>1</v>
      </c>
      <c r="H1008" s="12">
        <v>0</v>
      </c>
      <c r="I1008" s="12">
        <v>0</v>
      </c>
      <c r="J1008" s="12">
        <v>0</v>
      </c>
      <c r="K1008" s="12">
        <v>0</v>
      </c>
      <c r="L1008" s="10">
        <v>1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2</v>
      </c>
      <c r="V1008" s="10">
        <v>1</v>
      </c>
      <c r="W1008" s="12">
        <v>0</v>
      </c>
      <c r="X1008" s="12">
        <v>0</v>
      </c>
      <c r="Y1008" s="12">
        <v>0</v>
      </c>
      <c r="Z1008" s="12">
        <v>0</v>
      </c>
      <c r="AA1008" s="10">
        <v>1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31">
        <v>0</v>
      </c>
    </row>
    <row r="1009">
      <c r="A1009" s="23">
        <v>17669</v>
      </c>
      <c r="B1009" s="4" t="s">
        <v>1327</v>
      </c>
      <c r="C1009" s="4" t="s">
        <v>67</v>
      </c>
      <c r="D1009" s="4" t="s">
        <v>89</v>
      </c>
      <c r="E1009" s="4" t="s">
        <v>322</v>
      </c>
      <c r="F1009" s="6">
        <v>2</v>
      </c>
      <c r="G1009" s="5">
        <v>2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2</v>
      </c>
      <c r="V1009" s="5">
        <v>2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2</v>
      </c>
      <c r="AK1009" s="8">
        <v>2</v>
      </c>
      <c r="AL1009" s="5">
        <v>2</v>
      </c>
      <c r="AM1009" s="5">
        <v>2</v>
      </c>
      <c r="AN1009" s="30">
        <v>0</v>
      </c>
    </row>
    <row r="1010">
      <c r="A1010" s="24">
        <v>17680</v>
      </c>
      <c r="B1010" s="9" t="s">
        <v>1328</v>
      </c>
      <c r="C1010" s="9" t="s">
        <v>558</v>
      </c>
      <c r="D1010" s="9" t="s">
        <v>606</v>
      </c>
      <c r="E1010" s="9" t="s">
        <v>318</v>
      </c>
      <c r="F1010" s="11">
        <v>1</v>
      </c>
      <c r="G1010" s="12">
        <v>0</v>
      </c>
      <c r="H1010" s="12">
        <v>0</v>
      </c>
      <c r="I1010" s="10">
        <v>1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1</v>
      </c>
      <c r="V1010" s="12">
        <v>0</v>
      </c>
      <c r="W1010" s="12">
        <v>0</v>
      </c>
      <c r="X1010" s="10">
        <v>1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31">
        <v>0</v>
      </c>
    </row>
    <row r="1011">
      <c r="A1011" s="23">
        <v>17697</v>
      </c>
      <c r="B1011" s="4" t="s">
        <v>1329</v>
      </c>
      <c r="C1011" s="4" t="s">
        <v>67</v>
      </c>
      <c r="D1011" s="4" t="s">
        <v>84</v>
      </c>
      <c r="E1011" s="4" t="s">
        <v>197</v>
      </c>
      <c r="F1011" s="6">
        <v>2</v>
      </c>
      <c r="G1011" s="7">
        <v>0</v>
      </c>
      <c r="H1011" s="7">
        <v>0</v>
      </c>
      <c r="I1011" s="7">
        <v>0</v>
      </c>
      <c r="J1011" s="5">
        <v>2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1</v>
      </c>
      <c r="V1011" s="7">
        <v>0</v>
      </c>
      <c r="W1011" s="7">
        <v>0</v>
      </c>
      <c r="X1011" s="7">
        <v>0</v>
      </c>
      <c r="Y1011" s="5">
        <v>1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2</v>
      </c>
      <c r="AK1011" s="8">
        <v>2</v>
      </c>
      <c r="AL1011" s="5">
        <v>2</v>
      </c>
      <c r="AM1011" s="5">
        <v>2</v>
      </c>
      <c r="AN1011" s="28">
        <v>0.25</v>
      </c>
    </row>
    <row r="1012">
      <c r="A1012" s="24">
        <v>17712</v>
      </c>
      <c r="B1012" s="9" t="s">
        <v>1330</v>
      </c>
      <c r="C1012" s="9" t="s">
        <v>67</v>
      </c>
      <c r="D1012" s="9" t="s">
        <v>73</v>
      </c>
      <c r="E1012" s="9" t="s">
        <v>393</v>
      </c>
      <c r="F1012" s="11">
        <v>1</v>
      </c>
      <c r="G1012" s="12">
        <v>0</v>
      </c>
      <c r="H1012" s="12">
        <v>0</v>
      </c>
      <c r="I1012" s="10">
        <v>1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1</v>
      </c>
      <c r="V1012" s="12">
        <v>0</v>
      </c>
      <c r="W1012" s="12">
        <v>0</v>
      </c>
      <c r="X1012" s="10">
        <v>1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0.25</v>
      </c>
    </row>
    <row r="1013">
      <c r="A1013" s="23">
        <v>17737</v>
      </c>
      <c r="B1013" s="4" t="s">
        <v>1331</v>
      </c>
      <c r="C1013" s="4" t="s">
        <v>67</v>
      </c>
      <c r="D1013" s="4" t="s">
        <v>89</v>
      </c>
      <c r="E1013" s="4" t="s">
        <v>322</v>
      </c>
      <c r="F1013" s="6">
        <v>3</v>
      </c>
      <c r="G1013" s="5">
        <v>3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3</v>
      </c>
      <c r="V1013" s="5">
        <v>3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3</v>
      </c>
      <c r="AK1013" s="8">
        <v>3</v>
      </c>
      <c r="AL1013" s="5">
        <v>3</v>
      </c>
      <c r="AM1013" s="5">
        <v>3</v>
      </c>
      <c r="AN1013" s="30">
        <v>0</v>
      </c>
    </row>
    <row r="1014">
      <c r="A1014" s="24">
        <v>17738</v>
      </c>
      <c r="B1014" s="9" t="s">
        <v>1332</v>
      </c>
      <c r="C1014" s="9" t="s">
        <v>67</v>
      </c>
      <c r="D1014" s="9" t="s">
        <v>73</v>
      </c>
      <c r="E1014" s="9" t="s">
        <v>393</v>
      </c>
      <c r="F1014" s="11">
        <v>1</v>
      </c>
      <c r="G1014" s="10">
        <v>1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1</v>
      </c>
      <c r="V1014" s="10">
        <v>1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31">
        <v>0</v>
      </c>
    </row>
    <row r="1015">
      <c r="A1015" s="23">
        <v>17744</v>
      </c>
      <c r="B1015" s="4" t="s">
        <v>1333</v>
      </c>
      <c r="C1015" s="4" t="s">
        <v>67</v>
      </c>
      <c r="D1015" s="4" t="s">
        <v>76</v>
      </c>
      <c r="E1015" s="4" t="s">
        <v>202</v>
      </c>
      <c r="F1015" s="6">
        <v>1</v>
      </c>
      <c r="G1015" s="7">
        <v>0</v>
      </c>
      <c r="H1015" s="7">
        <v>0</v>
      </c>
      <c r="I1015" s="5">
        <v>1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1</v>
      </c>
      <c r="V1015" s="7">
        <v>0</v>
      </c>
      <c r="W1015" s="7">
        <v>0</v>
      </c>
      <c r="X1015" s="5">
        <v>1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0.24</v>
      </c>
    </row>
    <row r="1016">
      <c r="A1016" s="24">
        <v>17767</v>
      </c>
      <c r="B1016" s="9" t="s">
        <v>1334</v>
      </c>
      <c r="C1016" s="9" t="s">
        <v>163</v>
      </c>
      <c r="D1016" s="9" t="s">
        <v>173</v>
      </c>
      <c r="E1016" s="9" t="s">
        <v>176</v>
      </c>
      <c r="F1016" s="11">
        <v>1</v>
      </c>
      <c r="G1016" s="12">
        <v>0</v>
      </c>
      <c r="H1016" s="12">
        <v>0</v>
      </c>
      <c r="I1016" s="10">
        <v>1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1</v>
      </c>
      <c r="V1016" s="12">
        <v>0</v>
      </c>
      <c r="W1016" s="12">
        <v>0</v>
      </c>
      <c r="X1016" s="10">
        <v>1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29">
        <v>0.24</v>
      </c>
    </row>
    <row r="1017">
      <c r="A1017" s="23">
        <v>17792</v>
      </c>
      <c r="B1017" s="4" t="s">
        <v>1335</v>
      </c>
      <c r="C1017" s="4" t="s">
        <v>136</v>
      </c>
      <c r="D1017" s="4" t="s">
        <v>349</v>
      </c>
      <c r="E1017" s="4" t="s">
        <v>397</v>
      </c>
      <c r="F1017" s="6">
        <v>1</v>
      </c>
      <c r="G1017" s="7">
        <v>0</v>
      </c>
      <c r="H1017" s="7">
        <v>0</v>
      </c>
      <c r="I1017" s="7">
        <v>0</v>
      </c>
      <c r="J1017" s="7">
        <v>0</v>
      </c>
      <c r="K1017" s="7">
        <v>0</v>
      </c>
      <c r="L1017" s="5">
        <v>1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1</v>
      </c>
      <c r="V1017" s="7">
        <v>0</v>
      </c>
      <c r="W1017" s="7">
        <v>0</v>
      </c>
      <c r="X1017" s="7">
        <v>0</v>
      </c>
      <c r="Y1017" s="7">
        <v>0</v>
      </c>
      <c r="Z1017" s="7">
        <v>0</v>
      </c>
      <c r="AA1017" s="5">
        <v>1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30">
        <v>0</v>
      </c>
    </row>
    <row r="1018">
      <c r="A1018" s="24">
        <v>17804</v>
      </c>
      <c r="B1018" s="9" t="s">
        <v>1336</v>
      </c>
      <c r="C1018" s="9" t="s">
        <v>558</v>
      </c>
      <c r="D1018" s="9" t="s">
        <v>580</v>
      </c>
      <c r="E1018" s="9" t="s">
        <v>318</v>
      </c>
      <c r="F1018" s="11">
        <v>1</v>
      </c>
      <c r="G1018" s="12">
        <v>0</v>
      </c>
      <c r="H1018" s="12">
        <v>0</v>
      </c>
      <c r="I1018" s="10">
        <v>1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1</v>
      </c>
      <c r="V1018" s="12">
        <v>0</v>
      </c>
      <c r="W1018" s="12">
        <v>0</v>
      </c>
      <c r="X1018" s="10">
        <v>1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31">
        <v>0</v>
      </c>
    </row>
    <row r="1019">
      <c r="A1019" s="23">
        <v>17933</v>
      </c>
      <c r="B1019" s="4" t="s">
        <v>1337</v>
      </c>
      <c r="C1019" s="4" t="s">
        <v>67</v>
      </c>
      <c r="D1019" s="4" t="s">
        <v>105</v>
      </c>
      <c r="E1019" s="4" t="s">
        <v>303</v>
      </c>
      <c r="F1019" s="6">
        <v>1</v>
      </c>
      <c r="G1019" s="5">
        <v>1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1</v>
      </c>
      <c r="V1019" s="5">
        <v>1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30">
        <v>0</v>
      </c>
    </row>
    <row r="1020">
      <c r="A1020" s="24">
        <v>18076</v>
      </c>
      <c r="B1020" s="9" t="s">
        <v>1338</v>
      </c>
      <c r="C1020" s="9" t="s">
        <v>163</v>
      </c>
      <c r="D1020" s="9" t="s">
        <v>164</v>
      </c>
      <c r="E1020" s="9" t="s">
        <v>165</v>
      </c>
      <c r="F1020" s="11">
        <v>1</v>
      </c>
      <c r="G1020" s="12">
        <v>0</v>
      </c>
      <c r="H1020" s="12">
        <v>0</v>
      </c>
      <c r="I1020" s="12">
        <v>0</v>
      </c>
      <c r="J1020" s="12">
        <v>0</v>
      </c>
      <c r="K1020" s="10">
        <v>1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1</v>
      </c>
      <c r="V1020" s="12">
        <v>0</v>
      </c>
      <c r="W1020" s="12">
        <v>0</v>
      </c>
      <c r="X1020" s="12">
        <v>0</v>
      </c>
      <c r="Y1020" s="12">
        <v>0</v>
      </c>
      <c r="Z1020" s="10">
        <v>1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31">
        <v>0</v>
      </c>
    </row>
    <row r="1021">
      <c r="A1021" s="23">
        <v>18079</v>
      </c>
      <c r="B1021" s="4" t="s">
        <v>1339</v>
      </c>
      <c r="C1021" s="4" t="s">
        <v>163</v>
      </c>
      <c r="D1021" s="4" t="s">
        <v>173</v>
      </c>
      <c r="E1021" s="4" t="s">
        <v>176</v>
      </c>
      <c r="F1021" s="6">
        <v>2</v>
      </c>
      <c r="G1021" s="5">
        <v>2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2</v>
      </c>
      <c r="V1021" s="5">
        <v>2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2</v>
      </c>
      <c r="AK1021" s="8">
        <v>2</v>
      </c>
      <c r="AL1021" s="5">
        <v>2</v>
      </c>
      <c r="AM1021" s="5">
        <v>2</v>
      </c>
      <c r="AN1021" s="30">
        <v>0</v>
      </c>
    </row>
    <row r="1022">
      <c r="A1022" s="24">
        <v>18090</v>
      </c>
      <c r="B1022" s="9" t="s">
        <v>1340</v>
      </c>
      <c r="C1022" s="9" t="s">
        <v>163</v>
      </c>
      <c r="D1022" s="9" t="s">
        <v>164</v>
      </c>
      <c r="E1022" s="9" t="s">
        <v>165</v>
      </c>
      <c r="F1022" s="11">
        <v>3</v>
      </c>
      <c r="G1022" s="12">
        <v>0</v>
      </c>
      <c r="H1022" s="12">
        <v>0</v>
      </c>
      <c r="I1022" s="12">
        <v>0</v>
      </c>
      <c r="J1022" s="12">
        <v>0</v>
      </c>
      <c r="K1022" s="10">
        <v>3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3</v>
      </c>
      <c r="V1022" s="12">
        <v>0</v>
      </c>
      <c r="W1022" s="12">
        <v>0</v>
      </c>
      <c r="X1022" s="12">
        <v>0</v>
      </c>
      <c r="Y1022" s="12">
        <v>0</v>
      </c>
      <c r="Z1022" s="10">
        <v>3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3</v>
      </c>
      <c r="AK1022" s="13">
        <v>3</v>
      </c>
      <c r="AL1022" s="10">
        <v>3</v>
      </c>
      <c r="AM1022" s="10">
        <v>3</v>
      </c>
      <c r="AN1022" s="31">
        <v>0</v>
      </c>
    </row>
    <row r="1023">
      <c r="A1023" s="23">
        <v>18150</v>
      </c>
      <c r="B1023" s="4" t="s">
        <v>1341</v>
      </c>
      <c r="C1023" s="4" t="s">
        <v>136</v>
      </c>
      <c r="D1023" s="4" t="s">
        <v>223</v>
      </c>
      <c r="E1023" s="4" t="s">
        <v>224</v>
      </c>
      <c r="F1023" s="6">
        <v>1</v>
      </c>
      <c r="G1023" s="7">
        <v>0</v>
      </c>
      <c r="H1023" s="7">
        <v>0</v>
      </c>
      <c r="I1023" s="5">
        <v>1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1</v>
      </c>
      <c r="V1023" s="7">
        <v>0</v>
      </c>
      <c r="W1023" s="7">
        <v>0</v>
      </c>
      <c r="X1023" s="5">
        <v>1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0.25</v>
      </c>
    </row>
    <row r="1024">
      <c r="A1024" s="24">
        <v>18252</v>
      </c>
      <c r="B1024" s="9" t="s">
        <v>1342</v>
      </c>
      <c r="C1024" s="9" t="s">
        <v>67</v>
      </c>
      <c r="D1024" s="9" t="s">
        <v>84</v>
      </c>
      <c r="E1024" s="9" t="s">
        <v>145</v>
      </c>
      <c r="F1024" s="11">
        <v>2</v>
      </c>
      <c r="G1024" s="12">
        <v>0</v>
      </c>
      <c r="H1024" s="12">
        <v>0</v>
      </c>
      <c r="I1024" s="12">
        <v>0</v>
      </c>
      <c r="J1024" s="10">
        <v>2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2</v>
      </c>
      <c r="V1024" s="12">
        <v>0</v>
      </c>
      <c r="W1024" s="12">
        <v>0</v>
      </c>
      <c r="X1024" s="12">
        <v>0</v>
      </c>
      <c r="Y1024" s="10">
        <v>2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29">
        <v>0.25</v>
      </c>
    </row>
    <row r="1025">
      <c r="A1025" s="23">
        <v>18265</v>
      </c>
      <c r="B1025" s="4" t="s">
        <v>1343</v>
      </c>
      <c r="C1025" s="4" t="s">
        <v>67</v>
      </c>
      <c r="D1025" s="4" t="s">
        <v>111</v>
      </c>
      <c r="E1025" s="4" t="s">
        <v>112</v>
      </c>
      <c r="F1025" s="6">
        <v>1</v>
      </c>
      <c r="G1025" s="5">
        <v>1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1</v>
      </c>
      <c r="V1025" s="5">
        <v>1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28">
        <v>0.25</v>
      </c>
    </row>
    <row r="1026">
      <c r="A1026" s="24">
        <v>18273</v>
      </c>
      <c r="B1026" s="9" t="s">
        <v>1344</v>
      </c>
      <c r="C1026" s="9" t="s">
        <v>67</v>
      </c>
      <c r="D1026" s="9" t="s">
        <v>111</v>
      </c>
      <c r="E1026" s="9" t="s">
        <v>195</v>
      </c>
      <c r="F1026" s="11">
        <v>2</v>
      </c>
      <c r="G1026" s="10">
        <v>2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1</v>
      </c>
      <c r="V1026" s="10">
        <v>1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2</v>
      </c>
      <c r="AK1026" s="13">
        <v>2</v>
      </c>
      <c r="AL1026" s="10">
        <v>2</v>
      </c>
      <c r="AM1026" s="10">
        <v>2</v>
      </c>
      <c r="AN1026" s="29">
        <v>0.35</v>
      </c>
    </row>
    <row r="1027">
      <c r="A1027" s="23">
        <v>18400</v>
      </c>
      <c r="B1027" s="4" t="s">
        <v>1345</v>
      </c>
      <c r="C1027" s="4" t="s">
        <v>163</v>
      </c>
      <c r="D1027" s="4" t="s">
        <v>390</v>
      </c>
      <c r="E1027" s="4" t="s">
        <v>391</v>
      </c>
      <c r="F1027" s="6">
        <v>2</v>
      </c>
      <c r="G1027" s="5">
        <v>1</v>
      </c>
      <c r="H1027" s="7">
        <v>0</v>
      </c>
      <c r="I1027" s="5">
        <v>1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2</v>
      </c>
      <c r="V1027" s="5">
        <v>1</v>
      </c>
      <c r="W1027" s="7">
        <v>0</v>
      </c>
      <c r="X1027" s="5">
        <v>1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30">
        <v>0</v>
      </c>
    </row>
    <row r="1028">
      <c r="A1028" s="24">
        <v>18425</v>
      </c>
      <c r="B1028" s="9" t="s">
        <v>1346</v>
      </c>
      <c r="C1028" s="9" t="s">
        <v>558</v>
      </c>
      <c r="D1028" s="9" t="s">
        <v>913</v>
      </c>
      <c r="E1028" s="9" t="s">
        <v>318</v>
      </c>
      <c r="F1028" s="11">
        <v>1</v>
      </c>
      <c r="G1028" s="12">
        <v>0</v>
      </c>
      <c r="H1028" s="12">
        <v>0</v>
      </c>
      <c r="I1028" s="10">
        <v>1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1</v>
      </c>
      <c r="V1028" s="12">
        <v>0</v>
      </c>
      <c r="W1028" s="12">
        <v>0</v>
      </c>
      <c r="X1028" s="10">
        <v>1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31">
        <v>0</v>
      </c>
    </row>
    <row r="1029">
      <c r="A1029" s="23">
        <v>18434</v>
      </c>
      <c r="B1029" s="4" t="s">
        <v>1347</v>
      </c>
      <c r="C1029" s="4" t="s">
        <v>163</v>
      </c>
      <c r="D1029" s="4" t="s">
        <v>164</v>
      </c>
      <c r="E1029" s="4" t="s">
        <v>651</v>
      </c>
      <c r="F1029" s="6">
        <v>2</v>
      </c>
      <c r="G1029" s="7">
        <v>0</v>
      </c>
      <c r="H1029" s="7">
        <v>0</v>
      </c>
      <c r="I1029" s="5">
        <v>1</v>
      </c>
      <c r="J1029" s="7">
        <v>0</v>
      </c>
      <c r="K1029" s="5">
        <v>1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2</v>
      </c>
      <c r="V1029" s="7">
        <v>0</v>
      </c>
      <c r="W1029" s="7">
        <v>0</v>
      </c>
      <c r="X1029" s="5">
        <v>1</v>
      </c>
      <c r="Y1029" s="7">
        <v>0</v>
      </c>
      <c r="Z1029" s="5">
        <v>1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0.25</v>
      </c>
    </row>
    <row r="1030">
      <c r="A1030" s="24">
        <v>18459</v>
      </c>
      <c r="B1030" s="9" t="s">
        <v>1348</v>
      </c>
      <c r="C1030" s="9" t="s">
        <v>163</v>
      </c>
      <c r="D1030" s="9" t="s">
        <v>173</v>
      </c>
      <c r="E1030" s="9" t="s">
        <v>1192</v>
      </c>
      <c r="F1030" s="11">
        <v>2</v>
      </c>
      <c r="G1030" s="12">
        <v>0</v>
      </c>
      <c r="H1030" s="12">
        <v>0</v>
      </c>
      <c r="I1030" s="12">
        <v>0</v>
      </c>
      <c r="J1030" s="12">
        <v>0</v>
      </c>
      <c r="K1030" s="10">
        <v>2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2</v>
      </c>
      <c r="V1030" s="12">
        <v>0</v>
      </c>
      <c r="W1030" s="12">
        <v>0</v>
      </c>
      <c r="X1030" s="12">
        <v>0</v>
      </c>
      <c r="Y1030" s="12">
        <v>0</v>
      </c>
      <c r="Z1030" s="10">
        <v>2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2</v>
      </c>
      <c r="AK1030" s="13">
        <v>2</v>
      </c>
      <c r="AL1030" s="10">
        <v>2</v>
      </c>
      <c r="AM1030" s="10">
        <v>2</v>
      </c>
      <c r="AN1030" s="31">
        <v>0</v>
      </c>
    </row>
    <row r="1031">
      <c r="A1031" s="23">
        <v>18487</v>
      </c>
      <c r="B1031" s="4" t="s">
        <v>1349</v>
      </c>
      <c r="C1031" s="4" t="s">
        <v>163</v>
      </c>
      <c r="D1031" s="4" t="s">
        <v>173</v>
      </c>
      <c r="E1031" s="4" t="s">
        <v>179</v>
      </c>
      <c r="F1031" s="6">
        <v>5</v>
      </c>
      <c r="G1031" s="5">
        <v>2</v>
      </c>
      <c r="H1031" s="7">
        <v>0</v>
      </c>
      <c r="I1031" s="7">
        <v>0</v>
      </c>
      <c r="J1031" s="7">
        <v>0</v>
      </c>
      <c r="K1031" s="5">
        <v>3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5</v>
      </c>
      <c r="V1031" s="5">
        <v>2</v>
      </c>
      <c r="W1031" s="7">
        <v>0</v>
      </c>
      <c r="X1031" s="7">
        <v>0</v>
      </c>
      <c r="Y1031" s="7">
        <v>0</v>
      </c>
      <c r="Z1031" s="5">
        <v>3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1.67</v>
      </c>
      <c r="AL1031" s="5">
        <v>2</v>
      </c>
      <c r="AM1031" s="5">
        <v>2</v>
      </c>
      <c r="AN1031" s="30">
        <v>0</v>
      </c>
    </row>
    <row r="1032">
      <c r="A1032" s="24">
        <v>18515</v>
      </c>
      <c r="B1032" s="9" t="s">
        <v>1350</v>
      </c>
      <c r="C1032" s="9" t="s">
        <v>67</v>
      </c>
      <c r="D1032" s="9" t="s">
        <v>105</v>
      </c>
      <c r="E1032" s="9" t="s">
        <v>106</v>
      </c>
      <c r="F1032" s="11">
        <v>1</v>
      </c>
      <c r="G1032" s="10">
        <v>1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1</v>
      </c>
      <c r="V1032" s="10">
        <v>1</v>
      </c>
      <c r="W1032" s="12">
        <v>0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31">
        <v>0</v>
      </c>
    </row>
    <row r="1033">
      <c r="A1033" s="23">
        <v>18542</v>
      </c>
      <c r="B1033" s="4" t="s">
        <v>1351</v>
      </c>
      <c r="C1033" s="4" t="s">
        <v>67</v>
      </c>
      <c r="D1033" s="4" t="s">
        <v>111</v>
      </c>
      <c r="E1033" s="4" t="s">
        <v>412</v>
      </c>
      <c r="F1033" s="6">
        <v>2</v>
      </c>
      <c r="G1033" s="5">
        <v>2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1</v>
      </c>
      <c r="V1033" s="5">
        <v>1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2</v>
      </c>
      <c r="AK1033" s="8">
        <v>2</v>
      </c>
      <c r="AL1033" s="5">
        <v>2</v>
      </c>
      <c r="AM1033" s="5">
        <v>2</v>
      </c>
      <c r="AN1033" s="28">
        <v>0.35</v>
      </c>
    </row>
    <row r="1034">
      <c r="A1034" s="24">
        <v>18546</v>
      </c>
      <c r="B1034" s="9" t="s">
        <v>1352</v>
      </c>
      <c r="C1034" s="9" t="s">
        <v>67</v>
      </c>
      <c r="D1034" s="9" t="s">
        <v>92</v>
      </c>
      <c r="E1034" s="9" t="s">
        <v>1180</v>
      </c>
      <c r="F1034" s="11">
        <v>1</v>
      </c>
      <c r="G1034" s="12">
        <v>0</v>
      </c>
      <c r="H1034" s="10">
        <v>1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1</v>
      </c>
      <c r="V1034" s="12">
        <v>0</v>
      </c>
      <c r="W1034" s="10">
        <v>1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0.25</v>
      </c>
    </row>
    <row r="1035">
      <c r="A1035" s="23">
        <v>18736</v>
      </c>
      <c r="B1035" s="4" t="s">
        <v>1353</v>
      </c>
      <c r="C1035" s="4" t="s">
        <v>511</v>
      </c>
      <c r="D1035" s="4" t="s">
        <v>1354</v>
      </c>
      <c r="E1035" s="4" t="s">
        <v>1355</v>
      </c>
      <c r="F1035" s="6">
        <v>2</v>
      </c>
      <c r="G1035" s="7">
        <v>0</v>
      </c>
      <c r="H1035" s="5">
        <v>1</v>
      </c>
      <c r="I1035" s="7">
        <v>0</v>
      </c>
      <c r="J1035" s="5">
        <v>1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2</v>
      </c>
      <c r="V1035" s="7">
        <v>0</v>
      </c>
      <c r="W1035" s="5">
        <v>1</v>
      </c>
      <c r="X1035" s="7">
        <v>0</v>
      </c>
      <c r="Y1035" s="5">
        <v>1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28">
        <v>0.52</v>
      </c>
    </row>
    <row r="1036">
      <c r="A1036" s="24">
        <v>18754</v>
      </c>
      <c r="B1036" s="9" t="s">
        <v>1356</v>
      </c>
      <c r="C1036" s="9" t="s">
        <v>67</v>
      </c>
      <c r="D1036" s="9" t="s">
        <v>111</v>
      </c>
      <c r="E1036" s="9" t="s">
        <v>147</v>
      </c>
      <c r="F1036" s="11">
        <v>2</v>
      </c>
      <c r="G1036" s="12">
        <v>0</v>
      </c>
      <c r="H1036" s="12">
        <v>0</v>
      </c>
      <c r="I1036" s="12">
        <v>0</v>
      </c>
      <c r="J1036" s="10">
        <v>2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2</v>
      </c>
      <c r="V1036" s="12">
        <v>0</v>
      </c>
      <c r="W1036" s="12">
        <v>0</v>
      </c>
      <c r="X1036" s="12">
        <v>0</v>
      </c>
      <c r="Y1036" s="10">
        <v>2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2</v>
      </c>
      <c r="AK1036" s="13">
        <v>2</v>
      </c>
      <c r="AL1036" s="10">
        <v>2</v>
      </c>
      <c r="AM1036" s="10">
        <v>2</v>
      </c>
      <c r="AN1036" s="29">
        <v>0.5</v>
      </c>
    </row>
    <row r="1037">
      <c r="A1037" s="23">
        <v>18755</v>
      </c>
      <c r="B1037" s="4" t="s">
        <v>1357</v>
      </c>
      <c r="C1037" s="4" t="s">
        <v>67</v>
      </c>
      <c r="D1037" s="4" t="s">
        <v>79</v>
      </c>
      <c r="E1037" s="4" t="s">
        <v>80</v>
      </c>
      <c r="F1037" s="6">
        <v>3</v>
      </c>
      <c r="G1037" s="7">
        <v>0</v>
      </c>
      <c r="H1037" s="7">
        <v>0</v>
      </c>
      <c r="I1037" s="7">
        <v>0</v>
      </c>
      <c r="J1037" s="5">
        <v>3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2</v>
      </c>
      <c r="V1037" s="7">
        <v>0</v>
      </c>
      <c r="W1037" s="7">
        <v>0</v>
      </c>
      <c r="X1037" s="7">
        <v>0</v>
      </c>
      <c r="Y1037" s="5">
        <v>2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3</v>
      </c>
      <c r="AK1037" s="8">
        <v>3</v>
      </c>
      <c r="AL1037" s="5">
        <v>3</v>
      </c>
      <c r="AM1037" s="5">
        <v>3</v>
      </c>
      <c r="AN1037" s="28">
        <v>0.5</v>
      </c>
    </row>
    <row r="1038">
      <c r="A1038" s="24">
        <v>18850</v>
      </c>
      <c r="B1038" s="9" t="s">
        <v>1358</v>
      </c>
      <c r="C1038" s="9" t="s">
        <v>558</v>
      </c>
      <c r="D1038" s="9" t="s">
        <v>976</v>
      </c>
      <c r="E1038" s="9" t="s">
        <v>318</v>
      </c>
      <c r="F1038" s="11">
        <v>1</v>
      </c>
      <c r="G1038" s="12">
        <v>0</v>
      </c>
      <c r="H1038" s="12">
        <v>0</v>
      </c>
      <c r="I1038" s="10">
        <v>1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1</v>
      </c>
      <c r="V1038" s="12">
        <v>0</v>
      </c>
      <c r="W1038" s="12">
        <v>0</v>
      </c>
      <c r="X1038" s="10">
        <v>1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0.25</v>
      </c>
    </row>
    <row r="1039">
      <c r="A1039" s="23">
        <v>18874</v>
      </c>
      <c r="B1039" s="4" t="s">
        <v>1359</v>
      </c>
      <c r="C1039" s="4" t="s">
        <v>67</v>
      </c>
      <c r="D1039" s="4" t="s">
        <v>79</v>
      </c>
      <c r="E1039" s="4" t="s">
        <v>80</v>
      </c>
      <c r="F1039" s="6">
        <v>1</v>
      </c>
      <c r="G1039" s="7">
        <v>0</v>
      </c>
      <c r="H1039" s="7">
        <v>0</v>
      </c>
      <c r="I1039" s="5">
        <v>1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1</v>
      </c>
      <c r="V1039" s="7">
        <v>0</v>
      </c>
      <c r="W1039" s="7">
        <v>0</v>
      </c>
      <c r="X1039" s="5">
        <v>1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28">
        <v>0.25</v>
      </c>
    </row>
    <row r="1040">
      <c r="A1040" s="24">
        <v>18882</v>
      </c>
      <c r="B1040" s="9" t="s">
        <v>1360</v>
      </c>
      <c r="C1040" s="9" t="s">
        <v>67</v>
      </c>
      <c r="D1040" s="9" t="s">
        <v>76</v>
      </c>
      <c r="E1040" s="9" t="s">
        <v>132</v>
      </c>
      <c r="F1040" s="11">
        <v>1</v>
      </c>
      <c r="G1040" s="12">
        <v>0</v>
      </c>
      <c r="H1040" s="12">
        <v>0</v>
      </c>
      <c r="I1040" s="12">
        <v>0</v>
      </c>
      <c r="J1040" s="10">
        <v>1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1</v>
      </c>
      <c r="V1040" s="12">
        <v>0</v>
      </c>
      <c r="W1040" s="12">
        <v>0</v>
      </c>
      <c r="X1040" s="12">
        <v>0</v>
      </c>
      <c r="Y1040" s="10">
        <v>1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29">
        <v>0.25</v>
      </c>
    </row>
    <row r="1041">
      <c r="A1041" s="23">
        <v>18933</v>
      </c>
      <c r="B1041" s="4" t="s">
        <v>1361</v>
      </c>
      <c r="C1041" s="4" t="s">
        <v>67</v>
      </c>
      <c r="D1041" s="4" t="s">
        <v>73</v>
      </c>
      <c r="E1041" s="4" t="s">
        <v>74</v>
      </c>
      <c r="F1041" s="6">
        <v>1</v>
      </c>
      <c r="G1041" s="5">
        <v>1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1</v>
      </c>
      <c r="V1041" s="5">
        <v>1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30">
        <v>0</v>
      </c>
    </row>
    <row r="1042">
      <c r="A1042" s="24">
        <v>19034</v>
      </c>
      <c r="B1042" s="9" t="s">
        <v>1362</v>
      </c>
      <c r="C1042" s="9" t="s">
        <v>558</v>
      </c>
      <c r="D1042" s="9" t="s">
        <v>976</v>
      </c>
      <c r="E1042" s="9" t="s">
        <v>318</v>
      </c>
      <c r="F1042" s="11">
        <v>2</v>
      </c>
      <c r="G1042" s="12">
        <v>0</v>
      </c>
      <c r="H1042" s="12">
        <v>0</v>
      </c>
      <c r="I1042" s="10">
        <v>2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2</v>
      </c>
      <c r="V1042" s="12">
        <v>0</v>
      </c>
      <c r="W1042" s="12">
        <v>0</v>
      </c>
      <c r="X1042" s="10">
        <v>2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29">
        <v>0.26</v>
      </c>
    </row>
    <row r="1043">
      <c r="A1043" s="23">
        <v>19110</v>
      </c>
      <c r="B1043" s="4" t="s">
        <v>1363</v>
      </c>
      <c r="C1043" s="4" t="s">
        <v>136</v>
      </c>
      <c r="D1043" s="4" t="s">
        <v>385</v>
      </c>
      <c r="E1043" s="4" t="s">
        <v>852</v>
      </c>
      <c r="F1043" s="6">
        <v>1</v>
      </c>
      <c r="G1043" s="7">
        <v>0</v>
      </c>
      <c r="H1043" s="7">
        <v>0</v>
      </c>
      <c r="I1043" s="5">
        <v>1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1</v>
      </c>
      <c r="V1043" s="7">
        <v>0</v>
      </c>
      <c r="W1043" s="7">
        <v>0</v>
      </c>
      <c r="X1043" s="5">
        <v>1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30">
        <v>0</v>
      </c>
    </row>
    <row r="1044">
      <c r="A1044" s="24">
        <v>19204</v>
      </c>
      <c r="B1044" s="9" t="s">
        <v>1364</v>
      </c>
      <c r="C1044" s="9" t="s">
        <v>67</v>
      </c>
      <c r="D1044" s="9" t="s">
        <v>89</v>
      </c>
      <c r="E1044" s="9" t="s">
        <v>90</v>
      </c>
      <c r="F1044" s="11">
        <v>2</v>
      </c>
      <c r="G1044" s="12">
        <v>0</v>
      </c>
      <c r="H1044" s="10">
        <v>1</v>
      </c>
      <c r="I1044" s="10">
        <v>1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2</v>
      </c>
      <c r="V1044" s="12">
        <v>0</v>
      </c>
      <c r="W1044" s="10">
        <v>1</v>
      </c>
      <c r="X1044" s="10">
        <v>1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29">
        <v>0.5</v>
      </c>
    </row>
    <row r="1045">
      <c r="A1045" s="23">
        <v>19206</v>
      </c>
      <c r="B1045" s="4" t="s">
        <v>1365</v>
      </c>
      <c r="C1045" s="4" t="s">
        <v>136</v>
      </c>
      <c r="D1045" s="4" t="s">
        <v>137</v>
      </c>
      <c r="E1045" s="4" t="s">
        <v>1366</v>
      </c>
      <c r="F1045" s="6">
        <v>1</v>
      </c>
      <c r="G1045" s="7">
        <v>0</v>
      </c>
      <c r="H1045" s="5">
        <v>1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1</v>
      </c>
      <c r="V1045" s="7">
        <v>0</v>
      </c>
      <c r="W1045" s="5">
        <v>1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30">
        <v>0</v>
      </c>
    </row>
    <row r="1046">
      <c r="A1046" s="24">
        <v>19226</v>
      </c>
      <c r="B1046" s="9" t="s">
        <v>1367</v>
      </c>
      <c r="C1046" s="9" t="s">
        <v>67</v>
      </c>
      <c r="D1046" s="9" t="s">
        <v>68</v>
      </c>
      <c r="E1046" s="9" t="s">
        <v>71</v>
      </c>
      <c r="F1046" s="11">
        <v>1</v>
      </c>
      <c r="G1046" s="12">
        <v>0</v>
      </c>
      <c r="H1046" s="10">
        <v>1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1</v>
      </c>
      <c r="V1046" s="12">
        <v>0</v>
      </c>
      <c r="W1046" s="10">
        <v>1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29">
        <v>0.25</v>
      </c>
    </row>
    <row r="1047">
      <c r="A1047" s="23">
        <v>19311</v>
      </c>
      <c r="B1047" s="4" t="s">
        <v>1368</v>
      </c>
      <c r="C1047" s="4" t="s">
        <v>163</v>
      </c>
      <c r="D1047" s="4" t="s">
        <v>704</v>
      </c>
      <c r="E1047" s="4" t="s">
        <v>704</v>
      </c>
      <c r="F1047" s="6">
        <v>1</v>
      </c>
      <c r="G1047" s="7">
        <v>0</v>
      </c>
      <c r="H1047" s="7">
        <v>0</v>
      </c>
      <c r="I1047" s="5">
        <v>1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1</v>
      </c>
      <c r="V1047" s="7">
        <v>0</v>
      </c>
      <c r="W1047" s="7">
        <v>0</v>
      </c>
      <c r="X1047" s="5">
        <v>1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28">
        <v>0.25</v>
      </c>
    </row>
    <row r="1048">
      <c r="A1048" s="24">
        <v>19322</v>
      </c>
      <c r="B1048" s="9" t="s">
        <v>1369</v>
      </c>
      <c r="C1048" s="9" t="s">
        <v>67</v>
      </c>
      <c r="D1048" s="9" t="s">
        <v>68</v>
      </c>
      <c r="E1048" s="9" t="s">
        <v>71</v>
      </c>
      <c r="F1048" s="11">
        <v>1</v>
      </c>
      <c r="G1048" s="10">
        <v>1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1</v>
      </c>
      <c r="V1048" s="10">
        <v>1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31">
        <v>0</v>
      </c>
    </row>
    <row r="1049">
      <c r="A1049" s="23">
        <v>19348</v>
      </c>
      <c r="B1049" s="4" t="s">
        <v>1370</v>
      </c>
      <c r="C1049" s="4" t="s">
        <v>163</v>
      </c>
      <c r="D1049" s="4" t="s">
        <v>164</v>
      </c>
      <c r="E1049" s="4" t="s">
        <v>169</v>
      </c>
      <c r="F1049" s="6">
        <v>1</v>
      </c>
      <c r="G1049" s="5">
        <v>1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1</v>
      </c>
      <c r="V1049" s="5">
        <v>1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30">
        <v>0</v>
      </c>
    </row>
    <row r="1050">
      <c r="A1050" s="24">
        <v>19419</v>
      </c>
      <c r="B1050" s="9" t="s">
        <v>1371</v>
      </c>
      <c r="C1050" s="9" t="s">
        <v>67</v>
      </c>
      <c r="D1050" s="9" t="s">
        <v>111</v>
      </c>
      <c r="E1050" s="9" t="s">
        <v>149</v>
      </c>
      <c r="F1050" s="11">
        <v>1</v>
      </c>
      <c r="G1050" s="12">
        <v>0</v>
      </c>
      <c r="H1050" s="12">
        <v>0</v>
      </c>
      <c r="I1050" s="12">
        <v>0</v>
      </c>
      <c r="J1050" s="10">
        <v>1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1</v>
      </c>
      <c r="V1050" s="12">
        <v>0</v>
      </c>
      <c r="W1050" s="12">
        <v>0</v>
      </c>
      <c r="X1050" s="12">
        <v>0</v>
      </c>
      <c r="Y1050" s="10">
        <v>1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29">
        <v>0.25</v>
      </c>
    </row>
    <row r="1051">
      <c r="A1051" s="23">
        <v>19421</v>
      </c>
      <c r="B1051" s="4" t="s">
        <v>1372</v>
      </c>
      <c r="C1051" s="4" t="s">
        <v>67</v>
      </c>
      <c r="D1051" s="4" t="s">
        <v>73</v>
      </c>
      <c r="E1051" s="4" t="s">
        <v>74</v>
      </c>
      <c r="F1051" s="6">
        <v>1</v>
      </c>
      <c r="G1051" s="7">
        <v>0</v>
      </c>
      <c r="H1051" s="7">
        <v>0</v>
      </c>
      <c r="I1051" s="7">
        <v>0</v>
      </c>
      <c r="J1051" s="5">
        <v>1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1</v>
      </c>
      <c r="V1051" s="7">
        <v>0</v>
      </c>
      <c r="W1051" s="7">
        <v>0</v>
      </c>
      <c r="X1051" s="7">
        <v>0</v>
      </c>
      <c r="Y1051" s="5">
        <v>1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0.25</v>
      </c>
    </row>
    <row r="1052">
      <c r="A1052" s="24">
        <v>19422</v>
      </c>
      <c r="B1052" s="9" t="s">
        <v>1373</v>
      </c>
      <c r="C1052" s="9" t="s">
        <v>67</v>
      </c>
      <c r="D1052" s="9" t="s">
        <v>100</v>
      </c>
      <c r="E1052" s="9" t="s">
        <v>869</v>
      </c>
      <c r="F1052" s="11">
        <v>1</v>
      </c>
      <c r="G1052" s="10">
        <v>1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1</v>
      </c>
      <c r="V1052" s="10">
        <v>1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29">
        <v>0.25</v>
      </c>
    </row>
    <row r="1053">
      <c r="A1053" s="23">
        <v>19424</v>
      </c>
      <c r="B1053" s="4" t="s">
        <v>1374</v>
      </c>
      <c r="C1053" s="4" t="s">
        <v>67</v>
      </c>
      <c r="D1053" s="4" t="s">
        <v>100</v>
      </c>
      <c r="E1053" s="4" t="s">
        <v>869</v>
      </c>
      <c r="F1053" s="6">
        <v>2</v>
      </c>
      <c r="G1053" s="5">
        <v>2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2</v>
      </c>
      <c r="V1053" s="5">
        <v>2</v>
      </c>
      <c r="W1053" s="7">
        <v>0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2</v>
      </c>
      <c r="AK1053" s="8">
        <v>2</v>
      </c>
      <c r="AL1053" s="5">
        <v>2</v>
      </c>
      <c r="AM1053" s="5">
        <v>2</v>
      </c>
      <c r="AN1053" s="28">
        <v>0.5</v>
      </c>
    </row>
    <row r="1054">
      <c r="A1054" s="24">
        <v>19428</v>
      </c>
      <c r="B1054" s="9" t="s">
        <v>1375</v>
      </c>
      <c r="C1054" s="9" t="s">
        <v>67</v>
      </c>
      <c r="D1054" s="9" t="s">
        <v>76</v>
      </c>
      <c r="E1054" s="9" t="s">
        <v>77</v>
      </c>
      <c r="F1054" s="11">
        <v>1</v>
      </c>
      <c r="G1054" s="10">
        <v>1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1</v>
      </c>
      <c r="V1054" s="10">
        <v>1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29">
        <v>0.25</v>
      </c>
    </row>
    <row r="1055">
      <c r="A1055" s="23">
        <v>19430</v>
      </c>
      <c r="B1055" s="4" t="s">
        <v>1376</v>
      </c>
      <c r="C1055" s="4" t="s">
        <v>67</v>
      </c>
      <c r="D1055" s="4" t="s">
        <v>105</v>
      </c>
      <c r="E1055" s="4" t="s">
        <v>193</v>
      </c>
      <c r="F1055" s="6">
        <v>1</v>
      </c>
      <c r="G1055" s="7">
        <v>0</v>
      </c>
      <c r="H1055" s="7">
        <v>0</v>
      </c>
      <c r="I1055" s="7">
        <v>0</v>
      </c>
      <c r="J1055" s="5">
        <v>1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1</v>
      </c>
      <c r="V1055" s="7">
        <v>0</v>
      </c>
      <c r="W1055" s="7">
        <v>0</v>
      </c>
      <c r="X1055" s="7">
        <v>0</v>
      </c>
      <c r="Y1055" s="5">
        <v>1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0.25</v>
      </c>
    </row>
    <row r="1056">
      <c r="A1056" s="49">
        <v>19468</v>
      </c>
      <c r="B1056" s="43" t="s">
        <v>1377</v>
      </c>
      <c r="C1056" s="43" t="s">
        <v>504</v>
      </c>
      <c r="D1056" s="43" t="s">
        <v>505</v>
      </c>
      <c r="E1056" s="43" t="s">
        <v>509</v>
      </c>
      <c r="F1056" s="44">
        <v>1</v>
      </c>
      <c r="G1056" s="45">
        <v>0</v>
      </c>
      <c r="H1056" s="45">
        <v>0</v>
      </c>
      <c r="I1056" s="45">
        <v>0</v>
      </c>
      <c r="J1056" s="46">
        <v>1</v>
      </c>
      <c r="K1056" s="45">
        <v>0</v>
      </c>
      <c r="L1056" s="45">
        <v>0</v>
      </c>
      <c r="M1056" s="45">
        <v>0</v>
      </c>
      <c r="N1056" s="45">
        <v>0</v>
      </c>
      <c r="O1056" s="45">
        <v>0</v>
      </c>
      <c r="P1056" s="45">
        <v>0</v>
      </c>
      <c r="Q1056" s="45">
        <v>0</v>
      </c>
      <c r="R1056" s="45">
        <v>0</v>
      </c>
      <c r="S1056" s="45">
        <v>0</v>
      </c>
      <c r="T1056" s="51">
        <v>0</v>
      </c>
      <c r="U1056" s="44">
        <v>1</v>
      </c>
      <c r="V1056" s="45">
        <v>0</v>
      </c>
      <c r="W1056" s="45">
        <v>0</v>
      </c>
      <c r="X1056" s="45">
        <v>0</v>
      </c>
      <c r="Y1056" s="46">
        <v>1</v>
      </c>
      <c r="Z1056" s="45">
        <v>0</v>
      </c>
      <c r="AA1056" s="45">
        <v>0</v>
      </c>
      <c r="AB1056" s="45">
        <v>0</v>
      </c>
      <c r="AC1056" s="45">
        <v>0</v>
      </c>
      <c r="AD1056" s="45">
        <v>0</v>
      </c>
      <c r="AE1056" s="45">
        <v>0</v>
      </c>
      <c r="AF1056" s="45">
        <v>0</v>
      </c>
      <c r="AG1056" s="45">
        <v>0</v>
      </c>
      <c r="AH1056" s="45">
        <v>0</v>
      </c>
      <c r="AI1056" s="45">
        <v>0</v>
      </c>
      <c r="AJ1056" s="46">
        <v>1</v>
      </c>
      <c r="AK1056" s="47">
        <v>1</v>
      </c>
      <c r="AL1056" s="46">
        <v>1</v>
      </c>
      <c r="AM1056" s="46">
        <v>1</v>
      </c>
      <c r="AN1056" s="50">
        <v>0.26</v>
      </c>
    </row>
    <row r="1058">
      <c r="A1058" s="52" t="s">
        <v>0</v>
      </c>
      <c r="B1058" s="52" t="s">
        <v>0</v>
      </c>
      <c r="C1058" s="52" t="s">
        <v>0</v>
      </c>
      <c r="D1058" s="52" t="s">
        <v>0</v>
      </c>
      <c r="E1058" s="53" t="s">
        <v>60</v>
      </c>
      <c r="F1058" s="40">
        <f>SUM(F3:F1056)</f>
      </c>
      <c r="G1058" s="39">
        <f>SUM(G3:G1056)</f>
      </c>
      <c r="H1058" s="39">
        <f>SUM(H3:H1056)</f>
      </c>
      <c r="I1058" s="39">
        <f>SUM(I3:I1056)</f>
      </c>
      <c r="J1058" s="39">
        <f>SUM(J3:J1056)</f>
      </c>
      <c r="K1058" s="39">
        <f>SUM(K3:K1056)</f>
      </c>
      <c r="L1058" s="39">
        <f>SUM(L3:L1056)</f>
      </c>
      <c r="M1058" s="39">
        <f>SUM(M3:M1056)</f>
      </c>
      <c r="N1058" s="39">
        <f>SUM(N3:N1056)</f>
      </c>
      <c r="O1058" s="39">
        <f>SUM(O3:O1056)</f>
      </c>
      <c r="P1058" s="39">
        <f>SUM(P3:P1056)</f>
      </c>
      <c r="Q1058" s="39">
        <f>SUM(Q3:Q1056)</f>
      </c>
      <c r="R1058" s="39">
        <f>SUM(R3:R1056)</f>
      </c>
      <c r="S1058" s="39">
        <f>SUM(S3:S1056)</f>
      </c>
      <c r="T1058" s="39">
        <f>SUM(T3:T1056)</f>
      </c>
      <c r="U1058" s="40">
        <f>SUM(U3:U1056)</f>
      </c>
      <c r="V1058" s="39">
        <f>SUM(V3:V1056)</f>
      </c>
      <c r="W1058" s="39">
        <f>SUM(W3:W1056)</f>
      </c>
      <c r="X1058" s="39">
        <f>SUM(X3:X1056)</f>
      </c>
      <c r="Y1058" s="39">
        <f>SUM(Y3:Y1056)</f>
      </c>
      <c r="Z1058" s="39">
        <f>SUM(Z3:Z1056)</f>
      </c>
      <c r="AA1058" s="39">
        <f>SUM(AA3:AA1056)</f>
      </c>
      <c r="AB1058" s="39">
        <f>SUM(AB3:AB1056)</f>
      </c>
      <c r="AC1058" s="39">
        <f>SUM(AC3:AC1056)</f>
      </c>
      <c r="AD1058" s="39">
        <f>SUM(AD3:AD1056)</f>
      </c>
      <c r="AE1058" s="39">
        <f>SUM(AE3:AE1056)</f>
      </c>
      <c r="AF1058" s="39">
        <f>SUM(AF3:AF1056)</f>
      </c>
      <c r="AG1058" s="39">
        <f>SUM(AG3:AG1056)</f>
      </c>
      <c r="AH1058" s="39">
        <f>SUM(AH3:AH1056)</f>
      </c>
      <c r="AI1058" s="39">
        <f>SUM(AI3:AI1056)</f>
      </c>
      <c r="AJ1058" s="39">
        <f>MIN(AJ3:AJ1056)</f>
      </c>
      <c r="AK1058" s="39">
        <f>AVERAGE(AK3:AK1056)</f>
      </c>
      <c r="AL1058" s="39">
        <f>MEDIAN(AL3:AL1056)</f>
      </c>
      <c r="AM1058" s="39">
        <f>Max(AM3:AM1056)</f>
      </c>
      <c r="AN1058" s="41">
        <f>SUM(AN3:AN1056)</f>
      </c>
    </row>
  </sheetData>
  <autoFilter ref="A2:AN1056"/>
  <mergeCells>
    <mergeCell ref="A1:E1"/>
    <mergeCell ref="F1:T1"/>
    <mergeCell ref="U1:AI1"/>
    <mergeCell ref="AJ1:AN1"/>
    <mergeCell ref="A1058:D105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1378</v>
      </c>
      <c r="B1" s="55" t="s">
        <v>1379</v>
      </c>
    </row>
    <row r="2">
      <c r="A2" s="54" t="s">
        <v>1380</v>
      </c>
      <c r="B2" s="55" t="s">
        <v>1381</v>
      </c>
    </row>
    <row r="3">
      <c r="A3" s="1"/>
      <c r="B3" s="1"/>
    </row>
    <row r="4">
      <c r="A4" s="54" t="s">
        <v>1382</v>
      </c>
      <c r="B4" s="55" t="s">
        <v>1383</v>
      </c>
    </row>
    <row r="5">
      <c r="A5" s="54" t="s">
        <v>1384</v>
      </c>
      <c r="B5" s="55" t="s">
        <v>1385</v>
      </c>
    </row>
    <row r="6">
      <c r="A6" s="54" t="s">
        <v>1386</v>
      </c>
      <c r="B6" s="55"/>
    </row>
    <row r="7">
      <c r="A7" s="54" t="s">
        <v>1387</v>
      </c>
      <c r="B7" s="55"/>
    </row>
    <row r="8">
      <c r="A8" s="54" t="s">
        <v>1388</v>
      </c>
      <c r="B8" s="55" t="s">
        <v>1389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1390</v>
      </c>
      <c r="B12" s="55" t="s">
        <v>1391</v>
      </c>
    </row>
    <row r="13">
      <c r="A13" s="54" t="s">
        <v>1392</v>
      </c>
      <c r="B13" s="55" t="s">
        <v>1393</v>
      </c>
    </row>
    <row r="14">
      <c r="A14" s="54" t="s">
        <v>1394</v>
      </c>
      <c r="B14" s="55" t="s">
        <v>1395</v>
      </c>
    </row>
    <row r="15">
      <c r="A15" s="54" t="s">
        <v>1396</v>
      </c>
      <c r="B15" s="55" t="s">
        <v>1397</v>
      </c>
    </row>
    <row r="16">
      <c r="A16" s="54" t="s">
        <v>1398</v>
      </c>
      <c r="B16" s="55" t="s">
        <v>1399</v>
      </c>
    </row>
  </sheetData>
  <headerFooter/>
</worksheet>
</file>