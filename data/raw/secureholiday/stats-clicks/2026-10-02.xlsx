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Establishment!$A$2:$AN$1306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<sst xmlns="http://schemas.openxmlformats.org/spreadsheetml/2006/main" count="1653" uniqueCount="1653">
  <si>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</si>
  <si>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</si>
  <si>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</si>
  <si>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</si>
  <si>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</si>
  <si>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</si>
  <si>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</si>
  <si>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</si>
  <si>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</si>
  <si>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</si>
  <si>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</si>
  <si>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</si>
  <si>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</si>
  <si>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</si>
  <si>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</si>
  <si>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</si>
  <si>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</si>
  <si>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</si>
  <si>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</si>
  <si>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</si>
  <si>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</si>
  <si>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</si>
  <si>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</si>
  <si>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</si>
  <si>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</si>
  <si>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</si>
  <si>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</si>
  <si>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</si>
  <si>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</si>
  <si>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</si>
  <si>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</si>
  <si>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</si>
  <si>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</si>
  <si>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</si>
  <si>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</si>
  <si>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</si>
  <si>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</si>
  <si>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</si>
  <si>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</si>
  <si>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</si>
  <si>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</si>
  <si>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</si>
  <si>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</si>
  <si>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</si>
  <si>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</si>
  <si>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</si>
  <si>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</si>
  <si>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</si>
  <si>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</si>
  <si>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</si>
  <si>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</si>
  <si>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</si>
  <si>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</si>
  <si>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</si>
  <si>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</si>
  <si>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</si>
  <si>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</si>
  <si>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</si>
  <si>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</si>
  <si>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</si>
  <si>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</si>
  <si>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</si>
  <si>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</si>
  <si>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</si>
  <si>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</si>
  <si>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</si>
  <si>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</si>
  <si>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</si>
  <si>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</si>
  <si>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</si>
  <si>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</si>
  <si>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</si>
  <si>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</si>
  <si>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</si>
  <si>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</si>
  <si>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</si>
  <si>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</si>
  <si>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</si>
  <si>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</si>
  <si>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Domaine de Bélézy</t>
  </si>
  <si>
    <t>Provence-Alpes-Côte d'Azur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</si>
  <si>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</si>
  <si>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</si>
  <si>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</si>
  <si>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</si>
  <si>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</si>
  <si>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</si>
  <si>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</si>
  <si>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</si>
  <si>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</si>
  <si>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</si>
  <si>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</si>
  <si>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</si>
  <si>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</si>
  <si>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</si>
  <si>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</si>
  <si>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</si>
  <si>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</si>
  <si>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</si>
  <si>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</si>
  <si>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</si>
  <si>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</si>
  <si>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Camping des Bains</t>
  </si>
  <si>
    <t>Bourgogne-Franche-Comté</t>
  </si>
  <si>
    <t>Nièvre</t>
  </si>
  <si>
    <t>Camping de l'Etang Sites et Paysages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</si>
  <si>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</si>
  <si>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</si>
  <si>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</si>
  <si>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</si>
  <si>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</si>
  <si>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</si>
  <si>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</si>
  <si>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</si>
  <si>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</si>
  <si>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Camping Naturiste Arnaoutchot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</si>
  <si>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</si>
  <si>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</si>
  <si>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</si>
  <si>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</si>
  <si>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</si>
  <si>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</si>
  <si>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</si>
  <si>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</si>
  <si>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</si>
  <si>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</si>
  <si>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</si>
  <si>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</si>
  <si>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</si>
  <si>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</si>
  <si>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</si>
  <si>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 Panoramic</t>
  </si>
  <si>
    <t>Bretagne</t>
  </si>
  <si>
    <t>Finistère</t>
  </si>
  <si>
    <t>Camping Club Tikayan La Vallée du Paradis</t>
  </si>
  <si>
    <t>Var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</si>
  <si>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</si>
  <si>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</si>
  <si>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</si>
  <si>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</si>
  <si>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</si>
  <si>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</si>
  <si>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</si>
  <si>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</si>
  <si>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</si>
  <si>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</si>
  <si>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</si>
  <si>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</si>
  <si>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</si>
  <si>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</si>
  <si>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</si>
  <si>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</si>
  <si>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</si>
  <si>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</si>
  <si>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Jura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</si>
  <si>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</si>
  <si>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</si>
  <si>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</si>
  <si>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</si>
  <si>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</si>
  <si>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</si>
  <si>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</si>
  <si>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Domaine de La Sablière - naturiste</t>
  </si>
  <si>
    <t>Gard</t>
  </si>
  <si>
    <t>Origan Village</t>
  </si>
  <si>
    <t>Camping Sandaya Les Rivages</t>
  </si>
  <si>
    <t>Aveyron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</si>
  <si>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</si>
  <si>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</si>
  <si>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</si>
  <si>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</si>
  <si>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</si>
  <si>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</si>
  <si>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</si>
  <si>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</si>
  <si>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</si>
  <si>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</si>
  <si>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</si>
  <si>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</si>
  <si>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</si>
  <si>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</si>
  <si>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</si>
  <si>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</si>
  <si>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</si>
  <si>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Roche</t>
  </si>
  <si>
    <t>Andalousie</t>
  </si>
  <si>
    <t>Cadix</t>
  </si>
  <si>
    <t>Camping Cabopino</t>
  </si>
  <si>
    <t>Malaga</t>
  </si>
  <si>
    <t>Camping Le Rouge Gorge****</t>
  </si>
  <si>
    <t>Camping Laguna Playa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</si>
  <si>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</si>
  <si>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</si>
  <si>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</si>
  <si>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</si>
  <si>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</si>
  <si>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</si>
  <si>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</si>
  <si>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</si>
  <si>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Clico Chic - Camping Les Chouans</t>
  </si>
  <si>
    <t>Camping Le Caussanel</t>
  </si>
  <si>
    <t>Sandaya Le P'tit Bois</t>
  </si>
  <si>
    <t>Ille-et-Vilaine</t>
  </si>
  <si>
    <t>Camping Sandaya Les Tropiques</t>
  </si>
  <si>
    <t>Camping Sandaya Douce Quiétude</t>
  </si>
  <si>
    <t>Airotel 2 Plages &amp; Océan</t>
  </si>
  <si>
    <t>Camping L'Hirondelle France *****</t>
  </si>
  <si>
    <t>Drôme</t>
  </si>
  <si>
    <t>Camping Le Paradis</t>
  </si>
  <si>
    <t>Camping Sunêlia Le Séquoia</t>
  </si>
  <si>
    <t>Camping La Torre del Sol</t>
  </si>
  <si>
    <t>SARL Camping le Neptune</t>
  </si>
  <si>
    <t>Côtes-d'Armor</t>
  </si>
  <si>
    <t>Camping LA PRESQU'ILE DE GIENS</t>
  </si>
  <si>
    <t>Sandaya Domaine du Colombier</t>
  </si>
  <si>
    <t>Camping Sunêlia La Source - Occitanie - Aveyron</t>
  </si>
  <si>
    <t>Camping le Moulin</t>
  </si>
  <si>
    <t>Camping Naturiste Les Aillos</t>
  </si>
  <si>
    <t>Haute-Garonne</t>
  </si>
  <si>
    <t>Domaine de La Genèse</t>
  </si>
  <si>
    <t>Camping Urbasa Bioitza</t>
  </si>
  <si>
    <t>Navarre</t>
  </si>
  <si>
    <t>Orbaibar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</si>
  <si>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</si>
  <si>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</si>
  <si>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</si>
  <si>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</si>
  <si>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</si>
  <si>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</si>
  <si>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</si>
  <si>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</si>
  <si>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</si>
  <si>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</si>
  <si>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</si>
  <si>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</si>
  <si>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</si>
  <si>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</si>
  <si>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</si>
  <si>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Carabasse</t>
  </si>
  <si>
    <t>Camping Parc Bellevue</t>
  </si>
  <si>
    <t>Camping les Lacs d'Armagnac</t>
  </si>
  <si>
    <t>Gers</t>
  </si>
  <si>
    <t>Domaine Devèze</t>
  </si>
  <si>
    <t>Flower Camping Le Haut Dick</t>
  </si>
  <si>
    <t>Les Chalands Fleuris****</t>
  </si>
  <si>
    <t>Loire-Atlantique</t>
  </si>
  <si>
    <t>Camping de Mindin - Camping Qualité</t>
  </si>
  <si>
    <t>Camping Sandaya Le Moulin de l'Eclis</t>
  </si>
  <si>
    <t>Camping Au Soir d’Eté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</si>
  <si>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</si>
  <si>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</si>
  <si>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</si>
  <si>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</si>
  <si>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</si>
  <si>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</si>
  <si>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</si>
  <si>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La Ningle</t>
  </si>
  <si>
    <t>Camping Les Mizottes</t>
  </si>
  <si>
    <t>Camping Eden Villages Le Caravan'Ile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</si>
  <si>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</si>
  <si>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</si>
  <si>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</si>
  <si>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</si>
  <si>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</si>
  <si>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Camping Les Bords du Tarn</t>
  </si>
  <si>
    <t>Camping LES PRADES</t>
  </si>
  <si>
    <t>Camping LE ROC QUI PARLE</t>
  </si>
  <si>
    <t>Flower Camping PEYRELADE</t>
  </si>
  <si>
    <t>Camping Beau-Rivage</t>
  </si>
  <si>
    <t>Camping Seasonova Les Rives d'Olt et Aubrac</t>
  </si>
  <si>
    <t>Camping DU LAC</t>
  </si>
  <si>
    <t>Ariège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</si>
  <si>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</si>
  <si>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</si>
  <si>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</si>
  <si>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</si>
  <si>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</si>
  <si>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</si>
  <si>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</si>
  <si>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Des 3 Lacs</t>
  </si>
  <si>
    <t>Savoie</t>
  </si>
  <si>
    <t>Camping la Provençale</t>
  </si>
  <si>
    <t>Camping Les Pommiers SAS BEBECHE</t>
  </si>
  <si>
    <t>Tarn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</si>
  <si>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</si>
  <si>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</si>
  <si>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</si>
  <si>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</si>
  <si>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</si>
  <si>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</si>
  <si>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</si>
  <si>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</si>
  <si>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</si>
  <si>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</si>
  <si>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de l'Adour</t>
  </si>
  <si>
    <t>Camping LE RUISSEAU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</si>
  <si>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</si>
  <si>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</si>
  <si>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</si>
  <si>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</si>
  <si>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</si>
  <si>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</si>
  <si>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</si>
  <si>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LES VIOLETTES</t>
  </si>
  <si>
    <t>Camping Pradelongue</t>
  </si>
  <si>
    <t>Camping NAMASTE</t>
  </si>
  <si>
    <t>Camping Les Berges du Célé</t>
  </si>
  <si>
    <t>Camping RIVIERE DE CABESSUT</t>
  </si>
  <si>
    <t>Camping LES CHENES CLAIRS</t>
  </si>
  <si>
    <t>Camping Du Port</t>
  </si>
  <si>
    <t>Camping LA RIVIERE</t>
  </si>
  <si>
    <t>Sites et Paysages Les Hirondelles</t>
  </si>
  <si>
    <t>Camping PADIMADOUR **** à ROCAMADOUR</t>
  </si>
  <si>
    <t>Camping Le Relais du Campeur</t>
  </si>
  <si>
    <t>Domaine Naturiste Le Clos Barrat</t>
  </si>
  <si>
    <t>Flower Camping Les Ondines</t>
  </si>
  <si>
    <t>Flower Camping LA PLAGE à St Cirq Lapopie</t>
  </si>
  <si>
    <t>Camping Les Borgnes</t>
  </si>
  <si>
    <t>Camping LES GRANGES</t>
  </si>
  <si>
    <t>Camping de Châlons-en-Champagne</t>
  </si>
  <si>
    <t>Marne</t>
  </si>
  <si>
    <t>Camping La Pineda de Salou</t>
  </si>
  <si>
    <t>Camping de la Liez</t>
  </si>
  <si>
    <t>Haute-Marne</t>
  </si>
  <si>
    <t>Camping Port'Land</t>
  </si>
  <si>
    <t>Calvados</t>
  </si>
  <si>
    <t>Camping Au Soleil d'Oc</t>
  </si>
  <si>
    <t>Corrèze</t>
  </si>
  <si>
    <t>Camping Sandaya Les Vagues</t>
  </si>
  <si>
    <t>YELLOH! VILLAGE - LES PINS</t>
  </si>
  <si>
    <t>Camping Sandaya Le Ranolien</t>
  </si>
  <si>
    <t>Camping Sandaya L'Escale Saint Gilles</t>
  </si>
  <si>
    <t>Camping Homair - Les Menhirs</t>
  </si>
  <si>
    <t>Camping DOMAINE D'INLY</t>
  </si>
  <si>
    <t>Camping Homair - Port de Plaisance</t>
  </si>
  <si>
    <t>Flower Camping Le Vieux Moulin</t>
  </si>
  <si>
    <t>ROMANEE Kervilor</t>
  </si>
  <si>
    <t>Camping de la Plage</t>
  </si>
  <si>
    <t>Camping La Mignardière****</t>
  </si>
  <si>
    <t>Glamping Sainte-Suzanne</t>
  </si>
  <si>
    <t>Mayenne</t>
  </si>
  <si>
    <t>Camping Paradis Domaine de Gaujac</t>
  </si>
  <si>
    <t>Flower Camping Le Pavillon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</si>
  <si>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</si>
  <si>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</si>
  <si>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</si>
  <si>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</si>
  <si>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</si>
  <si>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</si>
  <si>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</si>
  <si>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</si>
  <si>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Le Bois de la Gachère</t>
  </si>
  <si>
    <t>Camping Les Restanques</t>
  </si>
  <si>
    <t>Flower Camping le Montana</t>
  </si>
  <si>
    <t>Hautes-Alpes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</si>
  <si>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</si>
  <si>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</si>
  <si>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</si>
  <si>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</si>
  <si>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</si>
  <si>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</si>
  <si>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</si>
  <si>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</si>
  <si>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</si>
  <si>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</si>
  <si>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Le Soleil d'Or</t>
  </si>
  <si>
    <t>Hermitage des Dunes</t>
  </si>
  <si>
    <t>Résidences &amp; Camping Le Napoléon</t>
  </si>
  <si>
    <t>Camping Le Colporteur</t>
  </si>
  <si>
    <t>Camping Le Château de Rochetaillée</t>
  </si>
  <si>
    <t>Camping Le Champ Long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</si>
  <si>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</si>
  <si>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</si>
  <si>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</si>
  <si>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</si>
  <si>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</si>
  <si>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</si>
  <si>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</si>
  <si>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</si>
  <si>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</si>
  <si>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</si>
  <si>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L'Oasis du Berry</t>
  </si>
  <si>
    <t>Indre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</si>
  <si>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</si>
  <si>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</si>
  <si>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</si>
  <si>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</si>
  <si>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</si>
  <si>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</si>
  <si>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</si>
  <si>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</si>
  <si>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</si>
  <si>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</si>
  <si>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</si>
  <si>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</si>
  <si>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</si>
  <si>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</si>
  <si>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</si>
  <si>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</si>
  <si>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</si>
  <si>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</si>
  <si>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</si>
  <si>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</si>
  <si>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</si>
  <si>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</si>
  <si>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</si>
  <si>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</si>
  <si>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>Siblu – Domaine de Dugny</t>
  </si>
  <si>
    <t>Camping Etang des Haizes</t>
  </si>
  <si>
    <t>Flower Camping le FONDESPIERRE</t>
  </si>
  <si>
    <t>Capfun - Camping Le Fréjus</t>
  </si>
  <si>
    <t>Weekend Glamping Resort</t>
  </si>
  <si>
    <t>Lombardie</t>
  </si>
  <si>
    <t>Brescia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</si>
  <si>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</si>
  <si>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</si>
  <si>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</si>
  <si>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</si>
  <si>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</si>
  <si>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</si>
  <si>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</si>
  <si>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</si>
  <si>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</si>
  <si>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</si>
  <si>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VIEILLE FERME</t>
  </si>
  <si>
    <t>Camping Le Rhône</t>
  </si>
  <si>
    <t>Camping LA BELLE ETOILE</t>
  </si>
  <si>
    <t>Seine-et-Marne</t>
  </si>
  <si>
    <t>Camping MARIUS</t>
  </si>
  <si>
    <t>Bouches-du-Rhône</t>
  </si>
  <si>
    <t>Camping Robinson</t>
  </si>
  <si>
    <t>Camping Cala Gogo</t>
  </si>
  <si>
    <t>Camping Seasonova Saint Michel</t>
  </si>
  <si>
    <t>Camping La Baume La Palmeraie</t>
  </si>
  <si>
    <t>Camping Le Port Chéri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</si>
  <si>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</si>
  <si>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</si>
  <si>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</si>
  <si>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</si>
  <si>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</si>
  <si>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</si>
  <si>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</si>
  <si>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de La Besse</t>
  </si>
  <si>
    <t>PuntAla Camp &amp; Resort</t>
  </si>
  <si>
    <t>Toscana Holiday Village</t>
  </si>
  <si>
    <t>INTERNATIONAL GLAMPING LAGO DI BRACCIANO</t>
  </si>
  <si>
    <t>Latium</t>
  </si>
  <si>
    <t>Roma Capitale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</si>
  <si>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</si>
  <si>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</si>
  <si>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</si>
  <si>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</si>
  <si>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</si>
  <si>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</si>
  <si>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Sunêlia Col d'Ibardin</t>
  </si>
  <si>
    <t>Pyrénées-Atlantiques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</si>
  <si>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</si>
  <si>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</si>
  <si>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</si>
  <si>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</si>
  <si>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</si>
  <si>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</si>
  <si>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</si>
  <si>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</si>
  <si>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</si>
  <si>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</si>
  <si>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</si>
  <si>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Sandaya Sanguinet Plage</t>
  </si>
  <si>
    <t>Camping Village Cerquestra</t>
  </si>
  <si>
    <t>Ombrie</t>
  </si>
  <si>
    <t>Perugia</t>
  </si>
  <si>
    <t>Wecamp L'Escala Punta Mila</t>
  </si>
  <si>
    <t>Camping L'Atlantys</t>
  </si>
  <si>
    <t>Homair - Mayotte Vacances</t>
  </si>
  <si>
    <t>Camping Sandaya Aloha</t>
  </si>
  <si>
    <t>Les Méditerranées - Camping Charlemagne</t>
  </si>
  <si>
    <t>Château Camping La Grange Fort</t>
  </si>
  <si>
    <t>Camping Le Jardin des Cévennes</t>
  </si>
  <si>
    <t>Lozère</t>
  </si>
  <si>
    <t>Camping Village Le Diomedee</t>
  </si>
  <si>
    <t>Pouilles</t>
  </si>
  <si>
    <t>Foggia</t>
  </si>
  <si>
    <t>Camping Neptune</t>
  </si>
  <si>
    <t>Domaine des Chênes</t>
  </si>
  <si>
    <t>Camping Les Coudoulets</t>
  </si>
  <si>
    <t>Camping Domaine Arleblanc</t>
  </si>
  <si>
    <t>Camping Nostradamus</t>
  </si>
  <si>
    <t>Flower Camping Vitamin</t>
  </si>
  <si>
    <t>Camping U Casone</t>
  </si>
  <si>
    <t>Camping Merko Lacarra</t>
  </si>
  <si>
    <t>CAMPING GAVIN</t>
  </si>
  <si>
    <t>Aragon</t>
  </si>
  <si>
    <t>Huesca</t>
  </si>
  <si>
    <t>Camping Resort Les Champs Blancs</t>
  </si>
  <si>
    <t>TAIGA Costa Calida</t>
  </si>
  <si>
    <t>Région de Murcie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</si>
  <si>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</si>
  <si>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</si>
  <si>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</si>
  <si>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</si>
  <si>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</si>
  <si>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</si>
  <si>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</si>
  <si>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</si>
  <si>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</si>
  <si>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Pastural</t>
  </si>
  <si>
    <t>Flower Camping LE TEMPS DE VIVRE</t>
  </si>
  <si>
    <t>CAMPING ISERAND CALME et NATURE***</t>
  </si>
  <si>
    <t>Huttopia Lac de Rillé</t>
  </si>
  <si>
    <t>Camping Les Routes de Provence</t>
  </si>
  <si>
    <t>Camping del Mar</t>
  </si>
  <si>
    <t>Base de Loisirs - Camping du Lac Cormoranche</t>
  </si>
  <si>
    <t>Camping Les Coteaux du Lac</t>
  </si>
  <si>
    <t>Camping Au Vallon Rouge</t>
  </si>
  <si>
    <t>Domaine de la Plage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</si>
  <si>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</si>
  <si>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</si>
  <si>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</si>
  <si>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</si>
  <si>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</si>
  <si>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</si>
  <si>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Rubina Resort</t>
  </si>
  <si>
    <t>Camping Bravoplaya</t>
  </si>
  <si>
    <t>Camping Piomboni SRL</t>
  </si>
  <si>
    <t>Émilie-Romagne</t>
  </si>
  <si>
    <t>Ravenna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</si>
  <si>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</si>
  <si>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</si>
  <si>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</si>
  <si>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</si>
  <si>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</si>
  <si>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</si>
  <si>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</si>
  <si>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Cala llevado - Sea Green by Sunêlia</t>
  </si>
  <si>
    <t>Camping LAS LOMAS</t>
  </si>
  <si>
    <t>CAMPING DES TUNNELS</t>
  </si>
  <si>
    <t>Camping les Embruns</t>
  </si>
  <si>
    <t>Camping Sandaya Les Tamaris</t>
  </si>
  <si>
    <t>Ushuaïa Villages - Camping la Colombière ***</t>
  </si>
  <si>
    <t>Camping Club Plage Sud - MS Vacances</t>
  </si>
  <si>
    <t>Camping Village Punta Navaccia</t>
  </si>
  <si>
    <t>Camping Village Lago Levico****</t>
  </si>
  <si>
    <t>Pirates World Village Club Les Sables d'Or</t>
  </si>
  <si>
    <t>Slow Village | Marennes Oléron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</si>
  <si>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</si>
  <si>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</si>
  <si>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</si>
  <si>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</si>
  <si>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</si>
  <si>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</si>
  <si>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</si>
  <si>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</si>
  <si>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</si>
  <si>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</si>
  <si>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Lou Pibou</t>
  </si>
  <si>
    <t>Campasun Camping Du Soleil</t>
  </si>
  <si>
    <t>Camping Rose de Provence VERDON</t>
  </si>
  <si>
    <t>Camping LANDES OCEANES</t>
  </si>
  <si>
    <t>Camping Le Moulin</t>
  </si>
  <si>
    <t>Camping Frédéric Mistral</t>
  </si>
  <si>
    <t>Camping Notre Dame</t>
  </si>
  <si>
    <t>Camping naturiste Verdon Provence</t>
  </si>
  <si>
    <t>Camping Seasonova Le Val de Coise</t>
  </si>
  <si>
    <t>Loire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</si>
  <si>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</si>
  <si>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</si>
  <si>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</si>
  <si>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</si>
  <si>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</si>
  <si>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</si>
  <si>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</si>
  <si>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</si>
  <si>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</si>
  <si>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</si>
  <si>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</si>
  <si>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</si>
  <si>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</si>
  <si>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</si>
  <si>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</si>
  <si>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</si>
  <si>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</si>
  <si>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</si>
  <si>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 xml:space="preserve"> Camping Sandaya Les Mathes </t>
  </si>
  <si>
    <t>Camping Au Cœur de Vendôme</t>
  </si>
  <si>
    <t>Chadotel Le Domaine de Beaulieu</t>
  </si>
  <si>
    <t>Camping Rioclar</t>
  </si>
  <si>
    <t>Camping Sunêlia L'Aiguille Creuse</t>
  </si>
  <si>
    <t>CAMPING BELLEVUE MER</t>
  </si>
  <si>
    <t>Chadotel La Bolée d'Air</t>
  </si>
  <si>
    <t>Camping Kerlaz</t>
  </si>
  <si>
    <t>Camping Fontisson</t>
  </si>
  <si>
    <t>Camping La Chapelle Saint Claude</t>
  </si>
  <si>
    <t>Camping Mas des Lavandes</t>
  </si>
  <si>
    <t>Flower Camping Le Val de l'Arre</t>
  </si>
  <si>
    <t>Camping Seasonova du Chêne</t>
  </si>
  <si>
    <t>Camping OLVA LES EUCALYPTUS</t>
  </si>
  <si>
    <t>Camping Village Spinnaker</t>
  </si>
  <si>
    <t>Sardaigne</t>
  </si>
  <si>
    <t>Oristano</t>
  </si>
  <si>
    <t>Camping La Cascade</t>
  </si>
  <si>
    <t>Camping Les Tailladis</t>
  </si>
  <si>
    <t>Papillon Country Resort</t>
  </si>
  <si>
    <t>Pays-Bas</t>
  </si>
  <si>
    <t>Overijssel</t>
  </si>
  <si>
    <t xml:space="preserve">Camping Emmen </t>
  </si>
  <si>
    <t>Drenthe</t>
  </si>
  <si>
    <t>Les Méditerranées - Camping Beach Garden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</si>
  <si>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</si>
  <si>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</si>
  <si>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</si>
  <si>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</si>
  <si>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</si>
  <si>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</si>
  <si>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</si>
  <si>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</si>
  <si>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</si>
  <si>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</si>
  <si>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</si>
  <si>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</si>
  <si>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</si>
  <si>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</si>
  <si>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</si>
  <si>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</si>
  <si>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</si>
  <si>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</si>
  <si>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</si>
  <si>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</si>
  <si>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Delftse Hout</t>
  </si>
  <si>
    <t>YELLOH! VILLAGE - Camping Plage du Dramont</t>
  </si>
  <si>
    <t>Mini-Camping en Kloostertuin Werendijke</t>
  </si>
  <si>
    <t>Zélande</t>
  </si>
  <si>
    <t>Le CATTIAUX Camping</t>
  </si>
  <si>
    <t>Essonne</t>
  </si>
  <si>
    <t>Flower Camping La Canadienne</t>
  </si>
  <si>
    <t>Flower Camping Le Mas de Mourgues</t>
  </si>
  <si>
    <t>Flower Camping Le Riviera</t>
  </si>
  <si>
    <t>Camping des Etangs</t>
  </si>
  <si>
    <t>Cher</t>
  </si>
  <si>
    <t>Camping Touristique De Gien</t>
  </si>
  <si>
    <t>Loiret</t>
  </si>
  <si>
    <t>De Schatberg</t>
  </si>
  <si>
    <t>Limbourg</t>
  </si>
  <si>
    <t>Camping La Plage de Treguer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</si>
  <si>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</si>
  <si>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</si>
  <si>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</si>
  <si>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</si>
  <si>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</si>
  <si>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</si>
  <si>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Roulottes et Cabanes de Saint Cerice</t>
  </si>
  <si>
    <t>CAMPING LES GRANGES BAS</t>
  </si>
  <si>
    <t>Camping Eden Villages Cap de Bréhat</t>
  </si>
  <si>
    <t>DOMAINE DU HAUT DES BLUCHES</t>
  </si>
  <si>
    <t>Camping Homair - Les Gorges de Provence</t>
  </si>
  <si>
    <t>Camping Seasonova Les Prés du Verdon</t>
  </si>
  <si>
    <t>Flower Camping La Davière Plage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</si>
  <si>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</si>
  <si>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</si>
  <si>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</si>
  <si>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</si>
  <si>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</si>
  <si>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</si>
  <si>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</si>
  <si>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</si>
  <si>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</si>
  <si>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CAMPING LES DRUIDES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</si>
  <si>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</si>
  <si>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</si>
  <si>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</si>
  <si>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</si>
  <si>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</si>
  <si>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</si>
  <si>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</si>
  <si>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</si>
  <si>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</si>
  <si>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</si>
  <si>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</si>
  <si>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</si>
  <si>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le Moulin de la Pique</t>
  </si>
  <si>
    <t>RCN Domaine de la Noguière</t>
  </si>
  <si>
    <t>Camping Homair - La Grande Métairie</t>
  </si>
  <si>
    <t>Le Parc de la Belle</t>
  </si>
  <si>
    <t>Vienne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</si>
  <si>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</si>
  <si>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</si>
  <si>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</si>
  <si>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</si>
  <si>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</si>
  <si>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</si>
  <si>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Venise</t>
  </si>
  <si>
    <t>Baia Holiday Mare Pineta</t>
  </si>
  <si>
    <t>Frioul-Vénétie julienne</t>
  </si>
  <si>
    <t>Baia Holiday Baia Blu la Tortuga</t>
  </si>
  <si>
    <t>Sassari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</si>
  <si>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</si>
  <si>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</si>
  <si>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</si>
  <si>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</si>
  <si>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Leppinsee</t>
  </si>
  <si>
    <t>Campingplatz Zwenzower Ufer</t>
  </si>
  <si>
    <t>Camping- und Ferienpark Havelberge</t>
  </si>
  <si>
    <t>Camping La Croix du Bois Sacker</t>
  </si>
  <si>
    <t>Moselle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</si>
  <si>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</si>
  <si>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</si>
  <si>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</si>
  <si>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</si>
  <si>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</si>
  <si>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</si>
  <si>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Camping La Pinède en Provence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</si>
  <si>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</si>
  <si>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</si>
  <si>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</si>
  <si>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</si>
  <si>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</si>
  <si>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</si>
  <si>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de Laborie</t>
  </si>
  <si>
    <t>Camping Les Arches</t>
  </si>
  <si>
    <t>Camping Les Berges Du Doux</t>
  </si>
  <si>
    <t>Ushuaïa Villages - Camping Le Viaduc ***</t>
  </si>
  <si>
    <t>Camping Les Lavandes</t>
  </si>
  <si>
    <t>CAMPING LE CHASSEZAC</t>
  </si>
  <si>
    <t>Camping Le Barutel</t>
  </si>
  <si>
    <t>Camping Le Clapas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</si>
  <si>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</si>
  <si>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</si>
  <si>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</si>
  <si>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</si>
  <si>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</si>
  <si>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</si>
  <si>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</si>
  <si>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Aqua Viva</t>
  </si>
  <si>
    <t>Camping Cevedale</t>
  </si>
  <si>
    <t>Baia Holiday San Nicola</t>
  </si>
  <si>
    <t>Camping Sunêlia Mazet-Plage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</si>
  <si>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</si>
  <si>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</si>
  <si>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</si>
  <si>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</si>
  <si>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</si>
  <si>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du Grand Fay</t>
  </si>
  <si>
    <t>Camping dei Fiori</t>
  </si>
  <si>
    <t>Camping Sandaya Soustons Village</t>
  </si>
  <si>
    <t>le Petit Liou Sites &amp; Paysages</t>
  </si>
  <si>
    <t>Camping Château de la Rolandière</t>
  </si>
  <si>
    <t>Camping Le Bois Fleuri</t>
  </si>
  <si>
    <t>Eure-et-Loir</t>
  </si>
  <si>
    <t>Les Hameaux des Lacs - Terres de France</t>
  </si>
  <si>
    <t>Village Vacances de Combelles</t>
  </si>
  <si>
    <t>Camping Sandaya Lac De Sanguinet</t>
  </si>
  <si>
    <t>Camping Kost-Ar-Moor</t>
  </si>
  <si>
    <t>Camping Del Sole Village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</si>
  <si>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</si>
  <si>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</si>
  <si>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</si>
  <si>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</si>
  <si>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</si>
  <si>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</si>
  <si>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</si>
  <si>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</si>
  <si>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</si>
  <si>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Flower Camping LA STENIOLE</t>
  </si>
  <si>
    <t>Maistra Camping Porto Sole</t>
  </si>
  <si>
    <t>Comitat d'Istrie</t>
  </si>
  <si>
    <t>Maistra Camping Koversada Covered Campsite</t>
  </si>
  <si>
    <t>Flower Camping Les Paillotes en Ardèche (Adults Only 16+)</t>
  </si>
  <si>
    <t>Camping du Buisson</t>
  </si>
  <si>
    <t>Camping Universal</t>
  </si>
  <si>
    <t>Camping Les Alizés</t>
  </si>
  <si>
    <t>Village La Rivière Fleurie</t>
  </si>
  <si>
    <t>Camping Champ Tillet</t>
  </si>
  <si>
    <t>Riva Nuova Camping Village</t>
  </si>
  <si>
    <t>Camping montagne des Vosges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</si>
  <si>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</si>
  <si>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</si>
  <si>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</si>
  <si>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</si>
  <si>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</si>
  <si>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</si>
  <si>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</si>
  <si>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</si>
  <si>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</si>
  <si>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</si>
  <si>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</si>
  <si>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Chadotel La Trévillière</t>
  </si>
  <si>
    <t>Camping Le Perpetuum</t>
  </si>
  <si>
    <t>Camping les Cinq Châteaux</t>
  </si>
  <si>
    <t>Camping Le Daguet</t>
  </si>
  <si>
    <t>Huttopia Sarlat</t>
  </si>
  <si>
    <t>Camping Brin d'Amour</t>
  </si>
  <si>
    <t>CAMPING LE VERDOYANT</t>
  </si>
  <si>
    <t>Camping le Pigeonnier</t>
  </si>
  <si>
    <t>Camping La Rivière</t>
  </si>
  <si>
    <t>Slow Village | Séveilles</t>
  </si>
  <si>
    <t>Camping Le Port de Limeuil</t>
  </si>
  <si>
    <t xml:space="preserve">Camping Les Jardins du Morbihan 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</si>
  <si>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</si>
  <si>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</si>
  <si>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</si>
  <si>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</si>
  <si>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</si>
  <si>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</si>
  <si>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Le Domaine du Bois Coquet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</si>
  <si>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</si>
  <si>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</si>
  <si>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</si>
  <si>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</si>
  <si>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</si>
  <si>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</si>
  <si>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Municipal Le Bourniou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</si>
  <si>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</si>
  <si>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</si>
  <si>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</si>
  <si>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</si>
  <si>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</si>
  <si>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>Camping du Port de Moricq</t>
  </si>
  <si>
    <t>Camping Linda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</si>
  <si>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</si>
  <si>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</si>
  <si>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</si>
  <si>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</si>
  <si>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</si>
  <si>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</si>
  <si>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</si>
  <si>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</si>
  <si>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</si>
  <si>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</si>
  <si>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</si>
  <si>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</si>
  <si>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</si>
  <si>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</si>
  <si>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</si>
  <si>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</si>
  <si>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</si>
  <si>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</si>
  <si>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</si>
  <si>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</si>
  <si>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</si>
  <si>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</si>
  <si>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Camping Les Playes</t>
  </si>
  <si>
    <t>Camping Le Clos de Barbey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</si>
  <si>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</si>
  <si>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</si>
  <si>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</si>
  <si>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</si>
  <si>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</si>
  <si>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</si>
  <si>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</si>
  <si>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</si>
  <si>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</si>
  <si>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</si>
  <si>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</si>
  <si>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</si>
  <si>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Les Airelles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</si>
  <si>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</si>
  <si>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</si>
  <si>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</si>
  <si>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</si>
  <si>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</si>
  <si>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Le Lac d'Orient</t>
  </si>
  <si>
    <t>Aube</t>
  </si>
  <si>
    <t>Le Val du Gave d'Aspe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</si>
  <si>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</si>
  <si>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</si>
  <si>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</si>
  <si>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</si>
  <si>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</si>
  <si>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Campeggio Smeraldo</t>
  </si>
  <si>
    <t>Camping Village Santapomata</t>
  </si>
  <si>
    <t>Camping Village Baia Azzurra</t>
  </si>
  <si>
    <t xml:space="preserve">Camping Siesta </t>
  </si>
  <si>
    <t>Flandre</t>
  </si>
  <si>
    <t>Anvers</t>
  </si>
  <si>
    <t>Zaragoza Camping</t>
  </si>
  <si>
    <t>Saragosse</t>
  </si>
  <si>
    <t>Camping Tunnel International</t>
  </si>
  <si>
    <t>Vallée d'Aoste</t>
  </si>
  <si>
    <t>Camping Le Fun</t>
  </si>
  <si>
    <t>Aude</t>
  </si>
  <si>
    <t>Camping Clair de Lune</t>
  </si>
  <si>
    <t>Txoko les 2 Jumeaux</t>
  </si>
  <si>
    <t>Camping Les Tournesols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</si>
  <si>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</si>
  <si>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</si>
  <si>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</si>
  <si>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</si>
  <si>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</si>
  <si>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</si>
  <si>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</si>
  <si>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</si>
  <si>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</si>
  <si>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</si>
  <si>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</si>
  <si>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</si>
  <si>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</si>
  <si>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</si>
  <si>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Camping den Blanken</t>
  </si>
  <si>
    <t>Gueldre</t>
  </si>
  <si>
    <t>Camping Fontanelle</t>
  </si>
  <si>
    <t>Camping Sandaya Cypsela Resort</t>
  </si>
  <si>
    <t>Baia di Gallipoli Camping Village</t>
  </si>
  <si>
    <t>RCN Vakantiepark het Grote Bos</t>
  </si>
  <si>
    <t>Utrecht</t>
  </si>
  <si>
    <t>RCN de Flaasbloem</t>
  </si>
  <si>
    <t>Camping L'Escapade</t>
  </si>
  <si>
    <t>RCN Vakantiepark de Schotsman</t>
  </si>
  <si>
    <t>Camping Baia Verde</t>
  </si>
  <si>
    <t>Flower Camping des Lacs</t>
  </si>
  <si>
    <t>Charente</t>
  </si>
  <si>
    <t>Camping La Presqu'île de Champaubert</t>
  </si>
  <si>
    <t>Camping Domein de Schuur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</si>
  <si>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</si>
  <si>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</si>
  <si>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</si>
  <si>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</si>
  <si>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</si>
  <si>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</si>
  <si>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</si>
  <si>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</si>
  <si>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</si>
  <si>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</si>
  <si>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</si>
  <si>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Camping Le Garrigon</t>
  </si>
  <si>
    <t>Val de Landrouet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</si>
  <si>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</si>
  <si>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</si>
  <si>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</si>
  <si>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</si>
  <si>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</si>
  <si>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</si>
  <si>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Flower Camping Le Clos Auroy</t>
  </si>
  <si>
    <t>Flower Camping Le Belvédère - Auvergne - Cantal</t>
  </si>
  <si>
    <t>Camping du Viaduc</t>
  </si>
  <si>
    <t>Camping Les Peupliers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</si>
  <si>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</si>
  <si>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</si>
  <si>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</si>
  <si>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</si>
  <si>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</si>
  <si>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Les Terrasses Provençales</t>
  </si>
  <si>
    <t>Camping Fusina</t>
  </si>
  <si>
    <t>Camping Villaggio Europa Silvella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</si>
  <si>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</si>
  <si>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</si>
  <si>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</si>
  <si>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</si>
  <si>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</si>
  <si>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</si>
  <si>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</si>
  <si>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 Gabriel</t>
  </si>
  <si>
    <t>Camping de Ceyreste</t>
  </si>
  <si>
    <t>Camping Les Madières</t>
  </si>
  <si>
    <t>Camping LE CABELLOU PLAGE*****</t>
  </si>
  <si>
    <t>Camping La Vallée du Ninian</t>
  </si>
  <si>
    <t>Camping La Brande</t>
  </si>
  <si>
    <t>Camping La Paoute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</si>
  <si>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</si>
  <si>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</si>
  <si>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</si>
  <si>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</si>
  <si>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</si>
  <si>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</si>
  <si>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Signol*****</t>
  </si>
  <si>
    <t>Camping de Sologne Salbris</t>
  </si>
  <si>
    <t>La Dune de Jade - Camping Qualité</t>
  </si>
  <si>
    <t>Slow Village | Saint Martin de Ré</t>
  </si>
  <si>
    <t>Flower Camping Le Nauzan Plage</t>
  </si>
  <si>
    <t>Camping Les Roches</t>
  </si>
  <si>
    <t>Camping De La Côte</t>
  </si>
  <si>
    <t>Camping de l'Allée</t>
  </si>
  <si>
    <t>Le Haut Chandelalar</t>
  </si>
  <si>
    <t>Camping LA CHAPOULIÈRE</t>
  </si>
  <si>
    <t>Camping Les Acacias</t>
  </si>
  <si>
    <t>Camping La Baie de Terenez</t>
  </si>
  <si>
    <t>Camping Lou Pantaï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</si>
  <si>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</si>
  <si>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</si>
  <si>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</si>
  <si>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</si>
  <si>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</si>
  <si>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Le Pommier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</si>
  <si>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</si>
  <si>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</si>
  <si>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</si>
  <si>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</si>
  <si>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</si>
  <si>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</si>
  <si>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</si>
  <si>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</si>
  <si>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</si>
  <si>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</si>
  <si>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</si>
  <si>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</si>
  <si>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</si>
  <si>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</si>
  <si>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</si>
  <si>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Camping du Vieux Verger</t>
  </si>
  <si>
    <t xml:space="preserve">Camping Risle et  Seine - Domaine des Etangs</t>
  </si>
  <si>
    <t>Camping Les Fontaines</t>
  </si>
  <si>
    <t>Château des Tilleuls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</si>
  <si>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</si>
  <si>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</si>
  <si>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</si>
  <si>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</si>
  <si>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</si>
  <si>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Camping de La Roche Percée</t>
  </si>
  <si>
    <t>Camping Lou Paradou</t>
  </si>
  <si>
    <t>Camping La Rouillère</t>
  </si>
  <si>
    <t>Camping La Berge Fleurie</t>
  </si>
  <si>
    <t>Camping Les Castors</t>
  </si>
  <si>
    <t xml:space="preserve">Camping Le Panoramique </t>
  </si>
  <si>
    <t>Camping Armor Loisirs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</si>
  <si>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</si>
  <si>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</si>
  <si>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</si>
  <si>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</si>
  <si>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</si>
  <si>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MIRAMARE Village - Apartments - Camping</t>
  </si>
  <si>
    <t>Camping du Pont de Mercier</t>
  </si>
  <si>
    <t>Camping Léman Plage</t>
  </si>
  <si>
    <t>Camping La Ferme</t>
  </si>
  <si>
    <t>Camping Le Petit Lac</t>
  </si>
  <si>
    <t>Campasun Camping Le Clos du Pin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</si>
  <si>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</si>
  <si>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</si>
  <si>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</si>
  <si>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</si>
  <si>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</si>
  <si>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</si>
  <si>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Camping de L'Ile Verte</t>
  </si>
  <si>
    <t>Le Fief de Melin</t>
  </si>
  <si>
    <t>Domaine des BLACHAS</t>
  </si>
  <si>
    <t>Camping Smile et Braudières</t>
  </si>
  <si>
    <t>Camping La Vignasse</t>
  </si>
  <si>
    <t>Camping L'Ombrage</t>
  </si>
  <si>
    <t>Camping Le Diamant</t>
  </si>
  <si>
    <t>Flower Camping Les Bouleaux</t>
  </si>
  <si>
    <t>Haut-Rhin</t>
  </si>
  <si>
    <t>Camping de Locouarn</t>
  </si>
  <si>
    <t>Camping de la Treille</t>
  </si>
  <si>
    <t>Camping Goyetchea</t>
  </si>
  <si>
    <t>Recreatieoord Kikmolen</t>
  </si>
  <si>
    <t xml:space="preserve">Plein Air Locations - Camping  Acapulco</t>
  </si>
  <si>
    <t>Camping Le Floride</t>
  </si>
  <si>
    <t>Chadotel Bahamas Beach</t>
  </si>
  <si>
    <t>Flower Camping Le Port de Neuvic</t>
  </si>
  <si>
    <t>Tiliguerta Glamping &amp; Camping Village</t>
  </si>
  <si>
    <t>Sud Sardegna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</si>
  <si>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</si>
  <si>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</si>
  <si>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</si>
  <si>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</si>
  <si>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</si>
  <si>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</si>
  <si>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Les Vernières</t>
  </si>
  <si>
    <t>Flower Camping Le Conleau</t>
  </si>
  <si>
    <t>Camping les Joncs du Roch</t>
  </si>
  <si>
    <t>Camping Durance - Luberon</t>
  </si>
  <si>
    <t>Camping de la Haute Sioule</t>
  </si>
  <si>
    <t>Baia Holiday Capo d’Orso</t>
  </si>
  <si>
    <t>Domaine de Kervallon</t>
  </si>
  <si>
    <t>Camping L'Hippocampe - Les Chalets de la Mer</t>
  </si>
  <si>
    <t>Familiepark De Vechtvallei</t>
  </si>
  <si>
    <t>Camping Valkenburg - Maastricht</t>
  </si>
  <si>
    <t>Siblu - De Lente van Drenthe</t>
  </si>
  <si>
    <t>Siblu – Camping De Oase</t>
  </si>
  <si>
    <t>Recreatiepark De Koornmolen</t>
  </si>
  <si>
    <t>Recreatiepark de Leistert</t>
  </si>
  <si>
    <t>Camping De Heldense Bossen</t>
  </si>
  <si>
    <t>Siblu De Tol</t>
  </si>
  <si>
    <t>Natuurlijk de Veenhoop</t>
  </si>
  <si>
    <t>Frise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</si>
  <si>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</si>
  <si>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</si>
  <si>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</si>
  <si>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</si>
  <si>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</si>
  <si>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</si>
  <si>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Seeblick Toni</t>
  </si>
  <si>
    <t>Bezirk Kufstein</t>
  </si>
  <si>
    <t>Camping du Val</t>
  </si>
  <si>
    <t>Tamarit Beach Resort</t>
  </si>
  <si>
    <t>Prümtal-Camping Oberweis</t>
  </si>
  <si>
    <t>Camping L'Arbre d'Or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</si>
  <si>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</si>
  <si>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</si>
  <si>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</si>
  <si>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</si>
  <si>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</si>
  <si>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</si>
  <si>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&amp; Gîtes PORT CARRERE</t>
  </si>
  <si>
    <t>Camping Kleinenzhof</t>
  </si>
  <si>
    <t>Ferienpark Terrassencamping Süd-See</t>
  </si>
  <si>
    <t>Camping Seespitz</t>
  </si>
  <si>
    <t>Campasun Camping International Aups</t>
  </si>
  <si>
    <t>Château du Gibanel - Sea Green by Sunêlia</t>
  </si>
  <si>
    <t>Camping de L'Arche</t>
  </si>
  <si>
    <t>Camping Bellsol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</si>
  <si>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</si>
  <si>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</si>
  <si>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</si>
  <si>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</si>
  <si>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</si>
  <si>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</si>
  <si>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</si>
  <si>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</si>
  <si>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</si>
  <si>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</si>
  <si>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</si>
  <si>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Camping Le Pont d'Allagnon</t>
  </si>
  <si>
    <t>Camping Les Vagues</t>
  </si>
  <si>
    <t>Camping de Paris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</si>
  <si>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</si>
  <si>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</si>
  <si>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</si>
  <si>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</si>
  <si>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</si>
  <si>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</si>
  <si>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</si>
  <si>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</si>
  <si>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</si>
  <si>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</si>
  <si>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</si>
  <si>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</si>
  <si>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</si>
  <si>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</si>
  <si>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</si>
  <si>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Domaine de Trestraou</t>
  </si>
  <si>
    <t>Campingpark Eifel</t>
  </si>
  <si>
    <t>Camping Les Ombrages</t>
  </si>
  <si>
    <t>Camping Renéville</t>
  </si>
  <si>
    <t>Camping de Kersentic</t>
  </si>
  <si>
    <t>Camping Spiaggia d'Oro</t>
  </si>
  <si>
    <t>Camping Cisano</t>
  </si>
  <si>
    <t>Camping APV L'Anse des Pins</t>
  </si>
  <si>
    <t>Camping Bugeau</t>
  </si>
  <si>
    <t>Flower Camping Omaha Beach</t>
  </si>
  <si>
    <t>Camping Capo Vieste</t>
  </si>
  <si>
    <t>Vedersø Strand Camping</t>
  </si>
  <si>
    <t>Danemark</t>
  </si>
  <si>
    <t>Jutland central</t>
  </si>
  <si>
    <t>Holstebro Kommune</t>
  </si>
  <si>
    <t>Camping As Cancelas</t>
  </si>
  <si>
    <t>Galice</t>
  </si>
  <si>
    <t>A Corogne</t>
  </si>
  <si>
    <t>Huttopia Ars-en-Ré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</si>
  <si>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</si>
  <si>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</si>
  <si>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</si>
  <si>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</si>
  <si>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</si>
  <si>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</si>
  <si>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Campingplatz Am Königsberg</t>
  </si>
  <si>
    <t>Alfsee Ferien- und Erlebnispark</t>
  </si>
  <si>
    <t>Basse-Saxe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</si>
  <si>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</si>
  <si>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</si>
  <si>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</si>
  <si>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</si>
  <si>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</si>
  <si>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</si>
  <si>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 xml:space="preserve">Camping Villaggio Atlanta  Mediterraneo</t>
  </si>
  <si>
    <t>Torre Rinalda Beach Camping &amp; Resort</t>
  </si>
  <si>
    <t>Camping Le Jardin Botanique</t>
  </si>
  <si>
    <t>Sandaya Europa Village</t>
  </si>
  <si>
    <t>Camping Des 2 Rives</t>
  </si>
  <si>
    <t>Saône-et-Loire</t>
  </si>
  <si>
    <t>Camping Eden Villages Bela Basque</t>
  </si>
  <si>
    <t>Camping Le Blayais et l'Alicat</t>
  </si>
  <si>
    <t>Camping Aquarev</t>
  </si>
  <si>
    <t>Camping Lou Broustaricq</t>
  </si>
  <si>
    <t>Flower Camping Des 2 Rivières</t>
  </si>
  <si>
    <t xml:space="preserve"> Camping Les Étangs Mina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</si>
  <si>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</si>
  <si>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</si>
  <si>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</si>
  <si>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</si>
  <si>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</si>
  <si>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</si>
  <si>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 xml:space="preserve">Camping L'Emeraude du Verdon </t>
  </si>
  <si>
    <t>Camping &amp; Bungalows Platja Brava</t>
  </si>
  <si>
    <t>Camping De Haro</t>
  </si>
  <si>
    <t>La Rioja</t>
  </si>
  <si>
    <t>Camping La Garenne à Saint-Laurent-du-Pape / ARDECHE</t>
  </si>
  <si>
    <t>Camping Les Mouettes devient Camping L'écrin de la baie</t>
  </si>
  <si>
    <t>Camping Au Bord de Loire</t>
  </si>
  <si>
    <t>Camping Andrelwirt</t>
  </si>
  <si>
    <t>Salzbourg</t>
  </si>
  <si>
    <t>Bezirk Zell am See</t>
  </si>
  <si>
    <t>Camping Playa de Oyambre</t>
  </si>
  <si>
    <t>Cantabrie</t>
  </si>
  <si>
    <t>Cantabria</t>
  </si>
  <si>
    <t>TAIGA Puerto Santa María</t>
  </si>
  <si>
    <t>Natur Camping Usedom</t>
  </si>
  <si>
    <t>Camping Barco Reale</t>
  </si>
  <si>
    <t>Pistoia</t>
  </si>
  <si>
    <t xml:space="preserve">CAMPING LA CERISE </t>
  </si>
  <si>
    <t>Camping Ettelbruck</t>
  </si>
  <si>
    <t>Canton Diekirch</t>
  </si>
  <si>
    <t>Camping La Vallée de l'Indre</t>
  </si>
  <si>
    <t>Camping Val de Boutonne</t>
  </si>
  <si>
    <t>Camping Vert Auxois</t>
  </si>
  <si>
    <t>Côte-d'Or</t>
  </si>
  <si>
    <t>Le Hameau de L'Océan</t>
  </si>
  <si>
    <t>Camping Madrid Arco Iris</t>
  </si>
  <si>
    <t>Communauté de Madrid</t>
  </si>
  <si>
    <t>Camping Le Septentrion</t>
  </si>
  <si>
    <t>Camping La Trillonnière</t>
  </si>
  <si>
    <t>Rhône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</si>
  <si>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</si>
  <si>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</si>
  <si>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</si>
  <si>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</si>
  <si>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</si>
  <si>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</si>
  <si>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</si>
  <si>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Domaine du Lac de Condé</t>
  </si>
  <si>
    <t>Wecamp Cudillero</t>
  </si>
  <si>
    <t>Asturies</t>
  </si>
  <si>
    <t>Camping La Ferme du Bord de Mer</t>
  </si>
  <si>
    <t>Camping Nature Le Valenty</t>
  </si>
  <si>
    <t>Camping Le Frêche à l'Âne</t>
  </si>
  <si>
    <t>Camping Au Paradis des Campeurs</t>
  </si>
  <si>
    <t>Camping Aan Noordzee</t>
  </si>
  <si>
    <t>Hollande-Septentrionale</t>
  </si>
  <si>
    <t>Camping Porte des Vosges</t>
  </si>
  <si>
    <t>Camping Robersum</t>
  </si>
  <si>
    <t>Groningue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</si>
  <si>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</si>
  <si>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</si>
  <si>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</si>
  <si>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</si>
  <si>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</si>
  <si>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</si>
  <si>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</si>
  <si>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Im Aal</t>
  </si>
  <si>
    <t>Camping Lac des Brenets</t>
  </si>
  <si>
    <t>Neuchâtel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</si>
  <si>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</si>
  <si>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</si>
  <si>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</si>
  <si>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</si>
  <si>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</si>
  <si>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</si>
  <si>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Le Ragis</t>
  </si>
  <si>
    <t>Camping le Cézanne Montagne Sainte-Victoire</t>
  </si>
  <si>
    <t>Ushuaïa Villages - Camping Les Pommiers Pays d'Auge ***</t>
  </si>
  <si>
    <t>Camping Atlantica</t>
  </si>
  <si>
    <t>Camping Paradis Les Amarines</t>
  </si>
  <si>
    <t>Slow Village | La Roque sur Cèze</t>
  </si>
  <si>
    <t>Camping Pueblo Blanco</t>
  </si>
  <si>
    <t>La Vallée des Vignes</t>
  </si>
  <si>
    <t>CAMPING L'ALBATROS</t>
  </si>
  <si>
    <t>YELLOH! VILLAGE - LES BALEARES SON BOU</t>
  </si>
  <si>
    <t>Camping Lentemaheerd</t>
  </si>
  <si>
    <t>Trendcamping Wolfach</t>
  </si>
  <si>
    <t>Camping Le Trèfle à 4 Feuilles</t>
  </si>
  <si>
    <t>Camping Laspaúles</t>
  </si>
  <si>
    <t>Camping Joncar Mar</t>
  </si>
  <si>
    <t>Flower Camping La Beaume</t>
  </si>
  <si>
    <t>Camping ABC am Großensee/Hamburg</t>
  </si>
  <si>
    <t>Camping de la Bonnette</t>
  </si>
  <si>
    <t>Waldbad Isny GmbH &amp; Co. KG</t>
  </si>
  <si>
    <t>Flower Camping Le Bois d'Amour</t>
  </si>
  <si>
    <t>Camping Fargogne</t>
  </si>
  <si>
    <t>Country Park Crécy La Chapelle</t>
  </si>
  <si>
    <t>Camping Begur</t>
  </si>
  <si>
    <t>Camping **La Clé des Champs</t>
  </si>
  <si>
    <t>Camping La Tour de France***</t>
  </si>
  <si>
    <t>Camping Les Hortensias</t>
  </si>
  <si>
    <t xml:space="preserve">Sandaya Etruria </t>
  </si>
  <si>
    <t>Isola dei Gabbiani - Land of water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</si>
  <si>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</si>
  <si>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</si>
  <si>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</si>
  <si>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</si>
  <si>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</si>
  <si>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Campingplatz Eulenburg</t>
  </si>
  <si>
    <t>Camping Pré Vologne</t>
  </si>
  <si>
    <t>Camping La Masseria</t>
  </si>
  <si>
    <t>Camping La Châtaigneraie</t>
  </si>
  <si>
    <t>Camping La Grande Vallée</t>
  </si>
  <si>
    <t>CAMPING MENDI AZPIAN</t>
  </si>
  <si>
    <t>Camping De Grienduil</t>
  </si>
  <si>
    <t>Camping Mille Etoiles</t>
  </si>
  <si>
    <t>Camping La Vallée Heureuse</t>
  </si>
  <si>
    <t>Camping Le Domaine des Jonquilles</t>
  </si>
  <si>
    <t>Alannia Costa Blanca</t>
  </si>
  <si>
    <t xml:space="preserve">Camping Club Médoc Plage - MS Vacances </t>
  </si>
  <si>
    <t>Kompas Camping Nieuwpoort</t>
  </si>
  <si>
    <t>Flandre-Occidentale</t>
  </si>
  <si>
    <t>Camping Sunêlia Le Tropicana</t>
  </si>
  <si>
    <t>Camping Paradis DOMAINE DE BELLEVUE</t>
  </si>
  <si>
    <t>Camping Sandaya L'Estanquet</t>
  </si>
  <si>
    <t>Campo di Liccia</t>
  </si>
  <si>
    <t>Camping Les Arbousiers</t>
  </si>
  <si>
    <t>LES HAUTS D'ALBAS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</si>
  <si>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</si>
  <si>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</si>
  <si>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</si>
  <si>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</si>
  <si>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</si>
  <si>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LA CIGALINE</t>
  </si>
  <si>
    <t>Camping La Forêt Lahitte</t>
  </si>
  <si>
    <t>Camping Lac de Villefort</t>
  </si>
  <si>
    <t>Camping Entre Terre et Mer</t>
  </si>
  <si>
    <t>La Forêt Stella-Plage</t>
  </si>
  <si>
    <t>Camping D'Étival</t>
  </si>
  <si>
    <t>Camping de Sion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</si>
  <si>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</si>
  <si>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</si>
  <si>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</si>
  <si>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</si>
  <si>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</si>
  <si>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</si>
  <si>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</si>
  <si>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</si>
  <si>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</si>
  <si>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Siblu - Les Embruns</t>
  </si>
  <si>
    <t>Camping d'Auberoche</t>
  </si>
  <si>
    <t>Camping L'Orée du Lac</t>
  </si>
  <si>
    <t>Chadotel Le Domaine d'Oléron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</si>
  <si>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</si>
  <si>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</si>
  <si>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</si>
  <si>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</si>
  <si>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</si>
  <si>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</si>
  <si>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</si>
  <si>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</si>
  <si>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</si>
  <si>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</si>
  <si>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</si>
  <si>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</si>
  <si>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Butterfly Camping Village</t>
  </si>
  <si>
    <t>TAIGA Lake Caspe</t>
  </si>
  <si>
    <t>Freizeitpark Am Emsdeich</t>
  </si>
  <si>
    <t>Camping Les Prairies de L'Etang</t>
  </si>
  <si>
    <t>Camping BOIS DE LA CHASSE</t>
  </si>
  <si>
    <t>Camping Résidentiel La Pinède</t>
  </si>
  <si>
    <t>Camping du moulin de Thoard</t>
  </si>
  <si>
    <t>Camping le Merval</t>
  </si>
  <si>
    <t>Village Nature Zen</t>
  </si>
  <si>
    <t>Eurocamping Vessem</t>
  </si>
  <si>
    <t>ROMANEE Belle Henriette</t>
  </si>
  <si>
    <t xml:space="preserve">Henne Strand Resort </t>
  </si>
  <si>
    <t>Danemark-du-Sud</t>
  </si>
  <si>
    <t>Henne Strand</t>
  </si>
  <si>
    <t>Domaine des Pins</t>
  </si>
  <si>
    <t>Camping Le Mont Joli Bois</t>
  </si>
  <si>
    <t>Camping La Pépinière</t>
  </si>
  <si>
    <t>Camping le Pontis</t>
  </si>
  <si>
    <t>Camping de La Falaise</t>
  </si>
  <si>
    <t>Nicoll's Camp/Pins</t>
  </si>
  <si>
    <t>Camping de la Gères</t>
  </si>
  <si>
    <t>Camping le Moulin du Pont d’Alies</t>
  </si>
  <si>
    <t>CAMPING TORRACCIA</t>
  </si>
  <si>
    <t>CosyCamp</t>
  </si>
  <si>
    <t>Bi Village</t>
  </si>
  <si>
    <t>Camping l'Océan</t>
  </si>
  <si>
    <t>Camping - Base de Loisirs La Tuilerie</t>
  </si>
  <si>
    <t>Camping Le Mas de l'Isle</t>
  </si>
  <si>
    <t>Camping Sandaya Belle Plage</t>
  </si>
  <si>
    <t>Camping Homair - Le Saint Louis</t>
  </si>
  <si>
    <t>Alannia Costa Dorada</t>
  </si>
  <si>
    <t>Camping de l'Orival</t>
  </si>
  <si>
    <t xml:space="preserve">Camping CAP LEUCATE  MSS</t>
  </si>
  <si>
    <t>Camping Le Rivage</t>
  </si>
  <si>
    <t>Camping des Barolles</t>
  </si>
  <si>
    <t>Métropole de Lyon</t>
  </si>
  <si>
    <t>Camping l'Orée des Bois</t>
  </si>
  <si>
    <t>Camping Marie France</t>
  </si>
  <si>
    <t>Camping Le Moulin Brûlé</t>
  </si>
  <si>
    <t>Camping Onlycamp Des Petites Roches</t>
  </si>
  <si>
    <t>Huttopia Pays de Condrieu</t>
  </si>
  <si>
    <t>Camping Mandala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</si>
  <si>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</si>
  <si>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</si>
  <si>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</si>
  <si>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</si>
  <si>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</si>
  <si>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Iron Gate Marina 3B</t>
  </si>
  <si>
    <t>Camping Le Mas des Sédariès</t>
  </si>
  <si>
    <t>Camping de la Moselle</t>
  </si>
  <si>
    <t>Camping CROMENACH</t>
  </si>
  <si>
    <t>Flower Camping La Grande Lande</t>
  </si>
  <si>
    <t>WEST CAMPING</t>
  </si>
  <si>
    <t>Camping de Bilouris</t>
  </si>
  <si>
    <t>Camping Homair - Le Soleil de Saint Sieu</t>
  </si>
  <si>
    <t>Camping Gouelet Ker</t>
  </si>
  <si>
    <t>Camping Le Dolmen</t>
  </si>
  <si>
    <t>Camping PRESQU'ILE DE PENERF</t>
  </si>
  <si>
    <t>Camping les Cigognes</t>
  </si>
  <si>
    <t>Les Chalets de Dordogne</t>
  </si>
  <si>
    <t>Lægårdens Camping</t>
  </si>
  <si>
    <t>Region Sjælland</t>
  </si>
  <si>
    <t>Faxe Kommune</t>
  </si>
  <si>
    <t>Camping Kanopée Village</t>
  </si>
  <si>
    <t>Camping Paradis Grand'R</t>
  </si>
  <si>
    <t>Camping Le Montet d'Oléron</t>
  </si>
  <si>
    <t>Campilo</t>
  </si>
  <si>
    <t>Camping Sandaya Mont Saint-Michel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</si>
  <si>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</si>
  <si>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</si>
  <si>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</si>
  <si>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</si>
  <si>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</si>
  <si>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</si>
  <si>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Soulhol</t>
  </si>
  <si>
    <t>Camping du Vignal</t>
  </si>
  <si>
    <t>Camping Sandaya Les Grenettes</t>
  </si>
  <si>
    <t>Camping La Mouette Rieuse</t>
  </si>
  <si>
    <t>Camping Les Samaras</t>
  </si>
  <si>
    <t>Domaine Aigoual Cévennes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</si>
  <si>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</si>
  <si>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</si>
  <si>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</si>
  <si>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</si>
  <si>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</si>
  <si>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</si>
  <si>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</si>
  <si>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Camping Dordogne Las Patrasses</t>
  </si>
  <si>
    <t>Camping Argelès sur Mer - J'aime le camping</t>
  </si>
  <si>
    <t>Camping Maupassant</t>
  </si>
  <si>
    <t>TAIGA Delta de l'Ebre</t>
  </si>
  <si>
    <t>Camping Homair - Côté Mer</t>
  </si>
  <si>
    <t>Flower Camping Les Plages de l'Ain</t>
  </si>
  <si>
    <t>Camping Seasonova Les Marguerites</t>
  </si>
  <si>
    <t>Camping Le Médiéval</t>
  </si>
  <si>
    <t>Horsens City camping ApS</t>
  </si>
  <si>
    <t>Flower Camping de la Corniche</t>
  </si>
  <si>
    <t>Camping Papillon Rochefort</t>
  </si>
  <si>
    <t>Namur</t>
  </si>
  <si>
    <t>Camping Bleu Marine</t>
  </si>
  <si>
    <t>Camping La Coulumière</t>
  </si>
  <si>
    <t>Camping &amp; Bungalows Zumaia</t>
  </si>
  <si>
    <t>Camping le Picardy</t>
  </si>
  <si>
    <t>Camping du Grand Etang de Saint-Estèphe</t>
  </si>
  <si>
    <t>Camping Campo dei Fiori</t>
  </si>
  <si>
    <t>Tigullio Camping Resort</t>
  </si>
  <si>
    <t>Camping Domaine La Plage du Garoustel</t>
  </si>
  <si>
    <t>Resort de Otterberg</t>
  </si>
  <si>
    <t>Camping les Ramiers</t>
  </si>
  <si>
    <t>Camping L'Albizia</t>
  </si>
  <si>
    <t>Camping Tikayan Félix de la Bastide</t>
  </si>
  <si>
    <t>Lilybeo Village Camping &amp; Residence</t>
  </si>
  <si>
    <t>Sicile</t>
  </si>
  <si>
    <t>Trapani</t>
  </si>
  <si>
    <t>Camping des Chavannes</t>
  </si>
  <si>
    <t>Baia Holiday Roma Capitol</t>
  </si>
  <si>
    <t>CAMPING LOU GOURDAN</t>
  </si>
  <si>
    <t>Camping Park Mara</t>
  </si>
  <si>
    <t>Camping Des Randonneurs</t>
  </si>
  <si>
    <t>Camping Domaine Sainte Veziane</t>
  </si>
  <si>
    <t>Camping Le Bois des Ecureuils</t>
  </si>
  <si>
    <t>Camping Pinar de San José</t>
  </si>
  <si>
    <t>Lodges de Blois-Chambord</t>
  </si>
  <si>
    <t>Camping Fautais</t>
  </si>
  <si>
    <t>Siblu – Les Rives de Condrieu</t>
  </si>
  <si>
    <t>Camping Les Cent Chênes</t>
  </si>
  <si>
    <t>Siblu - Mimizan La Plage</t>
  </si>
  <si>
    <t>Camping De Wedze</t>
  </si>
  <si>
    <t>Camping Bleu Mer</t>
  </si>
  <si>
    <t>Camping le Sabia</t>
  </si>
  <si>
    <t>Ushuaïa Villages - Camping Le Parc de la Grève</t>
  </si>
  <si>
    <t>Flower Camping les Tomasses</t>
  </si>
  <si>
    <t>APV Domaine des Guifettes</t>
  </si>
  <si>
    <t>Camping Parc de la Dranse</t>
  </si>
  <si>
    <t>LES FLOTS-ATLANTIQUE ** Village 1</t>
  </si>
  <si>
    <t>Domaine de la Forge - Sea Green by Sunêlia</t>
  </si>
  <si>
    <t>Paradies-Camp</t>
  </si>
  <si>
    <t>Slow Village | Biscarrosse Lac</t>
  </si>
  <si>
    <t>Camping Le Chassiron</t>
  </si>
  <si>
    <t>Village Vacances Chanteduc</t>
  </si>
  <si>
    <t>Camping Park Baita Dolomiti Village</t>
  </si>
  <si>
    <t>Les Bois de Prayssac</t>
  </si>
  <si>
    <t>Camping la Ferme des 4 Chênes</t>
  </si>
  <si>
    <t>Camping Océan Vacances</t>
  </si>
  <si>
    <t>Camping de l'Aix</t>
  </si>
  <si>
    <t>Pineto Beach Village e Camping</t>
  </si>
  <si>
    <t>Camping Du Lac Terre d'Auge, Pont-L'Evêque</t>
  </si>
  <si>
    <t>Camping Bellevue</t>
  </si>
  <si>
    <t>Camping Abijune</t>
  </si>
  <si>
    <t>Flower Camping Les Loges</t>
  </si>
  <si>
    <t>Sivinos Camping Boutique</t>
  </si>
  <si>
    <t>Camping Village Spiaggia Lunga</t>
  </si>
  <si>
    <t>Camping Les Payolles</t>
  </si>
  <si>
    <t>Flower Camping Côté Lac</t>
  </si>
  <si>
    <t>Deux-Sèvres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</si>
  <si>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</si>
  <si>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</si>
  <si>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</si>
  <si>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</si>
  <si>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</si>
  <si>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</si>
  <si>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Milella</t>
  </si>
  <si>
    <t>Camping Les Patis</t>
  </si>
  <si>
    <t>Flower Camping Port de la Chaîne</t>
  </si>
  <si>
    <t>Flower Camping Le Kerarno</t>
  </si>
  <si>
    <t>Camping Ugljan Resort</t>
  </si>
  <si>
    <t>Camping Sandaya Port Manec’h</t>
  </si>
  <si>
    <t>Campingplatz HOCHoben</t>
  </si>
  <si>
    <t>Camping Le Cians</t>
  </si>
  <si>
    <t>Camping de L'Eden</t>
  </si>
  <si>
    <t>Camping Les Portes du Canigou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</si>
  <si>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</si>
  <si>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</si>
  <si>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</si>
  <si>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</si>
  <si>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</si>
  <si>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Agriturismo Malapezza</t>
  </si>
  <si>
    <t>Camping Park Garda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</si>
  <si>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</si>
  <si>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</si>
  <si>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</si>
  <si>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</si>
  <si>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</si>
  <si>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Camper Park Playas de Luz</t>
  </si>
  <si>
    <t>Huelva</t>
  </si>
  <si>
    <t>MCM Beach &amp; Camping</t>
  </si>
  <si>
    <t>Monténégro</t>
  </si>
  <si>
    <t>Ulcinj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</si>
  <si>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</si>
  <si>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</si>
  <si>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</si>
  <si>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</si>
  <si>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</si>
  <si>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</si>
  <si>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</si>
  <si>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</si>
  <si>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Domaine du Palais - Terres de France</t>
  </si>
  <si>
    <t xml:space="preserve">Village Vacances Sandaya Cap Sud </t>
  </si>
  <si>
    <t>Camping Landrezac Plage</t>
  </si>
  <si>
    <t>Camping-Village Kallisté</t>
  </si>
  <si>
    <t>Camping Homair - Le Domaine de la Yole</t>
  </si>
  <si>
    <t>Village Glamping Le Pré Des Chênes</t>
  </si>
  <si>
    <t>Huttopia De Meinweg</t>
  </si>
  <si>
    <t>Huttopia Forêt des Vosges</t>
  </si>
  <si>
    <t xml:space="preserve">Camping le Cottet </t>
  </si>
  <si>
    <t>Camping Verbela village</t>
  </si>
  <si>
    <t>Domaine du Téno</t>
  </si>
  <si>
    <t>Domaine les Cottages de la Baule</t>
  </si>
  <si>
    <t>Camping Vallée de l'Our s.a.r.l.</t>
  </si>
  <si>
    <t>Camping Montorfano</t>
  </si>
  <si>
    <t>Côme</t>
  </si>
  <si>
    <t>Macugnaga Natural Camping</t>
  </si>
  <si>
    <t>Camping Cala Pola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</si>
  <si>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</si>
  <si>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</si>
  <si>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</si>
  <si>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</si>
  <si>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</si>
  <si>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Slow Village | Saint-Cybranet</t>
  </si>
  <si>
    <t>Agricampeggio Abbruzzetti</t>
  </si>
  <si>
    <t>Fermo</t>
  </si>
  <si>
    <t>Camping Le Pinada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</si>
  <si>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</si>
  <si>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</si>
  <si>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</si>
  <si>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</si>
  <si>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</si>
  <si>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</si>
  <si>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le Marais Neuf</t>
  </si>
  <si>
    <t>Camping Homair - Green Park</t>
  </si>
  <si>
    <t>Camping Homair - Paris Est</t>
  </si>
  <si>
    <t>Val-de-Marne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</si>
  <si>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</si>
  <si>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</si>
  <si>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</si>
  <si>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</si>
  <si>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>Flower Camping International de Jablines***</t>
  </si>
  <si>
    <t>Glamping Mooirust</t>
  </si>
  <si>
    <t>L'Étable des Mauges en Anjou</t>
  </si>
  <si>
    <t>Camping Village Nature d'O</t>
  </si>
  <si>
    <t>Domaine Seasonova Saâne et Mer</t>
  </si>
  <si>
    <t>Camping Costabella</t>
  </si>
  <si>
    <t>Camping und Pension Bergheimat</t>
  </si>
  <si>
    <t>Camping aux 4 vues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</si>
  <si>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</si>
  <si>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</si>
  <si>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</si>
  <si>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</si>
  <si>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</si>
  <si>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</si>
  <si>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Clico Chic - Camping Les Chevaliers</t>
  </si>
  <si>
    <t>Camping Port Meleu</t>
  </si>
  <si>
    <t>Camping Le Roc</t>
  </si>
  <si>
    <t>Camping Homair - Le Domaine de Massereau</t>
  </si>
  <si>
    <t>Basecamps</t>
  </si>
  <si>
    <t>Wecamp Cádiz</t>
  </si>
  <si>
    <t xml:space="preserve">Camping Peñíscola </t>
  </si>
  <si>
    <t>TAIGA Bassegoda Park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</si>
  <si>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</si>
  <si>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</si>
  <si>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</si>
  <si>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</si>
  <si>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</si>
  <si>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</si>
  <si>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 xml:space="preserve">Camping Los Olivos de Xivert </t>
  </si>
  <si>
    <t>Wecamp Sao Miguel</t>
  </si>
  <si>
    <t>Portugal</t>
  </si>
  <si>
    <t>Beja</t>
  </si>
  <si>
    <t>Camping Denntal</t>
  </si>
  <si>
    <t>TAIGA Tarifa Valdevaqueros</t>
  </si>
  <si>
    <t xml:space="preserve">Camping Costa del Sol Glamping Village </t>
  </si>
  <si>
    <t>Il Girasole Village</t>
  </si>
  <si>
    <t>Ascoli Piceno</t>
  </si>
  <si>
    <t>Camping Les Manades</t>
  </si>
  <si>
    <t>Camping Reno</t>
  </si>
  <si>
    <t xml:space="preserve"> Camping Le Côte d'Opale </t>
  </si>
  <si>
    <t>Camping Le Village du Bosc</t>
  </si>
  <si>
    <t>Les Jardins de Batipaume</t>
  </si>
  <si>
    <t xml:space="preserve">Camping Le Martinet </t>
  </si>
  <si>
    <t>Campingresort Hinterstoder</t>
  </si>
  <si>
    <t>Bezirk Kirchdorf</t>
  </si>
  <si>
    <t>Camping Seasonova Ensoya</t>
  </si>
  <si>
    <t xml:space="preserve"> Camping Dörpen </t>
  </si>
  <si>
    <t xml:space="preserve">Versants </t>
  </si>
  <si>
    <t>Agricamping La Pietra e l'Ulivo</t>
  </si>
  <si>
    <t>Camping Des Deux Séquoias</t>
  </si>
  <si>
    <t>Camping Lubea</t>
  </si>
  <si>
    <t>Camping Del Padel</t>
  </si>
  <si>
    <t>Camping Homair - La Presqu'Ile du Barcarès</t>
  </si>
  <si>
    <t>Baia Holiday La Gallura</t>
  </si>
  <si>
    <t>Baia Holiday Garda See</t>
  </si>
  <si>
    <t>Camping Homair - Le Domaine du Clarys</t>
  </si>
  <si>
    <t>Camping Homair - Sol à Gogo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</si>
  <si>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</si>
  <si>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</si>
  <si>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</si>
  <si>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</si>
  <si>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</si>
  <si>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</si>
  <si>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</si>
  <si>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03/10/2026 12:08:33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</si>
  <si>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</si>
  <si>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</si>
  <si>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</si>
  <si>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</si>
  <si>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</si>
  <si>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</si>
  <si>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</si>
  <si>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02/10/2026 00h00 - 02/10/2026 23h59</t>
  </si>
  <si>
    <t>Database PsLineIn</t>
  </si>
  <si>
    <t>2902</t>
  </si>
  <si>
    <t>Database PsLineOut</t>
  </si>
  <si>
    <t>1955</t>
  </si>
  <si>
    <t>Database Extraction Duration</t>
  </si>
  <si>
    <t>1,203 seconds</t>
  </si>
  <si>
    <t>C# Calcul Duration</t>
  </si>
  <si>
    <t>0,05 seconds</t>
  </si>
  <si>
    <t>C# ExcelFormating Duration</t>
  </si>
  <si>
    <t>1,656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</si>
</sst>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803</v>
      </c>
      <c r="D3" s="5">
        <v>111</v>
      </c>
      <c r="E3" s="6">
        <v>1487</v>
      </c>
      <c r="F3" s="5">
        <v>726</v>
      </c>
      <c r="G3" s="5">
        <v>78</v>
      </c>
      <c r="H3" s="5">
        <v>293</v>
      </c>
      <c r="I3" s="5">
        <v>136</v>
      </c>
      <c r="J3" s="5">
        <v>111</v>
      </c>
      <c r="K3" s="5">
        <v>105</v>
      </c>
      <c r="L3" s="7">
        <v>0</v>
      </c>
      <c r="M3" s="5">
        <v>38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1399</v>
      </c>
      <c r="U3" s="5">
        <v>679</v>
      </c>
      <c r="V3" s="5">
        <v>74</v>
      </c>
      <c r="W3" s="5">
        <v>269</v>
      </c>
      <c r="X3" s="5">
        <v>131</v>
      </c>
      <c r="Y3" s="5">
        <v>108</v>
      </c>
      <c r="Z3" s="5">
        <v>100</v>
      </c>
      <c r="AA3" s="7">
        <v>0</v>
      </c>
      <c r="AB3" s="5">
        <v>38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1.45</v>
      </c>
      <c r="AK3" s="5">
        <v>1</v>
      </c>
      <c r="AL3" s="5">
        <v>7</v>
      </c>
      <c r="AM3" s="28">
        <v>45.32</v>
      </c>
    </row>
    <row r="4">
      <c r="A4" s="24">
        <v>850</v>
      </c>
      <c r="B4" s="9" t="s">
        <v>28</v>
      </c>
      <c r="C4" s="10">
        <v>11</v>
      </c>
      <c r="D4" s="10">
        <v>11</v>
      </c>
      <c r="E4" s="11">
        <v>19</v>
      </c>
      <c r="F4" s="10">
        <v>19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1.73</v>
      </c>
      <c r="AK4" s="10">
        <v>1</v>
      </c>
      <c r="AL4" s="10">
        <v>3</v>
      </c>
      <c r="AM4" s="29">
        <v>5.11</v>
      </c>
    </row>
    <row r="5">
      <c r="A5" s="23">
        <v>892</v>
      </c>
      <c r="B5" s="4" t="s">
        <v>29</v>
      </c>
      <c r="C5" s="5">
        <v>103</v>
      </c>
      <c r="D5" s="5">
        <v>103</v>
      </c>
      <c r="E5" s="6">
        <v>121</v>
      </c>
      <c r="F5" s="5">
        <v>121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112</v>
      </c>
      <c r="U5" s="5">
        <v>112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4</v>
      </c>
      <c r="AM5" s="28">
        <v>30.19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42</v>
      </c>
      <c r="D7" s="5">
        <v>2</v>
      </c>
      <c r="E7" s="6">
        <v>44</v>
      </c>
      <c r="F7" s="5">
        <v>33</v>
      </c>
      <c r="G7" s="5">
        <v>4</v>
      </c>
      <c r="H7" s="7">
        <v>0</v>
      </c>
      <c r="I7" s="5">
        <v>2</v>
      </c>
      <c r="J7" s="5">
        <v>3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44</v>
      </c>
      <c r="U7" s="5">
        <v>33</v>
      </c>
      <c r="V7" s="5">
        <v>4</v>
      </c>
      <c r="W7" s="7">
        <v>0</v>
      </c>
      <c r="X7" s="5">
        <v>2</v>
      </c>
      <c r="Y7" s="5">
        <v>3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1.05</v>
      </c>
      <c r="AK7" s="5">
        <v>1</v>
      </c>
      <c r="AL7" s="5">
        <v>2</v>
      </c>
      <c r="AM7" s="28">
        <v>0.49</v>
      </c>
    </row>
    <row r="8">
      <c r="A8" s="24">
        <v>1139</v>
      </c>
      <c r="B8" s="9" t="s">
        <v>32</v>
      </c>
      <c r="C8" s="10">
        <v>38</v>
      </c>
      <c r="D8" s="10">
        <v>38</v>
      </c>
      <c r="E8" s="11">
        <v>48</v>
      </c>
      <c r="F8" s="12">
        <v>0</v>
      </c>
      <c r="G8" s="12">
        <v>0</v>
      </c>
      <c r="H8" s="12">
        <v>0</v>
      </c>
      <c r="I8" s="10">
        <v>48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46</v>
      </c>
      <c r="U8" s="12">
        <v>0</v>
      </c>
      <c r="V8" s="12">
        <v>0</v>
      </c>
      <c r="W8" s="12">
        <v>0</v>
      </c>
      <c r="X8" s="10">
        <v>46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1.26</v>
      </c>
      <c r="AK8" s="10">
        <v>1</v>
      </c>
      <c r="AL8" s="10">
        <v>3</v>
      </c>
      <c r="AM8" s="29">
        <v>11.48</v>
      </c>
    </row>
    <row r="9">
      <c r="A9" s="23">
        <v>1172</v>
      </c>
      <c r="B9" s="4" t="s">
        <v>33</v>
      </c>
      <c r="C9" s="5">
        <v>35</v>
      </c>
      <c r="D9" s="5">
        <v>6</v>
      </c>
      <c r="E9" s="6">
        <v>44</v>
      </c>
      <c r="F9" s="5">
        <v>43</v>
      </c>
      <c r="G9" s="7">
        <v>0</v>
      </c>
      <c r="H9" s="7">
        <v>0</v>
      </c>
      <c r="I9" s="7">
        <v>0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36</v>
      </c>
      <c r="U9" s="5">
        <v>35</v>
      </c>
      <c r="V9" s="7">
        <v>0</v>
      </c>
      <c r="W9" s="7">
        <v>0</v>
      </c>
      <c r="X9" s="7">
        <v>0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3</v>
      </c>
      <c r="AM9" s="28">
        <v>1.51</v>
      </c>
    </row>
    <row r="10">
      <c r="A10" s="24">
        <v>1199</v>
      </c>
      <c r="B10" s="9" t="s">
        <v>34</v>
      </c>
      <c r="C10" s="10">
        <v>128</v>
      </c>
      <c r="D10" s="10">
        <v>128</v>
      </c>
      <c r="E10" s="11">
        <v>133</v>
      </c>
      <c r="F10" s="12">
        <v>0</v>
      </c>
      <c r="G10" s="12">
        <v>0</v>
      </c>
      <c r="H10" s="10">
        <v>133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133</v>
      </c>
      <c r="U10" s="12">
        <v>0</v>
      </c>
      <c r="V10" s="12">
        <v>0</v>
      </c>
      <c r="W10" s="10">
        <v>133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1.04</v>
      </c>
      <c r="AK10" s="10">
        <v>1</v>
      </c>
      <c r="AL10" s="10">
        <v>3</v>
      </c>
      <c r="AM10" s="29">
        <v>32.24</v>
      </c>
    </row>
    <row r="11">
      <c r="A11" s="23">
        <v>1213</v>
      </c>
      <c r="B11" s="4" t="s">
        <v>35</v>
      </c>
      <c r="C11" s="5">
        <v>126</v>
      </c>
      <c r="D11" s="5">
        <v>124</v>
      </c>
      <c r="E11" s="6">
        <v>191</v>
      </c>
      <c r="F11" s="7">
        <v>0</v>
      </c>
      <c r="G11" s="7">
        <v>0</v>
      </c>
      <c r="H11" s="7">
        <v>0</v>
      </c>
      <c r="I11" s="5">
        <v>191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185</v>
      </c>
      <c r="U11" s="7">
        <v>0</v>
      </c>
      <c r="V11" s="7">
        <v>0</v>
      </c>
      <c r="W11" s="7">
        <v>0</v>
      </c>
      <c r="X11" s="5">
        <v>185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1.52</v>
      </c>
      <c r="AK11" s="5">
        <v>1</v>
      </c>
      <c r="AL11" s="5">
        <v>19</v>
      </c>
      <c r="AM11" s="28">
        <v>45.36</v>
      </c>
    </row>
    <row r="12">
      <c r="A12" s="24">
        <v>1221</v>
      </c>
      <c r="B12" s="9" t="s">
        <v>36</v>
      </c>
      <c r="C12" s="10">
        <v>46</v>
      </c>
      <c r="D12" s="10">
        <v>46</v>
      </c>
      <c r="E12" s="11">
        <v>50</v>
      </c>
      <c r="F12" s="10">
        <v>8</v>
      </c>
      <c r="G12" s="10">
        <v>1</v>
      </c>
      <c r="H12" s="10">
        <v>7</v>
      </c>
      <c r="I12" s="10">
        <v>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48</v>
      </c>
      <c r="U12" s="10">
        <v>8</v>
      </c>
      <c r="V12" s="10">
        <v>1</v>
      </c>
      <c r="W12" s="10">
        <v>7</v>
      </c>
      <c r="X12" s="10">
        <v>32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1.09</v>
      </c>
      <c r="AK12" s="10">
        <v>1</v>
      </c>
      <c r="AL12" s="10">
        <v>2</v>
      </c>
      <c r="AM12" s="29">
        <v>12.14</v>
      </c>
    </row>
    <row r="13">
      <c r="A13" s="23">
        <v>1222</v>
      </c>
      <c r="B13" s="4" t="s">
        <v>37</v>
      </c>
      <c r="C13" s="5">
        <v>25</v>
      </c>
      <c r="D13" s="5">
        <v>24</v>
      </c>
      <c r="E13" s="6">
        <v>27</v>
      </c>
      <c r="F13" s="5">
        <v>27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27</v>
      </c>
      <c r="U13" s="5">
        <v>27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1.08</v>
      </c>
      <c r="AK13" s="5">
        <v>1</v>
      </c>
      <c r="AL13" s="5">
        <v>2</v>
      </c>
      <c r="AM13" s="28">
        <v>9.47</v>
      </c>
    </row>
    <row r="14">
      <c r="A14" s="24">
        <v>1254</v>
      </c>
      <c r="B14" s="9" t="s">
        <v>38</v>
      </c>
      <c r="C14" s="10">
        <v>11</v>
      </c>
      <c r="D14" s="10">
        <v>11</v>
      </c>
      <c r="E14" s="11">
        <v>140</v>
      </c>
      <c r="F14" s="12">
        <v>0</v>
      </c>
      <c r="G14" s="12">
        <v>0</v>
      </c>
      <c r="H14" s="12">
        <v>0</v>
      </c>
      <c r="I14" s="10">
        <v>140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133</v>
      </c>
      <c r="U14" s="12">
        <v>0</v>
      </c>
      <c r="V14" s="12">
        <v>0</v>
      </c>
      <c r="W14" s="12">
        <v>0</v>
      </c>
      <c r="X14" s="10">
        <v>133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12.73</v>
      </c>
      <c r="AK14" s="10">
        <v>1</v>
      </c>
      <c r="AL14" s="10">
        <v>122</v>
      </c>
      <c r="AM14" s="29">
        <v>34.38</v>
      </c>
    </row>
    <row r="15">
      <c r="A15" s="23">
        <v>1293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0.26</v>
      </c>
    </row>
    <row r="16">
      <c r="A16" s="24">
        <v>1379</v>
      </c>
      <c r="B16" s="9" t="s">
        <v>40</v>
      </c>
      <c r="C16" s="10">
        <v>99</v>
      </c>
      <c r="D16" s="10">
        <v>99</v>
      </c>
      <c r="E16" s="11">
        <v>147</v>
      </c>
      <c r="F16" s="12">
        <v>0</v>
      </c>
      <c r="G16" s="12">
        <v>0</v>
      </c>
      <c r="H16" s="12">
        <v>0</v>
      </c>
      <c r="I16" s="10">
        <v>147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140</v>
      </c>
      <c r="U16" s="12">
        <v>0</v>
      </c>
      <c r="V16" s="12">
        <v>0</v>
      </c>
      <c r="W16" s="12">
        <v>0</v>
      </c>
      <c r="X16" s="10">
        <v>140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1.48</v>
      </c>
      <c r="AK16" s="10">
        <v>1</v>
      </c>
      <c r="AL16" s="10">
        <v>7</v>
      </c>
      <c r="AM16" s="29">
        <v>35.5</v>
      </c>
    </row>
    <row r="17">
      <c r="A17" s="23">
        <v>1423</v>
      </c>
      <c r="B17" s="4" t="s">
        <v>41</v>
      </c>
      <c r="C17" s="5">
        <v>14</v>
      </c>
      <c r="D17" s="5">
        <v>14</v>
      </c>
      <c r="E17" s="6">
        <v>62</v>
      </c>
      <c r="F17" s="7">
        <v>0</v>
      </c>
      <c r="G17" s="7">
        <v>0</v>
      </c>
      <c r="H17" s="7">
        <v>0</v>
      </c>
      <c r="I17" s="5">
        <v>62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62</v>
      </c>
      <c r="U17" s="7">
        <v>0</v>
      </c>
      <c r="V17" s="7">
        <v>0</v>
      </c>
      <c r="W17" s="7">
        <v>0</v>
      </c>
      <c r="X17" s="5">
        <v>62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4.43</v>
      </c>
      <c r="AK17" s="5">
        <v>1</v>
      </c>
      <c r="AL17" s="5">
        <v>43</v>
      </c>
      <c r="AM17" s="28">
        <v>15.09</v>
      </c>
    </row>
    <row r="18">
      <c r="A18" s="24">
        <v>1445</v>
      </c>
      <c r="B18" s="9" t="s">
        <v>42</v>
      </c>
      <c r="C18" s="10">
        <v>7</v>
      </c>
      <c r="D18" s="12">
        <v>0</v>
      </c>
      <c r="E18" s="11">
        <v>9</v>
      </c>
      <c r="F18" s="10">
        <v>7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8</v>
      </c>
      <c r="U18" s="10">
        <v>6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1.12</v>
      </c>
      <c r="AK18" s="10">
        <v>1</v>
      </c>
      <c r="AL18" s="10">
        <v>2</v>
      </c>
      <c r="AM18" s="30">
        <v>0</v>
      </c>
    </row>
    <row r="19">
      <c r="A19" s="23">
        <v>1538</v>
      </c>
      <c r="B19" s="4" t="s">
        <v>43</v>
      </c>
      <c r="C19" s="5">
        <v>58</v>
      </c>
      <c r="D19" s="5">
        <v>57</v>
      </c>
      <c r="E19" s="6">
        <v>80</v>
      </c>
      <c r="F19" s="7">
        <v>0</v>
      </c>
      <c r="G19" s="7">
        <v>0</v>
      </c>
      <c r="H19" s="7">
        <v>0</v>
      </c>
      <c r="I19" s="5">
        <v>80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77</v>
      </c>
      <c r="U19" s="7">
        <v>0</v>
      </c>
      <c r="V19" s="7">
        <v>0</v>
      </c>
      <c r="W19" s="7">
        <v>0</v>
      </c>
      <c r="X19" s="5">
        <v>77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1.38</v>
      </c>
      <c r="AK19" s="5">
        <v>1</v>
      </c>
      <c r="AL19" s="5">
        <v>8</v>
      </c>
      <c r="AM19" s="28">
        <v>17.44</v>
      </c>
    </row>
    <row r="20">
      <c r="A20" s="24">
        <v>1539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1552</v>
      </c>
      <c r="B21" s="4" t="s">
        <v>45</v>
      </c>
      <c r="C21" s="5">
        <v>22</v>
      </c>
      <c r="D21" s="5">
        <v>2</v>
      </c>
      <c r="E21" s="6">
        <v>26</v>
      </c>
      <c r="F21" s="5">
        <v>1</v>
      </c>
      <c r="G21" s="7">
        <v>0</v>
      </c>
      <c r="H21" s="5">
        <v>25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23</v>
      </c>
      <c r="U21" s="5">
        <v>1</v>
      </c>
      <c r="V21" s="7">
        <v>0</v>
      </c>
      <c r="W21" s="5">
        <v>22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1.18</v>
      </c>
      <c r="AK21" s="5">
        <v>1</v>
      </c>
      <c r="AL21" s="5">
        <v>2</v>
      </c>
      <c r="AM21" s="28">
        <v>0.6</v>
      </c>
    </row>
    <row r="22">
      <c r="A22" s="24">
        <v>1559</v>
      </c>
      <c r="B22" s="9" t="s">
        <v>46</v>
      </c>
      <c r="C22" s="10">
        <v>40</v>
      </c>
      <c r="D22" s="10">
        <v>40</v>
      </c>
      <c r="E22" s="11">
        <v>125</v>
      </c>
      <c r="F22" s="12">
        <v>0</v>
      </c>
      <c r="G22" s="12">
        <v>0</v>
      </c>
      <c r="H22" s="12">
        <v>0</v>
      </c>
      <c r="I22" s="10">
        <v>125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114</v>
      </c>
      <c r="U22" s="12">
        <v>0</v>
      </c>
      <c r="V22" s="12">
        <v>0</v>
      </c>
      <c r="W22" s="12">
        <v>0</v>
      </c>
      <c r="X22" s="10">
        <v>114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3.12</v>
      </c>
      <c r="AK22" s="10">
        <v>1</v>
      </c>
      <c r="AL22" s="10">
        <v>50</v>
      </c>
      <c r="AM22" s="29">
        <v>28.59</v>
      </c>
    </row>
    <row r="23">
      <c r="A23" s="23">
        <v>1603</v>
      </c>
      <c r="B23" s="4" t="s">
        <v>47</v>
      </c>
      <c r="C23" s="5">
        <v>2</v>
      </c>
      <c r="D23" s="7">
        <v>0</v>
      </c>
      <c r="E23" s="6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1">
        <v>0</v>
      </c>
    </row>
    <row r="24">
      <c r="A24" s="24">
        <v>1750</v>
      </c>
      <c r="B24" s="9" t="s">
        <v>48</v>
      </c>
      <c r="C24" s="10">
        <v>2</v>
      </c>
      <c r="D24" s="10">
        <v>1</v>
      </c>
      <c r="E24" s="11">
        <v>2</v>
      </c>
      <c r="F24" s="12">
        <v>0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</v>
      </c>
      <c r="U24" s="12">
        <v>0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0.25</v>
      </c>
    </row>
    <row r="25">
      <c r="A25" s="23">
        <v>1761</v>
      </c>
      <c r="B25" s="4" t="s">
        <v>49</v>
      </c>
      <c r="C25" s="5">
        <v>9</v>
      </c>
      <c r="D25" s="5">
        <v>7</v>
      </c>
      <c r="E25" s="6">
        <v>11</v>
      </c>
      <c r="F25" s="7">
        <v>0</v>
      </c>
      <c r="G25" s="7">
        <v>0</v>
      </c>
      <c r="H25" s="7">
        <v>0</v>
      </c>
      <c r="I25" s="5">
        <v>11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11</v>
      </c>
      <c r="U25" s="7">
        <v>0</v>
      </c>
      <c r="V25" s="7">
        <v>0</v>
      </c>
      <c r="W25" s="7">
        <v>0</v>
      </c>
      <c r="X25" s="5">
        <v>11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1.22</v>
      </c>
      <c r="AK25" s="5">
        <v>1</v>
      </c>
      <c r="AL25" s="5">
        <v>2</v>
      </c>
      <c r="AM25" s="28">
        <v>2.39</v>
      </c>
    </row>
    <row r="26">
      <c r="A26" s="24">
        <v>1779</v>
      </c>
      <c r="B26" s="9" t="s">
        <v>50</v>
      </c>
      <c r="C26" s="10">
        <v>15</v>
      </c>
      <c r="D26" s="10">
        <v>15</v>
      </c>
      <c r="E26" s="11">
        <v>18</v>
      </c>
      <c r="F26" s="12">
        <v>0</v>
      </c>
      <c r="G26" s="12">
        <v>0</v>
      </c>
      <c r="H26" s="12">
        <v>0</v>
      </c>
      <c r="I26" s="10">
        <v>18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18</v>
      </c>
      <c r="U26" s="12">
        <v>0</v>
      </c>
      <c r="V26" s="12">
        <v>0</v>
      </c>
      <c r="W26" s="12">
        <v>0</v>
      </c>
      <c r="X26" s="10">
        <v>18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4</v>
      </c>
      <c r="AM26" s="29">
        <v>4.51</v>
      </c>
    </row>
    <row r="27">
      <c r="A27" s="23">
        <v>1937</v>
      </c>
      <c r="B27" s="4" t="s">
        <v>51</v>
      </c>
      <c r="C27" s="5">
        <v>9</v>
      </c>
      <c r="D27" s="5">
        <v>5</v>
      </c>
      <c r="E27" s="6">
        <v>10</v>
      </c>
      <c r="F27" s="5">
        <v>10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9</v>
      </c>
      <c r="U27" s="5">
        <v>9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1.11</v>
      </c>
      <c r="AK27" s="5">
        <v>1</v>
      </c>
      <c r="AL27" s="5">
        <v>2</v>
      </c>
      <c r="AM27" s="28">
        <v>1.26</v>
      </c>
    </row>
    <row r="28">
      <c r="A28" s="24">
        <v>1939</v>
      </c>
      <c r="B28" s="9" t="s">
        <v>52</v>
      </c>
      <c r="C28" s="10">
        <v>11</v>
      </c>
      <c r="D28" s="10">
        <v>9</v>
      </c>
      <c r="E28" s="11">
        <v>13</v>
      </c>
      <c r="F28" s="12">
        <v>0</v>
      </c>
      <c r="G28" s="12">
        <v>0</v>
      </c>
      <c r="H28" s="10">
        <v>13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11</v>
      </c>
      <c r="U28" s="12">
        <v>0</v>
      </c>
      <c r="V28" s="12">
        <v>0</v>
      </c>
      <c r="W28" s="10">
        <v>11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1.18</v>
      </c>
      <c r="AK28" s="10">
        <v>1</v>
      </c>
      <c r="AL28" s="10">
        <v>3</v>
      </c>
      <c r="AM28" s="29">
        <v>2.23</v>
      </c>
    </row>
    <row r="29">
      <c r="A29" s="23">
        <v>1985</v>
      </c>
      <c r="B29" s="4" t="s">
        <v>53</v>
      </c>
      <c r="C29" s="5">
        <v>23</v>
      </c>
      <c r="D29" s="5">
        <v>22</v>
      </c>
      <c r="E29" s="6">
        <v>27</v>
      </c>
      <c r="F29" s="5">
        <v>27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27</v>
      </c>
      <c r="U29" s="5">
        <v>27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6.51</v>
      </c>
    </row>
    <row r="30">
      <c r="A30" s="24">
        <v>1988</v>
      </c>
      <c r="B30" s="9" t="s">
        <v>54</v>
      </c>
      <c r="C30" s="10">
        <v>35</v>
      </c>
      <c r="D30" s="10">
        <v>34</v>
      </c>
      <c r="E30" s="11">
        <v>45</v>
      </c>
      <c r="F30" s="12">
        <v>0</v>
      </c>
      <c r="G30" s="10">
        <v>45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40</v>
      </c>
      <c r="U30" s="12">
        <v>0</v>
      </c>
      <c r="V30" s="10">
        <v>40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1.29</v>
      </c>
      <c r="AK30" s="10">
        <v>1</v>
      </c>
      <c r="AL30" s="10">
        <v>4</v>
      </c>
      <c r="AM30" s="29">
        <v>12.27</v>
      </c>
    </row>
    <row r="31">
      <c r="A31" s="23">
        <v>2063</v>
      </c>
      <c r="B31" s="4" t="s">
        <v>55</v>
      </c>
      <c r="C31" s="5">
        <v>1</v>
      </c>
      <c r="D31" s="5">
        <v>1</v>
      </c>
      <c r="E31" s="6">
        <v>3</v>
      </c>
      <c r="F31" s="7">
        <v>0</v>
      </c>
      <c r="G31" s="7">
        <v>0</v>
      </c>
      <c r="H31" s="7">
        <v>0</v>
      </c>
      <c r="I31" s="5">
        <v>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3</v>
      </c>
      <c r="U31" s="7">
        <v>0</v>
      </c>
      <c r="V31" s="7">
        <v>0</v>
      </c>
      <c r="W31" s="7">
        <v>0</v>
      </c>
      <c r="X31" s="5">
        <v>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3</v>
      </c>
      <c r="AJ31" s="8">
        <v>3</v>
      </c>
      <c r="AK31" s="5">
        <v>3</v>
      </c>
      <c r="AL31" s="5">
        <v>3</v>
      </c>
      <c r="AM31" s="28">
        <v>0.78</v>
      </c>
    </row>
    <row r="32">
      <c r="A32" s="25">
        <v>2072</v>
      </c>
      <c r="B32" s="16" t="s">
        <v>56</v>
      </c>
      <c r="C32" s="17">
        <v>15</v>
      </c>
      <c r="D32" s="17">
        <v>15</v>
      </c>
      <c r="E32" s="18">
        <v>15</v>
      </c>
      <c r="F32" s="19">
        <v>0</v>
      </c>
      <c r="G32" s="17">
        <v>15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15</v>
      </c>
      <c r="U32" s="19">
        <v>0</v>
      </c>
      <c r="V32" s="17">
        <v>15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</v>
      </c>
      <c r="AK32" s="17">
        <v>1</v>
      </c>
      <c r="AL32" s="17">
        <v>1</v>
      </c>
      <c r="AM32" s="32">
        <v>3.79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0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</v>
      </c>
      <c r="G3" s="7">
        <v>0</v>
      </c>
      <c r="H3" s="7">
        <v>0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7">
        <v>0</v>
      </c>
      <c r="W3" s="7">
        <v>0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30">
        <v>0</v>
      </c>
    </row>
    <row r="5">
      <c r="A5" s="23">
        <v>57</v>
      </c>
      <c r="B5" s="4" t="s">
        <v>70</v>
      </c>
      <c r="C5" s="4" t="s">
        <v>64</v>
      </c>
      <c r="D5" s="4" t="s">
        <v>68</v>
      </c>
      <c r="E5" s="4" t="s">
        <v>71</v>
      </c>
      <c r="F5" s="6">
        <v>4</v>
      </c>
      <c r="G5" s="5">
        <v>2</v>
      </c>
      <c r="H5" s="7">
        <v>0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4</v>
      </c>
      <c r="V5" s="5">
        <v>2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72</v>
      </c>
      <c r="C6" s="9" t="s">
        <v>64</v>
      </c>
      <c r="D6" s="9" t="s">
        <v>73</v>
      </c>
      <c r="E6" s="9" t="s">
        <v>74</v>
      </c>
      <c r="F6" s="11">
        <v>3</v>
      </c>
      <c r="G6" s="12">
        <v>0</v>
      </c>
      <c r="H6" s="10">
        <v>1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2">
        <v>0</v>
      </c>
      <c r="W6" s="10">
        <v>1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0.75</v>
      </c>
    </row>
    <row r="7">
      <c r="A7" s="23">
        <v>111</v>
      </c>
      <c r="B7" s="4" t="s">
        <v>75</v>
      </c>
      <c r="C7" s="4" t="s">
        <v>64</v>
      </c>
      <c r="D7" s="4" t="s">
        <v>76</v>
      </c>
      <c r="E7" s="4" t="s">
        <v>77</v>
      </c>
      <c r="F7" s="6">
        <v>10</v>
      </c>
      <c r="G7" s="5">
        <v>2</v>
      </c>
      <c r="H7" s="7">
        <v>0</v>
      </c>
      <c r="I7" s="5">
        <v>2</v>
      </c>
      <c r="J7" s="5">
        <v>5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10</v>
      </c>
      <c r="V7" s="5">
        <v>2</v>
      </c>
      <c r="W7" s="7">
        <v>0</v>
      </c>
      <c r="X7" s="5">
        <v>2</v>
      </c>
      <c r="Y7" s="5">
        <v>5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28">
        <v>0.75</v>
      </c>
    </row>
    <row r="8">
      <c r="A8" s="24">
        <v>112</v>
      </c>
      <c r="B8" s="9" t="s">
        <v>78</v>
      </c>
      <c r="C8" s="9" t="s">
        <v>64</v>
      </c>
      <c r="D8" s="9" t="s">
        <v>76</v>
      </c>
      <c r="E8" s="9" t="s">
        <v>77</v>
      </c>
      <c r="F8" s="11">
        <v>1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142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3</v>
      </c>
      <c r="G9" s="7">
        <v>0</v>
      </c>
      <c r="H9" s="5">
        <v>1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3</v>
      </c>
      <c r="V9" s="7">
        <v>0</v>
      </c>
      <c r="W9" s="5">
        <v>1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0.25</v>
      </c>
    </row>
    <row r="10">
      <c r="A10" s="24">
        <v>152</v>
      </c>
      <c r="B10" s="9" t="s">
        <v>82</v>
      </c>
      <c r="C10" s="9" t="s">
        <v>64</v>
      </c>
      <c r="D10" s="9" t="s">
        <v>83</v>
      </c>
      <c r="E10" s="9" t="s">
        <v>84</v>
      </c>
      <c r="F10" s="11">
        <v>3</v>
      </c>
      <c r="G10" s="12">
        <v>0</v>
      </c>
      <c r="H10" s="10">
        <v>2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</v>
      </c>
      <c r="V10" s="12">
        <v>0</v>
      </c>
      <c r="W10" s="10">
        <v>2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29">
        <v>0.25</v>
      </c>
    </row>
    <row r="11">
      <c r="A11" s="23">
        <v>154</v>
      </c>
      <c r="B11" s="4" t="s">
        <v>85</v>
      </c>
      <c r="C11" s="4" t="s">
        <v>64</v>
      </c>
      <c r="D11" s="4" t="s">
        <v>80</v>
      </c>
      <c r="E11" s="4" t="s">
        <v>86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158</v>
      </c>
      <c r="B12" s="9" t="s">
        <v>87</v>
      </c>
      <c r="C12" s="9" t="s">
        <v>64</v>
      </c>
      <c r="D12" s="9" t="s">
        <v>88</v>
      </c>
      <c r="E12" s="9" t="s">
        <v>89</v>
      </c>
      <c r="F12" s="11">
        <v>3</v>
      </c>
      <c r="G12" s="12">
        <v>0</v>
      </c>
      <c r="H12" s="10">
        <v>2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2">
        <v>0</v>
      </c>
      <c r="W12" s="10">
        <v>2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0.75</v>
      </c>
    </row>
    <row r="13">
      <c r="A13" s="23">
        <v>159</v>
      </c>
      <c r="B13" s="4" t="s">
        <v>90</v>
      </c>
      <c r="C13" s="4" t="s">
        <v>64</v>
      </c>
      <c r="D13" s="4" t="s">
        <v>91</v>
      </c>
      <c r="E13" s="4" t="s">
        <v>92</v>
      </c>
      <c r="F13" s="6">
        <v>7</v>
      </c>
      <c r="G13" s="5">
        <v>3</v>
      </c>
      <c r="H13" s="5">
        <v>1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5">
        <v>2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7</v>
      </c>
      <c r="V13" s="5">
        <v>3</v>
      </c>
      <c r="W13" s="5">
        <v>1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5">
        <v>2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1.75</v>
      </c>
      <c r="AL13" s="5">
        <v>1</v>
      </c>
      <c r="AM13" s="5">
        <v>3</v>
      </c>
      <c r="AN13" s="31">
        <v>0</v>
      </c>
    </row>
    <row r="14">
      <c r="A14" s="24">
        <v>161</v>
      </c>
      <c r="B14" s="9" t="s">
        <v>93</v>
      </c>
      <c r="C14" s="9" t="s">
        <v>64</v>
      </c>
      <c r="D14" s="9" t="s">
        <v>80</v>
      </c>
      <c r="E14" s="9" t="s">
        <v>94</v>
      </c>
      <c r="F14" s="11">
        <v>4</v>
      </c>
      <c r="G14" s="10">
        <v>3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0">
        <v>2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30">
        <v>0</v>
      </c>
    </row>
    <row r="15">
      <c r="A15" s="23">
        <v>162</v>
      </c>
      <c r="B15" s="4" t="s">
        <v>95</v>
      </c>
      <c r="C15" s="4" t="s">
        <v>64</v>
      </c>
      <c r="D15" s="4" t="s">
        <v>73</v>
      </c>
      <c r="E15" s="4" t="s">
        <v>96</v>
      </c>
      <c r="F15" s="6">
        <v>6</v>
      </c>
      <c r="G15" s="5">
        <v>4</v>
      </c>
      <c r="H15" s="5">
        <v>1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6</v>
      </c>
      <c r="V15" s="5">
        <v>4</v>
      </c>
      <c r="W15" s="5">
        <v>1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3</v>
      </c>
      <c r="AN15" s="31">
        <v>0</v>
      </c>
    </row>
    <row r="16">
      <c r="A16" s="24">
        <v>164</v>
      </c>
      <c r="B16" s="9" t="s">
        <v>97</v>
      </c>
      <c r="C16" s="9" t="s">
        <v>64</v>
      </c>
      <c r="D16" s="9" t="s">
        <v>83</v>
      </c>
      <c r="E16" s="9" t="s">
        <v>98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167</v>
      </c>
      <c r="B17" s="4" t="s">
        <v>99</v>
      </c>
      <c r="C17" s="4" t="s">
        <v>64</v>
      </c>
      <c r="D17" s="4" t="s">
        <v>83</v>
      </c>
      <c r="E17" s="4" t="s">
        <v>98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0.26</v>
      </c>
    </row>
    <row r="18">
      <c r="A18" s="24">
        <v>168</v>
      </c>
      <c r="B18" s="9" t="s">
        <v>100</v>
      </c>
      <c r="C18" s="9" t="s">
        <v>64</v>
      </c>
      <c r="D18" s="9" t="s">
        <v>83</v>
      </c>
      <c r="E18" s="9" t="s">
        <v>98</v>
      </c>
      <c r="F18" s="11">
        <v>4</v>
      </c>
      <c r="G18" s="10">
        <v>2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0.5</v>
      </c>
    </row>
    <row r="19">
      <c r="A19" s="23">
        <v>171</v>
      </c>
      <c r="B19" s="4" t="s">
        <v>101</v>
      </c>
      <c r="C19" s="4" t="s">
        <v>64</v>
      </c>
      <c r="D19" s="4" t="s">
        <v>73</v>
      </c>
      <c r="E19" s="4" t="s">
        <v>74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1">
        <v>0</v>
      </c>
    </row>
    <row r="20">
      <c r="A20" s="24">
        <v>186</v>
      </c>
      <c r="B20" s="9" t="s">
        <v>102</v>
      </c>
      <c r="C20" s="9" t="s">
        <v>64</v>
      </c>
      <c r="D20" s="9" t="s">
        <v>103</v>
      </c>
      <c r="E20" s="9" t="s">
        <v>104</v>
      </c>
      <c r="F20" s="11">
        <v>1</v>
      </c>
      <c r="G20" s="12">
        <v>0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2">
        <v>0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188</v>
      </c>
      <c r="B21" s="4" t="s">
        <v>105</v>
      </c>
      <c r="C21" s="4" t="s">
        <v>64</v>
      </c>
      <c r="D21" s="4" t="s">
        <v>68</v>
      </c>
      <c r="E21" s="4" t="s">
        <v>69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1">
        <v>0</v>
      </c>
    </row>
    <row r="22">
      <c r="A22" s="24">
        <v>191</v>
      </c>
      <c r="B22" s="9" t="s">
        <v>106</v>
      </c>
      <c r="C22" s="9" t="s">
        <v>64</v>
      </c>
      <c r="D22" s="9" t="s">
        <v>107</v>
      </c>
      <c r="E22" s="9" t="s">
        <v>108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193</v>
      </c>
      <c r="B23" s="4" t="s">
        <v>109</v>
      </c>
      <c r="C23" s="4" t="s">
        <v>64</v>
      </c>
      <c r="D23" s="4" t="s">
        <v>110</v>
      </c>
      <c r="E23" s="4" t="s">
        <v>111</v>
      </c>
      <c r="F23" s="6">
        <v>3</v>
      </c>
      <c r="G23" s="5">
        <v>1</v>
      </c>
      <c r="H23" s="5">
        <v>1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5">
        <v>1</v>
      </c>
      <c r="W23" s="5">
        <v>1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200</v>
      </c>
      <c r="B24" s="9" t="s">
        <v>112</v>
      </c>
      <c r="C24" s="9" t="s">
        <v>64</v>
      </c>
      <c r="D24" s="9" t="s">
        <v>107</v>
      </c>
      <c r="E24" s="9" t="s">
        <v>113</v>
      </c>
      <c r="F24" s="11">
        <v>3</v>
      </c>
      <c r="G24" s="10">
        <v>2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3</v>
      </c>
      <c r="V24" s="10">
        <v>2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0.5</v>
      </c>
    </row>
    <row r="25">
      <c r="A25" s="23">
        <v>202</v>
      </c>
      <c r="B25" s="4" t="s">
        <v>114</v>
      </c>
      <c r="C25" s="4" t="s">
        <v>64</v>
      </c>
      <c r="D25" s="4" t="s">
        <v>80</v>
      </c>
      <c r="E25" s="4" t="s">
        <v>94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208</v>
      </c>
      <c r="B26" s="9" t="s">
        <v>115</v>
      </c>
      <c r="C26" s="9" t="s">
        <v>64</v>
      </c>
      <c r="D26" s="9" t="s">
        <v>110</v>
      </c>
      <c r="E26" s="9" t="s">
        <v>111</v>
      </c>
      <c r="F26" s="11">
        <v>4</v>
      </c>
      <c r="G26" s="12">
        <v>0</v>
      </c>
      <c r="H26" s="12">
        <v>0</v>
      </c>
      <c r="I26" s="12">
        <v>0</v>
      </c>
      <c r="J26" s="10">
        <v>3</v>
      </c>
      <c r="K26" s="12">
        <v>0</v>
      </c>
      <c r="L26" s="10">
        <v>1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4</v>
      </c>
      <c r="V26" s="12">
        <v>0</v>
      </c>
      <c r="W26" s="12">
        <v>0</v>
      </c>
      <c r="X26" s="12">
        <v>0</v>
      </c>
      <c r="Y26" s="10">
        <v>3</v>
      </c>
      <c r="Z26" s="12">
        <v>0</v>
      </c>
      <c r="AA26" s="10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0.75</v>
      </c>
    </row>
    <row r="27">
      <c r="A27" s="23">
        <v>213</v>
      </c>
      <c r="B27" s="4" t="s">
        <v>116</v>
      </c>
      <c r="C27" s="4" t="s">
        <v>64</v>
      </c>
      <c r="D27" s="4" t="s">
        <v>110</v>
      </c>
      <c r="E27" s="4" t="s">
        <v>117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214</v>
      </c>
      <c r="B28" s="9" t="s">
        <v>118</v>
      </c>
      <c r="C28" s="9" t="s">
        <v>64</v>
      </c>
      <c r="D28" s="9" t="s">
        <v>76</v>
      </c>
      <c r="E28" s="9" t="s">
        <v>119</v>
      </c>
      <c r="F28" s="11">
        <v>2</v>
      </c>
      <c r="G28" s="10">
        <v>1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217</v>
      </c>
      <c r="B29" s="4" t="s">
        <v>120</v>
      </c>
      <c r="C29" s="4" t="s">
        <v>64</v>
      </c>
      <c r="D29" s="4" t="s">
        <v>110</v>
      </c>
      <c r="E29" s="4" t="s">
        <v>121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218</v>
      </c>
      <c r="B30" s="9" t="s">
        <v>122</v>
      </c>
      <c r="C30" s="9" t="s">
        <v>64</v>
      </c>
      <c r="D30" s="9" t="s">
        <v>80</v>
      </c>
      <c r="E30" s="9" t="s">
        <v>94</v>
      </c>
      <c r="F30" s="11">
        <v>2</v>
      </c>
      <c r="G30" s="12">
        <v>0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2">
        <v>0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29">
        <v>0.5</v>
      </c>
    </row>
    <row r="31">
      <c r="A31" s="23">
        <v>221</v>
      </c>
      <c r="B31" s="4" t="s">
        <v>123</v>
      </c>
      <c r="C31" s="4" t="s">
        <v>64</v>
      </c>
      <c r="D31" s="4" t="s">
        <v>88</v>
      </c>
      <c r="E31" s="4" t="s">
        <v>89</v>
      </c>
      <c r="F31" s="6">
        <v>5</v>
      </c>
      <c r="G31" s="7">
        <v>0</v>
      </c>
      <c r="H31" s="7">
        <v>0</v>
      </c>
      <c r="I31" s="5">
        <v>1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5</v>
      </c>
      <c r="V31" s="7">
        <v>0</v>
      </c>
      <c r="W31" s="7">
        <v>0</v>
      </c>
      <c r="X31" s="5">
        <v>1</v>
      </c>
      <c r="Y31" s="5">
        <v>4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2</v>
      </c>
      <c r="AM31" s="5">
        <v>2</v>
      </c>
      <c r="AN31" s="28">
        <v>1</v>
      </c>
    </row>
    <row r="32">
      <c r="A32" s="24">
        <v>225</v>
      </c>
      <c r="B32" s="9" t="s">
        <v>124</v>
      </c>
      <c r="C32" s="9" t="s">
        <v>64</v>
      </c>
      <c r="D32" s="9" t="s">
        <v>76</v>
      </c>
      <c r="E32" s="9" t="s">
        <v>125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</v>
      </c>
      <c r="V32" s="12">
        <v>0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</v>
      </c>
    </row>
    <row r="33">
      <c r="A33" s="23">
        <v>226</v>
      </c>
      <c r="B33" s="4" t="s">
        <v>126</v>
      </c>
      <c r="C33" s="4" t="s">
        <v>64</v>
      </c>
      <c r="D33" s="4" t="s">
        <v>110</v>
      </c>
      <c r="E33" s="4" t="s">
        <v>127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1">
        <v>0</v>
      </c>
    </row>
    <row r="34">
      <c r="A34" s="24">
        <v>227</v>
      </c>
      <c r="B34" s="9" t="s">
        <v>128</v>
      </c>
      <c r="C34" s="9" t="s">
        <v>64</v>
      </c>
      <c r="D34" s="9" t="s">
        <v>129</v>
      </c>
      <c r="E34" s="9" t="s">
        <v>130</v>
      </c>
      <c r="F34" s="11">
        <v>3</v>
      </c>
      <c r="G34" s="10">
        <v>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3</v>
      </c>
      <c r="V34" s="10">
        <v>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30">
        <v>0</v>
      </c>
    </row>
    <row r="35">
      <c r="A35" s="23">
        <v>228</v>
      </c>
      <c r="B35" s="4" t="s">
        <v>131</v>
      </c>
      <c r="C35" s="4" t="s">
        <v>64</v>
      </c>
      <c r="D35" s="4" t="s">
        <v>132</v>
      </c>
      <c r="E35" s="4" t="s">
        <v>133</v>
      </c>
      <c r="F35" s="6">
        <v>2</v>
      </c>
      <c r="G35" s="5">
        <v>1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</v>
      </c>
      <c r="V35" s="5">
        <v>1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1">
        <v>0</v>
      </c>
    </row>
    <row r="36">
      <c r="A36" s="24">
        <v>230</v>
      </c>
      <c r="B36" s="9" t="s">
        <v>134</v>
      </c>
      <c r="C36" s="9" t="s">
        <v>64</v>
      </c>
      <c r="D36" s="9" t="s">
        <v>80</v>
      </c>
      <c r="E36" s="9" t="s">
        <v>135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0.35</v>
      </c>
    </row>
    <row r="37">
      <c r="A37" s="23">
        <v>236</v>
      </c>
      <c r="B37" s="4" t="s">
        <v>136</v>
      </c>
      <c r="C37" s="4" t="s">
        <v>64</v>
      </c>
      <c r="D37" s="4" t="s">
        <v>83</v>
      </c>
      <c r="E37" s="4" t="s">
        <v>137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1">
        <v>0</v>
      </c>
    </row>
    <row r="38">
      <c r="A38" s="24">
        <v>240</v>
      </c>
      <c r="B38" s="9" t="s">
        <v>138</v>
      </c>
      <c r="C38" s="9" t="s">
        <v>64</v>
      </c>
      <c r="D38" s="9" t="s">
        <v>83</v>
      </c>
      <c r="E38" s="9" t="s">
        <v>139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245</v>
      </c>
      <c r="B39" s="4" t="s">
        <v>140</v>
      </c>
      <c r="C39" s="4" t="s">
        <v>141</v>
      </c>
      <c r="D39" s="4" t="s">
        <v>142</v>
      </c>
      <c r="E39" s="4" t="s">
        <v>143</v>
      </c>
      <c r="F39" s="6">
        <v>2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0.48</v>
      </c>
    </row>
    <row r="40">
      <c r="A40" s="24">
        <v>248</v>
      </c>
      <c r="B40" s="9" t="s">
        <v>144</v>
      </c>
      <c r="C40" s="9" t="s">
        <v>64</v>
      </c>
      <c r="D40" s="9" t="s">
        <v>83</v>
      </c>
      <c r="E40" s="9" t="s">
        <v>145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30">
        <v>0</v>
      </c>
    </row>
    <row r="41">
      <c r="A41" s="23">
        <v>250</v>
      </c>
      <c r="B41" s="4" t="s">
        <v>146</v>
      </c>
      <c r="C41" s="4" t="s">
        <v>64</v>
      </c>
      <c r="D41" s="4" t="s">
        <v>83</v>
      </c>
      <c r="E41" s="4" t="s">
        <v>147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31">
        <v>0</v>
      </c>
    </row>
    <row r="42">
      <c r="A42" s="24">
        <v>255</v>
      </c>
      <c r="B42" s="9" t="s">
        <v>148</v>
      </c>
      <c r="C42" s="9" t="s">
        <v>64</v>
      </c>
      <c r="D42" s="9" t="s">
        <v>80</v>
      </c>
      <c r="E42" s="9" t="s">
        <v>94</v>
      </c>
      <c r="F42" s="11">
        <v>2</v>
      </c>
      <c r="G42" s="12">
        <v>0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29">
        <v>0.25</v>
      </c>
    </row>
    <row r="43">
      <c r="A43" s="23">
        <v>257</v>
      </c>
      <c r="B43" s="4" t="s">
        <v>149</v>
      </c>
      <c r="C43" s="4" t="s">
        <v>64</v>
      </c>
      <c r="D43" s="4" t="s">
        <v>80</v>
      </c>
      <c r="E43" s="4" t="s">
        <v>135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258</v>
      </c>
      <c r="B44" s="9" t="s">
        <v>150</v>
      </c>
      <c r="C44" s="9" t="s">
        <v>64</v>
      </c>
      <c r="D44" s="9" t="s">
        <v>110</v>
      </c>
      <c r="E44" s="9" t="s">
        <v>151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259</v>
      </c>
      <c r="B45" s="4" t="s">
        <v>152</v>
      </c>
      <c r="C45" s="4" t="s">
        <v>64</v>
      </c>
      <c r="D45" s="4" t="s">
        <v>110</v>
      </c>
      <c r="E45" s="4" t="s">
        <v>121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0.52</v>
      </c>
    </row>
    <row r="46">
      <c r="A46" s="24">
        <v>264</v>
      </c>
      <c r="B46" s="9" t="s">
        <v>153</v>
      </c>
      <c r="C46" s="9" t="s">
        <v>64</v>
      </c>
      <c r="D46" s="9" t="s">
        <v>103</v>
      </c>
      <c r="E46" s="9" t="s">
        <v>154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265</v>
      </c>
      <c r="B47" s="4" t="s">
        <v>155</v>
      </c>
      <c r="C47" s="4" t="s">
        <v>64</v>
      </c>
      <c r="D47" s="4" t="s">
        <v>83</v>
      </c>
      <c r="E47" s="4" t="s">
        <v>147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267</v>
      </c>
      <c r="B48" s="9" t="s">
        <v>156</v>
      </c>
      <c r="C48" s="9" t="s">
        <v>64</v>
      </c>
      <c r="D48" s="9" t="s">
        <v>91</v>
      </c>
      <c r="E48" s="9" t="s">
        <v>157</v>
      </c>
      <c r="F48" s="11">
        <v>3</v>
      </c>
      <c r="G48" s="10">
        <v>3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3</v>
      </c>
      <c r="AK48" s="13">
        <v>3</v>
      </c>
      <c r="AL48" s="10">
        <v>3</v>
      </c>
      <c r="AM48" s="10">
        <v>3</v>
      </c>
      <c r="AN48" s="30">
        <v>0</v>
      </c>
    </row>
    <row r="49">
      <c r="A49" s="23">
        <v>268</v>
      </c>
      <c r="B49" s="4" t="s">
        <v>158</v>
      </c>
      <c r="C49" s="4" t="s">
        <v>64</v>
      </c>
      <c r="D49" s="4" t="s">
        <v>91</v>
      </c>
      <c r="E49" s="4" t="s">
        <v>157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0.35</v>
      </c>
    </row>
    <row r="50">
      <c r="A50" s="24">
        <v>269</v>
      </c>
      <c r="B50" s="9" t="s">
        <v>159</v>
      </c>
      <c r="C50" s="9" t="s">
        <v>64</v>
      </c>
      <c r="D50" s="9" t="s">
        <v>88</v>
      </c>
      <c r="E50" s="9" t="s">
        <v>89</v>
      </c>
      <c r="F50" s="11">
        <v>2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274</v>
      </c>
      <c r="B51" s="4" t="s">
        <v>160</v>
      </c>
      <c r="C51" s="4" t="s">
        <v>64</v>
      </c>
      <c r="D51" s="4" t="s">
        <v>110</v>
      </c>
      <c r="E51" s="4" t="s">
        <v>117</v>
      </c>
      <c r="F51" s="6">
        <v>2</v>
      </c>
      <c r="G51" s="5">
        <v>1</v>
      </c>
      <c r="H51" s="5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5">
        <v>1</v>
      </c>
      <c r="W51" s="5">
        <v>1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1">
        <v>0</v>
      </c>
    </row>
    <row r="52">
      <c r="A52" s="24">
        <v>282</v>
      </c>
      <c r="B52" s="9" t="s">
        <v>161</v>
      </c>
      <c r="C52" s="9" t="s">
        <v>64</v>
      </c>
      <c r="D52" s="9" t="s">
        <v>110</v>
      </c>
      <c r="E52" s="9" t="s">
        <v>151</v>
      </c>
      <c r="F52" s="11">
        <v>2</v>
      </c>
      <c r="G52" s="12">
        <v>0</v>
      </c>
      <c r="H52" s="12">
        <v>0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2">
        <v>0</v>
      </c>
      <c r="W52" s="12">
        <v>0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290</v>
      </c>
      <c r="B53" s="4" t="s">
        <v>162</v>
      </c>
      <c r="C53" s="4" t="s">
        <v>64</v>
      </c>
      <c r="D53" s="4" t="s">
        <v>76</v>
      </c>
      <c r="E53" s="4" t="s">
        <v>163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293</v>
      </c>
      <c r="B54" s="9" t="s">
        <v>164</v>
      </c>
      <c r="C54" s="9" t="s">
        <v>64</v>
      </c>
      <c r="D54" s="9" t="s">
        <v>80</v>
      </c>
      <c r="E54" s="9" t="s">
        <v>86</v>
      </c>
      <c r="F54" s="11">
        <v>3</v>
      </c>
      <c r="G54" s="12">
        <v>0</v>
      </c>
      <c r="H54" s="12">
        <v>0</v>
      </c>
      <c r="I54" s="12">
        <v>0</v>
      </c>
      <c r="J54" s="10">
        <v>2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2">
        <v>0</v>
      </c>
      <c r="W54" s="12">
        <v>0</v>
      </c>
      <c r="X54" s="12">
        <v>0</v>
      </c>
      <c r="Y54" s="10">
        <v>2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0.5</v>
      </c>
    </row>
    <row r="55">
      <c r="A55" s="23">
        <v>295</v>
      </c>
      <c r="B55" s="4" t="s">
        <v>165</v>
      </c>
      <c r="C55" s="4" t="s">
        <v>64</v>
      </c>
      <c r="D55" s="4" t="s">
        <v>76</v>
      </c>
      <c r="E55" s="4" t="s">
        <v>166</v>
      </c>
      <c r="F55" s="6">
        <v>1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299</v>
      </c>
      <c r="B56" s="9" t="s">
        <v>167</v>
      </c>
      <c r="C56" s="9" t="s">
        <v>64</v>
      </c>
      <c r="D56" s="9" t="s">
        <v>83</v>
      </c>
      <c r="E56" s="9" t="s">
        <v>84</v>
      </c>
      <c r="F56" s="11">
        <v>3</v>
      </c>
      <c r="G56" s="10">
        <v>1</v>
      </c>
      <c r="H56" s="10">
        <v>1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3</v>
      </c>
      <c r="V56" s="10">
        <v>1</v>
      </c>
      <c r="W56" s="10">
        <v>1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0.75</v>
      </c>
    </row>
    <row r="57">
      <c r="A57" s="23">
        <v>303</v>
      </c>
      <c r="B57" s="4" t="s">
        <v>168</v>
      </c>
      <c r="C57" s="4" t="s">
        <v>64</v>
      </c>
      <c r="D57" s="4" t="s">
        <v>76</v>
      </c>
      <c r="E57" s="4" t="s">
        <v>169</v>
      </c>
      <c r="F57" s="6">
        <v>3</v>
      </c>
      <c r="G57" s="5">
        <v>1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5">
        <v>1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309</v>
      </c>
      <c r="B58" s="9" t="s">
        <v>170</v>
      </c>
      <c r="C58" s="9" t="s">
        <v>171</v>
      </c>
      <c r="D58" s="9" t="s">
        <v>172</v>
      </c>
      <c r="E58" s="9" t="s">
        <v>173</v>
      </c>
      <c r="F58" s="11">
        <v>5</v>
      </c>
      <c r="G58" s="10">
        <v>2</v>
      </c>
      <c r="H58" s="12">
        <v>0</v>
      </c>
      <c r="I58" s="10">
        <v>1</v>
      </c>
      <c r="J58" s="10">
        <v>1</v>
      </c>
      <c r="K58" s="10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5</v>
      </c>
      <c r="V58" s="10">
        <v>2</v>
      </c>
      <c r="W58" s="12">
        <v>0</v>
      </c>
      <c r="X58" s="10">
        <v>1</v>
      </c>
      <c r="Y58" s="10">
        <v>1</v>
      </c>
      <c r="Z58" s="10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312</v>
      </c>
      <c r="B59" s="4" t="s">
        <v>174</v>
      </c>
      <c r="C59" s="4" t="s">
        <v>64</v>
      </c>
      <c r="D59" s="4" t="s">
        <v>80</v>
      </c>
      <c r="E59" s="4" t="s">
        <v>135</v>
      </c>
      <c r="F59" s="6">
        <v>2</v>
      </c>
      <c r="G59" s="5">
        <v>1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5">
        <v>1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0.5</v>
      </c>
    </row>
    <row r="60">
      <c r="A60" s="24">
        <v>321</v>
      </c>
      <c r="B60" s="9" t="s">
        <v>175</v>
      </c>
      <c r="C60" s="9" t="s">
        <v>64</v>
      </c>
      <c r="D60" s="9" t="s">
        <v>73</v>
      </c>
      <c r="E60" s="9" t="s">
        <v>74</v>
      </c>
      <c r="F60" s="11">
        <v>2</v>
      </c>
      <c r="G60" s="10">
        <v>1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0">
        <v>0</v>
      </c>
    </row>
    <row r="61">
      <c r="A61" s="23">
        <v>322</v>
      </c>
      <c r="B61" s="4" t="s">
        <v>176</v>
      </c>
      <c r="C61" s="4" t="s">
        <v>64</v>
      </c>
      <c r="D61" s="4" t="s">
        <v>73</v>
      </c>
      <c r="E61" s="4" t="s">
        <v>74</v>
      </c>
      <c r="F61" s="6">
        <v>3</v>
      </c>
      <c r="G61" s="5">
        <v>3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3</v>
      </c>
      <c r="AL61" s="5">
        <v>3</v>
      </c>
      <c r="AM61" s="5">
        <v>3</v>
      </c>
      <c r="AN61" s="31">
        <v>0</v>
      </c>
    </row>
    <row r="62">
      <c r="A62" s="24">
        <v>324</v>
      </c>
      <c r="B62" s="9" t="s">
        <v>177</v>
      </c>
      <c r="C62" s="9" t="s">
        <v>64</v>
      </c>
      <c r="D62" s="9" t="s">
        <v>73</v>
      </c>
      <c r="E62" s="9" t="s">
        <v>74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325</v>
      </c>
      <c r="B63" s="4" t="s">
        <v>178</v>
      </c>
      <c r="C63" s="4" t="s">
        <v>64</v>
      </c>
      <c r="D63" s="4" t="s">
        <v>73</v>
      </c>
      <c r="E63" s="4" t="s">
        <v>74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1">
        <v>0</v>
      </c>
    </row>
    <row r="64">
      <c r="A64" s="24">
        <v>326</v>
      </c>
      <c r="B64" s="9" t="s">
        <v>179</v>
      </c>
      <c r="C64" s="9" t="s">
        <v>64</v>
      </c>
      <c r="D64" s="9" t="s">
        <v>73</v>
      </c>
      <c r="E64" s="9" t="s">
        <v>74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4</v>
      </c>
      <c r="AK64" s="13">
        <v>4</v>
      </c>
      <c r="AL64" s="10">
        <v>4</v>
      </c>
      <c r="AM64" s="10">
        <v>4</v>
      </c>
      <c r="AN64" s="30">
        <v>0</v>
      </c>
    </row>
    <row r="65">
      <c r="A65" s="23">
        <v>328</v>
      </c>
      <c r="B65" s="4" t="s">
        <v>180</v>
      </c>
      <c r="C65" s="4" t="s">
        <v>171</v>
      </c>
      <c r="D65" s="4" t="s">
        <v>172</v>
      </c>
      <c r="E65" s="4" t="s">
        <v>181</v>
      </c>
      <c r="F65" s="6">
        <v>3</v>
      </c>
      <c r="G65" s="7">
        <v>0</v>
      </c>
      <c r="H65" s="7">
        <v>0</v>
      </c>
      <c r="I65" s="7">
        <v>0</v>
      </c>
      <c r="J65" s="7">
        <v>0</v>
      </c>
      <c r="K65" s="5">
        <v>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7">
        <v>0</v>
      </c>
      <c r="W65" s="7">
        <v>0</v>
      </c>
      <c r="X65" s="7">
        <v>0</v>
      </c>
      <c r="Y65" s="7">
        <v>0</v>
      </c>
      <c r="Z65" s="5">
        <v>2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31">
        <v>0</v>
      </c>
    </row>
    <row r="66">
      <c r="A66" s="24">
        <v>329</v>
      </c>
      <c r="B66" s="9" t="s">
        <v>182</v>
      </c>
      <c r="C66" s="9" t="s">
        <v>171</v>
      </c>
      <c r="D66" s="9" t="s">
        <v>172</v>
      </c>
      <c r="E66" s="9" t="s">
        <v>183</v>
      </c>
      <c r="F66" s="11">
        <v>5</v>
      </c>
      <c r="G66" s="10">
        <v>3</v>
      </c>
      <c r="H66" s="12">
        <v>0</v>
      </c>
      <c r="I66" s="10">
        <v>1</v>
      </c>
      <c r="J66" s="12">
        <v>0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3</v>
      </c>
      <c r="W66" s="12">
        <v>0</v>
      </c>
      <c r="X66" s="10">
        <v>1</v>
      </c>
      <c r="Y66" s="12">
        <v>0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0.25</v>
      </c>
    </row>
    <row r="67">
      <c r="A67" s="23">
        <v>336</v>
      </c>
      <c r="B67" s="4" t="s">
        <v>184</v>
      </c>
      <c r="C67" s="4" t="s">
        <v>171</v>
      </c>
      <c r="D67" s="4" t="s">
        <v>185</v>
      </c>
      <c r="E67" s="4" t="s">
        <v>186</v>
      </c>
      <c r="F67" s="6">
        <v>1</v>
      </c>
      <c r="G67" s="7">
        <v>0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344</v>
      </c>
      <c r="B68" s="9" t="s">
        <v>187</v>
      </c>
      <c r="C68" s="9" t="s">
        <v>171</v>
      </c>
      <c r="D68" s="9" t="s">
        <v>185</v>
      </c>
      <c r="E68" s="9" t="s">
        <v>188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349</v>
      </c>
      <c r="B69" s="4" t="s">
        <v>189</v>
      </c>
      <c r="C69" s="4" t="s">
        <v>64</v>
      </c>
      <c r="D69" s="4" t="s">
        <v>68</v>
      </c>
      <c r="E69" s="4" t="s">
        <v>71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1">
        <v>0</v>
      </c>
    </row>
    <row r="70">
      <c r="A70" s="24">
        <v>355</v>
      </c>
      <c r="B70" s="9" t="s">
        <v>190</v>
      </c>
      <c r="C70" s="9" t="s">
        <v>171</v>
      </c>
      <c r="D70" s="9" t="s">
        <v>185</v>
      </c>
      <c r="E70" s="9" t="s">
        <v>188</v>
      </c>
      <c r="F70" s="11">
        <v>10</v>
      </c>
      <c r="G70" s="10">
        <v>6</v>
      </c>
      <c r="H70" s="10">
        <v>3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7</v>
      </c>
      <c r="V70" s="10">
        <v>4</v>
      </c>
      <c r="W70" s="10">
        <v>2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3.33</v>
      </c>
      <c r="AL70" s="10">
        <v>3</v>
      </c>
      <c r="AM70" s="10">
        <v>6</v>
      </c>
      <c r="AN70" s="30">
        <v>0</v>
      </c>
    </row>
    <row r="71">
      <c r="A71" s="23">
        <v>359</v>
      </c>
      <c r="B71" s="4" t="s">
        <v>191</v>
      </c>
      <c r="C71" s="4" t="s">
        <v>171</v>
      </c>
      <c r="D71" s="4" t="s">
        <v>185</v>
      </c>
      <c r="E71" s="4" t="s">
        <v>192</v>
      </c>
      <c r="F71" s="6">
        <v>3</v>
      </c>
      <c r="G71" s="7">
        <v>0</v>
      </c>
      <c r="H71" s="7">
        <v>0</v>
      </c>
      <c r="I71" s="7">
        <v>0</v>
      </c>
      <c r="J71" s="7">
        <v>0</v>
      </c>
      <c r="K71" s="5">
        <v>1</v>
      </c>
      <c r="L71" s="5">
        <v>2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3</v>
      </c>
      <c r="V71" s="7">
        <v>0</v>
      </c>
      <c r="W71" s="7">
        <v>0</v>
      </c>
      <c r="X71" s="7">
        <v>0</v>
      </c>
      <c r="Y71" s="7">
        <v>0</v>
      </c>
      <c r="Z71" s="5">
        <v>1</v>
      </c>
      <c r="AA71" s="5">
        <v>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31">
        <v>0</v>
      </c>
    </row>
    <row r="72">
      <c r="A72" s="24">
        <v>363</v>
      </c>
      <c r="B72" s="9" t="s">
        <v>193</v>
      </c>
      <c r="C72" s="9" t="s">
        <v>171</v>
      </c>
      <c r="D72" s="9" t="s">
        <v>185</v>
      </c>
      <c r="E72" s="9" t="s">
        <v>194</v>
      </c>
      <c r="F72" s="11">
        <v>6</v>
      </c>
      <c r="G72" s="12">
        <v>0</v>
      </c>
      <c r="H72" s="12">
        <v>0</v>
      </c>
      <c r="I72" s="12">
        <v>0</v>
      </c>
      <c r="J72" s="12">
        <v>0</v>
      </c>
      <c r="K72" s="10">
        <v>6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6</v>
      </c>
      <c r="V72" s="12">
        <v>0</v>
      </c>
      <c r="W72" s="12">
        <v>0</v>
      </c>
      <c r="X72" s="12">
        <v>0</v>
      </c>
      <c r="Y72" s="12">
        <v>0</v>
      </c>
      <c r="Z72" s="10">
        <v>6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</v>
      </c>
      <c r="AL72" s="10">
        <v>3</v>
      </c>
      <c r="AM72" s="10">
        <v>5</v>
      </c>
      <c r="AN72" s="30">
        <v>0</v>
      </c>
    </row>
    <row r="73">
      <c r="A73" s="23">
        <v>364</v>
      </c>
      <c r="B73" s="4" t="s">
        <v>195</v>
      </c>
      <c r="C73" s="4" t="s">
        <v>171</v>
      </c>
      <c r="D73" s="4" t="s">
        <v>185</v>
      </c>
      <c r="E73" s="4" t="s">
        <v>188</v>
      </c>
      <c r="F73" s="6">
        <v>7</v>
      </c>
      <c r="G73" s="5">
        <v>5</v>
      </c>
      <c r="H73" s="7">
        <v>0</v>
      </c>
      <c r="I73" s="5"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5</v>
      </c>
      <c r="V73" s="5">
        <v>4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2.33</v>
      </c>
      <c r="AL73" s="5">
        <v>2</v>
      </c>
      <c r="AM73" s="5">
        <v>4</v>
      </c>
      <c r="AN73" s="31">
        <v>0</v>
      </c>
    </row>
    <row r="74">
      <c r="A74" s="24">
        <v>367</v>
      </c>
      <c r="B74" s="9" t="s">
        <v>196</v>
      </c>
      <c r="C74" s="9" t="s">
        <v>64</v>
      </c>
      <c r="D74" s="9" t="s">
        <v>110</v>
      </c>
      <c r="E74" s="9" t="s">
        <v>111</v>
      </c>
      <c r="F74" s="11">
        <v>3</v>
      </c>
      <c r="G74" s="10">
        <v>1</v>
      </c>
      <c r="H74" s="12">
        <v>0</v>
      </c>
      <c r="I74" s="10">
        <v>2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0.6</v>
      </c>
    </row>
    <row r="75">
      <c r="A75" s="23">
        <v>397</v>
      </c>
      <c r="B75" s="4" t="s">
        <v>197</v>
      </c>
      <c r="C75" s="4" t="s">
        <v>64</v>
      </c>
      <c r="D75" s="4" t="s">
        <v>129</v>
      </c>
      <c r="E75" s="4" t="s">
        <v>198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</v>
      </c>
    </row>
    <row r="76">
      <c r="A76" s="24">
        <v>401</v>
      </c>
      <c r="B76" s="9" t="s">
        <v>199</v>
      </c>
      <c r="C76" s="9" t="s">
        <v>64</v>
      </c>
      <c r="D76" s="9" t="s">
        <v>68</v>
      </c>
      <c r="E76" s="9" t="s">
        <v>71</v>
      </c>
      <c r="F76" s="11">
        <v>1</v>
      </c>
      <c r="G76" s="12">
        <v>0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0.22</v>
      </c>
    </row>
    <row r="77">
      <c r="A77" s="23">
        <v>405</v>
      </c>
      <c r="B77" s="4" t="s">
        <v>200</v>
      </c>
      <c r="C77" s="4" t="s">
        <v>64</v>
      </c>
      <c r="D77" s="4" t="s">
        <v>76</v>
      </c>
      <c r="E77" s="4" t="s">
        <v>166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0.26</v>
      </c>
    </row>
    <row r="78">
      <c r="A78" s="24">
        <v>408</v>
      </c>
      <c r="B78" s="9" t="s">
        <v>201</v>
      </c>
      <c r="C78" s="9" t="s">
        <v>64</v>
      </c>
      <c r="D78" s="9" t="s">
        <v>132</v>
      </c>
      <c r="E78" s="9" t="s">
        <v>202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0.7</v>
      </c>
    </row>
    <row r="79">
      <c r="A79" s="23">
        <v>415</v>
      </c>
      <c r="B79" s="4" t="s">
        <v>203</v>
      </c>
      <c r="C79" s="4" t="s">
        <v>64</v>
      </c>
      <c r="D79" s="4" t="s">
        <v>76</v>
      </c>
      <c r="E79" s="4" t="s">
        <v>119</v>
      </c>
      <c r="F79" s="6">
        <v>2</v>
      </c>
      <c r="G79" s="5">
        <v>1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5">
        <v>1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417</v>
      </c>
      <c r="B80" s="9" t="s">
        <v>204</v>
      </c>
      <c r="C80" s="9" t="s">
        <v>64</v>
      </c>
      <c r="D80" s="9" t="s">
        <v>80</v>
      </c>
      <c r="E80" s="9" t="s">
        <v>135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0.85</v>
      </c>
    </row>
    <row r="81">
      <c r="A81" s="23">
        <v>419</v>
      </c>
      <c r="B81" s="4" t="s">
        <v>205</v>
      </c>
      <c r="C81" s="4" t="s">
        <v>64</v>
      </c>
      <c r="D81" s="4" t="s">
        <v>110</v>
      </c>
      <c r="E81" s="4" t="s">
        <v>151</v>
      </c>
      <c r="F81" s="6">
        <v>4</v>
      </c>
      <c r="G81" s="5">
        <v>1</v>
      </c>
      <c r="H81" s="5">
        <v>2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4</v>
      </c>
      <c r="V81" s="5">
        <v>1</v>
      </c>
      <c r="W81" s="5">
        <v>2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0.22</v>
      </c>
    </row>
    <row r="82">
      <c r="A82" s="24">
        <v>428</v>
      </c>
      <c r="B82" s="9" t="s">
        <v>206</v>
      </c>
      <c r="C82" s="9" t="s">
        <v>64</v>
      </c>
      <c r="D82" s="9" t="s">
        <v>83</v>
      </c>
      <c r="E82" s="9" t="s">
        <v>207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435</v>
      </c>
      <c r="B83" s="4" t="s">
        <v>208</v>
      </c>
      <c r="C83" s="4" t="s">
        <v>64</v>
      </c>
      <c r="D83" s="4" t="s">
        <v>110</v>
      </c>
      <c r="E83" s="4" t="s">
        <v>121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437</v>
      </c>
      <c r="B84" s="9" t="s">
        <v>209</v>
      </c>
      <c r="C84" s="9" t="s">
        <v>64</v>
      </c>
      <c r="D84" s="9" t="s">
        <v>76</v>
      </c>
      <c r="E84" s="9" t="s">
        <v>125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438</v>
      </c>
      <c r="B85" s="4" t="s">
        <v>210</v>
      </c>
      <c r="C85" s="4" t="s">
        <v>171</v>
      </c>
      <c r="D85" s="4" t="s">
        <v>172</v>
      </c>
      <c r="E85" s="4" t="s">
        <v>183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1">
        <v>0</v>
      </c>
    </row>
    <row r="86">
      <c r="A86" s="24">
        <v>441</v>
      </c>
      <c r="B86" s="9" t="s">
        <v>211</v>
      </c>
      <c r="C86" s="9" t="s">
        <v>64</v>
      </c>
      <c r="D86" s="9" t="s">
        <v>132</v>
      </c>
      <c r="E86" s="9" t="s">
        <v>212</v>
      </c>
      <c r="F86" s="11">
        <v>1</v>
      </c>
      <c r="G86" s="12">
        <v>0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0.22</v>
      </c>
    </row>
    <row r="87">
      <c r="A87" s="23">
        <v>445</v>
      </c>
      <c r="B87" s="4" t="s">
        <v>213</v>
      </c>
      <c r="C87" s="4" t="s">
        <v>64</v>
      </c>
      <c r="D87" s="4" t="s">
        <v>80</v>
      </c>
      <c r="E87" s="4" t="s">
        <v>135</v>
      </c>
      <c r="F87" s="6">
        <v>7</v>
      </c>
      <c r="G87" s="5">
        <v>7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5</v>
      </c>
      <c r="V87" s="5">
        <v>5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7</v>
      </c>
      <c r="AK87" s="8">
        <v>7</v>
      </c>
      <c r="AL87" s="5">
        <v>7</v>
      </c>
      <c r="AM87" s="5">
        <v>7</v>
      </c>
      <c r="AN87" s="31">
        <v>0</v>
      </c>
    </row>
    <row r="88">
      <c r="A88" s="24">
        <v>449</v>
      </c>
      <c r="B88" s="9" t="s">
        <v>214</v>
      </c>
      <c r="C88" s="9" t="s">
        <v>64</v>
      </c>
      <c r="D88" s="9" t="s">
        <v>80</v>
      </c>
      <c r="E88" s="9" t="s">
        <v>135</v>
      </c>
      <c r="F88" s="11">
        <v>4</v>
      </c>
      <c r="G88" s="10">
        <v>1</v>
      </c>
      <c r="H88" s="12">
        <v>0</v>
      </c>
      <c r="I88" s="12">
        <v>0</v>
      </c>
      <c r="J88" s="10">
        <v>2</v>
      </c>
      <c r="K88" s="12">
        <v>0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4</v>
      </c>
      <c r="V88" s="10">
        <v>1</v>
      </c>
      <c r="W88" s="12">
        <v>0</v>
      </c>
      <c r="X88" s="12">
        <v>0</v>
      </c>
      <c r="Y88" s="10">
        <v>2</v>
      </c>
      <c r="Z88" s="12">
        <v>0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1.33</v>
      </c>
      <c r="AL88" s="10">
        <v>1</v>
      </c>
      <c r="AM88" s="10">
        <v>2</v>
      </c>
      <c r="AN88" s="29">
        <v>1</v>
      </c>
    </row>
    <row r="89">
      <c r="A89" s="23">
        <v>452</v>
      </c>
      <c r="B89" s="4" t="s">
        <v>215</v>
      </c>
      <c r="C89" s="4" t="s">
        <v>64</v>
      </c>
      <c r="D89" s="4" t="s">
        <v>76</v>
      </c>
      <c r="E89" s="4" t="s">
        <v>166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0.5</v>
      </c>
    </row>
    <row r="90">
      <c r="A90" s="24">
        <v>462</v>
      </c>
      <c r="B90" s="9" t="s">
        <v>216</v>
      </c>
      <c r="C90" s="9" t="s">
        <v>64</v>
      </c>
      <c r="D90" s="9" t="s">
        <v>103</v>
      </c>
      <c r="E90" s="9" t="s">
        <v>154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470</v>
      </c>
      <c r="B91" s="4" t="s">
        <v>217</v>
      </c>
      <c r="C91" s="4" t="s">
        <v>64</v>
      </c>
      <c r="D91" s="4" t="s">
        <v>76</v>
      </c>
      <c r="E91" s="4" t="s">
        <v>218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471</v>
      </c>
      <c r="B92" s="9" t="s">
        <v>219</v>
      </c>
      <c r="C92" s="9" t="s">
        <v>64</v>
      </c>
      <c r="D92" s="9" t="s">
        <v>76</v>
      </c>
      <c r="E92" s="9" t="s">
        <v>163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473</v>
      </c>
      <c r="B93" s="4" t="s">
        <v>220</v>
      </c>
      <c r="C93" s="4" t="s">
        <v>171</v>
      </c>
      <c r="D93" s="4" t="s">
        <v>221</v>
      </c>
      <c r="E93" s="4" t="s">
        <v>222</v>
      </c>
      <c r="F93" s="6">
        <v>1</v>
      </c>
      <c r="G93" s="7">
        <v>0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1">
        <v>0</v>
      </c>
    </row>
    <row r="94">
      <c r="A94" s="24">
        <v>486</v>
      </c>
      <c r="B94" s="9" t="s">
        <v>223</v>
      </c>
      <c r="C94" s="9" t="s">
        <v>64</v>
      </c>
      <c r="D94" s="9" t="s">
        <v>80</v>
      </c>
      <c r="E94" s="9" t="s">
        <v>135</v>
      </c>
      <c r="F94" s="11">
        <v>7</v>
      </c>
      <c r="G94" s="10">
        <v>4</v>
      </c>
      <c r="H94" s="12">
        <v>0</v>
      </c>
      <c r="I94" s="12">
        <v>0</v>
      </c>
      <c r="J94" s="10">
        <v>3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6</v>
      </c>
      <c r="V94" s="10">
        <v>4</v>
      </c>
      <c r="W94" s="12">
        <v>0</v>
      </c>
      <c r="X94" s="12">
        <v>0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1.75</v>
      </c>
      <c r="AL94" s="10">
        <v>1</v>
      </c>
      <c r="AM94" s="10">
        <v>3</v>
      </c>
      <c r="AN94" s="29">
        <v>0.25</v>
      </c>
    </row>
    <row r="95">
      <c r="A95" s="23">
        <v>489</v>
      </c>
      <c r="B95" s="4" t="s">
        <v>224</v>
      </c>
      <c r="C95" s="4" t="s">
        <v>171</v>
      </c>
      <c r="D95" s="4" t="s">
        <v>172</v>
      </c>
      <c r="E95" s="4" t="s">
        <v>173</v>
      </c>
      <c r="F95" s="6">
        <v>1</v>
      </c>
      <c r="G95" s="7">
        <v>0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1">
        <v>0</v>
      </c>
    </row>
    <row r="96">
      <c r="A96" s="24">
        <v>490</v>
      </c>
      <c r="B96" s="9" t="s">
        <v>225</v>
      </c>
      <c r="C96" s="9" t="s">
        <v>64</v>
      </c>
      <c r="D96" s="9" t="s">
        <v>80</v>
      </c>
      <c r="E96" s="9" t="s">
        <v>135</v>
      </c>
      <c r="F96" s="11">
        <v>3</v>
      </c>
      <c r="G96" s="10">
        <v>2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</v>
      </c>
      <c r="V96" s="10">
        <v>2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30">
        <v>0</v>
      </c>
    </row>
    <row r="97">
      <c r="A97" s="23">
        <v>493</v>
      </c>
      <c r="B97" s="4" t="s">
        <v>226</v>
      </c>
      <c r="C97" s="4" t="s">
        <v>64</v>
      </c>
      <c r="D97" s="4" t="s">
        <v>132</v>
      </c>
      <c r="E97" s="4" t="s">
        <v>227</v>
      </c>
      <c r="F97" s="6">
        <v>1</v>
      </c>
      <c r="G97" s="7">
        <v>0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7">
        <v>0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495</v>
      </c>
      <c r="B98" s="9" t="s">
        <v>228</v>
      </c>
      <c r="C98" s="9" t="s">
        <v>64</v>
      </c>
      <c r="D98" s="9" t="s">
        <v>83</v>
      </c>
      <c r="E98" s="9" t="s">
        <v>84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0.26</v>
      </c>
    </row>
    <row r="99">
      <c r="A99" s="23">
        <v>500</v>
      </c>
      <c r="B99" s="4" t="s">
        <v>229</v>
      </c>
      <c r="C99" s="4" t="s">
        <v>141</v>
      </c>
      <c r="D99" s="4" t="s">
        <v>230</v>
      </c>
      <c r="E99" s="4" t="s">
        <v>231</v>
      </c>
      <c r="F99" s="6">
        <v>2</v>
      </c>
      <c r="G99" s="7">
        <v>0</v>
      </c>
      <c r="H99" s="5">
        <v>1</v>
      </c>
      <c r="I99" s="7">
        <v>0</v>
      </c>
      <c r="J99" s="7">
        <v>0</v>
      </c>
      <c r="K99" s="7">
        <v>0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2</v>
      </c>
      <c r="V99" s="7">
        <v>0</v>
      </c>
      <c r="W99" s="5">
        <v>1</v>
      </c>
      <c r="X99" s="7">
        <v>0</v>
      </c>
      <c r="Y99" s="7">
        <v>0</v>
      </c>
      <c r="Z99" s="7">
        <v>0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0.38</v>
      </c>
    </row>
    <row r="100">
      <c r="A100" s="24">
        <v>511</v>
      </c>
      <c r="B100" s="9" t="s">
        <v>232</v>
      </c>
      <c r="C100" s="9" t="s">
        <v>64</v>
      </c>
      <c r="D100" s="9" t="s">
        <v>80</v>
      </c>
      <c r="E100" s="9" t="s">
        <v>81</v>
      </c>
      <c r="F100" s="11">
        <v>2</v>
      </c>
      <c r="G100" s="10">
        <v>1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512</v>
      </c>
      <c r="B101" s="4" t="s">
        <v>233</v>
      </c>
      <c r="C101" s="4" t="s">
        <v>64</v>
      </c>
      <c r="D101" s="4" t="s">
        <v>110</v>
      </c>
      <c r="E101" s="4" t="s">
        <v>151</v>
      </c>
      <c r="F101" s="6">
        <v>2</v>
      </c>
      <c r="G101" s="5">
        <v>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2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31">
        <v>0</v>
      </c>
    </row>
    <row r="102">
      <c r="A102" s="24">
        <v>520</v>
      </c>
      <c r="B102" s="9" t="s">
        <v>234</v>
      </c>
      <c r="C102" s="9" t="s">
        <v>64</v>
      </c>
      <c r="D102" s="9" t="s">
        <v>132</v>
      </c>
      <c r="E102" s="9" t="s">
        <v>133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0.36</v>
      </c>
    </row>
    <row r="103">
      <c r="A103" s="23">
        <v>521</v>
      </c>
      <c r="B103" s="4" t="s">
        <v>235</v>
      </c>
      <c r="C103" s="4" t="s">
        <v>64</v>
      </c>
      <c r="D103" s="4" t="s">
        <v>68</v>
      </c>
      <c r="E103" s="4" t="s">
        <v>71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0.26</v>
      </c>
    </row>
    <row r="104">
      <c r="A104" s="24">
        <v>522</v>
      </c>
      <c r="B104" s="9" t="s">
        <v>236</v>
      </c>
      <c r="C104" s="9" t="s">
        <v>64</v>
      </c>
      <c r="D104" s="9" t="s">
        <v>110</v>
      </c>
      <c r="E104" s="9" t="s">
        <v>151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0.26</v>
      </c>
    </row>
    <row r="105">
      <c r="A105" s="23">
        <v>523</v>
      </c>
      <c r="B105" s="4" t="s">
        <v>237</v>
      </c>
      <c r="C105" s="4" t="s">
        <v>64</v>
      </c>
      <c r="D105" s="4" t="s">
        <v>110</v>
      </c>
      <c r="E105" s="4" t="s">
        <v>151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28">
        <v>0.52</v>
      </c>
    </row>
    <row r="106">
      <c r="A106" s="24">
        <v>526</v>
      </c>
      <c r="B106" s="9" t="s">
        <v>238</v>
      </c>
      <c r="C106" s="9" t="s">
        <v>64</v>
      </c>
      <c r="D106" s="9" t="s">
        <v>76</v>
      </c>
      <c r="E106" s="9" t="s">
        <v>77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0.26</v>
      </c>
    </row>
    <row r="107">
      <c r="A107" s="23">
        <v>529</v>
      </c>
      <c r="B107" s="4" t="s">
        <v>239</v>
      </c>
      <c r="C107" s="4" t="s">
        <v>64</v>
      </c>
      <c r="D107" s="4" t="s">
        <v>80</v>
      </c>
      <c r="E107" s="4" t="s">
        <v>86</v>
      </c>
      <c r="F107" s="6">
        <v>6</v>
      </c>
      <c r="G107" s="5">
        <v>1</v>
      </c>
      <c r="H107" s="7">
        <v>0</v>
      </c>
      <c r="I107" s="5">
        <v>1</v>
      </c>
      <c r="J107" s="5">
        <v>2</v>
      </c>
      <c r="K107" s="7">
        <v>0</v>
      </c>
      <c r="L107" s="7">
        <v>0</v>
      </c>
      <c r="M107" s="7">
        <v>0</v>
      </c>
      <c r="N107" s="5">
        <v>2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6</v>
      </c>
      <c r="V107" s="5">
        <v>1</v>
      </c>
      <c r="W107" s="7">
        <v>0</v>
      </c>
      <c r="X107" s="5">
        <v>1</v>
      </c>
      <c r="Y107" s="5">
        <v>2</v>
      </c>
      <c r="Z107" s="7">
        <v>0</v>
      </c>
      <c r="AA107" s="7">
        <v>0</v>
      </c>
      <c r="AB107" s="7">
        <v>0</v>
      </c>
      <c r="AC107" s="5">
        <v>2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</v>
      </c>
      <c r="AL107" s="5">
        <v>1</v>
      </c>
      <c r="AM107" s="5">
        <v>2</v>
      </c>
      <c r="AN107" s="28">
        <v>0.5</v>
      </c>
    </row>
    <row r="108">
      <c r="A108" s="24">
        <v>534</v>
      </c>
      <c r="B108" s="9" t="s">
        <v>240</v>
      </c>
      <c r="C108" s="9" t="s">
        <v>64</v>
      </c>
      <c r="D108" s="9" t="s">
        <v>76</v>
      </c>
      <c r="E108" s="9" t="s">
        <v>241</v>
      </c>
      <c r="F108" s="11">
        <v>2</v>
      </c>
      <c r="G108" s="12">
        <v>0</v>
      </c>
      <c r="H108" s="12">
        <v>0</v>
      </c>
      <c r="I108" s="10">
        <v>1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2">
        <v>0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542</v>
      </c>
      <c r="B109" s="4" t="s">
        <v>242</v>
      </c>
      <c r="C109" s="4" t="s">
        <v>64</v>
      </c>
      <c r="D109" s="4" t="s">
        <v>76</v>
      </c>
      <c r="E109" s="4" t="s">
        <v>241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559</v>
      </c>
      <c r="B110" s="9" t="s">
        <v>243</v>
      </c>
      <c r="C110" s="9" t="s">
        <v>64</v>
      </c>
      <c r="D110" s="9" t="s">
        <v>73</v>
      </c>
      <c r="E110" s="9" t="s">
        <v>74</v>
      </c>
      <c r="F110" s="11">
        <v>3</v>
      </c>
      <c r="G110" s="10">
        <v>1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0">
        <v>1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0.5</v>
      </c>
    </row>
    <row r="111">
      <c r="A111" s="23">
        <v>560</v>
      </c>
      <c r="B111" s="4" t="s">
        <v>244</v>
      </c>
      <c r="C111" s="4" t="s">
        <v>64</v>
      </c>
      <c r="D111" s="4" t="s">
        <v>68</v>
      </c>
      <c r="E111" s="4" t="s">
        <v>245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567</v>
      </c>
      <c r="B112" s="9" t="s">
        <v>246</v>
      </c>
      <c r="C112" s="9" t="s">
        <v>64</v>
      </c>
      <c r="D112" s="9" t="s">
        <v>68</v>
      </c>
      <c r="E112" s="9" t="s">
        <v>245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0">
        <v>0</v>
      </c>
    </row>
    <row r="113">
      <c r="A113" s="23">
        <v>570</v>
      </c>
      <c r="B113" s="4" t="s">
        <v>247</v>
      </c>
      <c r="C113" s="4" t="s">
        <v>64</v>
      </c>
      <c r="D113" s="4" t="s">
        <v>68</v>
      </c>
      <c r="E113" s="4" t="s">
        <v>245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0.35</v>
      </c>
    </row>
    <row r="114">
      <c r="A114" s="24">
        <v>574</v>
      </c>
      <c r="B114" s="9" t="s">
        <v>248</v>
      </c>
      <c r="C114" s="9" t="s">
        <v>64</v>
      </c>
      <c r="D114" s="9" t="s">
        <v>68</v>
      </c>
      <c r="E114" s="9" t="s">
        <v>245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578</v>
      </c>
      <c r="B115" s="4" t="s">
        <v>249</v>
      </c>
      <c r="C115" s="4" t="s">
        <v>64</v>
      </c>
      <c r="D115" s="4" t="s">
        <v>68</v>
      </c>
      <c r="E115" s="4" t="s">
        <v>245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1">
        <v>0</v>
      </c>
    </row>
    <row r="116">
      <c r="A116" s="24">
        <v>579</v>
      </c>
      <c r="B116" s="9" t="s">
        <v>250</v>
      </c>
      <c r="C116" s="9" t="s">
        <v>64</v>
      </c>
      <c r="D116" s="9" t="s">
        <v>68</v>
      </c>
      <c r="E116" s="9" t="s">
        <v>245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0.35</v>
      </c>
    </row>
    <row r="117">
      <c r="A117" s="23">
        <v>581</v>
      </c>
      <c r="B117" s="4" t="s">
        <v>251</v>
      </c>
      <c r="C117" s="4" t="s">
        <v>64</v>
      </c>
      <c r="D117" s="4" t="s">
        <v>68</v>
      </c>
      <c r="E117" s="4" t="s">
        <v>245</v>
      </c>
      <c r="F117" s="6">
        <v>1</v>
      </c>
      <c r="G117" s="7">
        <v>0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0.25</v>
      </c>
    </row>
    <row r="118">
      <c r="A118" s="24">
        <v>583</v>
      </c>
      <c r="B118" s="9" t="s">
        <v>252</v>
      </c>
      <c r="C118" s="9" t="s">
        <v>64</v>
      </c>
      <c r="D118" s="9" t="s">
        <v>68</v>
      </c>
      <c r="E118" s="9" t="s">
        <v>245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587</v>
      </c>
      <c r="B119" s="4" t="s">
        <v>253</v>
      </c>
      <c r="C119" s="4" t="s">
        <v>64</v>
      </c>
      <c r="D119" s="4" t="s">
        <v>68</v>
      </c>
      <c r="E119" s="4" t="s">
        <v>69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591</v>
      </c>
      <c r="B120" s="9" t="s">
        <v>254</v>
      </c>
      <c r="C120" s="9" t="s">
        <v>64</v>
      </c>
      <c r="D120" s="9" t="s">
        <v>68</v>
      </c>
      <c r="E120" s="9" t="s">
        <v>71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</v>
      </c>
    </row>
    <row r="121">
      <c r="A121" s="23">
        <v>593</v>
      </c>
      <c r="B121" s="4" t="s">
        <v>255</v>
      </c>
      <c r="C121" s="4" t="s">
        <v>64</v>
      </c>
      <c r="D121" s="4" t="s">
        <v>68</v>
      </c>
      <c r="E121" s="4" t="s">
        <v>71</v>
      </c>
      <c r="F121" s="6">
        <v>3</v>
      </c>
      <c r="G121" s="7">
        <v>0</v>
      </c>
      <c r="H121" s="7">
        <v>0</v>
      </c>
      <c r="I121" s="7">
        <v>0</v>
      </c>
      <c r="J121" s="5">
        <v>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</v>
      </c>
      <c r="AK121" s="8">
        <v>3</v>
      </c>
      <c r="AL121" s="5">
        <v>3</v>
      </c>
      <c r="AM121" s="5">
        <v>3</v>
      </c>
      <c r="AN121" s="28">
        <v>0.48</v>
      </c>
    </row>
    <row r="122">
      <c r="A122" s="24">
        <v>604</v>
      </c>
      <c r="B122" s="9" t="s">
        <v>256</v>
      </c>
      <c r="C122" s="9" t="s">
        <v>64</v>
      </c>
      <c r="D122" s="9" t="s">
        <v>68</v>
      </c>
      <c r="E122" s="9" t="s">
        <v>71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0.17</v>
      </c>
    </row>
    <row r="123">
      <c r="A123" s="23">
        <v>611</v>
      </c>
      <c r="B123" s="4" t="s">
        <v>257</v>
      </c>
      <c r="C123" s="4" t="s">
        <v>64</v>
      </c>
      <c r="D123" s="4" t="s">
        <v>68</v>
      </c>
      <c r="E123" s="4" t="s">
        <v>71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1">
        <v>0</v>
      </c>
    </row>
    <row r="124">
      <c r="A124" s="24">
        <v>613</v>
      </c>
      <c r="B124" s="9" t="s">
        <v>258</v>
      </c>
      <c r="C124" s="9" t="s">
        <v>64</v>
      </c>
      <c r="D124" s="9" t="s">
        <v>68</v>
      </c>
      <c r="E124" s="9" t="s">
        <v>71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623</v>
      </c>
      <c r="B125" s="4" t="s">
        <v>259</v>
      </c>
      <c r="C125" s="4" t="s">
        <v>64</v>
      </c>
      <c r="D125" s="4" t="s">
        <v>110</v>
      </c>
      <c r="E125" s="4" t="s">
        <v>260</v>
      </c>
      <c r="F125" s="6">
        <v>2</v>
      </c>
      <c r="G125" s="7">
        <v>0</v>
      </c>
      <c r="H125" s="7">
        <v>0</v>
      </c>
      <c r="I125" s="5">
        <v>1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7">
        <v>0</v>
      </c>
      <c r="W125" s="7">
        <v>0</v>
      </c>
      <c r="X125" s="5">
        <v>1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626</v>
      </c>
      <c r="B126" s="9" t="s">
        <v>261</v>
      </c>
      <c r="C126" s="9" t="s">
        <v>64</v>
      </c>
      <c r="D126" s="9" t="s">
        <v>73</v>
      </c>
      <c r="E126" s="9" t="s">
        <v>74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659</v>
      </c>
      <c r="B127" s="4" t="s">
        <v>262</v>
      </c>
      <c r="C127" s="4" t="s">
        <v>64</v>
      </c>
      <c r="D127" s="4" t="s">
        <v>76</v>
      </c>
      <c r="E127" s="4" t="s">
        <v>166</v>
      </c>
      <c r="F127" s="6">
        <v>1</v>
      </c>
      <c r="G127" s="7">
        <v>0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1">
        <v>0</v>
      </c>
    </row>
    <row r="128">
      <c r="A128" s="24">
        <v>661</v>
      </c>
      <c r="B128" s="9" t="s">
        <v>263</v>
      </c>
      <c r="C128" s="9" t="s">
        <v>64</v>
      </c>
      <c r="D128" s="9" t="s">
        <v>76</v>
      </c>
      <c r="E128" s="9" t="s">
        <v>166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676</v>
      </c>
      <c r="B129" s="4" t="s">
        <v>264</v>
      </c>
      <c r="C129" s="4" t="s">
        <v>64</v>
      </c>
      <c r="D129" s="4" t="s">
        <v>76</v>
      </c>
      <c r="E129" s="4" t="s">
        <v>166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0.5</v>
      </c>
    </row>
    <row r="130">
      <c r="A130" s="24">
        <v>681</v>
      </c>
      <c r="B130" s="9" t="s">
        <v>265</v>
      </c>
      <c r="C130" s="9" t="s">
        <v>64</v>
      </c>
      <c r="D130" s="9" t="s">
        <v>76</v>
      </c>
      <c r="E130" s="9" t="s">
        <v>166</v>
      </c>
      <c r="F130" s="11">
        <v>1</v>
      </c>
      <c r="G130" s="12">
        <v>0</v>
      </c>
      <c r="H130" s="12">
        <v>0</v>
      </c>
      <c r="I130" s="12">
        <v>0</v>
      </c>
      <c r="J130" s="12">
        <v>0</v>
      </c>
      <c r="K130" s="10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2">
        <v>0</v>
      </c>
      <c r="Z130" s="10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682</v>
      </c>
      <c r="B131" s="4" t="s">
        <v>266</v>
      </c>
      <c r="C131" s="4" t="s">
        <v>64</v>
      </c>
      <c r="D131" s="4" t="s">
        <v>76</v>
      </c>
      <c r="E131" s="4" t="s">
        <v>166</v>
      </c>
      <c r="F131" s="6">
        <v>4</v>
      </c>
      <c r="G131" s="7">
        <v>0</v>
      </c>
      <c r="H131" s="5">
        <v>2</v>
      </c>
      <c r="I131" s="7">
        <v>0</v>
      </c>
      <c r="J131" s="7">
        <v>0</v>
      </c>
      <c r="K131" s="5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4</v>
      </c>
      <c r="V131" s="7">
        <v>0</v>
      </c>
      <c r="W131" s="5">
        <v>2</v>
      </c>
      <c r="X131" s="7">
        <v>0</v>
      </c>
      <c r="Y131" s="7">
        <v>0</v>
      </c>
      <c r="Z131" s="5">
        <v>2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31">
        <v>0</v>
      </c>
    </row>
    <row r="132">
      <c r="A132" s="24">
        <v>689</v>
      </c>
      <c r="B132" s="9" t="s">
        <v>267</v>
      </c>
      <c r="C132" s="9" t="s">
        <v>64</v>
      </c>
      <c r="D132" s="9" t="s">
        <v>76</v>
      </c>
      <c r="E132" s="9" t="s">
        <v>166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0.5</v>
      </c>
    </row>
    <row r="133">
      <c r="A133" s="23">
        <v>690</v>
      </c>
      <c r="B133" s="4" t="s">
        <v>268</v>
      </c>
      <c r="C133" s="4" t="s">
        <v>64</v>
      </c>
      <c r="D133" s="4" t="s">
        <v>76</v>
      </c>
      <c r="E133" s="4" t="s">
        <v>166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1">
        <v>0</v>
      </c>
    </row>
    <row r="134">
      <c r="A134" s="24">
        <v>699</v>
      </c>
      <c r="B134" s="9" t="s">
        <v>269</v>
      </c>
      <c r="C134" s="9" t="s">
        <v>64</v>
      </c>
      <c r="D134" s="9" t="s">
        <v>76</v>
      </c>
      <c r="E134" s="9" t="s">
        <v>166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716</v>
      </c>
      <c r="B135" s="4" t="s">
        <v>270</v>
      </c>
      <c r="C135" s="4" t="s">
        <v>64</v>
      </c>
      <c r="D135" s="4" t="s">
        <v>76</v>
      </c>
      <c r="E135" s="4" t="s">
        <v>271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731</v>
      </c>
      <c r="B136" s="9" t="s">
        <v>272</v>
      </c>
      <c r="C136" s="9" t="s">
        <v>64</v>
      </c>
      <c r="D136" s="9" t="s">
        <v>76</v>
      </c>
      <c r="E136" s="9" t="s">
        <v>271</v>
      </c>
      <c r="F136" s="11">
        <v>2</v>
      </c>
      <c r="G136" s="12">
        <v>0</v>
      </c>
      <c r="H136" s="12">
        <v>0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0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2">
        <v>0</v>
      </c>
      <c r="W136" s="12">
        <v>0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0">
        <v>1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735</v>
      </c>
      <c r="B137" s="4" t="s">
        <v>273</v>
      </c>
      <c r="C137" s="4" t="s">
        <v>64</v>
      </c>
      <c r="D137" s="4" t="s">
        <v>76</v>
      </c>
      <c r="E137" s="4" t="s">
        <v>271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</v>
      </c>
      <c r="AK137" s="8">
        <v>3</v>
      </c>
      <c r="AL137" s="5">
        <v>3</v>
      </c>
      <c r="AM137" s="5">
        <v>3</v>
      </c>
      <c r="AN137" s="28">
        <v>0.76</v>
      </c>
    </row>
    <row r="138">
      <c r="A138" s="24">
        <v>738</v>
      </c>
      <c r="B138" s="9" t="s">
        <v>274</v>
      </c>
      <c r="C138" s="9" t="s">
        <v>64</v>
      </c>
      <c r="D138" s="9" t="s">
        <v>76</v>
      </c>
      <c r="E138" s="9" t="s">
        <v>271</v>
      </c>
      <c r="F138" s="11">
        <v>1</v>
      </c>
      <c r="G138" s="12">
        <v>0</v>
      </c>
      <c r="H138" s="12">
        <v>0</v>
      </c>
      <c r="I138" s="12">
        <v>0</v>
      </c>
      <c r="J138" s="12">
        <v>0</v>
      </c>
      <c r="K138" s="10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2">
        <v>0</v>
      </c>
      <c r="X138" s="12">
        <v>0</v>
      </c>
      <c r="Y138" s="12">
        <v>0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0">
        <v>0</v>
      </c>
    </row>
    <row r="139">
      <c r="A139" s="23">
        <v>743</v>
      </c>
      <c r="B139" s="4" t="s">
        <v>275</v>
      </c>
      <c r="C139" s="4" t="s">
        <v>64</v>
      </c>
      <c r="D139" s="4" t="s">
        <v>110</v>
      </c>
      <c r="E139" s="4" t="s">
        <v>260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747</v>
      </c>
      <c r="B140" s="9" t="s">
        <v>276</v>
      </c>
      <c r="C140" s="9" t="s">
        <v>64</v>
      </c>
      <c r="D140" s="9" t="s">
        <v>110</v>
      </c>
      <c r="E140" s="9" t="s">
        <v>260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760</v>
      </c>
      <c r="B141" s="4" t="s">
        <v>277</v>
      </c>
      <c r="C141" s="4" t="s">
        <v>64</v>
      </c>
      <c r="D141" s="4" t="s">
        <v>132</v>
      </c>
      <c r="E141" s="4" t="s">
        <v>133</v>
      </c>
      <c r="F141" s="6">
        <v>4</v>
      </c>
      <c r="G141" s="5">
        <v>3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3</v>
      </c>
      <c r="V141" s="5">
        <v>2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1.33</v>
      </c>
      <c r="AL141" s="5">
        <v>1</v>
      </c>
      <c r="AM141" s="5">
        <v>2</v>
      </c>
      <c r="AN141" s="31">
        <v>0</v>
      </c>
    </row>
    <row r="142">
      <c r="A142" s="24">
        <v>762</v>
      </c>
      <c r="B142" s="9" t="s">
        <v>278</v>
      </c>
      <c r="C142" s="9" t="s">
        <v>64</v>
      </c>
      <c r="D142" s="9" t="s">
        <v>110</v>
      </c>
      <c r="E142" s="9" t="s">
        <v>121</v>
      </c>
      <c r="F142" s="11">
        <v>3</v>
      </c>
      <c r="G142" s="12">
        <v>0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2">
        <v>0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0.75</v>
      </c>
    </row>
    <row r="143">
      <c r="A143" s="23">
        <v>765</v>
      </c>
      <c r="B143" s="4" t="s">
        <v>279</v>
      </c>
      <c r="C143" s="4" t="s">
        <v>64</v>
      </c>
      <c r="D143" s="4" t="s">
        <v>83</v>
      </c>
      <c r="E143" s="4" t="s">
        <v>280</v>
      </c>
      <c r="F143" s="6">
        <v>4</v>
      </c>
      <c r="G143" s="5">
        <v>3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5">
        <v>3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28">
        <v>0.25</v>
      </c>
    </row>
    <row r="144">
      <c r="A144" s="24">
        <v>766</v>
      </c>
      <c r="B144" s="9" t="s">
        <v>281</v>
      </c>
      <c r="C144" s="9" t="s">
        <v>64</v>
      </c>
      <c r="D144" s="9" t="s">
        <v>80</v>
      </c>
      <c r="E144" s="9" t="s">
        <v>86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799</v>
      </c>
      <c r="B145" s="4" t="s">
        <v>282</v>
      </c>
      <c r="C145" s="4" t="s">
        <v>64</v>
      </c>
      <c r="D145" s="4" t="s">
        <v>76</v>
      </c>
      <c r="E145" s="4" t="s">
        <v>283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820</v>
      </c>
      <c r="B146" s="9" t="s">
        <v>284</v>
      </c>
      <c r="C146" s="9" t="s">
        <v>64</v>
      </c>
      <c r="D146" s="9" t="s">
        <v>76</v>
      </c>
      <c r="E146" s="9" t="s">
        <v>285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0.17</v>
      </c>
    </row>
    <row r="147">
      <c r="A147" s="23">
        <v>821</v>
      </c>
      <c r="B147" s="4" t="s">
        <v>286</v>
      </c>
      <c r="C147" s="4" t="s">
        <v>64</v>
      </c>
      <c r="D147" s="4" t="s">
        <v>76</v>
      </c>
      <c r="E147" s="4" t="s">
        <v>285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1">
        <v>0</v>
      </c>
    </row>
    <row r="148">
      <c r="A148" s="24">
        <v>831</v>
      </c>
      <c r="B148" s="9" t="s">
        <v>287</v>
      </c>
      <c r="C148" s="9" t="s">
        <v>64</v>
      </c>
      <c r="D148" s="9" t="s">
        <v>76</v>
      </c>
      <c r="E148" s="9" t="s">
        <v>169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0.26</v>
      </c>
    </row>
    <row r="149">
      <c r="A149" s="23">
        <v>832</v>
      </c>
      <c r="B149" s="4" t="s">
        <v>288</v>
      </c>
      <c r="C149" s="4" t="s">
        <v>64</v>
      </c>
      <c r="D149" s="4" t="s">
        <v>76</v>
      </c>
      <c r="E149" s="4" t="s">
        <v>169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1">
        <v>0</v>
      </c>
    </row>
    <row r="150">
      <c r="A150" s="24">
        <v>848</v>
      </c>
      <c r="B150" s="9" t="s">
        <v>289</v>
      </c>
      <c r="C150" s="9" t="s">
        <v>64</v>
      </c>
      <c r="D150" s="9" t="s">
        <v>76</v>
      </c>
      <c r="E150" s="9" t="s">
        <v>169</v>
      </c>
      <c r="F150" s="11">
        <v>5</v>
      </c>
      <c r="G150" s="10">
        <v>5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5</v>
      </c>
      <c r="V150" s="10">
        <v>5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1.67</v>
      </c>
      <c r="AL150" s="10">
        <v>1</v>
      </c>
      <c r="AM150" s="10">
        <v>3</v>
      </c>
      <c r="AN150" s="29">
        <v>0.26</v>
      </c>
    </row>
    <row r="151">
      <c r="A151" s="23">
        <v>854</v>
      </c>
      <c r="B151" s="4" t="s">
        <v>290</v>
      </c>
      <c r="C151" s="4" t="s">
        <v>64</v>
      </c>
      <c r="D151" s="4" t="s">
        <v>76</v>
      </c>
      <c r="E151" s="4" t="s">
        <v>169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31">
        <v>0</v>
      </c>
    </row>
    <row r="152">
      <c r="A152" s="24">
        <v>862</v>
      </c>
      <c r="B152" s="9" t="s">
        <v>291</v>
      </c>
      <c r="C152" s="9" t="s">
        <v>64</v>
      </c>
      <c r="D152" s="9" t="s">
        <v>76</v>
      </c>
      <c r="E152" s="9" t="s">
        <v>169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867</v>
      </c>
      <c r="B153" s="4" t="s">
        <v>292</v>
      </c>
      <c r="C153" s="4" t="s">
        <v>64</v>
      </c>
      <c r="D153" s="4" t="s">
        <v>76</v>
      </c>
      <c r="E153" s="4" t="s">
        <v>169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0.24</v>
      </c>
    </row>
    <row r="154">
      <c r="A154" s="24">
        <v>886</v>
      </c>
      <c r="B154" s="9" t="s">
        <v>293</v>
      </c>
      <c r="C154" s="9" t="s">
        <v>64</v>
      </c>
      <c r="D154" s="9" t="s">
        <v>76</v>
      </c>
      <c r="E154" s="9" t="s">
        <v>169</v>
      </c>
      <c r="F154" s="11">
        <v>6</v>
      </c>
      <c r="G154" s="10">
        <v>2</v>
      </c>
      <c r="H154" s="12">
        <v>0</v>
      </c>
      <c r="I154" s="12">
        <v>0</v>
      </c>
      <c r="J154" s="10">
        <v>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6</v>
      </c>
      <c r="V154" s="10">
        <v>2</v>
      </c>
      <c r="W154" s="12">
        <v>0</v>
      </c>
      <c r="X154" s="12">
        <v>0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</v>
      </c>
    </row>
    <row r="155">
      <c r="A155" s="23">
        <v>892</v>
      </c>
      <c r="B155" s="4" t="s">
        <v>294</v>
      </c>
      <c r="C155" s="4" t="s">
        <v>64</v>
      </c>
      <c r="D155" s="4" t="s">
        <v>76</v>
      </c>
      <c r="E155" s="4" t="s">
        <v>169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0.63</v>
      </c>
    </row>
    <row r="156">
      <c r="A156" s="24">
        <v>894</v>
      </c>
      <c r="B156" s="9" t="s">
        <v>295</v>
      </c>
      <c r="C156" s="9" t="s">
        <v>64</v>
      </c>
      <c r="D156" s="9" t="s">
        <v>76</v>
      </c>
      <c r="E156" s="9" t="s">
        <v>169</v>
      </c>
      <c r="F156" s="11">
        <v>1</v>
      </c>
      <c r="G156" s="12">
        <v>0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904</v>
      </c>
      <c r="B157" s="4" t="s">
        <v>296</v>
      </c>
      <c r="C157" s="4" t="s">
        <v>64</v>
      </c>
      <c r="D157" s="4" t="s">
        <v>76</v>
      </c>
      <c r="E157" s="4" t="s">
        <v>169</v>
      </c>
      <c r="F157" s="6">
        <v>4</v>
      </c>
      <c r="G157" s="5">
        <v>4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4</v>
      </c>
      <c r="V157" s="5">
        <v>4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31">
        <v>0</v>
      </c>
    </row>
    <row r="158">
      <c r="A158" s="24">
        <v>910</v>
      </c>
      <c r="B158" s="9" t="s">
        <v>297</v>
      </c>
      <c r="C158" s="9" t="s">
        <v>64</v>
      </c>
      <c r="D158" s="9" t="s">
        <v>76</v>
      </c>
      <c r="E158" s="9" t="s">
        <v>169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913</v>
      </c>
      <c r="B159" s="4" t="s">
        <v>298</v>
      </c>
      <c r="C159" s="4" t="s">
        <v>64</v>
      </c>
      <c r="D159" s="4" t="s">
        <v>76</v>
      </c>
      <c r="E159" s="4" t="s">
        <v>169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1">
        <v>0</v>
      </c>
    </row>
    <row r="160">
      <c r="A160" s="24">
        <v>920</v>
      </c>
      <c r="B160" s="9" t="s">
        <v>299</v>
      </c>
      <c r="C160" s="9" t="s">
        <v>64</v>
      </c>
      <c r="D160" s="9" t="s">
        <v>76</v>
      </c>
      <c r="E160" s="9" t="s">
        <v>169</v>
      </c>
      <c r="F160" s="11">
        <v>1</v>
      </c>
      <c r="G160" s="12">
        <v>0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925</v>
      </c>
      <c r="B161" s="4" t="s">
        <v>300</v>
      </c>
      <c r="C161" s="4" t="s">
        <v>64</v>
      </c>
      <c r="D161" s="4" t="s">
        <v>76</v>
      </c>
      <c r="E161" s="4" t="s">
        <v>169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927</v>
      </c>
      <c r="B162" s="9" t="s">
        <v>301</v>
      </c>
      <c r="C162" s="9" t="s">
        <v>64</v>
      </c>
      <c r="D162" s="9" t="s">
        <v>76</v>
      </c>
      <c r="E162" s="9" t="s">
        <v>169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928</v>
      </c>
      <c r="B163" s="4" t="s">
        <v>302</v>
      </c>
      <c r="C163" s="4" t="s">
        <v>64</v>
      </c>
      <c r="D163" s="4" t="s">
        <v>76</v>
      </c>
      <c r="E163" s="4" t="s">
        <v>169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31">
        <v>0</v>
      </c>
    </row>
    <row r="164">
      <c r="A164" s="24">
        <v>938</v>
      </c>
      <c r="B164" s="9" t="s">
        <v>303</v>
      </c>
      <c r="C164" s="9" t="s">
        <v>64</v>
      </c>
      <c r="D164" s="9" t="s">
        <v>68</v>
      </c>
      <c r="E164" s="9" t="s">
        <v>71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943</v>
      </c>
      <c r="B165" s="4" t="s">
        <v>304</v>
      </c>
      <c r="C165" s="4" t="s">
        <v>64</v>
      </c>
      <c r="D165" s="4" t="s">
        <v>76</v>
      </c>
      <c r="E165" s="4" t="s">
        <v>218</v>
      </c>
      <c r="F165" s="6">
        <v>52</v>
      </c>
      <c r="G165" s="7">
        <v>0</v>
      </c>
      <c r="H165" s="7">
        <v>0</v>
      </c>
      <c r="I165" s="7">
        <v>0</v>
      </c>
      <c r="J165" s="5">
        <v>50</v>
      </c>
      <c r="K165" s="7">
        <v>0</v>
      </c>
      <c r="L165" s="5">
        <v>2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46</v>
      </c>
      <c r="V165" s="7">
        <v>0</v>
      </c>
      <c r="W165" s="7">
        <v>0</v>
      </c>
      <c r="X165" s="7">
        <v>0</v>
      </c>
      <c r="Y165" s="5">
        <v>44</v>
      </c>
      <c r="Z165" s="7">
        <v>0</v>
      </c>
      <c r="AA165" s="5">
        <v>2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26</v>
      </c>
      <c r="AL165" s="5">
        <v>26</v>
      </c>
      <c r="AM165" s="5">
        <v>50</v>
      </c>
      <c r="AN165" s="28">
        <v>11</v>
      </c>
    </row>
    <row r="166">
      <c r="A166" s="24">
        <v>945</v>
      </c>
      <c r="B166" s="9" t="s">
        <v>305</v>
      </c>
      <c r="C166" s="9" t="s">
        <v>64</v>
      </c>
      <c r="D166" s="9" t="s">
        <v>76</v>
      </c>
      <c r="E166" s="9" t="s">
        <v>218</v>
      </c>
      <c r="F166" s="11">
        <v>2</v>
      </c>
      <c r="G166" s="10">
        <v>1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1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955</v>
      </c>
      <c r="B167" s="4" t="s">
        <v>306</v>
      </c>
      <c r="C167" s="4" t="s">
        <v>64</v>
      </c>
      <c r="D167" s="4" t="s">
        <v>76</v>
      </c>
      <c r="E167" s="4" t="s">
        <v>125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960</v>
      </c>
      <c r="B168" s="9" t="s">
        <v>307</v>
      </c>
      <c r="C168" s="9" t="s">
        <v>64</v>
      </c>
      <c r="D168" s="9" t="s">
        <v>76</v>
      </c>
      <c r="E168" s="9" t="s">
        <v>125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0.5</v>
      </c>
    </row>
    <row r="169">
      <c r="A169" s="23">
        <v>969</v>
      </c>
      <c r="B169" s="4" t="s">
        <v>308</v>
      </c>
      <c r="C169" s="4" t="s">
        <v>64</v>
      </c>
      <c r="D169" s="4" t="s">
        <v>76</v>
      </c>
      <c r="E169" s="4" t="s">
        <v>125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970</v>
      </c>
      <c r="B170" s="9" t="s">
        <v>309</v>
      </c>
      <c r="C170" s="9" t="s">
        <v>64</v>
      </c>
      <c r="D170" s="9" t="s">
        <v>76</v>
      </c>
      <c r="E170" s="9" t="s">
        <v>125</v>
      </c>
      <c r="F170" s="11">
        <v>1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0">
        <v>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0">
        <v>1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979</v>
      </c>
      <c r="B171" s="4" t="s">
        <v>310</v>
      </c>
      <c r="C171" s="4" t="s">
        <v>64</v>
      </c>
      <c r="D171" s="4" t="s">
        <v>76</v>
      </c>
      <c r="E171" s="4" t="s">
        <v>125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0.44</v>
      </c>
    </row>
    <row r="172">
      <c r="A172" s="24">
        <v>983</v>
      </c>
      <c r="B172" s="9" t="s">
        <v>311</v>
      </c>
      <c r="C172" s="9" t="s">
        <v>64</v>
      </c>
      <c r="D172" s="9" t="s">
        <v>76</v>
      </c>
      <c r="E172" s="9" t="s">
        <v>125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997</v>
      </c>
      <c r="B173" s="4" t="s">
        <v>312</v>
      </c>
      <c r="C173" s="4" t="s">
        <v>64</v>
      </c>
      <c r="D173" s="4" t="s">
        <v>76</v>
      </c>
      <c r="E173" s="4" t="s">
        <v>125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1">
        <v>0</v>
      </c>
    </row>
    <row r="174">
      <c r="A174" s="24">
        <v>998</v>
      </c>
      <c r="B174" s="9" t="s">
        <v>313</v>
      </c>
      <c r="C174" s="9" t="s">
        <v>64</v>
      </c>
      <c r="D174" s="9" t="s">
        <v>76</v>
      </c>
      <c r="E174" s="9" t="s">
        <v>125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30">
        <v>0</v>
      </c>
    </row>
    <row r="175">
      <c r="A175" s="23">
        <v>1004</v>
      </c>
      <c r="B175" s="4" t="s">
        <v>314</v>
      </c>
      <c r="C175" s="4" t="s">
        <v>64</v>
      </c>
      <c r="D175" s="4" t="s">
        <v>76</v>
      </c>
      <c r="E175" s="4" t="s">
        <v>125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1005</v>
      </c>
      <c r="B176" s="9" t="s">
        <v>315</v>
      </c>
      <c r="C176" s="9" t="s">
        <v>64</v>
      </c>
      <c r="D176" s="9" t="s">
        <v>76</v>
      </c>
      <c r="E176" s="9" t="s">
        <v>125</v>
      </c>
      <c r="F176" s="11">
        <v>5</v>
      </c>
      <c r="G176" s="12">
        <v>0</v>
      </c>
      <c r="H176" s="12">
        <v>0</v>
      </c>
      <c r="I176" s="12">
        <v>0</v>
      </c>
      <c r="J176" s="10">
        <v>5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5</v>
      </c>
      <c r="V176" s="12">
        <v>0</v>
      </c>
      <c r="W176" s="12">
        <v>0</v>
      </c>
      <c r="X176" s="12">
        <v>0</v>
      </c>
      <c r="Y176" s="10">
        <v>5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5</v>
      </c>
      <c r="AK176" s="13">
        <v>5</v>
      </c>
      <c r="AL176" s="10">
        <v>5</v>
      </c>
      <c r="AM176" s="10">
        <v>5</v>
      </c>
      <c r="AN176" s="29">
        <v>1.25</v>
      </c>
    </row>
    <row r="177">
      <c r="A177" s="23">
        <v>1007</v>
      </c>
      <c r="B177" s="4" t="s">
        <v>316</v>
      </c>
      <c r="C177" s="4" t="s">
        <v>64</v>
      </c>
      <c r="D177" s="4" t="s">
        <v>76</v>
      </c>
      <c r="E177" s="4" t="s">
        <v>125</v>
      </c>
      <c r="F177" s="6">
        <v>5</v>
      </c>
      <c r="G177" s="7">
        <v>0</v>
      </c>
      <c r="H177" s="7">
        <v>0</v>
      </c>
      <c r="I177" s="7">
        <v>0</v>
      </c>
      <c r="J177" s="5">
        <v>5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5</v>
      </c>
      <c r="V177" s="7">
        <v>0</v>
      </c>
      <c r="W177" s="7">
        <v>0</v>
      </c>
      <c r="X177" s="7">
        <v>0</v>
      </c>
      <c r="Y177" s="5">
        <v>5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5</v>
      </c>
      <c r="AK177" s="8">
        <v>5</v>
      </c>
      <c r="AL177" s="5">
        <v>5</v>
      </c>
      <c r="AM177" s="5">
        <v>5</v>
      </c>
      <c r="AN177" s="28">
        <v>1.25</v>
      </c>
    </row>
    <row r="178">
      <c r="A178" s="24">
        <v>1011</v>
      </c>
      <c r="B178" s="9" t="s">
        <v>317</v>
      </c>
      <c r="C178" s="9" t="s">
        <v>64</v>
      </c>
      <c r="D178" s="9" t="s">
        <v>76</v>
      </c>
      <c r="E178" s="9" t="s">
        <v>125</v>
      </c>
      <c r="F178" s="11">
        <v>4</v>
      </c>
      <c r="G178" s="12">
        <v>0</v>
      </c>
      <c r="H178" s="12">
        <v>0</v>
      </c>
      <c r="I178" s="12">
        <v>0</v>
      </c>
      <c r="J178" s="10">
        <v>4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4</v>
      </c>
      <c r="V178" s="12">
        <v>0</v>
      </c>
      <c r="W178" s="12">
        <v>0</v>
      </c>
      <c r="X178" s="12">
        <v>0</v>
      </c>
      <c r="Y178" s="10">
        <v>4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29">
        <v>0.88</v>
      </c>
    </row>
    <row r="179">
      <c r="A179" s="23">
        <v>1019</v>
      </c>
      <c r="B179" s="4" t="s">
        <v>318</v>
      </c>
      <c r="C179" s="4" t="s">
        <v>64</v>
      </c>
      <c r="D179" s="4" t="s">
        <v>76</v>
      </c>
      <c r="E179" s="4" t="s">
        <v>125</v>
      </c>
      <c r="F179" s="6">
        <v>3</v>
      </c>
      <c r="G179" s="5">
        <v>1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3</v>
      </c>
      <c r="V179" s="5">
        <v>1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28">
        <v>0.5</v>
      </c>
    </row>
    <row r="180">
      <c r="A180" s="24">
        <v>1032</v>
      </c>
      <c r="B180" s="9" t="s">
        <v>319</v>
      </c>
      <c r="C180" s="9" t="s">
        <v>64</v>
      </c>
      <c r="D180" s="9" t="s">
        <v>129</v>
      </c>
      <c r="E180" s="9" t="s">
        <v>320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1045</v>
      </c>
      <c r="B181" s="4" t="s">
        <v>321</v>
      </c>
      <c r="C181" s="4" t="s">
        <v>171</v>
      </c>
      <c r="D181" s="4" t="s">
        <v>172</v>
      </c>
      <c r="E181" s="4" t="s">
        <v>183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1058</v>
      </c>
      <c r="B182" s="9" t="s">
        <v>322</v>
      </c>
      <c r="C182" s="9" t="s">
        <v>64</v>
      </c>
      <c r="D182" s="9" t="s">
        <v>129</v>
      </c>
      <c r="E182" s="9" t="s">
        <v>323</v>
      </c>
      <c r="F182" s="11">
        <v>3</v>
      </c>
      <c r="G182" s="10">
        <v>1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3</v>
      </c>
      <c r="V182" s="10">
        <v>1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30">
        <v>0</v>
      </c>
    </row>
    <row r="183">
      <c r="A183" s="23">
        <v>1059</v>
      </c>
      <c r="B183" s="4" t="s">
        <v>324</v>
      </c>
      <c r="C183" s="4" t="s">
        <v>64</v>
      </c>
      <c r="D183" s="4" t="s">
        <v>73</v>
      </c>
      <c r="E183" s="4" t="s">
        <v>325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31">
        <v>0</v>
      </c>
    </row>
    <row r="184">
      <c r="A184" s="24">
        <v>1062</v>
      </c>
      <c r="B184" s="9" t="s">
        <v>326</v>
      </c>
      <c r="C184" s="9" t="s">
        <v>64</v>
      </c>
      <c r="D184" s="9" t="s">
        <v>110</v>
      </c>
      <c r="E184" s="9" t="s">
        <v>327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1064</v>
      </c>
      <c r="B185" s="4" t="s">
        <v>328</v>
      </c>
      <c r="C185" s="4" t="s">
        <v>64</v>
      </c>
      <c r="D185" s="4" t="s">
        <v>76</v>
      </c>
      <c r="E185" s="4" t="s">
        <v>77</v>
      </c>
      <c r="F185" s="6">
        <v>2</v>
      </c>
      <c r="G185" s="5">
        <v>1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1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0.6</v>
      </c>
    </row>
    <row r="186">
      <c r="A186" s="24">
        <v>1066</v>
      </c>
      <c r="B186" s="9" t="s">
        <v>329</v>
      </c>
      <c r="C186" s="9" t="s">
        <v>64</v>
      </c>
      <c r="D186" s="9" t="s">
        <v>132</v>
      </c>
      <c r="E186" s="9" t="s">
        <v>212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1067</v>
      </c>
      <c r="B187" s="4" t="s">
        <v>330</v>
      </c>
      <c r="C187" s="4" t="s">
        <v>64</v>
      </c>
      <c r="D187" s="4" t="s">
        <v>132</v>
      </c>
      <c r="E187" s="4" t="s">
        <v>212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0.5</v>
      </c>
    </row>
    <row r="188">
      <c r="A188" s="24">
        <v>1072</v>
      </c>
      <c r="B188" s="9" t="s">
        <v>331</v>
      </c>
      <c r="C188" s="9" t="s">
        <v>64</v>
      </c>
      <c r="D188" s="9" t="s">
        <v>132</v>
      </c>
      <c r="E188" s="9" t="s">
        <v>133</v>
      </c>
      <c r="F188" s="11">
        <v>2</v>
      </c>
      <c r="G188" s="10">
        <v>1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2</v>
      </c>
      <c r="V188" s="10">
        <v>1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0.5</v>
      </c>
    </row>
    <row r="189">
      <c r="A189" s="23">
        <v>1075</v>
      </c>
      <c r="B189" s="4" t="s">
        <v>332</v>
      </c>
      <c r="C189" s="4" t="s">
        <v>64</v>
      </c>
      <c r="D189" s="4" t="s">
        <v>132</v>
      </c>
      <c r="E189" s="4" t="s">
        <v>227</v>
      </c>
      <c r="F189" s="6">
        <v>2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5">
        <v>2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5">
        <v>2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0.5</v>
      </c>
    </row>
    <row r="190">
      <c r="A190" s="24">
        <v>1078</v>
      </c>
      <c r="B190" s="9" t="s">
        <v>333</v>
      </c>
      <c r="C190" s="9" t="s">
        <v>64</v>
      </c>
      <c r="D190" s="9" t="s">
        <v>132</v>
      </c>
      <c r="E190" s="9" t="s">
        <v>227</v>
      </c>
      <c r="F190" s="11">
        <v>1</v>
      </c>
      <c r="G190" s="12">
        <v>0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0.17</v>
      </c>
    </row>
    <row r="191">
      <c r="A191" s="23">
        <v>1080</v>
      </c>
      <c r="B191" s="4" t="s">
        <v>334</v>
      </c>
      <c r="C191" s="4" t="s">
        <v>64</v>
      </c>
      <c r="D191" s="4" t="s">
        <v>132</v>
      </c>
      <c r="E191" s="4" t="s">
        <v>133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1084</v>
      </c>
      <c r="B192" s="9" t="s">
        <v>335</v>
      </c>
      <c r="C192" s="9" t="s">
        <v>64</v>
      </c>
      <c r="D192" s="9" t="s">
        <v>132</v>
      </c>
      <c r="E192" s="9" t="s">
        <v>212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1089</v>
      </c>
      <c r="B193" s="4" t="s">
        <v>336</v>
      </c>
      <c r="C193" s="4" t="s">
        <v>64</v>
      </c>
      <c r="D193" s="4" t="s">
        <v>132</v>
      </c>
      <c r="E193" s="4" t="s">
        <v>227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31">
        <v>0</v>
      </c>
    </row>
    <row r="194">
      <c r="A194" s="24">
        <v>1090</v>
      </c>
      <c r="B194" s="9" t="s">
        <v>337</v>
      </c>
      <c r="C194" s="9" t="s">
        <v>64</v>
      </c>
      <c r="D194" s="9" t="s">
        <v>132</v>
      </c>
      <c r="E194" s="9" t="s">
        <v>227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1093</v>
      </c>
      <c r="B195" s="4" t="s">
        <v>338</v>
      </c>
      <c r="C195" s="4" t="s">
        <v>64</v>
      </c>
      <c r="D195" s="4" t="s">
        <v>107</v>
      </c>
      <c r="E195" s="4" t="s">
        <v>108</v>
      </c>
      <c r="F195" s="6">
        <v>2</v>
      </c>
      <c r="G195" s="7">
        <v>0</v>
      </c>
      <c r="H195" s="7">
        <v>0</v>
      </c>
      <c r="I195" s="5">
        <v>1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7">
        <v>0</v>
      </c>
      <c r="W195" s="7">
        <v>0</v>
      </c>
      <c r="X195" s="5">
        <v>1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1105</v>
      </c>
      <c r="B196" s="9" t="s">
        <v>339</v>
      </c>
      <c r="C196" s="9" t="s">
        <v>64</v>
      </c>
      <c r="D196" s="9" t="s">
        <v>68</v>
      </c>
      <c r="E196" s="9" t="s">
        <v>340</v>
      </c>
      <c r="F196" s="11">
        <v>5</v>
      </c>
      <c r="G196" s="12">
        <v>0</v>
      </c>
      <c r="H196" s="12">
        <v>0</v>
      </c>
      <c r="I196" s="10">
        <v>3</v>
      </c>
      <c r="J196" s="12">
        <v>0</v>
      </c>
      <c r="K196" s="12">
        <v>0</v>
      </c>
      <c r="L196" s="10">
        <v>2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5</v>
      </c>
      <c r="V196" s="12">
        <v>0</v>
      </c>
      <c r="W196" s="12">
        <v>0</v>
      </c>
      <c r="X196" s="10">
        <v>3</v>
      </c>
      <c r="Y196" s="12">
        <v>0</v>
      </c>
      <c r="Z196" s="12">
        <v>0</v>
      </c>
      <c r="AA196" s="10">
        <v>2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2.5</v>
      </c>
      <c r="AL196" s="10">
        <v>2</v>
      </c>
      <c r="AM196" s="10">
        <v>3</v>
      </c>
      <c r="AN196" s="29">
        <v>0.75</v>
      </c>
    </row>
    <row r="197">
      <c r="A197" s="23">
        <v>1122</v>
      </c>
      <c r="B197" s="4" t="s">
        <v>341</v>
      </c>
      <c r="C197" s="4" t="s">
        <v>64</v>
      </c>
      <c r="D197" s="4" t="s">
        <v>76</v>
      </c>
      <c r="E197" s="4" t="s">
        <v>163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1199</v>
      </c>
      <c r="B198" s="9" t="s">
        <v>342</v>
      </c>
      <c r="C198" s="9" t="s">
        <v>64</v>
      </c>
      <c r="D198" s="9" t="s">
        <v>68</v>
      </c>
      <c r="E198" s="9" t="s">
        <v>71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1221</v>
      </c>
      <c r="B199" s="4" t="s">
        <v>343</v>
      </c>
      <c r="C199" s="4" t="s">
        <v>64</v>
      </c>
      <c r="D199" s="4" t="s">
        <v>83</v>
      </c>
      <c r="E199" s="4" t="s">
        <v>145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1">
        <v>0</v>
      </c>
    </row>
    <row r="200">
      <c r="A200" s="24">
        <v>1245</v>
      </c>
      <c r="B200" s="9" t="s">
        <v>344</v>
      </c>
      <c r="C200" s="9" t="s">
        <v>64</v>
      </c>
      <c r="D200" s="9" t="s">
        <v>80</v>
      </c>
      <c r="E200" s="9" t="s">
        <v>135</v>
      </c>
      <c r="F200" s="11">
        <v>2</v>
      </c>
      <c r="G200" s="10">
        <v>1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1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1248</v>
      </c>
      <c r="B201" s="4" t="s">
        <v>345</v>
      </c>
      <c r="C201" s="4" t="s">
        <v>64</v>
      </c>
      <c r="D201" s="4" t="s">
        <v>76</v>
      </c>
      <c r="E201" s="4" t="s">
        <v>163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1253</v>
      </c>
      <c r="B202" s="9" t="s">
        <v>346</v>
      </c>
      <c r="C202" s="9" t="s">
        <v>64</v>
      </c>
      <c r="D202" s="9" t="s">
        <v>68</v>
      </c>
      <c r="E202" s="9" t="s">
        <v>245</v>
      </c>
      <c r="F202" s="11">
        <v>1</v>
      </c>
      <c r="G202" s="12">
        <v>0</v>
      </c>
      <c r="H202" s="12">
        <v>0</v>
      </c>
      <c r="I202" s="12">
        <v>0</v>
      </c>
      <c r="J202" s="12">
        <v>0</v>
      </c>
      <c r="K202" s="10">
        <v>1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2">
        <v>0</v>
      </c>
      <c r="Z202" s="10">
        <v>1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1260</v>
      </c>
      <c r="B203" s="4" t="s">
        <v>347</v>
      </c>
      <c r="C203" s="4" t="s">
        <v>64</v>
      </c>
      <c r="D203" s="4" t="s">
        <v>91</v>
      </c>
      <c r="E203" s="4" t="s">
        <v>92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31">
        <v>0</v>
      </c>
    </row>
    <row r="204">
      <c r="A204" s="24">
        <v>1274</v>
      </c>
      <c r="B204" s="9" t="s">
        <v>348</v>
      </c>
      <c r="C204" s="9" t="s">
        <v>171</v>
      </c>
      <c r="D204" s="9" t="s">
        <v>172</v>
      </c>
      <c r="E204" s="9" t="s">
        <v>173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1275</v>
      </c>
      <c r="B205" s="4" t="s">
        <v>349</v>
      </c>
      <c r="C205" s="4" t="s">
        <v>171</v>
      </c>
      <c r="D205" s="4" t="s">
        <v>172</v>
      </c>
      <c r="E205" s="4" t="s">
        <v>173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1">
        <v>0</v>
      </c>
    </row>
    <row r="206">
      <c r="A206" s="24">
        <v>1278</v>
      </c>
      <c r="B206" s="9" t="s">
        <v>350</v>
      </c>
      <c r="C206" s="9" t="s">
        <v>64</v>
      </c>
      <c r="D206" s="9" t="s">
        <v>76</v>
      </c>
      <c r="E206" s="9" t="s">
        <v>218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0.24</v>
      </c>
    </row>
    <row r="207">
      <c r="A207" s="23">
        <v>1292</v>
      </c>
      <c r="B207" s="4" t="s">
        <v>351</v>
      </c>
      <c r="C207" s="4" t="s">
        <v>64</v>
      </c>
      <c r="D207" s="4" t="s">
        <v>68</v>
      </c>
      <c r="E207" s="4" t="s">
        <v>71</v>
      </c>
      <c r="F207" s="6">
        <v>1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1337</v>
      </c>
      <c r="B208" s="9" t="s">
        <v>352</v>
      </c>
      <c r="C208" s="9" t="s">
        <v>64</v>
      </c>
      <c r="D208" s="9" t="s">
        <v>80</v>
      </c>
      <c r="E208" s="9" t="s">
        <v>135</v>
      </c>
      <c r="F208" s="11">
        <v>1</v>
      </c>
      <c r="G208" s="12">
        <v>0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1416</v>
      </c>
      <c r="B209" s="4" t="s">
        <v>353</v>
      </c>
      <c r="C209" s="4" t="s">
        <v>64</v>
      </c>
      <c r="D209" s="4" t="s">
        <v>80</v>
      </c>
      <c r="E209" s="4" t="s">
        <v>354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</v>
      </c>
    </row>
    <row r="210">
      <c r="A210" s="24">
        <v>1438</v>
      </c>
      <c r="B210" s="9" t="s">
        <v>355</v>
      </c>
      <c r="C210" s="9" t="s">
        <v>64</v>
      </c>
      <c r="D210" s="9" t="s">
        <v>76</v>
      </c>
      <c r="E210" s="9" t="s">
        <v>119</v>
      </c>
      <c r="F210" s="11">
        <v>3</v>
      </c>
      <c r="G210" s="10">
        <v>2</v>
      </c>
      <c r="H210" s="12">
        <v>0</v>
      </c>
      <c r="I210" s="12">
        <v>0</v>
      </c>
      <c r="J210" s="12">
        <v>0</v>
      </c>
      <c r="K210" s="10">
        <v>1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2</v>
      </c>
      <c r="W210" s="12">
        <v>0</v>
      </c>
      <c r="X210" s="12">
        <v>0</v>
      </c>
      <c r="Y210" s="12">
        <v>0</v>
      </c>
      <c r="Z210" s="10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1.08</v>
      </c>
    </row>
    <row r="211">
      <c r="A211" s="23">
        <v>1520</v>
      </c>
      <c r="B211" s="4" t="s">
        <v>356</v>
      </c>
      <c r="C211" s="4" t="s">
        <v>64</v>
      </c>
      <c r="D211" s="4" t="s">
        <v>68</v>
      </c>
      <c r="E211" s="4" t="s">
        <v>71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1556</v>
      </c>
      <c r="B212" s="9" t="s">
        <v>357</v>
      </c>
      <c r="C212" s="9" t="s">
        <v>64</v>
      </c>
      <c r="D212" s="9" t="s">
        <v>107</v>
      </c>
      <c r="E212" s="9" t="s">
        <v>108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1558</v>
      </c>
      <c r="B213" s="4" t="s">
        <v>358</v>
      </c>
      <c r="C213" s="4" t="s">
        <v>359</v>
      </c>
      <c r="D213" s="4" t="s">
        <v>360</v>
      </c>
      <c r="E213" s="4" t="s">
        <v>361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1">
        <v>0</v>
      </c>
    </row>
    <row r="214">
      <c r="A214" s="24">
        <v>1561</v>
      </c>
      <c r="B214" s="9" t="s">
        <v>362</v>
      </c>
      <c r="C214" s="9" t="s">
        <v>64</v>
      </c>
      <c r="D214" s="9" t="s">
        <v>88</v>
      </c>
      <c r="E214" s="9" t="s">
        <v>363</v>
      </c>
      <c r="F214" s="11">
        <v>4</v>
      </c>
      <c r="G214" s="10">
        <v>3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4</v>
      </c>
      <c r="V214" s="10">
        <v>3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</v>
      </c>
      <c r="AL214" s="10">
        <v>2</v>
      </c>
      <c r="AM214" s="10">
        <v>3</v>
      </c>
      <c r="AN214" s="29">
        <v>0.22</v>
      </c>
    </row>
    <row r="215">
      <c r="A215" s="23">
        <v>1591</v>
      </c>
      <c r="B215" s="4" t="s">
        <v>364</v>
      </c>
      <c r="C215" s="4" t="s">
        <v>64</v>
      </c>
      <c r="D215" s="4" t="s">
        <v>68</v>
      </c>
      <c r="E215" s="4" t="s">
        <v>71</v>
      </c>
      <c r="F215" s="6">
        <v>2</v>
      </c>
      <c r="G215" s="5">
        <v>1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5">
        <v>1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1629</v>
      </c>
      <c r="B216" s="9" t="s">
        <v>365</v>
      </c>
      <c r="C216" s="9" t="s">
        <v>64</v>
      </c>
      <c r="D216" s="9" t="s">
        <v>110</v>
      </c>
      <c r="E216" s="9" t="s">
        <v>117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1631</v>
      </c>
      <c r="B217" s="4" t="s">
        <v>366</v>
      </c>
      <c r="C217" s="4" t="s">
        <v>64</v>
      </c>
      <c r="D217" s="4" t="s">
        <v>68</v>
      </c>
      <c r="E217" s="4" t="s">
        <v>245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1676</v>
      </c>
      <c r="B218" s="9" t="s">
        <v>367</v>
      </c>
      <c r="C218" s="9" t="s">
        <v>64</v>
      </c>
      <c r="D218" s="9" t="s">
        <v>80</v>
      </c>
      <c r="E218" s="9" t="s">
        <v>354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0.24</v>
      </c>
    </row>
    <row r="219">
      <c r="A219" s="23">
        <v>1722</v>
      </c>
      <c r="B219" s="4" t="s">
        <v>368</v>
      </c>
      <c r="C219" s="4" t="s">
        <v>64</v>
      </c>
      <c r="D219" s="4" t="s">
        <v>83</v>
      </c>
      <c r="E219" s="4" t="s">
        <v>98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0.76</v>
      </c>
    </row>
    <row r="220">
      <c r="A220" s="24">
        <v>1723</v>
      </c>
      <c r="B220" s="9" t="s">
        <v>369</v>
      </c>
      <c r="C220" s="9" t="s">
        <v>64</v>
      </c>
      <c r="D220" s="9" t="s">
        <v>83</v>
      </c>
      <c r="E220" s="9" t="s">
        <v>98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1735</v>
      </c>
      <c r="B221" s="4" t="s">
        <v>370</v>
      </c>
      <c r="C221" s="4" t="s">
        <v>64</v>
      </c>
      <c r="D221" s="4" t="s">
        <v>83</v>
      </c>
      <c r="E221" s="4" t="s">
        <v>98</v>
      </c>
      <c r="F221" s="6">
        <v>2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5">
        <v>2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5">
        <v>2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1">
        <v>0</v>
      </c>
    </row>
    <row r="222">
      <c r="A222" s="24">
        <v>1764</v>
      </c>
      <c r="B222" s="9" t="s">
        <v>371</v>
      </c>
      <c r="C222" s="9" t="s">
        <v>64</v>
      </c>
      <c r="D222" s="9" t="s">
        <v>83</v>
      </c>
      <c r="E222" s="9" t="s">
        <v>98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1768</v>
      </c>
      <c r="B223" s="4" t="s">
        <v>372</v>
      </c>
      <c r="C223" s="4" t="s">
        <v>64</v>
      </c>
      <c r="D223" s="4" t="s">
        <v>83</v>
      </c>
      <c r="E223" s="4" t="s">
        <v>98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1769</v>
      </c>
      <c r="B224" s="9" t="s">
        <v>373</v>
      </c>
      <c r="C224" s="9" t="s">
        <v>64</v>
      </c>
      <c r="D224" s="9" t="s">
        <v>83</v>
      </c>
      <c r="E224" s="9" t="s">
        <v>98</v>
      </c>
      <c r="F224" s="11">
        <v>5</v>
      </c>
      <c r="G224" s="12">
        <v>0</v>
      </c>
      <c r="H224" s="12">
        <v>0</v>
      </c>
      <c r="I224" s="12">
        <v>0</v>
      </c>
      <c r="J224" s="10">
        <v>5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2">
        <v>0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2.5</v>
      </c>
      <c r="AL224" s="10">
        <v>2</v>
      </c>
      <c r="AM224" s="10">
        <v>3</v>
      </c>
      <c r="AN224" s="29">
        <v>1.04</v>
      </c>
    </row>
    <row r="225">
      <c r="A225" s="23">
        <v>1772</v>
      </c>
      <c r="B225" s="4" t="s">
        <v>374</v>
      </c>
      <c r="C225" s="4" t="s">
        <v>64</v>
      </c>
      <c r="D225" s="4" t="s">
        <v>83</v>
      </c>
      <c r="E225" s="4" t="s">
        <v>98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1775</v>
      </c>
      <c r="B226" s="9" t="s">
        <v>375</v>
      </c>
      <c r="C226" s="9" t="s">
        <v>64</v>
      </c>
      <c r="D226" s="9" t="s">
        <v>83</v>
      </c>
      <c r="E226" s="9" t="s">
        <v>98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1777</v>
      </c>
      <c r="B227" s="4" t="s">
        <v>376</v>
      </c>
      <c r="C227" s="4" t="s">
        <v>171</v>
      </c>
      <c r="D227" s="4" t="s">
        <v>172</v>
      </c>
      <c r="E227" s="4" t="s">
        <v>173</v>
      </c>
      <c r="F227" s="6">
        <v>3</v>
      </c>
      <c r="G227" s="7">
        <v>0</v>
      </c>
      <c r="H227" s="7">
        <v>0</v>
      </c>
      <c r="I227" s="5">
        <v>2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3</v>
      </c>
      <c r="V227" s="7">
        <v>0</v>
      </c>
      <c r="W227" s="7">
        <v>0</v>
      </c>
      <c r="X227" s="5">
        <v>2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31">
        <v>0</v>
      </c>
    </row>
    <row r="228">
      <c r="A228" s="24">
        <v>1779</v>
      </c>
      <c r="B228" s="9" t="s">
        <v>377</v>
      </c>
      <c r="C228" s="9" t="s">
        <v>141</v>
      </c>
      <c r="D228" s="9" t="s">
        <v>378</v>
      </c>
      <c r="E228" s="9" t="s">
        <v>379</v>
      </c>
      <c r="F228" s="11">
        <v>6</v>
      </c>
      <c r="G228" s="10">
        <v>1</v>
      </c>
      <c r="H228" s="12">
        <v>0</v>
      </c>
      <c r="I228" s="10">
        <v>2</v>
      </c>
      <c r="J228" s="12">
        <v>0</v>
      </c>
      <c r="K228" s="12">
        <v>0</v>
      </c>
      <c r="L228" s="10">
        <v>3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6</v>
      </c>
      <c r="V228" s="10">
        <v>1</v>
      </c>
      <c r="W228" s="12">
        <v>0</v>
      </c>
      <c r="X228" s="10">
        <v>2</v>
      </c>
      <c r="Y228" s="12">
        <v>0</v>
      </c>
      <c r="Z228" s="12">
        <v>0</v>
      </c>
      <c r="AA228" s="10">
        <v>3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2</v>
      </c>
      <c r="AM228" s="10">
        <v>3</v>
      </c>
      <c r="AN228" s="30">
        <v>0</v>
      </c>
    </row>
    <row r="229">
      <c r="A229" s="23">
        <v>1806</v>
      </c>
      <c r="B229" s="4" t="s">
        <v>380</v>
      </c>
      <c r="C229" s="4" t="s">
        <v>64</v>
      </c>
      <c r="D229" s="4" t="s">
        <v>91</v>
      </c>
      <c r="E229" s="4" t="s">
        <v>157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1812</v>
      </c>
      <c r="B230" s="9" t="s">
        <v>381</v>
      </c>
      <c r="C230" s="9" t="s">
        <v>64</v>
      </c>
      <c r="D230" s="9" t="s">
        <v>107</v>
      </c>
      <c r="E230" s="9" t="s">
        <v>382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1814</v>
      </c>
      <c r="B231" s="4" t="s">
        <v>383</v>
      </c>
      <c r="C231" s="4" t="s">
        <v>64</v>
      </c>
      <c r="D231" s="4" t="s">
        <v>110</v>
      </c>
      <c r="E231" s="4" t="s">
        <v>151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1816</v>
      </c>
      <c r="B232" s="9" t="s">
        <v>384</v>
      </c>
      <c r="C232" s="9" t="s">
        <v>141</v>
      </c>
      <c r="D232" s="9" t="s">
        <v>378</v>
      </c>
      <c r="E232" s="9" t="s">
        <v>385</v>
      </c>
      <c r="F232" s="11">
        <v>2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0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0">
        <v>1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0.36</v>
      </c>
    </row>
    <row r="233">
      <c r="A233" s="23">
        <v>1817</v>
      </c>
      <c r="B233" s="4" t="s">
        <v>386</v>
      </c>
      <c r="C233" s="4" t="s">
        <v>141</v>
      </c>
      <c r="D233" s="4" t="s">
        <v>378</v>
      </c>
      <c r="E233" s="4" t="s">
        <v>387</v>
      </c>
      <c r="F233" s="6">
        <v>3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5">
        <v>3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5">
        <v>1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31">
        <v>0</v>
      </c>
    </row>
    <row r="234">
      <c r="A234" s="24">
        <v>1820</v>
      </c>
      <c r="B234" s="9" t="s">
        <v>388</v>
      </c>
      <c r="C234" s="9" t="s">
        <v>64</v>
      </c>
      <c r="D234" s="9" t="s">
        <v>103</v>
      </c>
      <c r="E234" s="9" t="s">
        <v>154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1821</v>
      </c>
      <c r="B235" s="4" t="s">
        <v>389</v>
      </c>
      <c r="C235" s="4" t="s">
        <v>171</v>
      </c>
      <c r="D235" s="4" t="s">
        <v>390</v>
      </c>
      <c r="E235" s="4" t="s">
        <v>361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1">
        <v>0</v>
      </c>
    </row>
    <row r="236">
      <c r="A236" s="24">
        <v>1824</v>
      </c>
      <c r="B236" s="9" t="s">
        <v>391</v>
      </c>
      <c r="C236" s="9" t="s">
        <v>141</v>
      </c>
      <c r="D236" s="9" t="s">
        <v>378</v>
      </c>
      <c r="E236" s="9" t="s">
        <v>385</v>
      </c>
      <c r="F236" s="11">
        <v>4</v>
      </c>
      <c r="G236" s="10">
        <v>1</v>
      </c>
      <c r="H236" s="12">
        <v>0</v>
      </c>
      <c r="I236" s="10">
        <v>3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1</v>
      </c>
      <c r="W236" s="12">
        <v>0</v>
      </c>
      <c r="X236" s="10">
        <v>3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30">
        <v>0</v>
      </c>
    </row>
    <row r="237">
      <c r="A237" s="23">
        <v>1836</v>
      </c>
      <c r="B237" s="4" t="s">
        <v>392</v>
      </c>
      <c r="C237" s="4" t="s">
        <v>64</v>
      </c>
      <c r="D237" s="4" t="s">
        <v>68</v>
      </c>
      <c r="E237" s="4" t="s">
        <v>393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1">
        <v>0</v>
      </c>
    </row>
    <row r="238">
      <c r="A238" s="24">
        <v>1839</v>
      </c>
      <c r="B238" s="9" t="s">
        <v>394</v>
      </c>
      <c r="C238" s="9" t="s">
        <v>64</v>
      </c>
      <c r="D238" s="9" t="s">
        <v>76</v>
      </c>
      <c r="E238" s="9" t="s">
        <v>119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0.36</v>
      </c>
    </row>
    <row r="239">
      <c r="A239" s="23">
        <v>1840</v>
      </c>
      <c r="B239" s="4" t="s">
        <v>395</v>
      </c>
      <c r="C239" s="4" t="s">
        <v>64</v>
      </c>
      <c r="D239" s="4" t="s">
        <v>107</v>
      </c>
      <c r="E239" s="4" t="s">
        <v>113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0.25</v>
      </c>
    </row>
    <row r="240">
      <c r="A240" s="24">
        <v>1841</v>
      </c>
      <c r="B240" s="9" t="s">
        <v>396</v>
      </c>
      <c r="C240" s="9" t="s">
        <v>64</v>
      </c>
      <c r="D240" s="9" t="s">
        <v>73</v>
      </c>
      <c r="E240" s="9" t="s">
        <v>325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0.5</v>
      </c>
    </row>
    <row r="241">
      <c r="A241" s="23">
        <v>1842</v>
      </c>
      <c r="B241" s="4" t="s">
        <v>397</v>
      </c>
      <c r="C241" s="4" t="s">
        <v>64</v>
      </c>
      <c r="D241" s="4" t="s">
        <v>83</v>
      </c>
      <c r="E241" s="4" t="s">
        <v>207</v>
      </c>
      <c r="F241" s="6">
        <v>1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5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5">
        <v>1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1">
        <v>0</v>
      </c>
    </row>
    <row r="242">
      <c r="A242" s="24">
        <v>1844</v>
      </c>
      <c r="B242" s="9" t="s">
        <v>398</v>
      </c>
      <c r="C242" s="9" t="s">
        <v>64</v>
      </c>
      <c r="D242" s="9" t="s">
        <v>132</v>
      </c>
      <c r="E242" s="9" t="s">
        <v>202</v>
      </c>
      <c r="F242" s="11">
        <v>3</v>
      </c>
      <c r="G242" s="10">
        <v>2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3</v>
      </c>
      <c r="V242" s="10">
        <v>2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30">
        <v>0</v>
      </c>
    </row>
    <row r="243">
      <c r="A243" s="23">
        <v>1849</v>
      </c>
      <c r="B243" s="4" t="s">
        <v>399</v>
      </c>
      <c r="C243" s="4" t="s">
        <v>64</v>
      </c>
      <c r="D243" s="4" t="s">
        <v>110</v>
      </c>
      <c r="E243" s="4" t="s">
        <v>121</v>
      </c>
      <c r="F243" s="6">
        <v>1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5">
        <v>1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5">
        <v>1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1">
        <v>0</v>
      </c>
    </row>
    <row r="244">
      <c r="A244" s="24">
        <v>1863</v>
      </c>
      <c r="B244" s="9" t="s">
        <v>400</v>
      </c>
      <c r="C244" s="9" t="s">
        <v>64</v>
      </c>
      <c r="D244" s="9" t="s">
        <v>110</v>
      </c>
      <c r="E244" s="9" t="s">
        <v>111</v>
      </c>
      <c r="F244" s="11">
        <v>7</v>
      </c>
      <c r="G244" s="10">
        <v>5</v>
      </c>
      <c r="H244" s="12">
        <v>0</v>
      </c>
      <c r="I244" s="10">
        <v>2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7</v>
      </c>
      <c r="V244" s="10">
        <v>5</v>
      </c>
      <c r="W244" s="12">
        <v>0</v>
      </c>
      <c r="X244" s="10">
        <v>2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3.5</v>
      </c>
      <c r="AL244" s="10">
        <v>3</v>
      </c>
      <c r="AM244" s="10">
        <v>5</v>
      </c>
      <c r="AN244" s="30">
        <v>0</v>
      </c>
    </row>
    <row r="245">
      <c r="A245" s="23">
        <v>1866</v>
      </c>
      <c r="B245" s="4" t="s">
        <v>401</v>
      </c>
      <c r="C245" s="4" t="s">
        <v>64</v>
      </c>
      <c r="D245" s="4" t="s">
        <v>110</v>
      </c>
      <c r="E245" s="4" t="s">
        <v>117</v>
      </c>
      <c r="F245" s="6">
        <v>2</v>
      </c>
      <c r="G245" s="5">
        <v>1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1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0.52</v>
      </c>
    </row>
    <row r="246">
      <c r="A246" s="24">
        <v>1868</v>
      </c>
      <c r="B246" s="9" t="s">
        <v>402</v>
      </c>
      <c r="C246" s="9" t="s">
        <v>64</v>
      </c>
      <c r="D246" s="9" t="s">
        <v>110</v>
      </c>
      <c r="E246" s="9" t="s">
        <v>117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1870</v>
      </c>
      <c r="B247" s="4" t="s">
        <v>403</v>
      </c>
      <c r="C247" s="4" t="s">
        <v>64</v>
      </c>
      <c r="D247" s="4" t="s">
        <v>110</v>
      </c>
      <c r="E247" s="4" t="s">
        <v>151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0.26</v>
      </c>
    </row>
    <row r="248">
      <c r="A248" s="24">
        <v>1871</v>
      </c>
      <c r="B248" s="9" t="s">
        <v>404</v>
      </c>
      <c r="C248" s="9" t="s">
        <v>64</v>
      </c>
      <c r="D248" s="9" t="s">
        <v>110</v>
      </c>
      <c r="E248" s="9" t="s">
        <v>151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29">
        <v>0.48</v>
      </c>
    </row>
    <row r="249">
      <c r="A249" s="23">
        <v>1874</v>
      </c>
      <c r="B249" s="4" t="s">
        <v>405</v>
      </c>
      <c r="C249" s="4" t="s">
        <v>64</v>
      </c>
      <c r="D249" s="4" t="s">
        <v>110</v>
      </c>
      <c r="E249" s="4" t="s">
        <v>151</v>
      </c>
      <c r="F249" s="6">
        <v>1</v>
      </c>
      <c r="G249" s="7">
        <v>0</v>
      </c>
      <c r="H249" s="7">
        <v>0</v>
      </c>
      <c r="I249" s="5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1">
        <v>0</v>
      </c>
    </row>
    <row r="250">
      <c r="A250" s="24">
        <v>1875</v>
      </c>
      <c r="B250" s="9" t="s">
        <v>406</v>
      </c>
      <c r="C250" s="9" t="s">
        <v>64</v>
      </c>
      <c r="D250" s="9" t="s">
        <v>110</v>
      </c>
      <c r="E250" s="9" t="s">
        <v>151</v>
      </c>
      <c r="F250" s="11">
        <v>2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0">
        <v>1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0">
        <v>1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</v>
      </c>
    </row>
    <row r="251">
      <c r="A251" s="23">
        <v>1878</v>
      </c>
      <c r="B251" s="4" t="s">
        <v>407</v>
      </c>
      <c r="C251" s="4" t="s">
        <v>64</v>
      </c>
      <c r="D251" s="4" t="s">
        <v>107</v>
      </c>
      <c r="E251" s="4" t="s">
        <v>113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0.26</v>
      </c>
    </row>
    <row r="252">
      <c r="A252" s="24">
        <v>1881</v>
      </c>
      <c r="B252" s="9" t="s">
        <v>408</v>
      </c>
      <c r="C252" s="9" t="s">
        <v>64</v>
      </c>
      <c r="D252" s="9" t="s">
        <v>73</v>
      </c>
      <c r="E252" s="9" t="s">
        <v>74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1892</v>
      </c>
      <c r="B253" s="4" t="s">
        <v>409</v>
      </c>
      <c r="C253" s="4" t="s">
        <v>64</v>
      </c>
      <c r="D253" s="4" t="s">
        <v>76</v>
      </c>
      <c r="E253" s="4" t="s">
        <v>77</v>
      </c>
      <c r="F253" s="6">
        <v>1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1896</v>
      </c>
      <c r="B254" s="9" t="s">
        <v>410</v>
      </c>
      <c r="C254" s="9" t="s">
        <v>64</v>
      </c>
      <c r="D254" s="9" t="s">
        <v>80</v>
      </c>
      <c r="E254" s="9" t="s">
        <v>135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1900</v>
      </c>
      <c r="B255" s="4" t="s">
        <v>411</v>
      </c>
      <c r="C255" s="4" t="s">
        <v>141</v>
      </c>
      <c r="D255" s="4" t="s">
        <v>412</v>
      </c>
      <c r="E255" s="4" t="s">
        <v>413</v>
      </c>
      <c r="F255" s="6">
        <v>2</v>
      </c>
      <c r="G255" s="7">
        <v>0</v>
      </c>
      <c r="H255" s="7">
        <v>0</v>
      </c>
      <c r="I255" s="5">
        <v>1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7">
        <v>0</v>
      </c>
      <c r="W255" s="7">
        <v>0</v>
      </c>
      <c r="X255" s="5">
        <v>1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0.49</v>
      </c>
    </row>
    <row r="256">
      <c r="A256" s="24">
        <v>1907</v>
      </c>
      <c r="B256" s="9" t="s">
        <v>414</v>
      </c>
      <c r="C256" s="9" t="s">
        <v>64</v>
      </c>
      <c r="D256" s="9" t="s">
        <v>132</v>
      </c>
      <c r="E256" s="9" t="s">
        <v>133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0.26</v>
      </c>
    </row>
    <row r="257">
      <c r="A257" s="23">
        <v>1912</v>
      </c>
      <c r="B257" s="4" t="s">
        <v>415</v>
      </c>
      <c r="C257" s="4" t="s">
        <v>64</v>
      </c>
      <c r="D257" s="4" t="s">
        <v>76</v>
      </c>
      <c r="E257" s="4" t="s">
        <v>119</v>
      </c>
      <c r="F257" s="6">
        <v>4</v>
      </c>
      <c r="G257" s="5">
        <v>3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3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2</v>
      </c>
      <c r="AM257" s="5">
        <v>3</v>
      </c>
      <c r="AN257" s="31">
        <v>0</v>
      </c>
    </row>
    <row r="258">
      <c r="A258" s="24">
        <v>1931</v>
      </c>
      <c r="B258" s="9" t="s">
        <v>416</v>
      </c>
      <c r="C258" s="9" t="s">
        <v>64</v>
      </c>
      <c r="D258" s="9" t="s">
        <v>76</v>
      </c>
      <c r="E258" s="9" t="s">
        <v>119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1932</v>
      </c>
      <c r="B259" s="4" t="s">
        <v>417</v>
      </c>
      <c r="C259" s="4" t="s">
        <v>64</v>
      </c>
      <c r="D259" s="4" t="s">
        <v>76</v>
      </c>
      <c r="E259" s="4" t="s">
        <v>119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1">
        <v>0</v>
      </c>
    </row>
    <row r="260">
      <c r="A260" s="24">
        <v>1941</v>
      </c>
      <c r="B260" s="9" t="s">
        <v>418</v>
      </c>
      <c r="C260" s="9" t="s">
        <v>64</v>
      </c>
      <c r="D260" s="9" t="s">
        <v>76</v>
      </c>
      <c r="E260" s="9" t="s">
        <v>119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30">
        <v>0</v>
      </c>
    </row>
    <row r="261">
      <c r="A261" s="23">
        <v>1959</v>
      </c>
      <c r="B261" s="4" t="s">
        <v>419</v>
      </c>
      <c r="C261" s="4" t="s">
        <v>64</v>
      </c>
      <c r="D261" s="4" t="s">
        <v>76</v>
      </c>
      <c r="E261" s="4" t="s">
        <v>119</v>
      </c>
      <c r="F261" s="6">
        <v>4</v>
      </c>
      <c r="G261" s="5">
        <v>2</v>
      </c>
      <c r="H261" s="5">
        <v>1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4</v>
      </c>
      <c r="V261" s="5">
        <v>2</v>
      </c>
      <c r="W261" s="5">
        <v>1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31">
        <v>0</v>
      </c>
    </row>
    <row r="262">
      <c r="A262" s="24">
        <v>2006</v>
      </c>
      <c r="B262" s="9" t="s">
        <v>420</v>
      </c>
      <c r="C262" s="9" t="s">
        <v>64</v>
      </c>
      <c r="D262" s="9" t="s">
        <v>129</v>
      </c>
      <c r="E262" s="9" t="s">
        <v>130</v>
      </c>
      <c r="F262" s="11">
        <v>4</v>
      </c>
      <c r="G262" s="10">
        <v>4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4</v>
      </c>
      <c r="AK262" s="13">
        <v>4</v>
      </c>
      <c r="AL262" s="10">
        <v>4</v>
      </c>
      <c r="AM262" s="10">
        <v>4</v>
      </c>
      <c r="AN262" s="30">
        <v>0</v>
      </c>
    </row>
    <row r="263">
      <c r="A263" s="23">
        <v>2080</v>
      </c>
      <c r="B263" s="4" t="s">
        <v>421</v>
      </c>
      <c r="C263" s="4" t="s">
        <v>64</v>
      </c>
      <c r="D263" s="4" t="s">
        <v>76</v>
      </c>
      <c r="E263" s="4" t="s">
        <v>119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1">
        <v>0</v>
      </c>
    </row>
    <row r="264">
      <c r="A264" s="24">
        <v>2087</v>
      </c>
      <c r="B264" s="9" t="s">
        <v>422</v>
      </c>
      <c r="C264" s="9" t="s">
        <v>64</v>
      </c>
      <c r="D264" s="9" t="s">
        <v>76</v>
      </c>
      <c r="E264" s="9" t="s">
        <v>119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2095</v>
      </c>
      <c r="B265" s="4" t="s">
        <v>423</v>
      </c>
      <c r="C265" s="4" t="s">
        <v>64</v>
      </c>
      <c r="D265" s="4" t="s">
        <v>76</v>
      </c>
      <c r="E265" s="4" t="s">
        <v>119</v>
      </c>
      <c r="F265" s="6">
        <v>7</v>
      </c>
      <c r="G265" s="5">
        <v>5</v>
      </c>
      <c r="H265" s="7">
        <v>0</v>
      </c>
      <c r="I265" s="5">
        <v>2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6</v>
      </c>
      <c r="V265" s="5">
        <v>4</v>
      </c>
      <c r="W265" s="7">
        <v>0</v>
      </c>
      <c r="X265" s="5">
        <v>2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2.33</v>
      </c>
      <c r="AL265" s="5">
        <v>1</v>
      </c>
      <c r="AM265" s="5">
        <v>5</v>
      </c>
      <c r="AN265" s="28">
        <v>0.26</v>
      </c>
    </row>
    <row r="266">
      <c r="A266" s="24">
        <v>2199</v>
      </c>
      <c r="B266" s="9" t="s">
        <v>424</v>
      </c>
      <c r="C266" s="9" t="s">
        <v>64</v>
      </c>
      <c r="D266" s="9" t="s">
        <v>80</v>
      </c>
      <c r="E266" s="9" t="s">
        <v>86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0.24</v>
      </c>
    </row>
    <row r="267">
      <c r="A267" s="23">
        <v>2201</v>
      </c>
      <c r="B267" s="4" t="s">
        <v>425</v>
      </c>
      <c r="C267" s="4" t="s">
        <v>64</v>
      </c>
      <c r="D267" s="4" t="s">
        <v>83</v>
      </c>
      <c r="E267" s="4" t="s">
        <v>84</v>
      </c>
      <c r="F267" s="6">
        <v>5</v>
      </c>
      <c r="G267" s="5">
        <v>1</v>
      </c>
      <c r="H267" s="7">
        <v>0</v>
      </c>
      <c r="I267" s="5">
        <v>3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3</v>
      </c>
      <c r="V267" s="5">
        <v>1</v>
      </c>
      <c r="W267" s="7">
        <v>0</v>
      </c>
      <c r="X267" s="5">
        <v>1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1.67</v>
      </c>
      <c r="AL267" s="5">
        <v>1</v>
      </c>
      <c r="AM267" s="5">
        <v>3</v>
      </c>
      <c r="AN267" s="28">
        <v>0.78</v>
      </c>
    </row>
    <row r="268">
      <c r="A268" s="24">
        <v>2212</v>
      </c>
      <c r="B268" s="9" t="s">
        <v>426</v>
      </c>
      <c r="C268" s="9" t="s">
        <v>64</v>
      </c>
      <c r="D268" s="9" t="s">
        <v>65</v>
      </c>
      <c r="E268" s="9" t="s">
        <v>427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2213</v>
      </c>
      <c r="B269" s="4" t="s">
        <v>428</v>
      </c>
      <c r="C269" s="4" t="s">
        <v>64</v>
      </c>
      <c r="D269" s="4" t="s">
        <v>80</v>
      </c>
      <c r="E269" s="4" t="s">
        <v>429</v>
      </c>
      <c r="F269" s="6">
        <v>3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3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0.52</v>
      </c>
    </row>
    <row r="270">
      <c r="A270" s="24">
        <v>2221</v>
      </c>
      <c r="B270" s="9" t="s">
        <v>430</v>
      </c>
      <c r="C270" s="9" t="s">
        <v>64</v>
      </c>
      <c r="D270" s="9" t="s">
        <v>76</v>
      </c>
      <c r="E270" s="9" t="s">
        <v>77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0.17</v>
      </c>
    </row>
    <row r="271">
      <c r="A271" s="23">
        <v>2224</v>
      </c>
      <c r="B271" s="4" t="s">
        <v>431</v>
      </c>
      <c r="C271" s="4" t="s">
        <v>64</v>
      </c>
      <c r="D271" s="4" t="s">
        <v>76</v>
      </c>
      <c r="E271" s="4" t="s">
        <v>119</v>
      </c>
      <c r="F271" s="6">
        <v>6</v>
      </c>
      <c r="G271" s="5">
        <v>6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0.34</v>
      </c>
    </row>
    <row r="272">
      <c r="A272" s="24">
        <v>2227</v>
      </c>
      <c r="B272" s="9" t="s">
        <v>432</v>
      </c>
      <c r="C272" s="9" t="s">
        <v>64</v>
      </c>
      <c r="D272" s="9" t="s">
        <v>73</v>
      </c>
      <c r="E272" s="9" t="s">
        <v>74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2260</v>
      </c>
      <c r="B273" s="4" t="s">
        <v>433</v>
      </c>
      <c r="C273" s="4" t="s">
        <v>64</v>
      </c>
      <c r="D273" s="4" t="s">
        <v>80</v>
      </c>
      <c r="E273" s="4" t="s">
        <v>135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2268</v>
      </c>
      <c r="B274" s="9" t="s">
        <v>434</v>
      </c>
      <c r="C274" s="9" t="s">
        <v>64</v>
      </c>
      <c r="D274" s="9" t="s">
        <v>68</v>
      </c>
      <c r="E274" s="9" t="s">
        <v>245</v>
      </c>
      <c r="F274" s="11">
        <v>3</v>
      </c>
      <c r="G274" s="10">
        <v>2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3</v>
      </c>
      <c r="V274" s="10">
        <v>2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30">
        <v>0</v>
      </c>
    </row>
    <row r="275">
      <c r="A275" s="23">
        <v>2309</v>
      </c>
      <c r="B275" s="4" t="s">
        <v>435</v>
      </c>
      <c r="C275" s="4" t="s">
        <v>141</v>
      </c>
      <c r="D275" s="4" t="s">
        <v>436</v>
      </c>
      <c r="E275" s="4" t="s">
        <v>437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1">
        <v>0</v>
      </c>
    </row>
    <row r="276">
      <c r="A276" s="24">
        <v>2310</v>
      </c>
      <c r="B276" s="9" t="s">
        <v>438</v>
      </c>
      <c r="C276" s="9" t="s">
        <v>141</v>
      </c>
      <c r="D276" s="9" t="s">
        <v>436</v>
      </c>
      <c r="E276" s="9" t="s">
        <v>437</v>
      </c>
      <c r="F276" s="11">
        <v>2</v>
      </c>
      <c r="G276" s="10">
        <v>1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2313</v>
      </c>
      <c r="B277" s="4" t="s">
        <v>439</v>
      </c>
      <c r="C277" s="4" t="s">
        <v>64</v>
      </c>
      <c r="D277" s="4" t="s">
        <v>83</v>
      </c>
      <c r="E277" s="4" t="s">
        <v>207</v>
      </c>
      <c r="F277" s="6">
        <v>2</v>
      </c>
      <c r="G277" s="7">
        <v>0</v>
      </c>
      <c r="H277" s="7">
        <v>0</v>
      </c>
      <c r="I277" s="5">
        <v>2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1">
        <v>0</v>
      </c>
    </row>
    <row r="278">
      <c r="A278" s="24">
        <v>2315</v>
      </c>
      <c r="B278" s="9" t="s">
        <v>440</v>
      </c>
      <c r="C278" s="9" t="s">
        <v>141</v>
      </c>
      <c r="D278" s="9" t="s">
        <v>436</v>
      </c>
      <c r="E278" s="9" t="s">
        <v>441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2319</v>
      </c>
      <c r="B279" s="4" t="s">
        <v>442</v>
      </c>
      <c r="C279" s="4" t="s">
        <v>64</v>
      </c>
      <c r="D279" s="4" t="s">
        <v>76</v>
      </c>
      <c r="E279" s="4" t="s">
        <v>271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2320</v>
      </c>
      <c r="B280" s="9" t="s">
        <v>443</v>
      </c>
      <c r="C280" s="9" t="s">
        <v>141</v>
      </c>
      <c r="D280" s="9" t="s">
        <v>436</v>
      </c>
      <c r="E280" s="9" t="s">
        <v>437</v>
      </c>
      <c r="F280" s="11">
        <v>2</v>
      </c>
      <c r="G280" s="10">
        <v>1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0">
        <v>1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2326</v>
      </c>
      <c r="B281" s="4" t="s">
        <v>444</v>
      </c>
      <c r="C281" s="4" t="s">
        <v>141</v>
      </c>
      <c r="D281" s="4" t="s">
        <v>436</v>
      </c>
      <c r="E281" s="4" t="s">
        <v>441</v>
      </c>
      <c r="F281" s="6">
        <v>2</v>
      </c>
      <c r="G281" s="7">
        <v>0</v>
      </c>
      <c r="H281" s="7">
        <v>0</v>
      </c>
      <c r="I281" s="5">
        <v>2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7">
        <v>0</v>
      </c>
      <c r="W281" s="7">
        <v>0</v>
      </c>
      <c r="X281" s="5">
        <v>2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1">
        <v>0</v>
      </c>
    </row>
    <row r="282">
      <c r="A282" s="24">
        <v>2332</v>
      </c>
      <c r="B282" s="9" t="s">
        <v>445</v>
      </c>
      <c r="C282" s="9" t="s">
        <v>141</v>
      </c>
      <c r="D282" s="9" t="s">
        <v>446</v>
      </c>
      <c r="E282" s="9" t="s">
        <v>447</v>
      </c>
      <c r="F282" s="11">
        <v>2</v>
      </c>
      <c r="G282" s="12">
        <v>0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2334</v>
      </c>
      <c r="B283" s="4" t="s">
        <v>448</v>
      </c>
      <c r="C283" s="4" t="s">
        <v>64</v>
      </c>
      <c r="D283" s="4" t="s">
        <v>91</v>
      </c>
      <c r="E283" s="4" t="s">
        <v>157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1">
        <v>0</v>
      </c>
    </row>
    <row r="284">
      <c r="A284" s="24">
        <v>2336</v>
      </c>
      <c r="B284" s="9" t="s">
        <v>449</v>
      </c>
      <c r="C284" s="9" t="s">
        <v>171</v>
      </c>
      <c r="D284" s="9" t="s">
        <v>172</v>
      </c>
      <c r="E284" s="9" t="s">
        <v>183</v>
      </c>
      <c r="F284" s="11">
        <v>2</v>
      </c>
      <c r="G284" s="12">
        <v>0</v>
      </c>
      <c r="H284" s="10">
        <v>2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0">
        <v>2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0">
        <v>0</v>
      </c>
    </row>
    <row r="285">
      <c r="A285" s="23">
        <v>2338</v>
      </c>
      <c r="B285" s="4" t="s">
        <v>450</v>
      </c>
      <c r="C285" s="4" t="s">
        <v>171</v>
      </c>
      <c r="D285" s="4" t="s">
        <v>451</v>
      </c>
      <c r="E285" s="4" t="s">
        <v>452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2339</v>
      </c>
      <c r="B286" s="9" t="s">
        <v>453</v>
      </c>
      <c r="C286" s="9" t="s">
        <v>64</v>
      </c>
      <c r="D286" s="9" t="s">
        <v>110</v>
      </c>
      <c r="E286" s="9" t="s">
        <v>121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0.17</v>
      </c>
    </row>
    <row r="287">
      <c r="A287" s="23">
        <v>2341</v>
      </c>
      <c r="B287" s="4" t="s">
        <v>454</v>
      </c>
      <c r="C287" s="4" t="s">
        <v>64</v>
      </c>
      <c r="D287" s="4" t="s">
        <v>110</v>
      </c>
      <c r="E287" s="4" t="s">
        <v>455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1">
        <v>0</v>
      </c>
    </row>
    <row r="288">
      <c r="A288" s="24">
        <v>2349</v>
      </c>
      <c r="B288" s="9" t="s">
        <v>456</v>
      </c>
      <c r="C288" s="9" t="s">
        <v>64</v>
      </c>
      <c r="D288" s="9" t="s">
        <v>73</v>
      </c>
      <c r="E288" s="9" t="s">
        <v>457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2350</v>
      </c>
      <c r="B289" s="4" t="s">
        <v>458</v>
      </c>
      <c r="C289" s="4" t="s">
        <v>64</v>
      </c>
      <c r="D289" s="4" t="s">
        <v>76</v>
      </c>
      <c r="E289" s="4" t="s">
        <v>125</v>
      </c>
      <c r="F289" s="6">
        <v>3</v>
      </c>
      <c r="G289" s="5">
        <v>1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5">
        <v>1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28">
        <v>0.75</v>
      </c>
    </row>
    <row r="290">
      <c r="A290" s="24">
        <v>2353</v>
      </c>
      <c r="B290" s="9" t="s">
        <v>459</v>
      </c>
      <c r="C290" s="9" t="s">
        <v>171</v>
      </c>
      <c r="D290" s="9" t="s">
        <v>451</v>
      </c>
      <c r="E290" s="9" t="s">
        <v>460</v>
      </c>
      <c r="F290" s="11">
        <v>1</v>
      </c>
      <c r="G290" s="12">
        <v>0</v>
      </c>
      <c r="H290" s="12">
        <v>0</v>
      </c>
      <c r="I290" s="12">
        <v>0</v>
      </c>
      <c r="J290" s="12">
        <v>0</v>
      </c>
      <c r="K290" s="10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2">
        <v>0</v>
      </c>
      <c r="Z290" s="10">
        <v>1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2361</v>
      </c>
      <c r="B291" s="4" t="s">
        <v>461</v>
      </c>
      <c r="C291" s="4" t="s">
        <v>141</v>
      </c>
      <c r="D291" s="4" t="s">
        <v>378</v>
      </c>
      <c r="E291" s="4" t="s">
        <v>379</v>
      </c>
      <c r="F291" s="6">
        <v>2</v>
      </c>
      <c r="G291" s="7">
        <v>0</v>
      </c>
      <c r="H291" s="7">
        <v>0</v>
      </c>
      <c r="I291" s="5">
        <v>1</v>
      </c>
      <c r="J291" s="7">
        <v>0</v>
      </c>
      <c r="K291" s="7">
        <v>0</v>
      </c>
      <c r="L291" s="5">
        <v>1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7">
        <v>0</v>
      </c>
      <c r="W291" s="7">
        <v>0</v>
      </c>
      <c r="X291" s="5">
        <v>1</v>
      </c>
      <c r="Y291" s="7">
        <v>0</v>
      </c>
      <c r="Z291" s="7">
        <v>0</v>
      </c>
      <c r="AA291" s="5">
        <v>1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2365</v>
      </c>
      <c r="B292" s="9" t="s">
        <v>462</v>
      </c>
      <c r="C292" s="9" t="s">
        <v>64</v>
      </c>
      <c r="D292" s="9" t="s">
        <v>132</v>
      </c>
      <c r="E292" s="9" t="s">
        <v>133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2366</v>
      </c>
      <c r="B293" s="4" t="s">
        <v>463</v>
      </c>
      <c r="C293" s="4" t="s">
        <v>64</v>
      </c>
      <c r="D293" s="4" t="s">
        <v>132</v>
      </c>
      <c r="E293" s="4" t="s">
        <v>133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1">
        <v>0</v>
      </c>
    </row>
    <row r="294">
      <c r="A294" s="24">
        <v>2367</v>
      </c>
      <c r="B294" s="9" t="s">
        <v>464</v>
      </c>
      <c r="C294" s="9" t="s">
        <v>64</v>
      </c>
      <c r="D294" s="9" t="s">
        <v>83</v>
      </c>
      <c r="E294" s="9" t="s">
        <v>465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2370</v>
      </c>
      <c r="B295" s="4" t="s">
        <v>466</v>
      </c>
      <c r="C295" s="4" t="s">
        <v>64</v>
      </c>
      <c r="D295" s="4" t="s">
        <v>83</v>
      </c>
      <c r="E295" s="4" t="s">
        <v>84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2374</v>
      </c>
      <c r="B296" s="9" t="s">
        <v>467</v>
      </c>
      <c r="C296" s="9" t="s">
        <v>64</v>
      </c>
      <c r="D296" s="9" t="s">
        <v>110</v>
      </c>
      <c r="E296" s="9" t="s">
        <v>111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2375</v>
      </c>
      <c r="B297" s="4" t="s">
        <v>468</v>
      </c>
      <c r="C297" s="4" t="s">
        <v>141</v>
      </c>
      <c r="D297" s="4" t="s">
        <v>469</v>
      </c>
      <c r="E297" s="4" t="s">
        <v>470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1">
        <v>0</v>
      </c>
    </row>
    <row r="298">
      <c r="A298" s="24">
        <v>2387</v>
      </c>
      <c r="B298" s="9" t="s">
        <v>471</v>
      </c>
      <c r="C298" s="9" t="s">
        <v>171</v>
      </c>
      <c r="D298" s="9" t="s">
        <v>172</v>
      </c>
      <c r="E298" s="9" t="s">
        <v>173</v>
      </c>
      <c r="F298" s="11">
        <v>4</v>
      </c>
      <c r="G298" s="10">
        <v>1</v>
      </c>
      <c r="H298" s="12">
        <v>0</v>
      </c>
      <c r="I298" s="10">
        <v>2</v>
      </c>
      <c r="J298" s="12">
        <v>0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4</v>
      </c>
      <c r="V298" s="10">
        <v>1</v>
      </c>
      <c r="W298" s="12">
        <v>0</v>
      </c>
      <c r="X298" s="10">
        <v>2</v>
      </c>
      <c r="Y298" s="12">
        <v>0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1.33</v>
      </c>
      <c r="AL298" s="10">
        <v>1</v>
      </c>
      <c r="AM298" s="10">
        <v>2</v>
      </c>
      <c r="AN298" s="30">
        <v>0</v>
      </c>
    </row>
    <row r="299">
      <c r="A299" s="23">
        <v>2390</v>
      </c>
      <c r="B299" s="4" t="s">
        <v>472</v>
      </c>
      <c r="C299" s="4" t="s">
        <v>64</v>
      </c>
      <c r="D299" s="4" t="s">
        <v>132</v>
      </c>
      <c r="E299" s="4" t="s">
        <v>227</v>
      </c>
      <c r="F299" s="6">
        <v>1</v>
      </c>
      <c r="G299" s="7">
        <v>0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0.22</v>
      </c>
    </row>
    <row r="300">
      <c r="A300" s="24">
        <v>2403</v>
      </c>
      <c r="B300" s="9" t="s">
        <v>473</v>
      </c>
      <c r="C300" s="9" t="s">
        <v>64</v>
      </c>
      <c r="D300" s="9" t="s">
        <v>110</v>
      </c>
      <c r="E300" s="9" t="s">
        <v>111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0.5</v>
      </c>
    </row>
    <row r="301">
      <c r="A301" s="23">
        <v>2406</v>
      </c>
      <c r="B301" s="4" t="s">
        <v>474</v>
      </c>
      <c r="C301" s="4" t="s">
        <v>64</v>
      </c>
      <c r="D301" s="4" t="s">
        <v>76</v>
      </c>
      <c r="E301" s="4" t="s">
        <v>77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0.6</v>
      </c>
    </row>
    <row r="302">
      <c r="A302" s="24">
        <v>2408</v>
      </c>
      <c r="B302" s="9" t="s">
        <v>475</v>
      </c>
      <c r="C302" s="9" t="s">
        <v>64</v>
      </c>
      <c r="D302" s="9" t="s">
        <v>76</v>
      </c>
      <c r="E302" s="9" t="s">
        <v>77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30">
        <v>0</v>
      </c>
    </row>
    <row r="303">
      <c r="A303" s="23">
        <v>2413</v>
      </c>
      <c r="B303" s="4" t="s">
        <v>476</v>
      </c>
      <c r="C303" s="4" t="s">
        <v>64</v>
      </c>
      <c r="D303" s="4" t="s">
        <v>83</v>
      </c>
      <c r="E303" s="4" t="s">
        <v>139</v>
      </c>
      <c r="F303" s="6">
        <v>2</v>
      </c>
      <c r="G303" s="7">
        <v>0</v>
      </c>
      <c r="H303" s="7">
        <v>0</v>
      </c>
      <c r="I303" s="5">
        <v>2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7">
        <v>0</v>
      </c>
      <c r="X303" s="5">
        <v>2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0.26</v>
      </c>
    </row>
    <row r="304">
      <c r="A304" s="24">
        <v>2419</v>
      </c>
      <c r="B304" s="9" t="s">
        <v>477</v>
      </c>
      <c r="C304" s="9" t="s">
        <v>64</v>
      </c>
      <c r="D304" s="9" t="s">
        <v>76</v>
      </c>
      <c r="E304" s="9" t="s">
        <v>478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2425</v>
      </c>
      <c r="B305" s="4" t="s">
        <v>479</v>
      </c>
      <c r="C305" s="4" t="s">
        <v>141</v>
      </c>
      <c r="D305" s="4" t="s">
        <v>480</v>
      </c>
      <c r="E305" s="4" t="s">
        <v>481</v>
      </c>
      <c r="F305" s="6">
        <v>4</v>
      </c>
      <c r="G305" s="7">
        <v>0</v>
      </c>
      <c r="H305" s="7">
        <v>0</v>
      </c>
      <c r="I305" s="5">
        <v>2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7">
        <v>0</v>
      </c>
      <c r="W305" s="7">
        <v>0</v>
      </c>
      <c r="X305" s="5">
        <v>2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1.33</v>
      </c>
      <c r="AL305" s="5">
        <v>1</v>
      </c>
      <c r="AM305" s="5">
        <v>2</v>
      </c>
      <c r="AN305" s="28">
        <v>0.5</v>
      </c>
    </row>
    <row r="306">
      <c r="A306" s="24">
        <v>2427</v>
      </c>
      <c r="B306" s="9" t="s">
        <v>482</v>
      </c>
      <c r="C306" s="9" t="s">
        <v>64</v>
      </c>
      <c r="D306" s="9" t="s">
        <v>76</v>
      </c>
      <c r="E306" s="9" t="s">
        <v>77</v>
      </c>
      <c r="F306" s="11">
        <v>1</v>
      </c>
      <c r="G306" s="12">
        <v>0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2431</v>
      </c>
      <c r="B307" s="4" t="s">
        <v>483</v>
      </c>
      <c r="C307" s="4" t="s">
        <v>64</v>
      </c>
      <c r="D307" s="4" t="s">
        <v>83</v>
      </c>
      <c r="E307" s="4" t="s">
        <v>84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1">
        <v>0</v>
      </c>
    </row>
    <row r="308">
      <c r="A308" s="24">
        <v>2432</v>
      </c>
      <c r="B308" s="9" t="s">
        <v>484</v>
      </c>
      <c r="C308" s="9" t="s">
        <v>64</v>
      </c>
      <c r="D308" s="9" t="s">
        <v>83</v>
      </c>
      <c r="E308" s="9" t="s">
        <v>84</v>
      </c>
      <c r="F308" s="11">
        <v>2</v>
      </c>
      <c r="G308" s="12">
        <v>0</v>
      </c>
      <c r="H308" s="12">
        <v>0</v>
      </c>
      <c r="I308" s="10">
        <v>1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2">
        <v>0</v>
      </c>
      <c r="W308" s="12">
        <v>0</v>
      </c>
      <c r="X308" s="10">
        <v>1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2433</v>
      </c>
      <c r="B309" s="4" t="s">
        <v>485</v>
      </c>
      <c r="C309" s="4" t="s">
        <v>64</v>
      </c>
      <c r="D309" s="4" t="s">
        <v>83</v>
      </c>
      <c r="E309" s="4" t="s">
        <v>84</v>
      </c>
      <c r="F309" s="6">
        <v>9</v>
      </c>
      <c r="G309" s="5">
        <v>1</v>
      </c>
      <c r="H309" s="7">
        <v>0</v>
      </c>
      <c r="I309" s="7">
        <v>0</v>
      </c>
      <c r="J309" s="5">
        <v>8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7</v>
      </c>
      <c r="V309" s="5">
        <v>1</v>
      </c>
      <c r="W309" s="7">
        <v>0</v>
      </c>
      <c r="X309" s="7">
        <v>0</v>
      </c>
      <c r="Y309" s="5">
        <v>6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</v>
      </c>
      <c r="AL309" s="5">
        <v>1</v>
      </c>
      <c r="AM309" s="5">
        <v>7</v>
      </c>
      <c r="AN309" s="28">
        <v>1.3</v>
      </c>
    </row>
    <row r="310">
      <c r="A310" s="24">
        <v>2435</v>
      </c>
      <c r="B310" s="9" t="s">
        <v>486</v>
      </c>
      <c r="C310" s="9" t="s">
        <v>64</v>
      </c>
      <c r="D310" s="9" t="s">
        <v>80</v>
      </c>
      <c r="E310" s="9" t="s">
        <v>429</v>
      </c>
      <c r="F310" s="11">
        <v>2</v>
      </c>
      <c r="G310" s="10">
        <v>1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0">
        <v>1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2436</v>
      </c>
      <c r="B311" s="4" t="s">
        <v>487</v>
      </c>
      <c r="C311" s="4" t="s">
        <v>64</v>
      </c>
      <c r="D311" s="4" t="s">
        <v>73</v>
      </c>
      <c r="E311" s="4" t="s">
        <v>457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3</v>
      </c>
      <c r="AK311" s="8">
        <v>3</v>
      </c>
      <c r="AL311" s="5">
        <v>3</v>
      </c>
      <c r="AM311" s="5">
        <v>3</v>
      </c>
      <c r="AN311" s="31">
        <v>0</v>
      </c>
    </row>
    <row r="312">
      <c r="A312" s="24">
        <v>2442</v>
      </c>
      <c r="B312" s="9" t="s">
        <v>488</v>
      </c>
      <c r="C312" s="9" t="s">
        <v>64</v>
      </c>
      <c r="D312" s="9" t="s">
        <v>88</v>
      </c>
      <c r="E312" s="9" t="s">
        <v>89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2445</v>
      </c>
      <c r="B313" s="4" t="s">
        <v>489</v>
      </c>
      <c r="C313" s="4" t="s">
        <v>64</v>
      </c>
      <c r="D313" s="4" t="s">
        <v>110</v>
      </c>
      <c r="E313" s="4" t="s">
        <v>455</v>
      </c>
      <c r="F313" s="6">
        <v>3</v>
      </c>
      <c r="G313" s="7">
        <v>0</v>
      </c>
      <c r="H313" s="7">
        <v>0</v>
      </c>
      <c r="I313" s="5">
        <v>2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7">
        <v>0</v>
      </c>
      <c r="W313" s="7">
        <v>0</v>
      </c>
      <c r="X313" s="5">
        <v>2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2480</v>
      </c>
      <c r="B314" s="9" t="s">
        <v>490</v>
      </c>
      <c r="C314" s="9" t="s">
        <v>171</v>
      </c>
      <c r="D314" s="9" t="s">
        <v>491</v>
      </c>
      <c r="E314" s="9" t="s">
        <v>492</v>
      </c>
      <c r="F314" s="11">
        <v>1</v>
      </c>
      <c r="G314" s="12">
        <v>0</v>
      </c>
      <c r="H314" s="12">
        <v>0</v>
      </c>
      <c r="I314" s="12">
        <v>0</v>
      </c>
      <c r="J314" s="12">
        <v>0</v>
      </c>
      <c r="K314" s="10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2">
        <v>0</v>
      </c>
      <c r="Z314" s="10">
        <v>1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2482</v>
      </c>
      <c r="B315" s="4" t="s">
        <v>493</v>
      </c>
      <c r="C315" s="4" t="s">
        <v>64</v>
      </c>
      <c r="D315" s="4" t="s">
        <v>76</v>
      </c>
      <c r="E315" s="4" t="s">
        <v>77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1">
        <v>0</v>
      </c>
    </row>
    <row r="316">
      <c r="A316" s="24">
        <v>2489</v>
      </c>
      <c r="B316" s="9" t="s">
        <v>494</v>
      </c>
      <c r="C316" s="9" t="s">
        <v>171</v>
      </c>
      <c r="D316" s="9" t="s">
        <v>495</v>
      </c>
      <c r="E316" s="9" t="s">
        <v>495</v>
      </c>
      <c r="F316" s="11">
        <v>7</v>
      </c>
      <c r="G316" s="12">
        <v>0</v>
      </c>
      <c r="H316" s="12">
        <v>0</v>
      </c>
      <c r="I316" s="10">
        <v>7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2">
        <v>0</v>
      </c>
      <c r="W316" s="12">
        <v>0</v>
      </c>
      <c r="X316" s="10">
        <v>2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7</v>
      </c>
      <c r="AK316" s="13">
        <v>7</v>
      </c>
      <c r="AL316" s="10">
        <v>7</v>
      </c>
      <c r="AM316" s="10">
        <v>7</v>
      </c>
      <c r="AN316" s="30">
        <v>0</v>
      </c>
    </row>
    <row r="317">
      <c r="A317" s="23">
        <v>2493</v>
      </c>
      <c r="B317" s="4" t="s">
        <v>496</v>
      </c>
      <c r="C317" s="4" t="s">
        <v>64</v>
      </c>
      <c r="D317" s="4" t="s">
        <v>110</v>
      </c>
      <c r="E317" s="4" t="s">
        <v>117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0.26</v>
      </c>
    </row>
    <row r="318">
      <c r="A318" s="24">
        <v>2495</v>
      </c>
      <c r="B318" s="9" t="s">
        <v>497</v>
      </c>
      <c r="C318" s="9" t="s">
        <v>64</v>
      </c>
      <c r="D318" s="9" t="s">
        <v>83</v>
      </c>
      <c r="E318" s="9" t="s">
        <v>147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2496</v>
      </c>
      <c r="B319" s="4" t="s">
        <v>498</v>
      </c>
      <c r="C319" s="4" t="s">
        <v>141</v>
      </c>
      <c r="D319" s="4" t="s">
        <v>436</v>
      </c>
      <c r="E319" s="4" t="s">
        <v>499</v>
      </c>
      <c r="F319" s="6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1">
        <v>0</v>
      </c>
    </row>
    <row r="320">
      <c r="A320" s="24">
        <v>2498</v>
      </c>
      <c r="B320" s="9" t="s">
        <v>500</v>
      </c>
      <c r="C320" s="9" t="s">
        <v>141</v>
      </c>
      <c r="D320" s="9" t="s">
        <v>436</v>
      </c>
      <c r="E320" s="9" t="s">
        <v>499</v>
      </c>
      <c r="F320" s="11">
        <v>2</v>
      </c>
      <c r="G320" s="10">
        <v>1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1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0.62</v>
      </c>
    </row>
    <row r="321">
      <c r="A321" s="23">
        <v>2499</v>
      </c>
      <c r="B321" s="4" t="s">
        <v>501</v>
      </c>
      <c r="C321" s="4" t="s">
        <v>64</v>
      </c>
      <c r="D321" s="4" t="s">
        <v>68</v>
      </c>
      <c r="E321" s="4" t="s">
        <v>71</v>
      </c>
      <c r="F321" s="6">
        <v>1</v>
      </c>
      <c r="G321" s="7">
        <v>0</v>
      </c>
      <c r="H321" s="7">
        <v>0</v>
      </c>
      <c r="I321" s="7">
        <v>0</v>
      </c>
      <c r="J321" s="7">
        <v>0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7">
        <v>0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2501</v>
      </c>
      <c r="B322" s="9" t="s">
        <v>502</v>
      </c>
      <c r="C322" s="9" t="s">
        <v>64</v>
      </c>
      <c r="D322" s="9" t="s">
        <v>91</v>
      </c>
      <c r="E322" s="9" t="s">
        <v>503</v>
      </c>
      <c r="F322" s="11">
        <v>3</v>
      </c>
      <c r="G322" s="10">
        <v>1</v>
      </c>
      <c r="H322" s="12">
        <v>0</v>
      </c>
      <c r="I322" s="10">
        <v>1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3</v>
      </c>
      <c r="V322" s="10">
        <v>1</v>
      </c>
      <c r="W322" s="12">
        <v>0</v>
      </c>
      <c r="X322" s="10">
        <v>1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0.5</v>
      </c>
    </row>
    <row r="323">
      <c r="A323" s="23">
        <v>2502</v>
      </c>
      <c r="B323" s="4" t="s">
        <v>504</v>
      </c>
      <c r="C323" s="4" t="s">
        <v>64</v>
      </c>
      <c r="D323" s="4" t="s">
        <v>80</v>
      </c>
      <c r="E323" s="4" t="s">
        <v>81</v>
      </c>
      <c r="F323" s="6">
        <v>1</v>
      </c>
      <c r="G323" s="7">
        <v>0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1">
        <v>0</v>
      </c>
    </row>
    <row r="324">
      <c r="A324" s="24">
        <v>2514</v>
      </c>
      <c r="B324" s="9" t="s">
        <v>505</v>
      </c>
      <c r="C324" s="9" t="s">
        <v>64</v>
      </c>
      <c r="D324" s="9" t="s">
        <v>83</v>
      </c>
      <c r="E324" s="9" t="s">
        <v>84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2515</v>
      </c>
      <c r="B325" s="4" t="s">
        <v>506</v>
      </c>
      <c r="C325" s="4" t="s">
        <v>64</v>
      </c>
      <c r="D325" s="4" t="s">
        <v>110</v>
      </c>
      <c r="E325" s="4" t="s">
        <v>121</v>
      </c>
      <c r="F325" s="6">
        <v>1</v>
      </c>
      <c r="G325" s="7">
        <v>0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0.35</v>
      </c>
    </row>
    <row r="326">
      <c r="A326" s="24">
        <v>2519</v>
      </c>
      <c r="B326" s="9" t="s">
        <v>507</v>
      </c>
      <c r="C326" s="9" t="s">
        <v>64</v>
      </c>
      <c r="D326" s="9" t="s">
        <v>83</v>
      </c>
      <c r="E326" s="9" t="s">
        <v>84</v>
      </c>
      <c r="F326" s="11">
        <v>1</v>
      </c>
      <c r="G326" s="12">
        <v>0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0.26</v>
      </c>
    </row>
    <row r="327">
      <c r="A327" s="23">
        <v>2521</v>
      </c>
      <c r="B327" s="4" t="s">
        <v>508</v>
      </c>
      <c r="C327" s="4" t="s">
        <v>64</v>
      </c>
      <c r="D327" s="4" t="s">
        <v>107</v>
      </c>
      <c r="E327" s="4" t="s">
        <v>108</v>
      </c>
      <c r="F327" s="6">
        <v>2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0.6</v>
      </c>
    </row>
    <row r="328">
      <c r="A328" s="24">
        <v>2524</v>
      </c>
      <c r="B328" s="9" t="s">
        <v>509</v>
      </c>
      <c r="C328" s="9" t="s">
        <v>64</v>
      </c>
      <c r="D328" s="9" t="s">
        <v>80</v>
      </c>
      <c r="E328" s="9" t="s">
        <v>94</v>
      </c>
      <c r="F328" s="11">
        <v>4</v>
      </c>
      <c r="G328" s="12">
        <v>0</v>
      </c>
      <c r="H328" s="12">
        <v>0</v>
      </c>
      <c r="I328" s="12">
        <v>0</v>
      </c>
      <c r="J328" s="10">
        <v>3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4</v>
      </c>
      <c r="V328" s="12">
        <v>0</v>
      </c>
      <c r="W328" s="12">
        <v>0</v>
      </c>
      <c r="X328" s="12">
        <v>0</v>
      </c>
      <c r="Y328" s="10">
        <v>3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0.75</v>
      </c>
    </row>
    <row r="329">
      <c r="A329" s="23">
        <v>2526</v>
      </c>
      <c r="B329" s="4" t="s">
        <v>510</v>
      </c>
      <c r="C329" s="4" t="s">
        <v>171</v>
      </c>
      <c r="D329" s="4" t="s">
        <v>172</v>
      </c>
      <c r="E329" s="4" t="s">
        <v>181</v>
      </c>
      <c r="F329" s="6">
        <v>1</v>
      </c>
      <c r="G329" s="7">
        <v>0</v>
      </c>
      <c r="H329" s="7">
        <v>0</v>
      </c>
      <c r="I329" s="7">
        <v>0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1">
        <v>0</v>
      </c>
    </row>
    <row r="330">
      <c r="A330" s="24">
        <v>2529</v>
      </c>
      <c r="B330" s="9" t="s">
        <v>511</v>
      </c>
      <c r="C330" s="9" t="s">
        <v>64</v>
      </c>
      <c r="D330" s="9" t="s">
        <v>83</v>
      </c>
      <c r="E330" s="9" t="s">
        <v>465</v>
      </c>
      <c r="F330" s="11">
        <v>2</v>
      </c>
      <c r="G330" s="12">
        <v>0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0.5</v>
      </c>
    </row>
    <row r="331">
      <c r="A331" s="23">
        <v>2540</v>
      </c>
      <c r="B331" s="4" t="s">
        <v>512</v>
      </c>
      <c r="C331" s="4" t="s">
        <v>64</v>
      </c>
      <c r="D331" s="4" t="s">
        <v>107</v>
      </c>
      <c r="E331" s="4" t="s">
        <v>108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31">
        <v>0</v>
      </c>
    </row>
    <row r="332">
      <c r="A332" s="24">
        <v>2547</v>
      </c>
      <c r="B332" s="9" t="s">
        <v>513</v>
      </c>
      <c r="C332" s="9" t="s">
        <v>64</v>
      </c>
      <c r="D332" s="9" t="s">
        <v>80</v>
      </c>
      <c r="E332" s="9" t="s">
        <v>86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2552</v>
      </c>
      <c r="B333" s="4" t="s">
        <v>514</v>
      </c>
      <c r="C333" s="4" t="s">
        <v>64</v>
      </c>
      <c r="D333" s="4" t="s">
        <v>83</v>
      </c>
      <c r="E333" s="4" t="s">
        <v>84</v>
      </c>
      <c r="F333" s="6">
        <v>5</v>
      </c>
      <c r="G333" s="5">
        <v>3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5</v>
      </c>
      <c r="V333" s="5">
        <v>3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2.5</v>
      </c>
      <c r="AL333" s="5">
        <v>2</v>
      </c>
      <c r="AM333" s="5">
        <v>3</v>
      </c>
      <c r="AN333" s="28">
        <v>0.52</v>
      </c>
    </row>
    <row r="334">
      <c r="A334" s="24">
        <v>2559</v>
      </c>
      <c r="B334" s="9" t="s">
        <v>515</v>
      </c>
      <c r="C334" s="9" t="s">
        <v>64</v>
      </c>
      <c r="D334" s="9" t="s">
        <v>83</v>
      </c>
      <c r="E334" s="9" t="s">
        <v>207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2561</v>
      </c>
      <c r="B335" s="4" t="s">
        <v>516</v>
      </c>
      <c r="C335" s="4" t="s">
        <v>64</v>
      </c>
      <c r="D335" s="4" t="s">
        <v>83</v>
      </c>
      <c r="E335" s="4" t="s">
        <v>207</v>
      </c>
      <c r="F335" s="6">
        <v>4</v>
      </c>
      <c r="G335" s="5">
        <v>2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4</v>
      </c>
      <c r="V335" s="5">
        <v>2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0.5</v>
      </c>
    </row>
    <row r="336">
      <c r="A336" s="24">
        <v>2563</v>
      </c>
      <c r="B336" s="9" t="s">
        <v>517</v>
      </c>
      <c r="C336" s="9" t="s">
        <v>64</v>
      </c>
      <c r="D336" s="9" t="s">
        <v>83</v>
      </c>
      <c r="E336" s="9" t="s">
        <v>207</v>
      </c>
      <c r="F336" s="11">
        <v>1</v>
      </c>
      <c r="G336" s="12">
        <v>0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2565</v>
      </c>
      <c r="B337" s="4" t="s">
        <v>518</v>
      </c>
      <c r="C337" s="4" t="s">
        <v>64</v>
      </c>
      <c r="D337" s="4" t="s">
        <v>83</v>
      </c>
      <c r="E337" s="4" t="s">
        <v>207</v>
      </c>
      <c r="F337" s="6">
        <v>3</v>
      </c>
      <c r="G337" s="7">
        <v>0</v>
      </c>
      <c r="H337" s="7">
        <v>0</v>
      </c>
      <c r="I337" s="7">
        <v>0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7">
        <v>0</v>
      </c>
      <c r="W337" s="7">
        <v>0</v>
      </c>
      <c r="X337" s="7">
        <v>0</v>
      </c>
      <c r="Y337" s="5">
        <v>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0.75</v>
      </c>
    </row>
    <row r="338">
      <c r="A338" s="24">
        <v>2566</v>
      </c>
      <c r="B338" s="9" t="s">
        <v>519</v>
      </c>
      <c r="C338" s="9" t="s">
        <v>64</v>
      </c>
      <c r="D338" s="9" t="s">
        <v>83</v>
      </c>
      <c r="E338" s="9" t="s">
        <v>207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2574</v>
      </c>
      <c r="B339" s="4" t="s">
        <v>520</v>
      </c>
      <c r="C339" s="4" t="s">
        <v>64</v>
      </c>
      <c r="D339" s="4" t="s">
        <v>83</v>
      </c>
      <c r="E339" s="4" t="s">
        <v>207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2583</v>
      </c>
      <c r="B340" s="9" t="s">
        <v>521</v>
      </c>
      <c r="C340" s="9" t="s">
        <v>171</v>
      </c>
      <c r="D340" s="9" t="s">
        <v>172</v>
      </c>
      <c r="E340" s="9" t="s">
        <v>173</v>
      </c>
      <c r="F340" s="11">
        <v>1</v>
      </c>
      <c r="G340" s="12">
        <v>0</v>
      </c>
      <c r="H340" s="12">
        <v>0</v>
      </c>
      <c r="I340" s="12">
        <v>0</v>
      </c>
      <c r="J340" s="12">
        <v>0</v>
      </c>
      <c r="K340" s="10">
        <v>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2">
        <v>0</v>
      </c>
      <c r="Z340" s="10">
        <v>1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2586</v>
      </c>
      <c r="B341" s="4" t="s">
        <v>522</v>
      </c>
      <c r="C341" s="4" t="s">
        <v>171</v>
      </c>
      <c r="D341" s="4" t="s">
        <v>451</v>
      </c>
      <c r="E341" s="4" t="s">
        <v>452</v>
      </c>
      <c r="F341" s="6">
        <v>3</v>
      </c>
      <c r="G341" s="7">
        <v>0</v>
      </c>
      <c r="H341" s="5">
        <v>1</v>
      </c>
      <c r="I341" s="7">
        <v>0</v>
      </c>
      <c r="J341" s="7">
        <v>0</v>
      </c>
      <c r="K341" s="5">
        <v>1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3</v>
      </c>
      <c r="V341" s="7">
        <v>0</v>
      </c>
      <c r="W341" s="5">
        <v>1</v>
      </c>
      <c r="X341" s="7">
        <v>0</v>
      </c>
      <c r="Y341" s="7">
        <v>0</v>
      </c>
      <c r="Z341" s="5">
        <v>1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0.36</v>
      </c>
    </row>
    <row r="342">
      <c r="A342" s="24">
        <v>2596</v>
      </c>
      <c r="B342" s="9" t="s">
        <v>523</v>
      </c>
      <c r="C342" s="9" t="s">
        <v>141</v>
      </c>
      <c r="D342" s="9" t="s">
        <v>524</v>
      </c>
      <c r="E342" s="9" t="s">
        <v>525</v>
      </c>
      <c r="F342" s="11">
        <v>1</v>
      </c>
      <c r="G342" s="12">
        <v>0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2602</v>
      </c>
      <c r="B343" s="4" t="s">
        <v>526</v>
      </c>
      <c r="C343" s="4" t="s">
        <v>141</v>
      </c>
      <c r="D343" s="4" t="s">
        <v>469</v>
      </c>
      <c r="E343" s="4" t="s">
        <v>470</v>
      </c>
      <c r="F343" s="6">
        <v>2</v>
      </c>
      <c r="G343" s="5">
        <v>1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1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2603</v>
      </c>
      <c r="B344" s="9" t="s">
        <v>527</v>
      </c>
      <c r="C344" s="9" t="s">
        <v>141</v>
      </c>
      <c r="D344" s="9" t="s">
        <v>436</v>
      </c>
      <c r="E344" s="9" t="s">
        <v>528</v>
      </c>
      <c r="F344" s="11">
        <v>2</v>
      </c>
      <c r="G344" s="10">
        <v>1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0">
        <v>1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2605</v>
      </c>
      <c r="B345" s="4" t="s">
        <v>529</v>
      </c>
      <c r="C345" s="4" t="s">
        <v>64</v>
      </c>
      <c r="D345" s="4" t="s">
        <v>110</v>
      </c>
      <c r="E345" s="4" t="s">
        <v>121</v>
      </c>
      <c r="F345" s="6">
        <v>2</v>
      </c>
      <c r="G345" s="5">
        <v>1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1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2611</v>
      </c>
      <c r="B346" s="9" t="s">
        <v>530</v>
      </c>
      <c r="C346" s="9" t="s">
        <v>141</v>
      </c>
      <c r="D346" s="9" t="s">
        <v>230</v>
      </c>
      <c r="E346" s="9" t="s">
        <v>231</v>
      </c>
      <c r="F346" s="11">
        <v>5</v>
      </c>
      <c r="G346" s="12">
        <v>0</v>
      </c>
      <c r="H346" s="12">
        <v>0</v>
      </c>
      <c r="I346" s="10">
        <v>4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4</v>
      </c>
      <c r="V346" s="12">
        <v>0</v>
      </c>
      <c r="W346" s="12">
        <v>0</v>
      </c>
      <c r="X346" s="10">
        <v>3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2.5</v>
      </c>
      <c r="AL346" s="10">
        <v>2</v>
      </c>
      <c r="AM346" s="10">
        <v>4</v>
      </c>
      <c r="AN346" s="30">
        <v>0</v>
      </c>
    </row>
    <row r="347">
      <c r="A347" s="23">
        <v>2612</v>
      </c>
      <c r="B347" s="4" t="s">
        <v>531</v>
      </c>
      <c r="C347" s="4" t="s">
        <v>171</v>
      </c>
      <c r="D347" s="4" t="s">
        <v>185</v>
      </c>
      <c r="E347" s="4" t="s">
        <v>188</v>
      </c>
      <c r="F347" s="6">
        <v>1</v>
      </c>
      <c r="G347" s="7">
        <v>0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1">
        <v>0</v>
      </c>
    </row>
    <row r="348">
      <c r="A348" s="24">
        <v>2613</v>
      </c>
      <c r="B348" s="9" t="s">
        <v>532</v>
      </c>
      <c r="C348" s="9" t="s">
        <v>171</v>
      </c>
      <c r="D348" s="9" t="s">
        <v>172</v>
      </c>
      <c r="E348" s="9" t="s">
        <v>173</v>
      </c>
      <c r="F348" s="11">
        <v>3</v>
      </c>
      <c r="G348" s="10">
        <v>1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1</v>
      </c>
      <c r="W348" s="12">
        <v>0</v>
      </c>
      <c r="X348" s="10">
        <v>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30">
        <v>0</v>
      </c>
    </row>
    <row r="349">
      <c r="A349" s="23">
        <v>2615</v>
      </c>
      <c r="B349" s="4" t="s">
        <v>533</v>
      </c>
      <c r="C349" s="4" t="s">
        <v>171</v>
      </c>
      <c r="D349" s="4" t="s">
        <v>172</v>
      </c>
      <c r="E349" s="4" t="s">
        <v>173</v>
      </c>
      <c r="F349" s="6">
        <v>3</v>
      </c>
      <c r="G349" s="5">
        <v>1</v>
      </c>
      <c r="H349" s="7">
        <v>0</v>
      </c>
      <c r="I349" s="7">
        <v>0</v>
      </c>
      <c r="J349" s="7">
        <v>0</v>
      </c>
      <c r="K349" s="5">
        <v>2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3</v>
      </c>
      <c r="V349" s="5">
        <v>1</v>
      </c>
      <c r="W349" s="7">
        <v>0</v>
      </c>
      <c r="X349" s="7">
        <v>0</v>
      </c>
      <c r="Y349" s="7">
        <v>0</v>
      </c>
      <c r="Z349" s="5">
        <v>2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31">
        <v>0</v>
      </c>
    </row>
    <row r="350">
      <c r="A350" s="24">
        <v>2616</v>
      </c>
      <c r="B350" s="9" t="s">
        <v>534</v>
      </c>
      <c r="C350" s="9" t="s">
        <v>171</v>
      </c>
      <c r="D350" s="9" t="s">
        <v>185</v>
      </c>
      <c r="E350" s="9" t="s">
        <v>192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2617</v>
      </c>
      <c r="B351" s="4" t="s">
        <v>535</v>
      </c>
      <c r="C351" s="4" t="s">
        <v>64</v>
      </c>
      <c r="D351" s="4" t="s">
        <v>83</v>
      </c>
      <c r="E351" s="4" t="s">
        <v>84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2619</v>
      </c>
      <c r="B352" s="9" t="s">
        <v>536</v>
      </c>
      <c r="C352" s="9" t="s">
        <v>64</v>
      </c>
      <c r="D352" s="9" t="s">
        <v>132</v>
      </c>
      <c r="E352" s="9" t="s">
        <v>133</v>
      </c>
      <c r="F352" s="11">
        <v>2</v>
      </c>
      <c r="G352" s="12">
        <v>0</v>
      </c>
      <c r="H352" s="12">
        <v>0</v>
      </c>
      <c r="I352" s="10">
        <v>1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2">
        <v>0</v>
      </c>
      <c r="W352" s="12">
        <v>0</v>
      </c>
      <c r="X352" s="10">
        <v>1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0.22</v>
      </c>
    </row>
    <row r="353">
      <c r="A353" s="23">
        <v>2629</v>
      </c>
      <c r="B353" s="4" t="s">
        <v>537</v>
      </c>
      <c r="C353" s="4" t="s">
        <v>64</v>
      </c>
      <c r="D353" s="4" t="s">
        <v>76</v>
      </c>
      <c r="E353" s="4" t="s">
        <v>77</v>
      </c>
      <c r="F353" s="6">
        <v>3</v>
      </c>
      <c r="G353" s="5">
        <v>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5">
        <v>3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0.85</v>
      </c>
    </row>
    <row r="354">
      <c r="A354" s="24">
        <v>2631</v>
      </c>
      <c r="B354" s="9" t="s">
        <v>538</v>
      </c>
      <c r="C354" s="9" t="s">
        <v>64</v>
      </c>
      <c r="D354" s="9" t="s">
        <v>110</v>
      </c>
      <c r="E354" s="9" t="s">
        <v>121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2645</v>
      </c>
      <c r="B355" s="4" t="s">
        <v>539</v>
      </c>
      <c r="C355" s="4" t="s">
        <v>64</v>
      </c>
      <c r="D355" s="4" t="s">
        <v>110</v>
      </c>
      <c r="E355" s="4" t="s">
        <v>111</v>
      </c>
      <c r="F355" s="6">
        <v>2</v>
      </c>
      <c r="G355" s="5">
        <v>1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2</v>
      </c>
      <c r="V355" s="5">
        <v>1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0.62</v>
      </c>
    </row>
    <row r="356">
      <c r="A356" s="24">
        <v>2649</v>
      </c>
      <c r="B356" s="9" t="s">
        <v>540</v>
      </c>
      <c r="C356" s="9" t="s">
        <v>141</v>
      </c>
      <c r="D356" s="9" t="s">
        <v>469</v>
      </c>
      <c r="E356" s="9" t="s">
        <v>470</v>
      </c>
      <c r="F356" s="11">
        <v>3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0.72</v>
      </c>
    </row>
    <row r="357">
      <c r="A357" s="23">
        <v>2654</v>
      </c>
      <c r="B357" s="4" t="s">
        <v>541</v>
      </c>
      <c r="C357" s="4" t="s">
        <v>141</v>
      </c>
      <c r="D357" s="4" t="s">
        <v>230</v>
      </c>
      <c r="E357" s="4" t="s">
        <v>231</v>
      </c>
      <c r="F357" s="6">
        <v>3</v>
      </c>
      <c r="G357" s="7">
        <v>0</v>
      </c>
      <c r="H357" s="5">
        <v>1</v>
      </c>
      <c r="I357" s="5">
        <v>2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3</v>
      </c>
      <c r="V357" s="7">
        <v>0</v>
      </c>
      <c r="W357" s="5">
        <v>1</v>
      </c>
      <c r="X357" s="5">
        <v>2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0.5</v>
      </c>
    </row>
    <row r="358">
      <c r="A358" s="24">
        <v>2659</v>
      </c>
      <c r="B358" s="9" t="s">
        <v>542</v>
      </c>
      <c r="C358" s="9" t="s">
        <v>64</v>
      </c>
      <c r="D358" s="9" t="s">
        <v>76</v>
      </c>
      <c r="E358" s="9" t="s">
        <v>77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2663</v>
      </c>
      <c r="B359" s="4" t="s">
        <v>543</v>
      </c>
      <c r="C359" s="4" t="s">
        <v>64</v>
      </c>
      <c r="D359" s="4" t="s">
        <v>110</v>
      </c>
      <c r="E359" s="4" t="s">
        <v>151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2665</v>
      </c>
      <c r="B360" s="9" t="s">
        <v>544</v>
      </c>
      <c r="C360" s="9" t="s">
        <v>64</v>
      </c>
      <c r="D360" s="9" t="s">
        <v>88</v>
      </c>
      <c r="E360" s="9" t="s">
        <v>363</v>
      </c>
      <c r="F360" s="11">
        <v>2</v>
      </c>
      <c r="G360" s="10">
        <v>1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2669</v>
      </c>
      <c r="B361" s="4" t="s">
        <v>545</v>
      </c>
      <c r="C361" s="4" t="s">
        <v>64</v>
      </c>
      <c r="D361" s="4" t="s">
        <v>76</v>
      </c>
      <c r="E361" s="4" t="s">
        <v>163</v>
      </c>
      <c r="F361" s="6">
        <v>2</v>
      </c>
      <c r="G361" s="7">
        <v>0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0.5</v>
      </c>
    </row>
    <row r="362">
      <c r="A362" s="24">
        <v>2671</v>
      </c>
      <c r="B362" s="9" t="s">
        <v>546</v>
      </c>
      <c r="C362" s="9" t="s">
        <v>64</v>
      </c>
      <c r="D362" s="9" t="s">
        <v>76</v>
      </c>
      <c r="E362" s="9" t="s">
        <v>478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0.22</v>
      </c>
    </row>
    <row r="363">
      <c r="A363" s="23">
        <v>2677</v>
      </c>
      <c r="B363" s="4" t="s">
        <v>547</v>
      </c>
      <c r="C363" s="4" t="s">
        <v>64</v>
      </c>
      <c r="D363" s="4" t="s">
        <v>110</v>
      </c>
      <c r="E363" s="4" t="s">
        <v>117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1">
        <v>0</v>
      </c>
    </row>
    <row r="364">
      <c r="A364" s="24">
        <v>2680</v>
      </c>
      <c r="B364" s="9" t="s">
        <v>548</v>
      </c>
      <c r="C364" s="9" t="s">
        <v>141</v>
      </c>
      <c r="D364" s="9" t="s">
        <v>436</v>
      </c>
      <c r="E364" s="9" t="s">
        <v>549</v>
      </c>
      <c r="F364" s="11">
        <v>2</v>
      </c>
      <c r="G364" s="10">
        <v>1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0">
        <v>1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2684</v>
      </c>
      <c r="B365" s="4" t="s">
        <v>550</v>
      </c>
      <c r="C365" s="4" t="s">
        <v>141</v>
      </c>
      <c r="D365" s="4" t="s">
        <v>480</v>
      </c>
      <c r="E365" s="4" t="s">
        <v>551</v>
      </c>
      <c r="F365" s="6">
        <v>1</v>
      </c>
      <c r="G365" s="7">
        <v>0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7">
        <v>0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2688</v>
      </c>
      <c r="B366" s="9" t="s">
        <v>552</v>
      </c>
      <c r="C366" s="9" t="s">
        <v>64</v>
      </c>
      <c r="D366" s="9" t="s">
        <v>80</v>
      </c>
      <c r="E366" s="9" t="s">
        <v>94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2692</v>
      </c>
      <c r="B367" s="4" t="s">
        <v>553</v>
      </c>
      <c r="C367" s="4" t="s">
        <v>64</v>
      </c>
      <c r="D367" s="4" t="s">
        <v>80</v>
      </c>
      <c r="E367" s="4" t="s">
        <v>94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2694</v>
      </c>
      <c r="B368" s="9" t="s">
        <v>554</v>
      </c>
      <c r="C368" s="9" t="s">
        <v>64</v>
      </c>
      <c r="D368" s="9" t="s">
        <v>80</v>
      </c>
      <c r="E368" s="9" t="s">
        <v>94</v>
      </c>
      <c r="F368" s="11">
        <v>1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0">
        <v>1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0">
        <v>1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2698</v>
      </c>
      <c r="B369" s="4" t="s">
        <v>555</v>
      </c>
      <c r="C369" s="4" t="s">
        <v>64</v>
      </c>
      <c r="D369" s="4" t="s">
        <v>80</v>
      </c>
      <c r="E369" s="4" t="s">
        <v>94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2700</v>
      </c>
      <c r="B370" s="9" t="s">
        <v>556</v>
      </c>
      <c r="C370" s="9" t="s">
        <v>64</v>
      </c>
      <c r="D370" s="9" t="s">
        <v>80</v>
      </c>
      <c r="E370" s="9" t="s">
        <v>94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30">
        <v>0</v>
      </c>
    </row>
    <row r="371">
      <c r="A371" s="23">
        <v>2701</v>
      </c>
      <c r="B371" s="4" t="s">
        <v>557</v>
      </c>
      <c r="C371" s="4" t="s">
        <v>64</v>
      </c>
      <c r="D371" s="4" t="s">
        <v>110</v>
      </c>
      <c r="E371" s="4" t="s">
        <v>111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1">
        <v>0</v>
      </c>
    </row>
    <row r="372">
      <c r="A372" s="24">
        <v>2705</v>
      </c>
      <c r="B372" s="9" t="s">
        <v>558</v>
      </c>
      <c r="C372" s="9" t="s">
        <v>64</v>
      </c>
      <c r="D372" s="9" t="s">
        <v>80</v>
      </c>
      <c r="E372" s="9" t="s">
        <v>94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2706</v>
      </c>
      <c r="B373" s="4" t="s">
        <v>559</v>
      </c>
      <c r="C373" s="4" t="s">
        <v>64</v>
      </c>
      <c r="D373" s="4" t="s">
        <v>80</v>
      </c>
      <c r="E373" s="4" t="s">
        <v>94</v>
      </c>
      <c r="F373" s="6">
        <v>1</v>
      </c>
      <c r="G373" s="7">
        <v>0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0.26</v>
      </c>
    </row>
    <row r="374">
      <c r="A374" s="24">
        <v>2708</v>
      </c>
      <c r="B374" s="9" t="s">
        <v>560</v>
      </c>
      <c r="C374" s="9" t="s">
        <v>64</v>
      </c>
      <c r="D374" s="9" t="s">
        <v>80</v>
      </c>
      <c r="E374" s="9" t="s">
        <v>94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2713</v>
      </c>
      <c r="B375" s="4" t="s">
        <v>561</v>
      </c>
      <c r="C375" s="4" t="s">
        <v>64</v>
      </c>
      <c r="D375" s="4" t="s">
        <v>80</v>
      </c>
      <c r="E375" s="4" t="s">
        <v>94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2724</v>
      </c>
      <c r="B376" s="9" t="s">
        <v>562</v>
      </c>
      <c r="C376" s="9" t="s">
        <v>64</v>
      </c>
      <c r="D376" s="9" t="s">
        <v>83</v>
      </c>
      <c r="E376" s="9" t="s">
        <v>563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2725</v>
      </c>
      <c r="B377" s="4" t="s">
        <v>564</v>
      </c>
      <c r="C377" s="4" t="s">
        <v>64</v>
      </c>
      <c r="D377" s="4" t="s">
        <v>132</v>
      </c>
      <c r="E377" s="4" t="s">
        <v>133</v>
      </c>
      <c r="F377" s="6">
        <v>2</v>
      </c>
      <c r="G377" s="7">
        <v>0</v>
      </c>
      <c r="H377" s="7">
        <v>0</v>
      </c>
      <c r="I377" s="5">
        <v>1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7">
        <v>0</v>
      </c>
      <c r="X377" s="5">
        <v>1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0.5</v>
      </c>
    </row>
    <row r="378">
      <c r="A378" s="24">
        <v>2727</v>
      </c>
      <c r="B378" s="9" t="s">
        <v>565</v>
      </c>
      <c r="C378" s="9" t="s">
        <v>64</v>
      </c>
      <c r="D378" s="9" t="s">
        <v>68</v>
      </c>
      <c r="E378" s="9" t="s">
        <v>245</v>
      </c>
      <c r="F378" s="11">
        <v>3</v>
      </c>
      <c r="G378" s="10">
        <v>2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0">
        <v>2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0.5</v>
      </c>
    </row>
    <row r="379">
      <c r="A379" s="23">
        <v>2730</v>
      </c>
      <c r="B379" s="4" t="s">
        <v>566</v>
      </c>
      <c r="C379" s="4" t="s">
        <v>64</v>
      </c>
      <c r="D379" s="4" t="s">
        <v>110</v>
      </c>
      <c r="E379" s="4" t="s">
        <v>111</v>
      </c>
      <c r="F379" s="6">
        <v>3</v>
      </c>
      <c r="G379" s="5">
        <v>2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3</v>
      </c>
      <c r="V379" s="5">
        <v>2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0.52</v>
      </c>
    </row>
    <row r="380">
      <c r="A380" s="24">
        <v>2731</v>
      </c>
      <c r="B380" s="9" t="s">
        <v>567</v>
      </c>
      <c r="C380" s="9" t="s">
        <v>64</v>
      </c>
      <c r="D380" s="9" t="s">
        <v>91</v>
      </c>
      <c r="E380" s="9" t="s">
        <v>157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2734</v>
      </c>
      <c r="B381" s="4" t="s">
        <v>568</v>
      </c>
      <c r="C381" s="4" t="s">
        <v>64</v>
      </c>
      <c r="D381" s="4" t="s">
        <v>91</v>
      </c>
      <c r="E381" s="4" t="s">
        <v>503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2740</v>
      </c>
      <c r="B382" s="9" t="s">
        <v>569</v>
      </c>
      <c r="C382" s="9" t="s">
        <v>141</v>
      </c>
      <c r="D382" s="9" t="s">
        <v>570</v>
      </c>
      <c r="E382" s="9" t="s">
        <v>571</v>
      </c>
      <c r="F382" s="11">
        <v>4</v>
      </c>
      <c r="G382" s="12">
        <v>0</v>
      </c>
      <c r="H382" s="12">
        <v>0</v>
      </c>
      <c r="I382" s="10">
        <v>4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4</v>
      </c>
      <c r="AL382" s="10">
        <v>4</v>
      </c>
      <c r="AM382" s="10">
        <v>4</v>
      </c>
      <c r="AN382" s="30">
        <v>0</v>
      </c>
    </row>
    <row r="383">
      <c r="A383" s="23">
        <v>2742</v>
      </c>
      <c r="B383" s="4" t="s">
        <v>572</v>
      </c>
      <c r="C383" s="4" t="s">
        <v>64</v>
      </c>
      <c r="D383" s="4" t="s">
        <v>68</v>
      </c>
      <c r="E383" s="4" t="s">
        <v>245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0.24</v>
      </c>
    </row>
    <row r="384">
      <c r="A384" s="24">
        <v>2754</v>
      </c>
      <c r="B384" s="9" t="s">
        <v>573</v>
      </c>
      <c r="C384" s="9" t="s">
        <v>64</v>
      </c>
      <c r="D384" s="9" t="s">
        <v>110</v>
      </c>
      <c r="E384" s="9" t="s">
        <v>151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2757</v>
      </c>
      <c r="B385" s="4" t="s">
        <v>574</v>
      </c>
      <c r="C385" s="4" t="s">
        <v>64</v>
      </c>
      <c r="D385" s="4" t="s">
        <v>76</v>
      </c>
      <c r="E385" s="4" t="s">
        <v>77</v>
      </c>
      <c r="F385" s="6">
        <v>3</v>
      </c>
      <c r="G385" s="7">
        <v>0</v>
      </c>
      <c r="H385" s="7">
        <v>0</v>
      </c>
      <c r="I385" s="5">
        <v>1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7">
        <v>0</v>
      </c>
      <c r="W385" s="7">
        <v>0</v>
      </c>
      <c r="X385" s="5">
        <v>1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0.5</v>
      </c>
    </row>
    <row r="386">
      <c r="A386" s="24">
        <v>2768</v>
      </c>
      <c r="B386" s="9" t="s">
        <v>575</v>
      </c>
      <c r="C386" s="9" t="s">
        <v>64</v>
      </c>
      <c r="D386" s="9" t="s">
        <v>73</v>
      </c>
      <c r="E386" s="9" t="s">
        <v>325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0.5</v>
      </c>
    </row>
    <row r="387">
      <c r="A387" s="23">
        <v>2777</v>
      </c>
      <c r="B387" s="4" t="s">
        <v>576</v>
      </c>
      <c r="C387" s="4" t="s">
        <v>64</v>
      </c>
      <c r="D387" s="4" t="s">
        <v>76</v>
      </c>
      <c r="E387" s="4" t="s">
        <v>77</v>
      </c>
      <c r="F387" s="6">
        <v>2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5">
        <v>1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5">
        <v>1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2780</v>
      </c>
      <c r="B388" s="9" t="s">
        <v>577</v>
      </c>
      <c r="C388" s="9" t="s">
        <v>64</v>
      </c>
      <c r="D388" s="9" t="s">
        <v>76</v>
      </c>
      <c r="E388" s="9" t="s">
        <v>166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2790</v>
      </c>
      <c r="B389" s="4" t="s">
        <v>578</v>
      </c>
      <c r="C389" s="4" t="s">
        <v>64</v>
      </c>
      <c r="D389" s="4" t="s">
        <v>76</v>
      </c>
      <c r="E389" s="4" t="s">
        <v>77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31">
        <v>0</v>
      </c>
    </row>
    <row r="390">
      <c r="A390" s="24">
        <v>2791</v>
      </c>
      <c r="B390" s="9" t="s">
        <v>579</v>
      </c>
      <c r="C390" s="9" t="s">
        <v>64</v>
      </c>
      <c r="D390" s="9" t="s">
        <v>76</v>
      </c>
      <c r="E390" s="9" t="s">
        <v>77</v>
      </c>
      <c r="F390" s="11">
        <v>1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0.22</v>
      </c>
    </row>
    <row r="391">
      <c r="A391" s="23">
        <v>2792</v>
      </c>
      <c r="B391" s="4" t="s">
        <v>580</v>
      </c>
      <c r="C391" s="4" t="s">
        <v>64</v>
      </c>
      <c r="D391" s="4" t="s">
        <v>129</v>
      </c>
      <c r="E391" s="4" t="s">
        <v>130</v>
      </c>
      <c r="F391" s="6">
        <v>3</v>
      </c>
      <c r="G391" s="5">
        <v>3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0.25</v>
      </c>
    </row>
    <row r="392">
      <c r="A392" s="24">
        <v>2802</v>
      </c>
      <c r="B392" s="9" t="s">
        <v>581</v>
      </c>
      <c r="C392" s="9" t="s">
        <v>64</v>
      </c>
      <c r="D392" s="9" t="s">
        <v>76</v>
      </c>
      <c r="E392" s="9" t="s">
        <v>77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0.37</v>
      </c>
    </row>
    <row r="393">
      <c r="A393" s="23">
        <v>2814</v>
      </c>
      <c r="B393" s="4" t="s">
        <v>582</v>
      </c>
      <c r="C393" s="4" t="s">
        <v>64</v>
      </c>
      <c r="D393" s="4" t="s">
        <v>110</v>
      </c>
      <c r="E393" s="4" t="s">
        <v>151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2832</v>
      </c>
      <c r="B394" s="9" t="s">
        <v>583</v>
      </c>
      <c r="C394" s="9" t="s">
        <v>64</v>
      </c>
      <c r="D394" s="9" t="s">
        <v>107</v>
      </c>
      <c r="E394" s="9" t="s">
        <v>113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30">
        <v>0</v>
      </c>
    </row>
    <row r="395">
      <c r="A395" s="23">
        <v>2837</v>
      </c>
      <c r="B395" s="4" t="s">
        <v>584</v>
      </c>
      <c r="C395" s="4" t="s">
        <v>64</v>
      </c>
      <c r="D395" s="4" t="s">
        <v>68</v>
      </c>
      <c r="E395" s="4" t="s">
        <v>71</v>
      </c>
      <c r="F395" s="6">
        <v>2</v>
      </c>
      <c r="G395" s="5">
        <v>1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5">
        <v>1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0.52</v>
      </c>
    </row>
    <row r="396">
      <c r="A396" s="24">
        <v>2839</v>
      </c>
      <c r="B396" s="9" t="s">
        <v>585</v>
      </c>
      <c r="C396" s="9" t="s">
        <v>64</v>
      </c>
      <c r="D396" s="9" t="s">
        <v>80</v>
      </c>
      <c r="E396" s="9" t="s">
        <v>94</v>
      </c>
      <c r="F396" s="11">
        <v>21</v>
      </c>
      <c r="G396" s="12">
        <v>0</v>
      </c>
      <c r="H396" s="12">
        <v>0</v>
      </c>
      <c r="I396" s="12">
        <v>0</v>
      </c>
      <c r="J396" s="10">
        <v>21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21</v>
      </c>
      <c r="V396" s="12">
        <v>0</v>
      </c>
      <c r="W396" s="12">
        <v>0</v>
      </c>
      <c r="X396" s="12">
        <v>0</v>
      </c>
      <c r="Y396" s="10">
        <v>21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7</v>
      </c>
      <c r="AL396" s="10">
        <v>1</v>
      </c>
      <c r="AM396" s="10">
        <v>19</v>
      </c>
      <c r="AN396" s="29">
        <v>5.25</v>
      </c>
    </row>
    <row r="397">
      <c r="A397" s="23">
        <v>2840</v>
      </c>
      <c r="B397" s="4" t="s">
        <v>586</v>
      </c>
      <c r="C397" s="4" t="s">
        <v>64</v>
      </c>
      <c r="D397" s="4" t="s">
        <v>73</v>
      </c>
      <c r="E397" s="4" t="s">
        <v>457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31">
        <v>0</v>
      </c>
    </row>
    <row r="398">
      <c r="A398" s="24">
        <v>2862</v>
      </c>
      <c r="B398" s="9" t="s">
        <v>587</v>
      </c>
      <c r="C398" s="9" t="s">
        <v>64</v>
      </c>
      <c r="D398" s="9" t="s">
        <v>132</v>
      </c>
      <c r="E398" s="9" t="s">
        <v>212</v>
      </c>
      <c r="F398" s="11">
        <v>3</v>
      </c>
      <c r="G398" s="10">
        <v>1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0">
        <v>1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0.5</v>
      </c>
    </row>
    <row r="399">
      <c r="A399" s="23">
        <v>2871</v>
      </c>
      <c r="B399" s="4" t="s">
        <v>588</v>
      </c>
      <c r="C399" s="4" t="s">
        <v>64</v>
      </c>
      <c r="D399" s="4" t="s">
        <v>68</v>
      </c>
      <c r="E399" s="4" t="s">
        <v>71</v>
      </c>
      <c r="F399" s="6">
        <v>1</v>
      </c>
      <c r="G399" s="7">
        <v>0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0.26</v>
      </c>
    </row>
    <row r="400">
      <c r="A400" s="24">
        <v>2874</v>
      </c>
      <c r="B400" s="9" t="s">
        <v>589</v>
      </c>
      <c r="C400" s="9" t="s">
        <v>64</v>
      </c>
      <c r="D400" s="9" t="s">
        <v>132</v>
      </c>
      <c r="E400" s="9" t="s">
        <v>133</v>
      </c>
      <c r="F400" s="11">
        <v>1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0.24</v>
      </c>
    </row>
    <row r="401">
      <c r="A401" s="23">
        <v>2880</v>
      </c>
      <c r="B401" s="4" t="s">
        <v>590</v>
      </c>
      <c r="C401" s="4" t="s">
        <v>64</v>
      </c>
      <c r="D401" s="4" t="s">
        <v>80</v>
      </c>
      <c r="E401" s="4" t="s">
        <v>81</v>
      </c>
      <c r="F401" s="6">
        <v>3</v>
      </c>
      <c r="G401" s="5">
        <v>2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5">
        <v>1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0.52</v>
      </c>
    </row>
    <row r="402">
      <c r="A402" s="24">
        <v>2883</v>
      </c>
      <c r="B402" s="9" t="s">
        <v>591</v>
      </c>
      <c r="C402" s="9" t="s">
        <v>64</v>
      </c>
      <c r="D402" s="9" t="s">
        <v>83</v>
      </c>
      <c r="E402" s="9" t="s">
        <v>147</v>
      </c>
      <c r="F402" s="11">
        <v>9</v>
      </c>
      <c r="G402" s="10">
        <v>1</v>
      </c>
      <c r="H402" s="12">
        <v>0</v>
      </c>
      <c r="I402" s="12">
        <v>0</v>
      </c>
      <c r="J402" s="10">
        <v>6</v>
      </c>
      <c r="K402" s="10">
        <v>2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9</v>
      </c>
      <c r="V402" s="10">
        <v>1</v>
      </c>
      <c r="W402" s="12">
        <v>0</v>
      </c>
      <c r="X402" s="12">
        <v>0</v>
      </c>
      <c r="Y402" s="10">
        <v>6</v>
      </c>
      <c r="Z402" s="10">
        <v>2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2.25</v>
      </c>
      <c r="AL402" s="10">
        <v>1</v>
      </c>
      <c r="AM402" s="10">
        <v>5</v>
      </c>
      <c r="AN402" s="29">
        <v>1.3</v>
      </c>
    </row>
    <row r="403">
      <c r="A403" s="23">
        <v>2888</v>
      </c>
      <c r="B403" s="4" t="s">
        <v>592</v>
      </c>
      <c r="C403" s="4" t="s">
        <v>64</v>
      </c>
      <c r="D403" s="4" t="s">
        <v>76</v>
      </c>
      <c r="E403" s="4" t="s">
        <v>77</v>
      </c>
      <c r="F403" s="6">
        <v>4</v>
      </c>
      <c r="G403" s="5">
        <v>2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4</v>
      </c>
      <c r="V403" s="5">
        <v>2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28">
        <v>0.5</v>
      </c>
    </row>
    <row r="404">
      <c r="A404" s="24">
        <v>2889</v>
      </c>
      <c r="B404" s="9" t="s">
        <v>593</v>
      </c>
      <c r="C404" s="9" t="s">
        <v>64</v>
      </c>
      <c r="D404" s="9" t="s">
        <v>76</v>
      </c>
      <c r="E404" s="9" t="s">
        <v>163</v>
      </c>
      <c r="F404" s="11">
        <v>4</v>
      </c>
      <c r="G404" s="12">
        <v>0</v>
      </c>
      <c r="H404" s="10">
        <v>2</v>
      </c>
      <c r="I404" s="12">
        <v>0</v>
      </c>
      <c r="J404" s="10">
        <v>2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4</v>
      </c>
      <c r="V404" s="12">
        <v>0</v>
      </c>
      <c r="W404" s="10">
        <v>2</v>
      </c>
      <c r="X404" s="12">
        <v>0</v>
      </c>
      <c r="Y404" s="10">
        <v>2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0.5</v>
      </c>
    </row>
    <row r="405">
      <c r="A405" s="23">
        <v>2904</v>
      </c>
      <c r="B405" s="4" t="s">
        <v>594</v>
      </c>
      <c r="C405" s="4" t="s">
        <v>64</v>
      </c>
      <c r="D405" s="4" t="s">
        <v>68</v>
      </c>
      <c r="E405" s="4" t="s">
        <v>245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0.26</v>
      </c>
    </row>
    <row r="406">
      <c r="A406" s="24">
        <v>2907</v>
      </c>
      <c r="B406" s="9" t="s">
        <v>595</v>
      </c>
      <c r="C406" s="9" t="s">
        <v>64</v>
      </c>
      <c r="D406" s="9" t="s">
        <v>88</v>
      </c>
      <c r="E406" s="9" t="s">
        <v>363</v>
      </c>
      <c r="F406" s="11">
        <v>2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2909</v>
      </c>
      <c r="B407" s="4" t="s">
        <v>596</v>
      </c>
      <c r="C407" s="4" t="s">
        <v>141</v>
      </c>
      <c r="D407" s="4" t="s">
        <v>597</v>
      </c>
      <c r="E407" s="4" t="s">
        <v>598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2910</v>
      </c>
      <c r="B408" s="9" t="s">
        <v>599</v>
      </c>
      <c r="C408" s="9" t="s">
        <v>64</v>
      </c>
      <c r="D408" s="9" t="s">
        <v>76</v>
      </c>
      <c r="E408" s="9" t="s">
        <v>478</v>
      </c>
      <c r="F408" s="11">
        <v>3</v>
      </c>
      <c r="G408" s="12">
        <v>0</v>
      </c>
      <c r="H408" s="12">
        <v>0</v>
      </c>
      <c r="I408" s="12">
        <v>0</v>
      </c>
      <c r="J408" s="10">
        <v>2</v>
      </c>
      <c r="K408" s="10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2">
        <v>0</v>
      </c>
      <c r="W408" s="12">
        <v>0</v>
      </c>
      <c r="X408" s="12">
        <v>0</v>
      </c>
      <c r="Y408" s="10">
        <v>2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0.5</v>
      </c>
    </row>
    <row r="409">
      <c r="A409" s="23">
        <v>2913</v>
      </c>
      <c r="B409" s="4" t="s">
        <v>600</v>
      </c>
      <c r="C409" s="4" t="s">
        <v>64</v>
      </c>
      <c r="D409" s="4" t="s">
        <v>110</v>
      </c>
      <c r="E409" s="4" t="s">
        <v>121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2915</v>
      </c>
      <c r="B410" s="9" t="s">
        <v>601</v>
      </c>
      <c r="C410" s="9" t="s">
        <v>602</v>
      </c>
      <c r="D410" s="9" t="s">
        <v>603</v>
      </c>
      <c r="E410" s="9" t="s">
        <v>361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0.24</v>
      </c>
    </row>
    <row r="411">
      <c r="A411" s="23">
        <v>2920</v>
      </c>
      <c r="B411" s="4" t="s">
        <v>604</v>
      </c>
      <c r="C411" s="4" t="s">
        <v>602</v>
      </c>
      <c r="D411" s="4" t="s">
        <v>605</v>
      </c>
      <c r="E411" s="4" t="s">
        <v>361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0.24</v>
      </c>
    </row>
    <row r="412">
      <c r="A412" s="24">
        <v>2930</v>
      </c>
      <c r="B412" s="9" t="s">
        <v>606</v>
      </c>
      <c r="C412" s="9" t="s">
        <v>64</v>
      </c>
      <c r="D412" s="9" t="s">
        <v>76</v>
      </c>
      <c r="E412" s="9" t="s">
        <v>77</v>
      </c>
      <c r="F412" s="11">
        <v>3</v>
      </c>
      <c r="G412" s="10">
        <v>1</v>
      </c>
      <c r="H412" s="12">
        <v>0</v>
      </c>
      <c r="I412" s="10">
        <v>1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0">
        <v>1</v>
      </c>
      <c r="W412" s="12">
        <v>0</v>
      </c>
      <c r="X412" s="10">
        <v>1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0.26</v>
      </c>
    </row>
    <row r="413">
      <c r="A413" s="23">
        <v>2935</v>
      </c>
      <c r="B413" s="4" t="s">
        <v>607</v>
      </c>
      <c r="C413" s="4" t="s">
        <v>64</v>
      </c>
      <c r="D413" s="4" t="s">
        <v>76</v>
      </c>
      <c r="E413" s="4" t="s">
        <v>478</v>
      </c>
      <c r="F413" s="6">
        <v>2</v>
      </c>
      <c r="G413" s="7">
        <v>0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28">
        <v>0.25</v>
      </c>
    </row>
    <row r="414">
      <c r="A414" s="24">
        <v>2942</v>
      </c>
      <c r="B414" s="9" t="s">
        <v>608</v>
      </c>
      <c r="C414" s="9" t="s">
        <v>602</v>
      </c>
      <c r="D414" s="9" t="s">
        <v>609</v>
      </c>
      <c r="E414" s="9" t="s">
        <v>361</v>
      </c>
      <c r="F414" s="11">
        <v>1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0.24</v>
      </c>
    </row>
    <row r="415">
      <c r="A415" s="23">
        <v>2945</v>
      </c>
      <c r="B415" s="4" t="s">
        <v>610</v>
      </c>
      <c r="C415" s="4" t="s">
        <v>602</v>
      </c>
      <c r="D415" s="4" t="s">
        <v>611</v>
      </c>
      <c r="E415" s="4" t="s">
        <v>361</v>
      </c>
      <c r="F415" s="6">
        <v>3</v>
      </c>
      <c r="G415" s="5">
        <v>1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1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2948</v>
      </c>
      <c r="B416" s="9" t="s">
        <v>612</v>
      </c>
      <c r="C416" s="9" t="s">
        <v>613</v>
      </c>
      <c r="D416" s="9" t="s">
        <v>614</v>
      </c>
      <c r="E416" s="9" t="s">
        <v>615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0.25</v>
      </c>
    </row>
    <row r="417">
      <c r="A417" s="23">
        <v>2952</v>
      </c>
      <c r="B417" s="4" t="s">
        <v>616</v>
      </c>
      <c r="C417" s="4" t="s">
        <v>64</v>
      </c>
      <c r="D417" s="4" t="s">
        <v>80</v>
      </c>
      <c r="E417" s="4" t="s">
        <v>354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0.24</v>
      </c>
    </row>
    <row r="418">
      <c r="A418" s="24">
        <v>2953</v>
      </c>
      <c r="B418" s="9" t="s">
        <v>617</v>
      </c>
      <c r="C418" s="9" t="s">
        <v>64</v>
      </c>
      <c r="D418" s="9" t="s">
        <v>83</v>
      </c>
      <c r="E418" s="9" t="s">
        <v>147</v>
      </c>
      <c r="F418" s="11">
        <v>2</v>
      </c>
      <c r="G418" s="12">
        <v>0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2">
        <v>0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29">
        <v>0.44</v>
      </c>
    </row>
    <row r="419">
      <c r="A419" s="23">
        <v>2954</v>
      </c>
      <c r="B419" s="4" t="s">
        <v>618</v>
      </c>
      <c r="C419" s="4" t="s">
        <v>613</v>
      </c>
      <c r="D419" s="4" t="s">
        <v>614</v>
      </c>
      <c r="E419" s="4" t="s">
        <v>619</v>
      </c>
      <c r="F419" s="6">
        <v>2</v>
      </c>
      <c r="G419" s="5">
        <v>1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1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</v>
      </c>
    </row>
    <row r="420">
      <c r="A420" s="24">
        <v>2961</v>
      </c>
      <c r="B420" s="9" t="s">
        <v>620</v>
      </c>
      <c r="C420" s="9" t="s">
        <v>171</v>
      </c>
      <c r="D420" s="9" t="s">
        <v>185</v>
      </c>
      <c r="E420" s="9" t="s">
        <v>192</v>
      </c>
      <c r="F420" s="11">
        <v>3</v>
      </c>
      <c r="G420" s="10">
        <v>1</v>
      </c>
      <c r="H420" s="12">
        <v>0</v>
      </c>
      <c r="I420" s="10">
        <v>2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</v>
      </c>
      <c r="V420" s="10">
        <v>1</v>
      </c>
      <c r="W420" s="12">
        <v>0</v>
      </c>
      <c r="X420" s="10">
        <v>2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30">
        <v>0</v>
      </c>
    </row>
    <row r="421">
      <c r="A421" s="23">
        <v>2967</v>
      </c>
      <c r="B421" s="4" t="s">
        <v>621</v>
      </c>
      <c r="C421" s="4" t="s">
        <v>622</v>
      </c>
      <c r="D421" s="4" t="s">
        <v>623</v>
      </c>
      <c r="E421" s="4" t="s">
        <v>624</v>
      </c>
      <c r="F421" s="6">
        <v>9</v>
      </c>
      <c r="G421" s="5">
        <v>1</v>
      </c>
      <c r="H421" s="7">
        <v>0</v>
      </c>
      <c r="I421" s="5">
        <v>1</v>
      </c>
      <c r="J421" s="5">
        <v>6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7</v>
      </c>
      <c r="V421" s="5">
        <v>1</v>
      </c>
      <c r="W421" s="7">
        <v>0</v>
      </c>
      <c r="X421" s="5">
        <v>1</v>
      </c>
      <c r="Y421" s="5">
        <v>4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3</v>
      </c>
      <c r="AN421" s="28">
        <v>0.75</v>
      </c>
    </row>
    <row r="422">
      <c r="A422" s="24">
        <v>2983</v>
      </c>
      <c r="B422" s="9" t="s">
        <v>625</v>
      </c>
      <c r="C422" s="9" t="s">
        <v>64</v>
      </c>
      <c r="D422" s="9" t="s">
        <v>83</v>
      </c>
      <c r="E422" s="9" t="s">
        <v>139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0.24</v>
      </c>
    </row>
    <row r="423">
      <c r="A423" s="23">
        <v>2995</v>
      </c>
      <c r="B423" s="4" t="s">
        <v>626</v>
      </c>
      <c r="C423" s="4" t="s">
        <v>64</v>
      </c>
      <c r="D423" s="4" t="s">
        <v>76</v>
      </c>
      <c r="E423" s="4" t="s">
        <v>285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3</v>
      </c>
      <c r="V423" s="5">
        <v>3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31">
        <v>0</v>
      </c>
    </row>
    <row r="424">
      <c r="A424" s="24">
        <v>3001</v>
      </c>
      <c r="B424" s="9" t="s">
        <v>627</v>
      </c>
      <c r="C424" s="9" t="s">
        <v>602</v>
      </c>
      <c r="D424" s="9" t="s">
        <v>611</v>
      </c>
      <c r="E424" s="9" t="s">
        <v>361</v>
      </c>
      <c r="F424" s="11">
        <v>2</v>
      </c>
      <c r="G424" s="10">
        <v>1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1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3012</v>
      </c>
      <c r="B425" s="4" t="s">
        <v>628</v>
      </c>
      <c r="C425" s="4" t="s">
        <v>64</v>
      </c>
      <c r="D425" s="4" t="s">
        <v>80</v>
      </c>
      <c r="E425" s="4" t="s">
        <v>135</v>
      </c>
      <c r="F425" s="6">
        <v>3</v>
      </c>
      <c r="G425" s="7">
        <v>0</v>
      </c>
      <c r="H425" s="7">
        <v>0</v>
      </c>
      <c r="I425" s="5">
        <v>2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</v>
      </c>
      <c r="V425" s="7">
        <v>0</v>
      </c>
      <c r="W425" s="7">
        <v>0</v>
      </c>
      <c r="X425" s="5">
        <v>2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</v>
      </c>
    </row>
    <row r="426">
      <c r="A426" s="24">
        <v>3026</v>
      </c>
      <c r="B426" s="9" t="s">
        <v>629</v>
      </c>
      <c r="C426" s="9" t="s">
        <v>602</v>
      </c>
      <c r="D426" s="9" t="s">
        <v>630</v>
      </c>
      <c r="E426" s="9" t="s">
        <v>361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3070</v>
      </c>
      <c r="B427" s="4" t="s">
        <v>631</v>
      </c>
      <c r="C427" s="4" t="s">
        <v>64</v>
      </c>
      <c r="D427" s="4" t="s">
        <v>65</v>
      </c>
      <c r="E427" s="4" t="s">
        <v>632</v>
      </c>
      <c r="F427" s="6">
        <v>1</v>
      </c>
      <c r="G427" s="7">
        <v>0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1">
        <v>0</v>
      </c>
    </row>
    <row r="428">
      <c r="A428" s="24">
        <v>3077</v>
      </c>
      <c r="B428" s="9" t="s">
        <v>633</v>
      </c>
      <c r="C428" s="9" t="s">
        <v>64</v>
      </c>
      <c r="D428" s="9" t="s">
        <v>110</v>
      </c>
      <c r="E428" s="9" t="s">
        <v>117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3080</v>
      </c>
      <c r="B429" s="4" t="s">
        <v>634</v>
      </c>
      <c r="C429" s="4" t="s">
        <v>64</v>
      </c>
      <c r="D429" s="4" t="s">
        <v>76</v>
      </c>
      <c r="E429" s="4" t="s">
        <v>163</v>
      </c>
      <c r="F429" s="6">
        <v>1</v>
      </c>
      <c r="G429" s="7">
        <v>0</v>
      </c>
      <c r="H429" s="7">
        <v>0</v>
      </c>
      <c r="I429" s="7">
        <v>0</v>
      </c>
      <c r="J429" s="7">
        <v>0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7">
        <v>0</v>
      </c>
      <c r="Y429" s="7">
        <v>0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1">
        <v>0</v>
      </c>
    </row>
    <row r="430">
      <c r="A430" s="24">
        <v>3085</v>
      </c>
      <c r="B430" s="9" t="s">
        <v>635</v>
      </c>
      <c r="C430" s="9" t="s">
        <v>64</v>
      </c>
      <c r="D430" s="9" t="s">
        <v>83</v>
      </c>
      <c r="E430" s="9" t="s">
        <v>84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0.35</v>
      </c>
    </row>
    <row r="431">
      <c r="A431" s="23">
        <v>3088</v>
      </c>
      <c r="B431" s="4" t="s">
        <v>636</v>
      </c>
      <c r="C431" s="4" t="s">
        <v>64</v>
      </c>
      <c r="D431" s="4" t="s">
        <v>107</v>
      </c>
      <c r="E431" s="4" t="s">
        <v>637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1">
        <v>0</v>
      </c>
    </row>
    <row r="432">
      <c r="A432" s="24">
        <v>3094</v>
      </c>
      <c r="B432" s="9" t="s">
        <v>638</v>
      </c>
      <c r="C432" s="9" t="s">
        <v>64</v>
      </c>
      <c r="D432" s="9" t="s">
        <v>107</v>
      </c>
      <c r="E432" s="9" t="s">
        <v>639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3100</v>
      </c>
      <c r="B433" s="4" t="s">
        <v>640</v>
      </c>
      <c r="C433" s="4" t="s">
        <v>602</v>
      </c>
      <c r="D433" s="4" t="s">
        <v>641</v>
      </c>
      <c r="E433" s="4" t="s">
        <v>361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0.24</v>
      </c>
    </row>
    <row r="434">
      <c r="A434" s="24">
        <v>3119</v>
      </c>
      <c r="B434" s="9" t="s">
        <v>642</v>
      </c>
      <c r="C434" s="9" t="s">
        <v>64</v>
      </c>
      <c r="D434" s="9" t="s">
        <v>132</v>
      </c>
      <c r="E434" s="9" t="s">
        <v>133</v>
      </c>
      <c r="F434" s="11">
        <v>2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0">
        <v>1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0">
        <v>1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3120</v>
      </c>
      <c r="B435" s="4" t="s">
        <v>643</v>
      </c>
      <c r="C435" s="4" t="s">
        <v>64</v>
      </c>
      <c r="D435" s="4" t="s">
        <v>132</v>
      </c>
      <c r="E435" s="4" t="s">
        <v>212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3127</v>
      </c>
      <c r="B436" s="9" t="s">
        <v>644</v>
      </c>
      <c r="C436" s="9" t="s">
        <v>64</v>
      </c>
      <c r="D436" s="9" t="s">
        <v>76</v>
      </c>
      <c r="E436" s="9" t="s">
        <v>77</v>
      </c>
      <c r="F436" s="11">
        <v>2</v>
      </c>
      <c r="G436" s="10">
        <v>1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1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0.52</v>
      </c>
    </row>
    <row r="437">
      <c r="A437" s="23">
        <v>3128</v>
      </c>
      <c r="B437" s="4" t="s">
        <v>645</v>
      </c>
      <c r="C437" s="4" t="s">
        <v>171</v>
      </c>
      <c r="D437" s="4" t="s">
        <v>172</v>
      </c>
      <c r="E437" s="4" t="s">
        <v>183</v>
      </c>
      <c r="F437" s="6">
        <v>2</v>
      </c>
      <c r="G437" s="7">
        <v>0</v>
      </c>
      <c r="H437" s="5">
        <v>1</v>
      </c>
      <c r="I437" s="7">
        <v>0</v>
      </c>
      <c r="J437" s="7">
        <v>0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5">
        <v>1</v>
      </c>
      <c r="X437" s="7">
        <v>0</v>
      </c>
      <c r="Y437" s="7">
        <v>0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0.24</v>
      </c>
    </row>
    <row r="438">
      <c r="A438" s="24">
        <v>3135</v>
      </c>
      <c r="B438" s="9" t="s">
        <v>646</v>
      </c>
      <c r="C438" s="9" t="s">
        <v>171</v>
      </c>
      <c r="D438" s="9" t="s">
        <v>185</v>
      </c>
      <c r="E438" s="9" t="s">
        <v>647</v>
      </c>
      <c r="F438" s="11">
        <v>3</v>
      </c>
      <c r="G438" s="10">
        <v>2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3</v>
      </c>
      <c r="V438" s="10">
        <v>2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30">
        <v>0</v>
      </c>
    </row>
    <row r="439">
      <c r="A439" s="23">
        <v>3142</v>
      </c>
      <c r="B439" s="4" t="s">
        <v>648</v>
      </c>
      <c r="C439" s="4" t="s">
        <v>64</v>
      </c>
      <c r="D439" s="4" t="s">
        <v>80</v>
      </c>
      <c r="E439" s="4" t="s">
        <v>135</v>
      </c>
      <c r="F439" s="6">
        <v>4</v>
      </c>
      <c r="G439" s="5">
        <v>3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5">
        <v>2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2</v>
      </c>
      <c r="AM439" s="5">
        <v>3</v>
      </c>
      <c r="AN439" s="28">
        <v>0.22</v>
      </c>
    </row>
    <row r="440">
      <c r="A440" s="24">
        <v>3147</v>
      </c>
      <c r="B440" s="9" t="s">
        <v>649</v>
      </c>
      <c r="C440" s="9" t="s">
        <v>64</v>
      </c>
      <c r="D440" s="9" t="s">
        <v>83</v>
      </c>
      <c r="E440" s="9" t="s">
        <v>84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0.22</v>
      </c>
    </row>
    <row r="441">
      <c r="A441" s="23">
        <v>3188</v>
      </c>
      <c r="B441" s="4" t="s">
        <v>650</v>
      </c>
      <c r="C441" s="4" t="s">
        <v>64</v>
      </c>
      <c r="D441" s="4" t="s">
        <v>129</v>
      </c>
      <c r="E441" s="4" t="s">
        <v>130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3189</v>
      </c>
      <c r="B442" s="9" t="s">
        <v>651</v>
      </c>
      <c r="C442" s="9" t="s">
        <v>64</v>
      </c>
      <c r="D442" s="9" t="s">
        <v>132</v>
      </c>
      <c r="E442" s="9" t="s">
        <v>212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3192</v>
      </c>
      <c r="B443" s="4" t="s">
        <v>652</v>
      </c>
      <c r="C443" s="4" t="s">
        <v>64</v>
      </c>
      <c r="D443" s="4" t="s">
        <v>129</v>
      </c>
      <c r="E443" s="4" t="s">
        <v>130</v>
      </c>
      <c r="F443" s="6">
        <v>5</v>
      </c>
      <c r="G443" s="5">
        <v>3</v>
      </c>
      <c r="H443" s="7">
        <v>0</v>
      </c>
      <c r="I443" s="7">
        <v>0</v>
      </c>
      <c r="J443" s="5">
        <v>1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</v>
      </c>
      <c r="V443" s="5">
        <v>2</v>
      </c>
      <c r="W443" s="7">
        <v>0</v>
      </c>
      <c r="X443" s="7">
        <v>0</v>
      </c>
      <c r="Y443" s="5">
        <v>1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1.67</v>
      </c>
      <c r="AL443" s="5">
        <v>1</v>
      </c>
      <c r="AM443" s="5">
        <v>3</v>
      </c>
      <c r="AN443" s="31">
        <v>0</v>
      </c>
    </row>
    <row r="444">
      <c r="A444" s="24">
        <v>3196</v>
      </c>
      <c r="B444" s="9" t="s">
        <v>653</v>
      </c>
      <c r="C444" s="9" t="s">
        <v>64</v>
      </c>
      <c r="D444" s="9" t="s">
        <v>80</v>
      </c>
      <c r="E444" s="9" t="s">
        <v>94</v>
      </c>
      <c r="F444" s="11">
        <v>2</v>
      </c>
      <c r="G444" s="12">
        <v>0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0.5</v>
      </c>
    </row>
    <row r="445">
      <c r="A445" s="23">
        <v>3199</v>
      </c>
      <c r="B445" s="4" t="s">
        <v>654</v>
      </c>
      <c r="C445" s="4" t="s">
        <v>64</v>
      </c>
      <c r="D445" s="4" t="s">
        <v>80</v>
      </c>
      <c r="E445" s="4" t="s">
        <v>94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3204</v>
      </c>
      <c r="B446" s="9" t="s">
        <v>655</v>
      </c>
      <c r="C446" s="9" t="s">
        <v>64</v>
      </c>
      <c r="D446" s="9" t="s">
        <v>68</v>
      </c>
      <c r="E446" s="9" t="s">
        <v>71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3216</v>
      </c>
      <c r="B447" s="4" t="s">
        <v>656</v>
      </c>
      <c r="C447" s="4" t="s">
        <v>64</v>
      </c>
      <c r="D447" s="4" t="s">
        <v>73</v>
      </c>
      <c r="E447" s="4" t="s">
        <v>325</v>
      </c>
      <c r="F447" s="6">
        <v>3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</v>
      </c>
      <c r="AL447" s="5">
        <v>1</v>
      </c>
      <c r="AM447" s="5">
        <v>2</v>
      </c>
      <c r="AN447" s="31">
        <v>0</v>
      </c>
    </row>
    <row r="448">
      <c r="A448" s="24">
        <v>3219</v>
      </c>
      <c r="B448" s="9" t="s">
        <v>657</v>
      </c>
      <c r="C448" s="9" t="s">
        <v>64</v>
      </c>
      <c r="D448" s="9" t="s">
        <v>80</v>
      </c>
      <c r="E448" s="9" t="s">
        <v>135</v>
      </c>
      <c r="F448" s="11">
        <v>2</v>
      </c>
      <c r="G448" s="12">
        <v>0</v>
      </c>
      <c r="H448" s="12">
        <v>0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2">
        <v>0</v>
      </c>
      <c r="W448" s="12">
        <v>0</v>
      </c>
      <c r="X448" s="10">
        <v>2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0.48</v>
      </c>
    </row>
    <row r="449">
      <c r="A449" s="23">
        <v>3222</v>
      </c>
      <c r="B449" s="4" t="s">
        <v>658</v>
      </c>
      <c r="C449" s="4" t="s">
        <v>64</v>
      </c>
      <c r="D449" s="4" t="s">
        <v>80</v>
      </c>
      <c r="E449" s="4" t="s">
        <v>429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0.26</v>
      </c>
    </row>
    <row r="450">
      <c r="A450" s="24">
        <v>3223</v>
      </c>
      <c r="B450" s="9" t="s">
        <v>659</v>
      </c>
      <c r="C450" s="9" t="s">
        <v>64</v>
      </c>
      <c r="D450" s="9" t="s">
        <v>132</v>
      </c>
      <c r="E450" s="9" t="s">
        <v>133</v>
      </c>
      <c r="F450" s="11">
        <v>2</v>
      </c>
      <c r="G450" s="10">
        <v>1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0">
        <v>1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3225</v>
      </c>
      <c r="B451" s="4" t="s">
        <v>660</v>
      </c>
      <c r="C451" s="4" t="s">
        <v>141</v>
      </c>
      <c r="D451" s="4" t="s">
        <v>661</v>
      </c>
      <c r="E451" s="4" t="s">
        <v>662</v>
      </c>
      <c r="F451" s="6">
        <v>3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5">
        <v>1</v>
      </c>
      <c r="M451" s="7">
        <v>0</v>
      </c>
      <c r="N451" s="5">
        <v>2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3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5">
        <v>1</v>
      </c>
      <c r="AB451" s="7">
        <v>0</v>
      </c>
      <c r="AC451" s="5">
        <v>2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31">
        <v>0</v>
      </c>
    </row>
    <row r="452">
      <c r="A452" s="24">
        <v>3226</v>
      </c>
      <c r="B452" s="9" t="s">
        <v>663</v>
      </c>
      <c r="C452" s="9" t="s">
        <v>141</v>
      </c>
      <c r="D452" s="9" t="s">
        <v>446</v>
      </c>
      <c r="E452" s="9" t="s">
        <v>447</v>
      </c>
      <c r="F452" s="11">
        <v>1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3227</v>
      </c>
      <c r="B453" s="4" t="s">
        <v>664</v>
      </c>
      <c r="C453" s="4" t="s">
        <v>64</v>
      </c>
      <c r="D453" s="4" t="s">
        <v>68</v>
      </c>
      <c r="E453" s="4" t="s">
        <v>71</v>
      </c>
      <c r="F453" s="6">
        <v>2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0.5</v>
      </c>
    </row>
    <row r="454">
      <c r="A454" s="24">
        <v>3231</v>
      </c>
      <c r="B454" s="9" t="s">
        <v>665</v>
      </c>
      <c r="C454" s="9" t="s">
        <v>64</v>
      </c>
      <c r="D454" s="9" t="s">
        <v>132</v>
      </c>
      <c r="E454" s="9" t="s">
        <v>227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3286</v>
      </c>
      <c r="B455" s="4" t="s">
        <v>666</v>
      </c>
      <c r="C455" s="4" t="s">
        <v>64</v>
      </c>
      <c r="D455" s="4" t="s">
        <v>110</v>
      </c>
      <c r="E455" s="4" t="s">
        <v>121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0.24</v>
      </c>
    </row>
    <row r="456">
      <c r="A456" s="24">
        <v>3287</v>
      </c>
      <c r="B456" s="9" t="s">
        <v>667</v>
      </c>
      <c r="C456" s="9" t="s">
        <v>64</v>
      </c>
      <c r="D456" s="9" t="s">
        <v>68</v>
      </c>
      <c r="E456" s="9" t="s">
        <v>71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3290</v>
      </c>
      <c r="B457" s="4" t="s">
        <v>668</v>
      </c>
      <c r="C457" s="4" t="s">
        <v>64</v>
      </c>
      <c r="D457" s="4" t="s">
        <v>76</v>
      </c>
      <c r="E457" s="4" t="s">
        <v>77</v>
      </c>
      <c r="F457" s="6">
        <v>7</v>
      </c>
      <c r="G457" s="5">
        <v>4</v>
      </c>
      <c r="H457" s="5">
        <v>1</v>
      </c>
      <c r="I457" s="5">
        <v>1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5</v>
      </c>
      <c r="V457" s="5">
        <v>2</v>
      </c>
      <c r="W457" s="5">
        <v>1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1.75</v>
      </c>
      <c r="AL457" s="5">
        <v>1</v>
      </c>
      <c r="AM457" s="5">
        <v>4</v>
      </c>
      <c r="AN457" s="28">
        <v>0.99</v>
      </c>
    </row>
    <row r="458">
      <c r="A458" s="24">
        <v>3297</v>
      </c>
      <c r="B458" s="9" t="s">
        <v>669</v>
      </c>
      <c r="C458" s="9" t="s">
        <v>622</v>
      </c>
      <c r="D458" s="9" t="s">
        <v>670</v>
      </c>
      <c r="E458" s="9" t="s">
        <v>671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3298</v>
      </c>
      <c r="B459" s="4" t="s">
        <v>672</v>
      </c>
      <c r="C459" s="4" t="s">
        <v>64</v>
      </c>
      <c r="D459" s="4" t="s">
        <v>110</v>
      </c>
      <c r="E459" s="4" t="s">
        <v>151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3300</v>
      </c>
      <c r="B460" s="9" t="s">
        <v>673</v>
      </c>
      <c r="C460" s="9" t="s">
        <v>674</v>
      </c>
      <c r="D460" s="9" t="s">
        <v>675</v>
      </c>
      <c r="E460" s="9" t="s">
        <v>676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0.26</v>
      </c>
    </row>
    <row r="461">
      <c r="A461" s="23">
        <v>3306</v>
      </c>
      <c r="B461" s="4" t="s">
        <v>677</v>
      </c>
      <c r="C461" s="4" t="s">
        <v>64</v>
      </c>
      <c r="D461" s="4" t="s">
        <v>80</v>
      </c>
      <c r="E461" s="4" t="s">
        <v>94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0.26</v>
      </c>
    </row>
    <row r="462">
      <c r="A462" s="24">
        <v>3308</v>
      </c>
      <c r="B462" s="9" t="s">
        <v>678</v>
      </c>
      <c r="C462" s="9" t="s">
        <v>64</v>
      </c>
      <c r="D462" s="9" t="s">
        <v>110</v>
      </c>
      <c r="E462" s="9" t="s">
        <v>121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3309</v>
      </c>
      <c r="B463" s="4" t="s">
        <v>679</v>
      </c>
      <c r="C463" s="4" t="s">
        <v>64</v>
      </c>
      <c r="D463" s="4" t="s">
        <v>80</v>
      </c>
      <c r="E463" s="4" t="s">
        <v>135</v>
      </c>
      <c r="F463" s="6">
        <v>2</v>
      </c>
      <c r="G463" s="5">
        <v>1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5">
        <v>1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0.62</v>
      </c>
    </row>
    <row r="464">
      <c r="A464" s="24">
        <v>3310</v>
      </c>
      <c r="B464" s="9" t="s">
        <v>680</v>
      </c>
      <c r="C464" s="9" t="s">
        <v>64</v>
      </c>
      <c r="D464" s="9" t="s">
        <v>132</v>
      </c>
      <c r="E464" s="9" t="s">
        <v>227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3311</v>
      </c>
      <c r="B465" s="4" t="s">
        <v>681</v>
      </c>
      <c r="C465" s="4" t="s">
        <v>64</v>
      </c>
      <c r="D465" s="4" t="s">
        <v>110</v>
      </c>
      <c r="E465" s="4" t="s">
        <v>682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0.29</v>
      </c>
    </row>
    <row r="466">
      <c r="A466" s="24">
        <v>3313</v>
      </c>
      <c r="B466" s="9" t="s">
        <v>683</v>
      </c>
      <c r="C466" s="9" t="s">
        <v>64</v>
      </c>
      <c r="D466" s="9" t="s">
        <v>129</v>
      </c>
      <c r="E466" s="9" t="s">
        <v>130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0.26</v>
      </c>
    </row>
    <row r="467">
      <c r="A467" s="23">
        <v>3315</v>
      </c>
      <c r="B467" s="4" t="s">
        <v>684</v>
      </c>
      <c r="C467" s="4" t="s">
        <v>64</v>
      </c>
      <c r="D467" s="4" t="s">
        <v>110</v>
      </c>
      <c r="E467" s="4" t="s">
        <v>327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3318</v>
      </c>
      <c r="B468" s="9" t="s">
        <v>685</v>
      </c>
      <c r="C468" s="9" t="s">
        <v>686</v>
      </c>
      <c r="D468" s="9" t="s">
        <v>687</v>
      </c>
      <c r="E468" s="9" t="s">
        <v>361</v>
      </c>
      <c r="F468" s="11">
        <v>2</v>
      </c>
      <c r="G468" s="12">
        <v>0</v>
      </c>
      <c r="H468" s="10">
        <v>1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0">
        <v>1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3325</v>
      </c>
      <c r="B469" s="4" t="s">
        <v>688</v>
      </c>
      <c r="C469" s="4" t="s">
        <v>141</v>
      </c>
      <c r="D469" s="4" t="s">
        <v>142</v>
      </c>
      <c r="E469" s="4" t="s">
        <v>689</v>
      </c>
      <c r="F469" s="6">
        <v>1</v>
      </c>
      <c r="G469" s="7">
        <v>0</v>
      </c>
      <c r="H469" s="5">
        <v>1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5">
        <v>1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0.34</v>
      </c>
    </row>
    <row r="470">
      <c r="A470" s="24">
        <v>3328</v>
      </c>
      <c r="B470" s="9" t="s">
        <v>690</v>
      </c>
      <c r="C470" s="9" t="s">
        <v>141</v>
      </c>
      <c r="D470" s="9" t="s">
        <v>691</v>
      </c>
      <c r="E470" s="9" t="s">
        <v>361</v>
      </c>
      <c r="F470" s="11">
        <v>3</v>
      </c>
      <c r="G470" s="10">
        <v>1</v>
      </c>
      <c r="H470" s="12">
        <v>0</v>
      </c>
      <c r="I470" s="12">
        <v>0</v>
      </c>
      <c r="J470" s="12">
        <v>0</v>
      </c>
      <c r="K470" s="10">
        <v>1</v>
      </c>
      <c r="L470" s="12">
        <v>0</v>
      </c>
      <c r="M470" s="12">
        <v>0</v>
      </c>
      <c r="N470" s="10">
        <v>1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3</v>
      </c>
      <c r="V470" s="10">
        <v>1</v>
      </c>
      <c r="W470" s="12">
        <v>0</v>
      </c>
      <c r="X470" s="12">
        <v>0</v>
      </c>
      <c r="Y470" s="12">
        <v>0</v>
      </c>
      <c r="Z470" s="10">
        <v>1</v>
      </c>
      <c r="AA470" s="12">
        <v>0</v>
      </c>
      <c r="AB470" s="12">
        <v>0</v>
      </c>
      <c r="AC470" s="10">
        <v>1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0.72</v>
      </c>
    </row>
    <row r="471">
      <c r="A471" s="23">
        <v>3329</v>
      </c>
      <c r="B471" s="4" t="s">
        <v>692</v>
      </c>
      <c r="C471" s="4" t="s">
        <v>141</v>
      </c>
      <c r="D471" s="4" t="s">
        <v>597</v>
      </c>
      <c r="E471" s="4" t="s">
        <v>693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0.24</v>
      </c>
    </row>
    <row r="472">
      <c r="A472" s="24">
        <v>3350</v>
      </c>
      <c r="B472" s="9" t="s">
        <v>694</v>
      </c>
      <c r="C472" s="9" t="s">
        <v>686</v>
      </c>
      <c r="D472" s="9" t="s">
        <v>695</v>
      </c>
      <c r="E472" s="9" t="s">
        <v>361</v>
      </c>
      <c r="F472" s="11">
        <v>2</v>
      </c>
      <c r="G472" s="10">
        <v>1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2</v>
      </c>
      <c r="V472" s="10">
        <v>1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0.52</v>
      </c>
    </row>
    <row r="473">
      <c r="A473" s="23">
        <v>3351</v>
      </c>
      <c r="B473" s="4" t="s">
        <v>696</v>
      </c>
      <c r="C473" s="4" t="s">
        <v>686</v>
      </c>
      <c r="D473" s="4" t="s">
        <v>695</v>
      </c>
      <c r="E473" s="4" t="s">
        <v>361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3354</v>
      </c>
      <c r="B474" s="9" t="s">
        <v>697</v>
      </c>
      <c r="C474" s="9" t="s">
        <v>686</v>
      </c>
      <c r="D474" s="9" t="s">
        <v>695</v>
      </c>
      <c r="E474" s="9" t="s">
        <v>361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0.26</v>
      </c>
    </row>
    <row r="475">
      <c r="A475" s="23">
        <v>3356</v>
      </c>
      <c r="B475" s="4" t="s">
        <v>698</v>
      </c>
      <c r="C475" s="4" t="s">
        <v>686</v>
      </c>
      <c r="D475" s="4" t="s">
        <v>695</v>
      </c>
      <c r="E475" s="4" t="s">
        <v>361</v>
      </c>
      <c r="F475" s="6">
        <v>3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28">
        <v>0.78</v>
      </c>
    </row>
    <row r="476">
      <c r="A476" s="24">
        <v>3357</v>
      </c>
      <c r="B476" s="9" t="s">
        <v>699</v>
      </c>
      <c r="C476" s="9" t="s">
        <v>686</v>
      </c>
      <c r="D476" s="9" t="s">
        <v>695</v>
      </c>
      <c r="E476" s="9" t="s">
        <v>361</v>
      </c>
      <c r="F476" s="11">
        <v>1</v>
      </c>
      <c r="G476" s="12">
        <v>0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0.26</v>
      </c>
    </row>
    <row r="477">
      <c r="A477" s="23">
        <v>3360</v>
      </c>
      <c r="B477" s="4" t="s">
        <v>700</v>
      </c>
      <c r="C477" s="4" t="s">
        <v>686</v>
      </c>
      <c r="D477" s="4" t="s">
        <v>695</v>
      </c>
      <c r="E477" s="4" t="s">
        <v>361</v>
      </c>
      <c r="F477" s="6">
        <v>2</v>
      </c>
      <c r="G477" s="7">
        <v>0</v>
      </c>
      <c r="H477" s="7">
        <v>0</v>
      </c>
      <c r="I477" s="5">
        <v>1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0.52</v>
      </c>
    </row>
    <row r="478">
      <c r="A478" s="24">
        <v>3365</v>
      </c>
      <c r="B478" s="9" t="s">
        <v>701</v>
      </c>
      <c r="C478" s="9" t="s">
        <v>64</v>
      </c>
      <c r="D478" s="9" t="s">
        <v>129</v>
      </c>
      <c r="E478" s="9" t="s">
        <v>702</v>
      </c>
      <c r="F478" s="11">
        <v>3</v>
      </c>
      <c r="G478" s="10">
        <v>1</v>
      </c>
      <c r="H478" s="10">
        <v>1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3</v>
      </c>
      <c r="V478" s="10">
        <v>1</v>
      </c>
      <c r="W478" s="10">
        <v>1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0.5</v>
      </c>
    </row>
    <row r="479">
      <c r="A479" s="23">
        <v>3384</v>
      </c>
      <c r="B479" s="4" t="s">
        <v>703</v>
      </c>
      <c r="C479" s="4" t="s">
        <v>141</v>
      </c>
      <c r="D479" s="4" t="s">
        <v>412</v>
      </c>
      <c r="E479" s="4" t="s">
        <v>413</v>
      </c>
      <c r="F479" s="6">
        <v>2</v>
      </c>
      <c r="G479" s="7">
        <v>0</v>
      </c>
      <c r="H479" s="5">
        <v>1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5">
        <v>1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0.44</v>
      </c>
    </row>
    <row r="480">
      <c r="A480" s="24">
        <v>3385</v>
      </c>
      <c r="B480" s="9" t="s">
        <v>704</v>
      </c>
      <c r="C480" s="9" t="s">
        <v>686</v>
      </c>
      <c r="D480" s="9" t="s">
        <v>705</v>
      </c>
      <c r="E480" s="9" t="s">
        <v>706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3396</v>
      </c>
      <c r="B481" s="4" t="s">
        <v>707</v>
      </c>
      <c r="C481" s="4" t="s">
        <v>622</v>
      </c>
      <c r="D481" s="4" t="s">
        <v>623</v>
      </c>
      <c r="E481" s="4" t="s">
        <v>708</v>
      </c>
      <c r="F481" s="6">
        <v>2</v>
      </c>
      <c r="G481" s="5">
        <v>1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5">
        <v>1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3401</v>
      </c>
      <c r="B482" s="9" t="s">
        <v>709</v>
      </c>
      <c r="C482" s="9" t="s">
        <v>64</v>
      </c>
      <c r="D482" s="9" t="s">
        <v>80</v>
      </c>
      <c r="E482" s="9" t="s">
        <v>81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3452</v>
      </c>
      <c r="B483" s="4" t="s">
        <v>710</v>
      </c>
      <c r="C483" s="4" t="s">
        <v>622</v>
      </c>
      <c r="D483" s="4" t="s">
        <v>711</v>
      </c>
      <c r="E483" s="4" t="s">
        <v>712</v>
      </c>
      <c r="F483" s="6">
        <v>2</v>
      </c>
      <c r="G483" s="5">
        <v>1</v>
      </c>
      <c r="H483" s="5">
        <v>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1</v>
      </c>
      <c r="W483" s="5">
        <v>1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0.26</v>
      </c>
    </row>
    <row r="484">
      <c r="A484" s="24">
        <v>3458</v>
      </c>
      <c r="B484" s="9" t="s">
        <v>713</v>
      </c>
      <c r="C484" s="9" t="s">
        <v>171</v>
      </c>
      <c r="D484" s="9" t="s">
        <v>185</v>
      </c>
      <c r="E484" s="9" t="s">
        <v>188</v>
      </c>
      <c r="F484" s="11">
        <v>5</v>
      </c>
      <c r="G484" s="10">
        <v>4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4</v>
      </c>
      <c r="V484" s="10">
        <v>3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2.5</v>
      </c>
      <c r="AL484" s="10">
        <v>2</v>
      </c>
      <c r="AM484" s="10">
        <v>4</v>
      </c>
      <c r="AN484" s="30">
        <v>0</v>
      </c>
    </row>
    <row r="485">
      <c r="A485" s="23">
        <v>3466</v>
      </c>
      <c r="B485" s="4" t="s">
        <v>714</v>
      </c>
      <c r="C485" s="4" t="s">
        <v>64</v>
      </c>
      <c r="D485" s="4" t="s">
        <v>110</v>
      </c>
      <c r="E485" s="4" t="s">
        <v>260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3476</v>
      </c>
      <c r="B486" s="9" t="s">
        <v>715</v>
      </c>
      <c r="C486" s="9" t="s">
        <v>64</v>
      </c>
      <c r="D486" s="9" t="s">
        <v>83</v>
      </c>
      <c r="E486" s="9" t="s">
        <v>84</v>
      </c>
      <c r="F486" s="11">
        <v>2</v>
      </c>
      <c r="G486" s="12">
        <v>0</v>
      </c>
      <c r="H486" s="10">
        <v>1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2">
        <v>0</v>
      </c>
      <c r="W486" s="10">
        <v>1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3477</v>
      </c>
      <c r="B487" s="4" t="s">
        <v>716</v>
      </c>
      <c r="C487" s="4" t="s">
        <v>64</v>
      </c>
      <c r="D487" s="4" t="s">
        <v>83</v>
      </c>
      <c r="E487" s="4" t="s">
        <v>84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1">
        <v>0</v>
      </c>
    </row>
    <row r="488">
      <c r="A488" s="24">
        <v>3479</v>
      </c>
      <c r="B488" s="9" t="s">
        <v>717</v>
      </c>
      <c r="C488" s="9" t="s">
        <v>64</v>
      </c>
      <c r="D488" s="9" t="s">
        <v>83</v>
      </c>
      <c r="E488" s="9" t="s">
        <v>84</v>
      </c>
      <c r="F488" s="11">
        <v>3</v>
      </c>
      <c r="G488" s="10">
        <v>2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3</v>
      </c>
      <c r="V488" s="10">
        <v>2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29">
        <v>0.26</v>
      </c>
    </row>
    <row r="489">
      <c r="A489" s="23">
        <v>3484</v>
      </c>
      <c r="B489" s="4" t="s">
        <v>718</v>
      </c>
      <c r="C489" s="4" t="s">
        <v>64</v>
      </c>
      <c r="D489" s="4" t="s">
        <v>83</v>
      </c>
      <c r="E489" s="4" t="s">
        <v>84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3490</v>
      </c>
      <c r="B490" s="9" t="s">
        <v>719</v>
      </c>
      <c r="C490" s="9" t="s">
        <v>64</v>
      </c>
      <c r="D490" s="9" t="s">
        <v>83</v>
      </c>
      <c r="E490" s="9" t="s">
        <v>84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3494</v>
      </c>
      <c r="B491" s="4" t="s">
        <v>720</v>
      </c>
      <c r="C491" s="4" t="s">
        <v>64</v>
      </c>
      <c r="D491" s="4" t="s">
        <v>83</v>
      </c>
      <c r="E491" s="4" t="s">
        <v>84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1">
        <v>0</v>
      </c>
    </row>
    <row r="492">
      <c r="A492" s="24">
        <v>3497</v>
      </c>
      <c r="B492" s="9" t="s">
        <v>721</v>
      </c>
      <c r="C492" s="9" t="s">
        <v>64</v>
      </c>
      <c r="D492" s="9" t="s">
        <v>83</v>
      </c>
      <c r="E492" s="9" t="s">
        <v>84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3501</v>
      </c>
      <c r="B493" s="4" t="s">
        <v>722</v>
      </c>
      <c r="C493" s="4" t="s">
        <v>64</v>
      </c>
      <c r="D493" s="4" t="s">
        <v>83</v>
      </c>
      <c r="E493" s="4" t="s">
        <v>84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3502</v>
      </c>
      <c r="B494" s="9" t="s">
        <v>723</v>
      </c>
      <c r="C494" s="9" t="s">
        <v>64</v>
      </c>
      <c r="D494" s="9" t="s">
        <v>83</v>
      </c>
      <c r="E494" s="9" t="s">
        <v>84</v>
      </c>
      <c r="F494" s="11">
        <v>2</v>
      </c>
      <c r="G494" s="12">
        <v>0</v>
      </c>
      <c r="H494" s="12">
        <v>0</v>
      </c>
      <c r="I494" s="10">
        <v>1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2">
        <v>0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3513</v>
      </c>
      <c r="B495" s="4" t="s">
        <v>724</v>
      </c>
      <c r="C495" s="4" t="s">
        <v>619</v>
      </c>
      <c r="D495" s="4" t="s">
        <v>725</v>
      </c>
      <c r="E495" s="4" t="s">
        <v>361</v>
      </c>
      <c r="F495" s="6">
        <v>3</v>
      </c>
      <c r="G495" s="7">
        <v>0</v>
      </c>
      <c r="H495" s="5">
        <v>1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7">
        <v>0</v>
      </c>
      <c r="W495" s="5">
        <v>1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0.89</v>
      </c>
    </row>
    <row r="496">
      <c r="A496" s="24">
        <v>3514</v>
      </c>
      <c r="B496" s="9" t="s">
        <v>726</v>
      </c>
      <c r="C496" s="9" t="s">
        <v>619</v>
      </c>
      <c r="D496" s="9" t="s">
        <v>725</v>
      </c>
      <c r="E496" s="9" t="s">
        <v>361</v>
      </c>
      <c r="F496" s="11">
        <v>4</v>
      </c>
      <c r="G496" s="12">
        <v>0</v>
      </c>
      <c r="H496" s="12">
        <v>0</v>
      </c>
      <c r="I496" s="12">
        <v>0</v>
      </c>
      <c r="J496" s="10">
        <v>4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4</v>
      </c>
      <c r="V496" s="12">
        <v>0</v>
      </c>
      <c r="W496" s="12">
        <v>0</v>
      </c>
      <c r="X496" s="12">
        <v>0</v>
      </c>
      <c r="Y496" s="10">
        <v>4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29">
        <v>1</v>
      </c>
    </row>
    <row r="497">
      <c r="A497" s="23">
        <v>3515</v>
      </c>
      <c r="B497" s="4" t="s">
        <v>727</v>
      </c>
      <c r="C497" s="4" t="s">
        <v>619</v>
      </c>
      <c r="D497" s="4" t="s">
        <v>728</v>
      </c>
      <c r="E497" s="4" t="s">
        <v>361</v>
      </c>
      <c r="F497" s="6">
        <v>2</v>
      </c>
      <c r="G497" s="7">
        <v>0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7">
        <v>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0.52</v>
      </c>
    </row>
    <row r="498">
      <c r="A498" s="24">
        <v>3524</v>
      </c>
      <c r="B498" s="9" t="s">
        <v>729</v>
      </c>
      <c r="C498" s="9" t="s">
        <v>141</v>
      </c>
      <c r="D498" s="9" t="s">
        <v>378</v>
      </c>
      <c r="E498" s="9" t="s">
        <v>730</v>
      </c>
      <c r="F498" s="11">
        <v>3</v>
      </c>
      <c r="G498" s="12">
        <v>0</v>
      </c>
      <c r="H498" s="12">
        <v>0</v>
      </c>
      <c r="I498" s="10">
        <v>1</v>
      </c>
      <c r="J498" s="10">
        <v>1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3</v>
      </c>
      <c r="V498" s="12">
        <v>0</v>
      </c>
      <c r="W498" s="12">
        <v>0</v>
      </c>
      <c r="X498" s="10">
        <v>1</v>
      </c>
      <c r="Y498" s="10">
        <v>1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0.22</v>
      </c>
    </row>
    <row r="499">
      <c r="A499" s="23">
        <v>3527</v>
      </c>
      <c r="B499" s="4" t="s">
        <v>731</v>
      </c>
      <c r="C499" s="4" t="s">
        <v>64</v>
      </c>
      <c r="D499" s="4" t="s">
        <v>110</v>
      </c>
      <c r="E499" s="4" t="s">
        <v>121</v>
      </c>
      <c r="F499" s="6">
        <v>2</v>
      </c>
      <c r="G499" s="7">
        <v>0</v>
      </c>
      <c r="H499" s="7">
        <v>0</v>
      </c>
      <c r="I499" s="5">
        <v>2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7">
        <v>0</v>
      </c>
      <c r="W499" s="7">
        <v>0</v>
      </c>
      <c r="X499" s="5">
        <v>2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0.5</v>
      </c>
    </row>
    <row r="500">
      <c r="A500" s="24">
        <v>3529</v>
      </c>
      <c r="B500" s="9" t="s">
        <v>732</v>
      </c>
      <c r="C500" s="9" t="s">
        <v>141</v>
      </c>
      <c r="D500" s="9" t="s">
        <v>230</v>
      </c>
      <c r="E500" s="9" t="s">
        <v>231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0.17</v>
      </c>
    </row>
    <row r="501">
      <c r="A501" s="23">
        <v>3536</v>
      </c>
      <c r="B501" s="4" t="s">
        <v>733</v>
      </c>
      <c r="C501" s="4" t="s">
        <v>141</v>
      </c>
      <c r="D501" s="4" t="s">
        <v>480</v>
      </c>
      <c r="E501" s="4" t="s">
        <v>481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0.24</v>
      </c>
    </row>
    <row r="502">
      <c r="A502" s="24">
        <v>3550</v>
      </c>
      <c r="B502" s="9" t="s">
        <v>734</v>
      </c>
      <c r="C502" s="9" t="s">
        <v>64</v>
      </c>
      <c r="D502" s="9" t="s">
        <v>83</v>
      </c>
      <c r="E502" s="9" t="s">
        <v>84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3558</v>
      </c>
      <c r="B503" s="4" t="s">
        <v>337</v>
      </c>
      <c r="C503" s="4" t="s">
        <v>64</v>
      </c>
      <c r="D503" s="4" t="s">
        <v>83</v>
      </c>
      <c r="E503" s="4" t="s">
        <v>84</v>
      </c>
      <c r="F503" s="6">
        <v>1</v>
      </c>
      <c r="G503" s="7">
        <v>0</v>
      </c>
      <c r="H503" s="5">
        <v>1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5">
        <v>1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0.26</v>
      </c>
    </row>
    <row r="504">
      <c r="A504" s="24">
        <v>3563</v>
      </c>
      <c r="B504" s="9" t="s">
        <v>735</v>
      </c>
      <c r="C504" s="9" t="s">
        <v>64</v>
      </c>
      <c r="D504" s="9" t="s">
        <v>83</v>
      </c>
      <c r="E504" s="9" t="s">
        <v>84</v>
      </c>
      <c r="F504" s="11">
        <v>2</v>
      </c>
      <c r="G504" s="12">
        <v>0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0.5</v>
      </c>
    </row>
    <row r="505">
      <c r="A505" s="23">
        <v>3565</v>
      </c>
      <c r="B505" s="4" t="s">
        <v>736</v>
      </c>
      <c r="C505" s="4" t="s">
        <v>64</v>
      </c>
      <c r="D505" s="4" t="s">
        <v>83</v>
      </c>
      <c r="E505" s="4" t="s">
        <v>84</v>
      </c>
      <c r="F505" s="6">
        <v>2</v>
      </c>
      <c r="G505" s="7">
        <v>0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7">
        <v>0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31">
        <v>0</v>
      </c>
    </row>
    <row r="506">
      <c r="A506" s="24">
        <v>3573</v>
      </c>
      <c r="B506" s="9" t="s">
        <v>737</v>
      </c>
      <c r="C506" s="9" t="s">
        <v>686</v>
      </c>
      <c r="D506" s="9" t="s">
        <v>738</v>
      </c>
      <c r="E506" s="9" t="s">
        <v>361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3574</v>
      </c>
      <c r="B507" s="4" t="s">
        <v>739</v>
      </c>
      <c r="C507" s="4" t="s">
        <v>64</v>
      </c>
      <c r="D507" s="4" t="s">
        <v>83</v>
      </c>
      <c r="E507" s="4" t="s">
        <v>84</v>
      </c>
      <c r="F507" s="6">
        <v>6</v>
      </c>
      <c r="G507" s="7">
        <v>0</v>
      </c>
      <c r="H507" s="7">
        <v>0</v>
      </c>
      <c r="I507" s="7">
        <v>0</v>
      </c>
      <c r="J507" s="5">
        <v>6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6</v>
      </c>
      <c r="V507" s="7">
        <v>0</v>
      </c>
      <c r="W507" s="7">
        <v>0</v>
      </c>
      <c r="X507" s="7">
        <v>0</v>
      </c>
      <c r="Y507" s="5">
        <v>6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6</v>
      </c>
      <c r="AK507" s="8">
        <v>6</v>
      </c>
      <c r="AL507" s="5">
        <v>6</v>
      </c>
      <c r="AM507" s="5">
        <v>6</v>
      </c>
      <c r="AN507" s="31">
        <v>0</v>
      </c>
    </row>
    <row r="508">
      <c r="A508" s="24">
        <v>3591</v>
      </c>
      <c r="B508" s="9" t="s">
        <v>740</v>
      </c>
      <c r="C508" s="9" t="s">
        <v>64</v>
      </c>
      <c r="D508" s="9" t="s">
        <v>68</v>
      </c>
      <c r="E508" s="9" t="s">
        <v>245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3593</v>
      </c>
      <c r="B509" s="4" t="s">
        <v>741</v>
      </c>
      <c r="C509" s="4" t="s">
        <v>141</v>
      </c>
      <c r="D509" s="4" t="s">
        <v>378</v>
      </c>
      <c r="E509" s="4" t="s">
        <v>387</v>
      </c>
      <c r="F509" s="6">
        <v>5</v>
      </c>
      <c r="G509" s="5">
        <v>2</v>
      </c>
      <c r="H509" s="7">
        <v>0</v>
      </c>
      <c r="I509" s="5">
        <v>2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5</v>
      </c>
      <c r="V509" s="5">
        <v>2</v>
      </c>
      <c r="W509" s="7">
        <v>0</v>
      </c>
      <c r="X509" s="5">
        <v>2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1.67</v>
      </c>
      <c r="AL509" s="5">
        <v>2</v>
      </c>
      <c r="AM509" s="5">
        <v>2</v>
      </c>
      <c r="AN509" s="31">
        <v>0</v>
      </c>
    </row>
    <row r="510">
      <c r="A510" s="24">
        <v>3615</v>
      </c>
      <c r="B510" s="9" t="s">
        <v>742</v>
      </c>
      <c r="C510" s="9" t="s">
        <v>64</v>
      </c>
      <c r="D510" s="9" t="s">
        <v>110</v>
      </c>
      <c r="E510" s="9" t="s">
        <v>111</v>
      </c>
      <c r="F510" s="11">
        <v>4</v>
      </c>
      <c r="G510" s="10">
        <v>3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</v>
      </c>
      <c r="V510" s="10">
        <v>1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29">
        <v>0.6</v>
      </c>
    </row>
    <row r="511">
      <c r="A511" s="23">
        <v>3622</v>
      </c>
      <c r="B511" s="4" t="s">
        <v>743</v>
      </c>
      <c r="C511" s="4" t="s">
        <v>64</v>
      </c>
      <c r="D511" s="4" t="s">
        <v>80</v>
      </c>
      <c r="E511" s="4" t="s">
        <v>354</v>
      </c>
      <c r="F511" s="6">
        <v>2</v>
      </c>
      <c r="G511" s="7">
        <v>0</v>
      </c>
      <c r="H511" s="7">
        <v>0</v>
      </c>
      <c r="I511" s="5">
        <v>1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2</v>
      </c>
      <c r="V511" s="7">
        <v>0</v>
      </c>
      <c r="W511" s="7">
        <v>0</v>
      </c>
      <c r="X511" s="5">
        <v>1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0.48</v>
      </c>
    </row>
    <row r="512">
      <c r="A512" s="24">
        <v>3635</v>
      </c>
      <c r="B512" s="9" t="s">
        <v>744</v>
      </c>
      <c r="C512" s="9" t="s">
        <v>64</v>
      </c>
      <c r="D512" s="9" t="s">
        <v>107</v>
      </c>
      <c r="E512" s="9" t="s">
        <v>108</v>
      </c>
      <c r="F512" s="11">
        <v>1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3638</v>
      </c>
      <c r="B513" s="4" t="s">
        <v>745</v>
      </c>
      <c r="C513" s="4" t="s">
        <v>64</v>
      </c>
      <c r="D513" s="4" t="s">
        <v>107</v>
      </c>
      <c r="E513" s="4" t="s">
        <v>746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3642</v>
      </c>
      <c r="B514" s="9" t="s">
        <v>747</v>
      </c>
      <c r="C514" s="9" t="s">
        <v>64</v>
      </c>
      <c r="D514" s="9" t="s">
        <v>76</v>
      </c>
      <c r="E514" s="9" t="s">
        <v>285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0.62</v>
      </c>
    </row>
    <row r="515">
      <c r="A515" s="23">
        <v>3654</v>
      </c>
      <c r="B515" s="4" t="s">
        <v>748</v>
      </c>
      <c r="C515" s="4" t="s">
        <v>64</v>
      </c>
      <c r="D515" s="4" t="s">
        <v>76</v>
      </c>
      <c r="E515" s="4" t="s">
        <v>166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1">
        <v>0</v>
      </c>
    </row>
    <row r="516">
      <c r="A516" s="24">
        <v>3658</v>
      </c>
      <c r="B516" s="9" t="s">
        <v>749</v>
      </c>
      <c r="C516" s="9" t="s">
        <v>64</v>
      </c>
      <c r="D516" s="9" t="s">
        <v>110</v>
      </c>
      <c r="E516" s="9" t="s">
        <v>111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4</v>
      </c>
      <c r="AK516" s="13">
        <v>4</v>
      </c>
      <c r="AL516" s="10">
        <v>4</v>
      </c>
      <c r="AM516" s="10">
        <v>4</v>
      </c>
      <c r="AN516" s="29">
        <v>1</v>
      </c>
    </row>
    <row r="517">
      <c r="A517" s="23">
        <v>3677</v>
      </c>
      <c r="B517" s="4" t="s">
        <v>750</v>
      </c>
      <c r="C517" s="4" t="s">
        <v>64</v>
      </c>
      <c r="D517" s="4" t="s">
        <v>132</v>
      </c>
      <c r="E517" s="4" t="s">
        <v>133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1">
        <v>0</v>
      </c>
    </row>
    <row r="518">
      <c r="A518" s="24">
        <v>3685</v>
      </c>
      <c r="B518" s="9" t="s">
        <v>751</v>
      </c>
      <c r="C518" s="9" t="s">
        <v>141</v>
      </c>
      <c r="D518" s="9" t="s">
        <v>412</v>
      </c>
      <c r="E518" s="9" t="s">
        <v>413</v>
      </c>
      <c r="F518" s="11">
        <v>1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0.34</v>
      </c>
    </row>
    <row r="519">
      <c r="A519" s="23">
        <v>3690</v>
      </c>
      <c r="B519" s="4" t="s">
        <v>752</v>
      </c>
      <c r="C519" s="4" t="s">
        <v>64</v>
      </c>
      <c r="D519" s="4" t="s">
        <v>83</v>
      </c>
      <c r="E519" s="4" t="s">
        <v>84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3692</v>
      </c>
      <c r="B520" s="9" t="s">
        <v>753</v>
      </c>
      <c r="C520" s="9" t="s">
        <v>64</v>
      </c>
      <c r="D520" s="9" t="s">
        <v>132</v>
      </c>
      <c r="E520" s="9" t="s">
        <v>212</v>
      </c>
      <c r="F520" s="11">
        <v>2</v>
      </c>
      <c r="G520" s="12">
        <v>0</v>
      </c>
      <c r="H520" s="12">
        <v>0</v>
      </c>
      <c r="I520" s="10">
        <v>1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2">
        <v>0</v>
      </c>
      <c r="W520" s="12">
        <v>0</v>
      </c>
      <c r="X520" s="10">
        <v>1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0.44</v>
      </c>
    </row>
    <row r="521">
      <c r="A521" s="23">
        <v>3694</v>
      </c>
      <c r="B521" s="4" t="s">
        <v>754</v>
      </c>
      <c r="C521" s="4" t="s">
        <v>64</v>
      </c>
      <c r="D521" s="4" t="s">
        <v>88</v>
      </c>
      <c r="E521" s="4" t="s">
        <v>363</v>
      </c>
      <c r="F521" s="6">
        <v>2</v>
      </c>
      <c r="G521" s="5">
        <v>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5">
        <v>1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3695</v>
      </c>
      <c r="B522" s="9" t="s">
        <v>755</v>
      </c>
      <c r="C522" s="9" t="s">
        <v>141</v>
      </c>
      <c r="D522" s="9" t="s">
        <v>597</v>
      </c>
      <c r="E522" s="9" t="s">
        <v>693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3707</v>
      </c>
      <c r="B523" s="4" t="s">
        <v>756</v>
      </c>
      <c r="C523" s="4" t="s">
        <v>64</v>
      </c>
      <c r="D523" s="4" t="s">
        <v>129</v>
      </c>
      <c r="E523" s="4" t="s">
        <v>757</v>
      </c>
      <c r="F523" s="6">
        <v>3</v>
      </c>
      <c r="G523" s="5">
        <v>2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3</v>
      </c>
      <c r="V523" s="5">
        <v>2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0.26</v>
      </c>
    </row>
    <row r="524">
      <c r="A524" s="24">
        <v>3711</v>
      </c>
      <c r="B524" s="9" t="s">
        <v>758</v>
      </c>
      <c r="C524" s="9" t="s">
        <v>64</v>
      </c>
      <c r="D524" s="9" t="s">
        <v>83</v>
      </c>
      <c r="E524" s="9" t="s">
        <v>147</v>
      </c>
      <c r="F524" s="11">
        <v>2</v>
      </c>
      <c r="G524" s="12">
        <v>0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0.5</v>
      </c>
    </row>
    <row r="525">
      <c r="A525" s="23">
        <v>3713</v>
      </c>
      <c r="B525" s="4" t="s">
        <v>759</v>
      </c>
      <c r="C525" s="4" t="s">
        <v>64</v>
      </c>
      <c r="D525" s="4" t="s">
        <v>110</v>
      </c>
      <c r="E525" s="4" t="s">
        <v>111</v>
      </c>
      <c r="F525" s="6">
        <v>2</v>
      </c>
      <c r="G525" s="7">
        <v>0</v>
      </c>
      <c r="H525" s="7">
        <v>0</v>
      </c>
      <c r="I525" s="5">
        <v>2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1">
        <v>0</v>
      </c>
    </row>
    <row r="526">
      <c r="A526" s="24">
        <v>3715</v>
      </c>
      <c r="B526" s="9" t="s">
        <v>760</v>
      </c>
      <c r="C526" s="9" t="s">
        <v>64</v>
      </c>
      <c r="D526" s="9" t="s">
        <v>129</v>
      </c>
      <c r="E526" s="9" t="s">
        <v>130</v>
      </c>
      <c r="F526" s="11">
        <v>4</v>
      </c>
      <c r="G526" s="10">
        <v>3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4</v>
      </c>
      <c r="V526" s="10">
        <v>3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1.33</v>
      </c>
      <c r="AL526" s="10">
        <v>1</v>
      </c>
      <c r="AM526" s="10">
        <v>2</v>
      </c>
      <c r="AN526" s="29">
        <v>0.22</v>
      </c>
    </row>
    <row r="527">
      <c r="A527" s="23">
        <v>3726</v>
      </c>
      <c r="B527" s="4" t="s">
        <v>761</v>
      </c>
      <c r="C527" s="4" t="s">
        <v>64</v>
      </c>
      <c r="D527" s="4" t="s">
        <v>129</v>
      </c>
      <c r="E527" s="4" t="s">
        <v>130</v>
      </c>
      <c r="F527" s="6">
        <v>2</v>
      </c>
      <c r="G527" s="5">
        <v>1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3737</v>
      </c>
      <c r="B528" s="9" t="s">
        <v>762</v>
      </c>
      <c r="C528" s="9" t="s">
        <v>359</v>
      </c>
      <c r="D528" s="9" t="s">
        <v>763</v>
      </c>
      <c r="E528" s="9" t="s">
        <v>361</v>
      </c>
      <c r="F528" s="11">
        <v>2</v>
      </c>
      <c r="G528" s="12">
        <v>0</v>
      </c>
      <c r="H528" s="12">
        <v>0</v>
      </c>
      <c r="I528" s="10">
        <v>1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2">
        <v>0</v>
      </c>
      <c r="W528" s="12">
        <v>0</v>
      </c>
      <c r="X528" s="10">
        <v>1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3739</v>
      </c>
      <c r="B529" s="4" t="s">
        <v>764</v>
      </c>
      <c r="C529" s="4" t="s">
        <v>359</v>
      </c>
      <c r="D529" s="4" t="s">
        <v>763</v>
      </c>
      <c r="E529" s="4" t="s">
        <v>361</v>
      </c>
      <c r="F529" s="6">
        <v>2</v>
      </c>
      <c r="G529" s="7">
        <v>0</v>
      </c>
      <c r="H529" s="5">
        <v>1</v>
      </c>
      <c r="I529" s="7">
        <v>0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7">
        <v>0</v>
      </c>
      <c r="W529" s="5">
        <v>1</v>
      </c>
      <c r="X529" s="7">
        <v>0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3745</v>
      </c>
      <c r="B530" s="9" t="s">
        <v>765</v>
      </c>
      <c r="C530" s="9" t="s">
        <v>64</v>
      </c>
      <c r="D530" s="9" t="s">
        <v>83</v>
      </c>
      <c r="E530" s="9" t="s">
        <v>84</v>
      </c>
      <c r="F530" s="11">
        <v>4</v>
      </c>
      <c r="G530" s="10">
        <v>4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2</v>
      </c>
      <c r="AM530" s="10">
        <v>3</v>
      </c>
      <c r="AN530" s="30">
        <v>0</v>
      </c>
    </row>
    <row r="531">
      <c r="A531" s="23">
        <v>3753</v>
      </c>
      <c r="B531" s="4" t="s">
        <v>766</v>
      </c>
      <c r="C531" s="4" t="s">
        <v>64</v>
      </c>
      <c r="D531" s="4" t="s">
        <v>129</v>
      </c>
      <c r="E531" s="4" t="s">
        <v>323</v>
      </c>
      <c r="F531" s="6">
        <v>13</v>
      </c>
      <c r="G531" s="5">
        <v>5</v>
      </c>
      <c r="H531" s="7">
        <v>0</v>
      </c>
      <c r="I531" s="7">
        <v>0</v>
      </c>
      <c r="J531" s="5">
        <v>8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12</v>
      </c>
      <c r="V531" s="5">
        <v>5</v>
      </c>
      <c r="W531" s="7">
        <v>0</v>
      </c>
      <c r="X531" s="7">
        <v>0</v>
      </c>
      <c r="Y531" s="5">
        <v>7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2.6</v>
      </c>
      <c r="AL531" s="5">
        <v>3</v>
      </c>
      <c r="AM531" s="5">
        <v>5</v>
      </c>
      <c r="AN531" s="28">
        <v>1.82</v>
      </c>
    </row>
    <row r="532">
      <c r="A532" s="24">
        <v>3763</v>
      </c>
      <c r="B532" s="9" t="s">
        <v>767</v>
      </c>
      <c r="C532" s="9" t="s">
        <v>64</v>
      </c>
      <c r="D532" s="9" t="s">
        <v>76</v>
      </c>
      <c r="E532" s="9" t="s">
        <v>163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3775</v>
      </c>
      <c r="B533" s="4" t="s">
        <v>768</v>
      </c>
      <c r="C533" s="4" t="s">
        <v>64</v>
      </c>
      <c r="D533" s="4" t="s">
        <v>132</v>
      </c>
      <c r="E533" s="4" t="s">
        <v>212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1">
        <v>0</v>
      </c>
    </row>
    <row r="534">
      <c r="A534" s="24">
        <v>3784</v>
      </c>
      <c r="B534" s="9" t="s">
        <v>769</v>
      </c>
      <c r="C534" s="9" t="s">
        <v>64</v>
      </c>
      <c r="D534" s="9" t="s">
        <v>110</v>
      </c>
      <c r="E534" s="9" t="s">
        <v>121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3786</v>
      </c>
      <c r="B535" s="4" t="s">
        <v>770</v>
      </c>
      <c r="C535" s="4" t="s">
        <v>64</v>
      </c>
      <c r="D535" s="4" t="s">
        <v>83</v>
      </c>
      <c r="E535" s="4" t="s">
        <v>147</v>
      </c>
      <c r="F535" s="6">
        <v>2</v>
      </c>
      <c r="G535" s="7">
        <v>0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7">
        <v>0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0.5</v>
      </c>
    </row>
    <row r="536">
      <c r="A536" s="24">
        <v>3791</v>
      </c>
      <c r="B536" s="9" t="s">
        <v>771</v>
      </c>
      <c r="C536" s="9" t="s">
        <v>141</v>
      </c>
      <c r="D536" s="9" t="s">
        <v>661</v>
      </c>
      <c r="E536" s="9" t="s">
        <v>662</v>
      </c>
      <c r="F536" s="11">
        <v>3</v>
      </c>
      <c r="G536" s="12">
        <v>0</v>
      </c>
      <c r="H536" s="12">
        <v>0</v>
      </c>
      <c r="I536" s="10">
        <v>2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30">
        <v>0</v>
      </c>
    </row>
    <row r="537">
      <c r="A537" s="23">
        <v>3800</v>
      </c>
      <c r="B537" s="4" t="s">
        <v>772</v>
      </c>
      <c r="C537" s="4" t="s">
        <v>64</v>
      </c>
      <c r="D537" s="4" t="s">
        <v>129</v>
      </c>
      <c r="E537" s="4" t="s">
        <v>130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0.26</v>
      </c>
    </row>
    <row r="538">
      <c r="A538" s="24">
        <v>3812</v>
      </c>
      <c r="B538" s="9" t="s">
        <v>773</v>
      </c>
      <c r="C538" s="9" t="s">
        <v>64</v>
      </c>
      <c r="D538" s="9" t="s">
        <v>80</v>
      </c>
      <c r="E538" s="9" t="s">
        <v>354</v>
      </c>
      <c r="F538" s="11">
        <v>3</v>
      </c>
      <c r="G538" s="12">
        <v>0</v>
      </c>
      <c r="H538" s="12">
        <v>0</v>
      </c>
      <c r="I538" s="12">
        <v>0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2">
        <v>0</v>
      </c>
      <c r="X538" s="12">
        <v>0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0.5</v>
      </c>
    </row>
    <row r="539">
      <c r="A539" s="23">
        <v>3814</v>
      </c>
      <c r="B539" s="4" t="s">
        <v>774</v>
      </c>
      <c r="C539" s="4" t="s">
        <v>64</v>
      </c>
      <c r="D539" s="4" t="s">
        <v>91</v>
      </c>
      <c r="E539" s="4" t="s">
        <v>775</v>
      </c>
      <c r="F539" s="6">
        <v>2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3817</v>
      </c>
      <c r="B540" s="9" t="s">
        <v>776</v>
      </c>
      <c r="C540" s="9" t="s">
        <v>171</v>
      </c>
      <c r="D540" s="9" t="s">
        <v>172</v>
      </c>
      <c r="E540" s="9" t="s">
        <v>777</v>
      </c>
      <c r="F540" s="11">
        <v>4</v>
      </c>
      <c r="G540" s="12">
        <v>0</v>
      </c>
      <c r="H540" s="12">
        <v>0</v>
      </c>
      <c r="I540" s="12">
        <v>0</v>
      </c>
      <c r="J540" s="10">
        <v>1</v>
      </c>
      <c r="K540" s="10">
        <v>3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4</v>
      </c>
      <c r="V540" s="12">
        <v>0</v>
      </c>
      <c r="W540" s="12">
        <v>0</v>
      </c>
      <c r="X540" s="12">
        <v>0</v>
      </c>
      <c r="Y540" s="10">
        <v>1</v>
      </c>
      <c r="Z540" s="10">
        <v>3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30">
        <v>0</v>
      </c>
    </row>
    <row r="541">
      <c r="A541" s="23">
        <v>3818</v>
      </c>
      <c r="B541" s="4" t="s">
        <v>778</v>
      </c>
      <c r="C541" s="4" t="s">
        <v>64</v>
      </c>
      <c r="D541" s="4" t="s">
        <v>80</v>
      </c>
      <c r="E541" s="4" t="s">
        <v>429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3826</v>
      </c>
      <c r="B542" s="9" t="s">
        <v>779</v>
      </c>
      <c r="C542" s="9" t="s">
        <v>64</v>
      </c>
      <c r="D542" s="9" t="s">
        <v>80</v>
      </c>
      <c r="E542" s="9" t="s">
        <v>135</v>
      </c>
      <c r="F542" s="11">
        <v>4</v>
      </c>
      <c r="G542" s="10">
        <v>2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0">
        <v>2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1</v>
      </c>
    </row>
    <row r="543">
      <c r="A543" s="23">
        <v>3827</v>
      </c>
      <c r="B543" s="4" t="s">
        <v>780</v>
      </c>
      <c r="C543" s="4" t="s">
        <v>64</v>
      </c>
      <c r="D543" s="4" t="s">
        <v>80</v>
      </c>
      <c r="E543" s="4" t="s">
        <v>135</v>
      </c>
      <c r="F543" s="6">
        <v>3</v>
      </c>
      <c r="G543" s="7">
        <v>0</v>
      </c>
      <c r="H543" s="7">
        <v>0</v>
      </c>
      <c r="I543" s="5">
        <v>2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7">
        <v>0</v>
      </c>
      <c r="W543" s="7">
        <v>0</v>
      </c>
      <c r="X543" s="5">
        <v>2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3829</v>
      </c>
      <c r="B544" s="9" t="s">
        <v>781</v>
      </c>
      <c r="C544" s="9" t="s">
        <v>64</v>
      </c>
      <c r="D544" s="9" t="s">
        <v>110</v>
      </c>
      <c r="E544" s="9" t="s">
        <v>327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3836</v>
      </c>
      <c r="B545" s="4" t="s">
        <v>782</v>
      </c>
      <c r="C545" s="4" t="s">
        <v>64</v>
      </c>
      <c r="D545" s="4" t="s">
        <v>80</v>
      </c>
      <c r="E545" s="4" t="s">
        <v>135</v>
      </c>
      <c r="F545" s="6">
        <v>6</v>
      </c>
      <c r="G545" s="5">
        <v>4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6</v>
      </c>
      <c r="V545" s="5">
        <v>4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1</v>
      </c>
      <c r="AM545" s="5">
        <v>4</v>
      </c>
      <c r="AN545" s="28">
        <v>0.25</v>
      </c>
    </row>
    <row r="546">
      <c r="A546" s="24">
        <v>3837</v>
      </c>
      <c r="B546" s="9" t="s">
        <v>783</v>
      </c>
      <c r="C546" s="9" t="s">
        <v>64</v>
      </c>
      <c r="D546" s="9" t="s">
        <v>68</v>
      </c>
      <c r="E546" s="9" t="s">
        <v>71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3847</v>
      </c>
      <c r="B547" s="4" t="s">
        <v>784</v>
      </c>
      <c r="C547" s="4" t="s">
        <v>64</v>
      </c>
      <c r="D547" s="4" t="s">
        <v>68</v>
      </c>
      <c r="E547" s="4" t="s">
        <v>71</v>
      </c>
      <c r="F547" s="6">
        <v>3</v>
      </c>
      <c r="G547" s="7">
        <v>0</v>
      </c>
      <c r="H547" s="7">
        <v>0</v>
      </c>
      <c r="I547" s="5">
        <v>1</v>
      </c>
      <c r="J547" s="7">
        <v>0</v>
      </c>
      <c r="K547" s="5">
        <v>2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7">
        <v>0</v>
      </c>
      <c r="W547" s="7">
        <v>0</v>
      </c>
      <c r="X547" s="5">
        <v>1</v>
      </c>
      <c r="Y547" s="7">
        <v>0</v>
      </c>
      <c r="Z547" s="5">
        <v>2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0.78</v>
      </c>
    </row>
    <row r="548">
      <c r="A548" s="24">
        <v>3857</v>
      </c>
      <c r="B548" s="9" t="s">
        <v>785</v>
      </c>
      <c r="C548" s="9" t="s">
        <v>64</v>
      </c>
      <c r="D548" s="9" t="s">
        <v>110</v>
      </c>
      <c r="E548" s="9" t="s">
        <v>121</v>
      </c>
      <c r="F548" s="11">
        <v>10</v>
      </c>
      <c r="G548" s="10">
        <v>5</v>
      </c>
      <c r="H548" s="12">
        <v>0</v>
      </c>
      <c r="I548" s="12">
        <v>0</v>
      </c>
      <c r="J548" s="10">
        <v>5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10</v>
      </c>
      <c r="V548" s="10">
        <v>5</v>
      </c>
      <c r="W548" s="12">
        <v>0</v>
      </c>
      <c r="X548" s="12">
        <v>0</v>
      </c>
      <c r="Y548" s="10">
        <v>5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3.33</v>
      </c>
      <c r="AL548" s="10">
        <v>4</v>
      </c>
      <c r="AM548" s="10">
        <v>5</v>
      </c>
      <c r="AN548" s="29">
        <v>1</v>
      </c>
    </row>
    <row r="549">
      <c r="A549" s="23">
        <v>3861</v>
      </c>
      <c r="B549" s="4" t="s">
        <v>786</v>
      </c>
      <c r="C549" s="4" t="s">
        <v>64</v>
      </c>
      <c r="D549" s="4" t="s">
        <v>110</v>
      </c>
      <c r="E549" s="4" t="s">
        <v>121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1">
        <v>0</v>
      </c>
    </row>
    <row r="550">
      <c r="A550" s="24">
        <v>3862</v>
      </c>
      <c r="B550" s="9" t="s">
        <v>787</v>
      </c>
      <c r="C550" s="9" t="s">
        <v>64</v>
      </c>
      <c r="D550" s="9" t="s">
        <v>110</v>
      </c>
      <c r="E550" s="9" t="s">
        <v>121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3867</v>
      </c>
      <c r="B551" s="4" t="s">
        <v>788</v>
      </c>
      <c r="C551" s="4" t="s">
        <v>64</v>
      </c>
      <c r="D551" s="4" t="s">
        <v>110</v>
      </c>
      <c r="E551" s="4" t="s">
        <v>121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3870</v>
      </c>
      <c r="B552" s="9" t="s">
        <v>789</v>
      </c>
      <c r="C552" s="9" t="s">
        <v>64</v>
      </c>
      <c r="D552" s="9" t="s">
        <v>110</v>
      </c>
      <c r="E552" s="9" t="s">
        <v>121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3874</v>
      </c>
      <c r="B553" s="4" t="s">
        <v>790</v>
      </c>
      <c r="C553" s="4" t="s">
        <v>64</v>
      </c>
      <c r="D553" s="4" t="s">
        <v>110</v>
      </c>
      <c r="E553" s="4" t="s">
        <v>121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3876</v>
      </c>
      <c r="B554" s="9" t="s">
        <v>791</v>
      </c>
      <c r="C554" s="9" t="s">
        <v>64</v>
      </c>
      <c r="D554" s="9" t="s">
        <v>110</v>
      </c>
      <c r="E554" s="9" t="s">
        <v>121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3877</v>
      </c>
      <c r="B555" s="4" t="s">
        <v>792</v>
      </c>
      <c r="C555" s="4" t="s">
        <v>64</v>
      </c>
      <c r="D555" s="4" t="s">
        <v>110</v>
      </c>
      <c r="E555" s="4" t="s">
        <v>121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3879</v>
      </c>
      <c r="B556" s="9" t="s">
        <v>793</v>
      </c>
      <c r="C556" s="9" t="s">
        <v>64</v>
      </c>
      <c r="D556" s="9" t="s">
        <v>110</v>
      </c>
      <c r="E556" s="9" t="s">
        <v>121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3891</v>
      </c>
      <c r="B557" s="4" t="s">
        <v>794</v>
      </c>
      <c r="C557" s="4" t="s">
        <v>64</v>
      </c>
      <c r="D557" s="4" t="s">
        <v>110</v>
      </c>
      <c r="E557" s="4" t="s">
        <v>121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7">
        <v>0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0.5</v>
      </c>
    </row>
    <row r="558">
      <c r="A558" s="24">
        <v>3892</v>
      </c>
      <c r="B558" s="9" t="s">
        <v>795</v>
      </c>
      <c r="C558" s="9" t="s">
        <v>64</v>
      </c>
      <c r="D558" s="9" t="s">
        <v>132</v>
      </c>
      <c r="E558" s="9" t="s">
        <v>227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3910</v>
      </c>
      <c r="B559" s="4" t="s">
        <v>796</v>
      </c>
      <c r="C559" s="4" t="s">
        <v>64</v>
      </c>
      <c r="D559" s="4" t="s">
        <v>110</v>
      </c>
      <c r="E559" s="4" t="s">
        <v>121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0.78</v>
      </c>
    </row>
    <row r="560">
      <c r="A560" s="24">
        <v>3911</v>
      </c>
      <c r="B560" s="9" t="s">
        <v>797</v>
      </c>
      <c r="C560" s="9" t="s">
        <v>64</v>
      </c>
      <c r="D560" s="9" t="s">
        <v>110</v>
      </c>
      <c r="E560" s="9" t="s">
        <v>121</v>
      </c>
      <c r="F560" s="11">
        <v>2</v>
      </c>
      <c r="G560" s="10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2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0.17</v>
      </c>
    </row>
    <row r="561">
      <c r="A561" s="23">
        <v>3914</v>
      </c>
      <c r="B561" s="4" t="s">
        <v>798</v>
      </c>
      <c r="C561" s="4" t="s">
        <v>64</v>
      </c>
      <c r="D561" s="4" t="s">
        <v>110</v>
      </c>
      <c r="E561" s="4" t="s">
        <v>121</v>
      </c>
      <c r="F561" s="6">
        <v>1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5">
        <v>1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3915</v>
      </c>
      <c r="B562" s="9" t="s">
        <v>799</v>
      </c>
      <c r="C562" s="9" t="s">
        <v>64</v>
      </c>
      <c r="D562" s="9" t="s">
        <v>110</v>
      </c>
      <c r="E562" s="9" t="s">
        <v>121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29">
        <v>0.5</v>
      </c>
    </row>
    <row r="563">
      <c r="A563" s="23">
        <v>3916</v>
      </c>
      <c r="B563" s="4" t="s">
        <v>800</v>
      </c>
      <c r="C563" s="4" t="s">
        <v>64</v>
      </c>
      <c r="D563" s="4" t="s">
        <v>110</v>
      </c>
      <c r="E563" s="4" t="s">
        <v>121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0.24</v>
      </c>
    </row>
    <row r="564">
      <c r="A564" s="24">
        <v>3917</v>
      </c>
      <c r="B564" s="9" t="s">
        <v>801</v>
      </c>
      <c r="C564" s="9" t="s">
        <v>64</v>
      </c>
      <c r="D564" s="9" t="s">
        <v>110</v>
      </c>
      <c r="E564" s="9" t="s">
        <v>121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0.24</v>
      </c>
    </row>
    <row r="565">
      <c r="A565" s="23">
        <v>3920</v>
      </c>
      <c r="B565" s="4" t="s">
        <v>802</v>
      </c>
      <c r="C565" s="4" t="s">
        <v>64</v>
      </c>
      <c r="D565" s="4" t="s">
        <v>110</v>
      </c>
      <c r="E565" s="4" t="s">
        <v>121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3945</v>
      </c>
      <c r="B566" s="9" t="s">
        <v>803</v>
      </c>
      <c r="C566" s="9" t="s">
        <v>171</v>
      </c>
      <c r="D566" s="9" t="s">
        <v>185</v>
      </c>
      <c r="E566" s="9" t="s">
        <v>194</v>
      </c>
      <c r="F566" s="11">
        <v>1</v>
      </c>
      <c r="G566" s="12">
        <v>0</v>
      </c>
      <c r="H566" s="12">
        <v>0</v>
      </c>
      <c r="I566" s="12">
        <v>0</v>
      </c>
      <c r="J566" s="12">
        <v>0</v>
      </c>
      <c r="K566" s="10">
        <v>1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2">
        <v>0</v>
      </c>
      <c r="Z566" s="10">
        <v>1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3946</v>
      </c>
      <c r="B567" s="4" t="s">
        <v>804</v>
      </c>
      <c r="C567" s="4" t="s">
        <v>64</v>
      </c>
      <c r="D567" s="4" t="s">
        <v>110</v>
      </c>
      <c r="E567" s="4" t="s">
        <v>121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3952</v>
      </c>
      <c r="B568" s="9" t="s">
        <v>805</v>
      </c>
      <c r="C568" s="9" t="s">
        <v>64</v>
      </c>
      <c r="D568" s="9" t="s">
        <v>80</v>
      </c>
      <c r="E568" s="9" t="s">
        <v>354</v>
      </c>
      <c r="F568" s="11">
        <v>2</v>
      </c>
      <c r="G568" s="12">
        <v>0</v>
      </c>
      <c r="H568" s="10">
        <v>2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0">
        <v>2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30">
        <v>0</v>
      </c>
    </row>
    <row r="569">
      <c r="A569" s="23">
        <v>3953</v>
      </c>
      <c r="B569" s="4" t="s">
        <v>806</v>
      </c>
      <c r="C569" s="4" t="s">
        <v>64</v>
      </c>
      <c r="D569" s="4" t="s">
        <v>80</v>
      </c>
      <c r="E569" s="4" t="s">
        <v>354</v>
      </c>
      <c r="F569" s="6">
        <v>1</v>
      </c>
      <c r="G569" s="7">
        <v>0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1">
        <v>0</v>
      </c>
    </row>
    <row r="570">
      <c r="A570" s="24">
        <v>3954</v>
      </c>
      <c r="B570" s="9" t="s">
        <v>807</v>
      </c>
      <c r="C570" s="9" t="s">
        <v>64</v>
      </c>
      <c r="D570" s="9" t="s">
        <v>110</v>
      </c>
      <c r="E570" s="9" t="s">
        <v>455</v>
      </c>
      <c r="F570" s="11">
        <v>3</v>
      </c>
      <c r="G570" s="10">
        <v>2</v>
      </c>
      <c r="H570" s="12">
        <v>0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0">
        <v>2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30">
        <v>0</v>
      </c>
    </row>
    <row r="571">
      <c r="A571" s="23">
        <v>3955</v>
      </c>
      <c r="B571" s="4" t="s">
        <v>808</v>
      </c>
      <c r="C571" s="4" t="s">
        <v>64</v>
      </c>
      <c r="D571" s="4" t="s">
        <v>80</v>
      </c>
      <c r="E571" s="4" t="s">
        <v>354</v>
      </c>
      <c r="F571" s="6">
        <v>4</v>
      </c>
      <c r="G571" s="5">
        <v>1</v>
      </c>
      <c r="H571" s="7">
        <v>0</v>
      </c>
      <c r="I571" s="5">
        <v>1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3</v>
      </c>
      <c r="V571" s="5">
        <v>1</v>
      </c>
      <c r="W571" s="7">
        <v>0</v>
      </c>
      <c r="X571" s="5">
        <v>1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0.5</v>
      </c>
    </row>
    <row r="572">
      <c r="A572" s="24">
        <v>3966</v>
      </c>
      <c r="B572" s="9" t="s">
        <v>809</v>
      </c>
      <c r="C572" s="9" t="s">
        <v>64</v>
      </c>
      <c r="D572" s="9" t="s">
        <v>110</v>
      </c>
      <c r="E572" s="9" t="s">
        <v>121</v>
      </c>
      <c r="F572" s="11">
        <v>3</v>
      </c>
      <c r="G572" s="12">
        <v>0</v>
      </c>
      <c r="H572" s="10">
        <v>2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</v>
      </c>
      <c r="V572" s="12">
        <v>0</v>
      </c>
      <c r="W572" s="10">
        <v>2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29">
        <v>0.24</v>
      </c>
    </row>
    <row r="573">
      <c r="A573" s="23">
        <v>3970</v>
      </c>
      <c r="B573" s="4" t="s">
        <v>810</v>
      </c>
      <c r="C573" s="4" t="s">
        <v>141</v>
      </c>
      <c r="D573" s="4" t="s">
        <v>597</v>
      </c>
      <c r="E573" s="4" t="s">
        <v>693</v>
      </c>
      <c r="F573" s="6">
        <v>10</v>
      </c>
      <c r="G573" s="7">
        <v>0</v>
      </c>
      <c r="H573" s="5">
        <v>1</v>
      </c>
      <c r="I573" s="5">
        <v>3</v>
      </c>
      <c r="J573" s="5">
        <v>1</v>
      </c>
      <c r="K573" s="7">
        <v>0</v>
      </c>
      <c r="L573" s="5">
        <v>5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10</v>
      </c>
      <c r="V573" s="7">
        <v>0</v>
      </c>
      <c r="W573" s="5">
        <v>1</v>
      </c>
      <c r="X573" s="5">
        <v>3</v>
      </c>
      <c r="Y573" s="5">
        <v>1</v>
      </c>
      <c r="Z573" s="7">
        <v>0</v>
      </c>
      <c r="AA573" s="5">
        <v>5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1</v>
      </c>
      <c r="AM573" s="5">
        <v>5</v>
      </c>
      <c r="AN573" s="28">
        <v>0.34</v>
      </c>
    </row>
    <row r="574">
      <c r="A574" s="24">
        <v>3973</v>
      </c>
      <c r="B574" s="9" t="s">
        <v>811</v>
      </c>
      <c r="C574" s="9" t="s">
        <v>64</v>
      </c>
      <c r="D574" s="9" t="s">
        <v>80</v>
      </c>
      <c r="E574" s="9" t="s">
        <v>354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0.26</v>
      </c>
    </row>
    <row r="575">
      <c r="A575" s="23">
        <v>3980</v>
      </c>
      <c r="B575" s="4" t="s">
        <v>812</v>
      </c>
      <c r="C575" s="4" t="s">
        <v>171</v>
      </c>
      <c r="D575" s="4" t="s">
        <v>172</v>
      </c>
      <c r="E575" s="4" t="s">
        <v>777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1">
        <v>0</v>
      </c>
    </row>
    <row r="576">
      <c r="A576" s="24">
        <v>3985</v>
      </c>
      <c r="B576" s="9" t="s">
        <v>813</v>
      </c>
      <c r="C576" s="9" t="s">
        <v>64</v>
      </c>
      <c r="D576" s="9" t="s">
        <v>76</v>
      </c>
      <c r="E576" s="9" t="s">
        <v>241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3989</v>
      </c>
      <c r="B577" s="4" t="s">
        <v>814</v>
      </c>
      <c r="C577" s="4" t="s">
        <v>64</v>
      </c>
      <c r="D577" s="4" t="s">
        <v>132</v>
      </c>
      <c r="E577" s="4" t="s">
        <v>227</v>
      </c>
      <c r="F577" s="6">
        <v>3</v>
      </c>
      <c r="G577" s="5">
        <v>3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31">
        <v>0</v>
      </c>
    </row>
    <row r="578">
      <c r="A578" s="24">
        <v>3990</v>
      </c>
      <c r="B578" s="9" t="s">
        <v>815</v>
      </c>
      <c r="C578" s="9" t="s">
        <v>64</v>
      </c>
      <c r="D578" s="9" t="s">
        <v>68</v>
      </c>
      <c r="E578" s="9" t="s">
        <v>71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3994</v>
      </c>
      <c r="B579" s="4" t="s">
        <v>816</v>
      </c>
      <c r="C579" s="4" t="s">
        <v>602</v>
      </c>
      <c r="D579" s="4" t="s">
        <v>630</v>
      </c>
      <c r="E579" s="4" t="s">
        <v>361</v>
      </c>
      <c r="F579" s="6">
        <v>2</v>
      </c>
      <c r="G579" s="5">
        <v>1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5">
        <v>1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4031</v>
      </c>
      <c r="B580" s="9" t="s">
        <v>817</v>
      </c>
      <c r="C580" s="9" t="s">
        <v>64</v>
      </c>
      <c r="D580" s="9" t="s">
        <v>80</v>
      </c>
      <c r="E580" s="9" t="s">
        <v>354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0">
        <v>0</v>
      </c>
    </row>
    <row r="581">
      <c r="A581" s="23">
        <v>4032</v>
      </c>
      <c r="B581" s="4" t="s">
        <v>818</v>
      </c>
      <c r="C581" s="4" t="s">
        <v>64</v>
      </c>
      <c r="D581" s="4" t="s">
        <v>76</v>
      </c>
      <c r="E581" s="4" t="s">
        <v>218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1">
        <v>0</v>
      </c>
    </row>
    <row r="582">
      <c r="A582" s="24">
        <v>4047</v>
      </c>
      <c r="B582" s="9" t="s">
        <v>819</v>
      </c>
      <c r="C582" s="9" t="s">
        <v>64</v>
      </c>
      <c r="D582" s="9" t="s">
        <v>80</v>
      </c>
      <c r="E582" s="9" t="s">
        <v>135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0.25</v>
      </c>
    </row>
    <row r="583">
      <c r="A583" s="23">
        <v>4054</v>
      </c>
      <c r="B583" s="4" t="s">
        <v>820</v>
      </c>
      <c r="C583" s="4" t="s">
        <v>64</v>
      </c>
      <c r="D583" s="4" t="s">
        <v>91</v>
      </c>
      <c r="E583" s="4" t="s">
        <v>157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1">
        <v>0</v>
      </c>
    </row>
    <row r="584">
      <c r="A584" s="24">
        <v>4058</v>
      </c>
      <c r="B584" s="9" t="s">
        <v>821</v>
      </c>
      <c r="C584" s="9" t="s">
        <v>64</v>
      </c>
      <c r="D584" s="9" t="s">
        <v>110</v>
      </c>
      <c r="E584" s="9" t="s">
        <v>151</v>
      </c>
      <c r="F584" s="11">
        <v>1</v>
      </c>
      <c r="G584" s="12">
        <v>0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4059</v>
      </c>
      <c r="B585" s="4" t="s">
        <v>822</v>
      </c>
      <c r="C585" s="4" t="s">
        <v>141</v>
      </c>
      <c r="D585" s="4" t="s">
        <v>412</v>
      </c>
      <c r="E585" s="4" t="s">
        <v>413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1">
        <v>0</v>
      </c>
    </row>
    <row r="586">
      <c r="A586" s="24">
        <v>4065</v>
      </c>
      <c r="B586" s="9" t="s">
        <v>823</v>
      </c>
      <c r="C586" s="9" t="s">
        <v>64</v>
      </c>
      <c r="D586" s="9" t="s">
        <v>83</v>
      </c>
      <c r="E586" s="9" t="s">
        <v>139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4070</v>
      </c>
      <c r="B587" s="4" t="s">
        <v>824</v>
      </c>
      <c r="C587" s="4" t="s">
        <v>141</v>
      </c>
      <c r="D587" s="4" t="s">
        <v>524</v>
      </c>
      <c r="E587" s="4" t="s">
        <v>825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4074</v>
      </c>
      <c r="B588" s="9" t="s">
        <v>826</v>
      </c>
      <c r="C588" s="9" t="s">
        <v>141</v>
      </c>
      <c r="D588" s="9" t="s">
        <v>597</v>
      </c>
      <c r="E588" s="9" t="s">
        <v>693</v>
      </c>
      <c r="F588" s="11">
        <v>2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2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29">
        <v>0.48</v>
      </c>
    </row>
    <row r="589">
      <c r="A589" s="23">
        <v>4076</v>
      </c>
      <c r="B589" s="4" t="s">
        <v>827</v>
      </c>
      <c r="C589" s="4" t="s">
        <v>64</v>
      </c>
      <c r="D589" s="4" t="s">
        <v>91</v>
      </c>
      <c r="E589" s="4" t="s">
        <v>157</v>
      </c>
      <c r="F589" s="6">
        <v>3</v>
      </c>
      <c r="G589" s="7">
        <v>0</v>
      </c>
      <c r="H589" s="7">
        <v>0</v>
      </c>
      <c r="I589" s="7">
        <v>0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3</v>
      </c>
      <c r="V589" s="7">
        <v>0</v>
      </c>
      <c r="W589" s="7">
        <v>0</v>
      </c>
      <c r="X589" s="7">
        <v>0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3</v>
      </c>
      <c r="AK589" s="8">
        <v>3</v>
      </c>
      <c r="AL589" s="5">
        <v>3</v>
      </c>
      <c r="AM589" s="5">
        <v>3</v>
      </c>
      <c r="AN589" s="28">
        <v>0.75</v>
      </c>
    </row>
    <row r="590">
      <c r="A590" s="24">
        <v>4082</v>
      </c>
      <c r="B590" s="9" t="s">
        <v>828</v>
      </c>
      <c r="C590" s="9" t="s">
        <v>64</v>
      </c>
      <c r="D590" s="9" t="s">
        <v>68</v>
      </c>
      <c r="E590" s="9" t="s">
        <v>71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4087</v>
      </c>
      <c r="B591" s="4" t="s">
        <v>829</v>
      </c>
      <c r="C591" s="4" t="s">
        <v>64</v>
      </c>
      <c r="D591" s="4" t="s">
        <v>80</v>
      </c>
      <c r="E591" s="4" t="s">
        <v>135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31">
        <v>0</v>
      </c>
    </row>
    <row r="592">
      <c r="A592" s="24">
        <v>4089</v>
      </c>
      <c r="B592" s="9" t="s">
        <v>830</v>
      </c>
      <c r="C592" s="9" t="s">
        <v>64</v>
      </c>
      <c r="D592" s="9" t="s">
        <v>80</v>
      </c>
      <c r="E592" s="9" t="s">
        <v>135</v>
      </c>
      <c r="F592" s="11">
        <v>3</v>
      </c>
      <c r="G592" s="10">
        <v>2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0">
        <v>2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</v>
      </c>
    </row>
    <row r="593">
      <c r="A593" s="23">
        <v>4090</v>
      </c>
      <c r="B593" s="4" t="s">
        <v>831</v>
      </c>
      <c r="C593" s="4" t="s">
        <v>64</v>
      </c>
      <c r="D593" s="4" t="s">
        <v>80</v>
      </c>
      <c r="E593" s="4" t="s">
        <v>135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4096</v>
      </c>
      <c r="B594" s="9" t="s">
        <v>832</v>
      </c>
      <c r="C594" s="9" t="s">
        <v>64</v>
      </c>
      <c r="D594" s="9" t="s">
        <v>80</v>
      </c>
      <c r="E594" s="9" t="s">
        <v>135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0.37</v>
      </c>
    </row>
    <row r="595">
      <c r="A595" s="23">
        <v>4100</v>
      </c>
      <c r="B595" s="4" t="s">
        <v>833</v>
      </c>
      <c r="C595" s="4" t="s">
        <v>64</v>
      </c>
      <c r="D595" s="4" t="s">
        <v>80</v>
      </c>
      <c r="E595" s="4" t="s">
        <v>135</v>
      </c>
      <c r="F595" s="6">
        <v>2</v>
      </c>
      <c r="G595" s="7">
        <v>0</v>
      </c>
      <c r="H595" s="7">
        <v>0</v>
      </c>
      <c r="I595" s="5">
        <v>1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7">
        <v>0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0.48</v>
      </c>
    </row>
    <row r="596">
      <c r="A596" s="24">
        <v>4104</v>
      </c>
      <c r="B596" s="9" t="s">
        <v>834</v>
      </c>
      <c r="C596" s="9" t="s">
        <v>64</v>
      </c>
      <c r="D596" s="9" t="s">
        <v>80</v>
      </c>
      <c r="E596" s="9" t="s">
        <v>135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4109</v>
      </c>
      <c r="B597" s="4" t="s">
        <v>835</v>
      </c>
      <c r="C597" s="4" t="s">
        <v>64</v>
      </c>
      <c r="D597" s="4" t="s">
        <v>80</v>
      </c>
      <c r="E597" s="4" t="s">
        <v>135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28">
        <v>0.35</v>
      </c>
    </row>
    <row r="598">
      <c r="A598" s="24">
        <v>4110</v>
      </c>
      <c r="B598" s="9" t="s">
        <v>836</v>
      </c>
      <c r="C598" s="9" t="s">
        <v>64</v>
      </c>
      <c r="D598" s="9" t="s">
        <v>80</v>
      </c>
      <c r="E598" s="9" t="s">
        <v>135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4116</v>
      </c>
      <c r="B599" s="4" t="s">
        <v>837</v>
      </c>
      <c r="C599" s="4" t="s">
        <v>141</v>
      </c>
      <c r="D599" s="4" t="s">
        <v>480</v>
      </c>
      <c r="E599" s="4" t="s">
        <v>551</v>
      </c>
      <c r="F599" s="6">
        <v>4</v>
      </c>
      <c r="G599" s="7">
        <v>0</v>
      </c>
      <c r="H599" s="7">
        <v>0</v>
      </c>
      <c r="I599" s="5">
        <v>4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4</v>
      </c>
      <c r="V599" s="7">
        <v>0</v>
      </c>
      <c r="W599" s="7">
        <v>0</v>
      </c>
      <c r="X599" s="5">
        <v>4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3</v>
      </c>
      <c r="AN599" s="28">
        <v>0.25</v>
      </c>
    </row>
    <row r="600">
      <c r="A600" s="24">
        <v>4123</v>
      </c>
      <c r="B600" s="9" t="s">
        <v>838</v>
      </c>
      <c r="C600" s="9" t="s">
        <v>64</v>
      </c>
      <c r="D600" s="9" t="s">
        <v>80</v>
      </c>
      <c r="E600" s="9" t="s">
        <v>135</v>
      </c>
      <c r="F600" s="11">
        <v>3</v>
      </c>
      <c r="G600" s="10">
        <v>2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3</v>
      </c>
      <c r="V600" s="10">
        <v>2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0.36</v>
      </c>
    </row>
    <row r="601">
      <c r="A601" s="23">
        <v>4133</v>
      </c>
      <c r="B601" s="4" t="s">
        <v>839</v>
      </c>
      <c r="C601" s="4" t="s">
        <v>64</v>
      </c>
      <c r="D601" s="4" t="s">
        <v>80</v>
      </c>
      <c r="E601" s="4" t="s">
        <v>135</v>
      </c>
      <c r="F601" s="6">
        <v>5</v>
      </c>
      <c r="G601" s="5">
        <v>2</v>
      </c>
      <c r="H601" s="7">
        <v>0</v>
      </c>
      <c r="I601" s="5">
        <v>3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5</v>
      </c>
      <c r="V601" s="5">
        <v>2</v>
      </c>
      <c r="W601" s="7">
        <v>0</v>
      </c>
      <c r="X601" s="5">
        <v>3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28">
        <v>0.25</v>
      </c>
    </row>
    <row r="602">
      <c r="A602" s="24">
        <v>4140</v>
      </c>
      <c r="B602" s="9" t="s">
        <v>840</v>
      </c>
      <c r="C602" s="9" t="s">
        <v>64</v>
      </c>
      <c r="D602" s="9" t="s">
        <v>80</v>
      </c>
      <c r="E602" s="9" t="s">
        <v>135</v>
      </c>
      <c r="F602" s="11">
        <v>2</v>
      </c>
      <c r="G602" s="12">
        <v>0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2">
        <v>0</v>
      </c>
      <c r="W602" s="12">
        <v>0</v>
      </c>
      <c r="X602" s="12">
        <v>0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0.5</v>
      </c>
    </row>
    <row r="603">
      <c r="A603" s="23">
        <v>4175</v>
      </c>
      <c r="B603" s="4" t="s">
        <v>841</v>
      </c>
      <c r="C603" s="4" t="s">
        <v>64</v>
      </c>
      <c r="D603" s="4" t="s">
        <v>83</v>
      </c>
      <c r="E603" s="4" t="s">
        <v>147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</v>
      </c>
      <c r="V603" s="5">
        <v>2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31">
        <v>0</v>
      </c>
    </row>
    <row r="604">
      <c r="A604" s="24">
        <v>4182</v>
      </c>
      <c r="B604" s="9" t="s">
        <v>842</v>
      </c>
      <c r="C604" s="9" t="s">
        <v>64</v>
      </c>
      <c r="D604" s="9" t="s">
        <v>83</v>
      </c>
      <c r="E604" s="9" t="s">
        <v>280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4184</v>
      </c>
      <c r="B605" s="4" t="s">
        <v>843</v>
      </c>
      <c r="C605" s="4" t="s">
        <v>64</v>
      </c>
      <c r="D605" s="4" t="s">
        <v>110</v>
      </c>
      <c r="E605" s="4" t="s">
        <v>121</v>
      </c>
      <c r="F605" s="6">
        <v>1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5">
        <v>1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5">
        <v>1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4187</v>
      </c>
      <c r="B606" s="9" t="s">
        <v>844</v>
      </c>
      <c r="C606" s="9" t="s">
        <v>602</v>
      </c>
      <c r="D606" s="9" t="s">
        <v>611</v>
      </c>
      <c r="E606" s="9" t="s">
        <v>361</v>
      </c>
      <c r="F606" s="11">
        <v>2</v>
      </c>
      <c r="G606" s="12">
        <v>0</v>
      </c>
      <c r="H606" s="12">
        <v>0</v>
      </c>
      <c r="I606" s="10">
        <v>1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</v>
      </c>
      <c r="V606" s="12">
        <v>0</v>
      </c>
      <c r="W606" s="12">
        <v>0</v>
      </c>
      <c r="X606" s="10">
        <v>1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4191</v>
      </c>
      <c r="B607" s="4" t="s">
        <v>845</v>
      </c>
      <c r="C607" s="4" t="s">
        <v>141</v>
      </c>
      <c r="D607" s="4" t="s">
        <v>412</v>
      </c>
      <c r="E607" s="4" t="s">
        <v>413</v>
      </c>
      <c r="F607" s="6">
        <v>126</v>
      </c>
      <c r="G607" s="7">
        <v>0</v>
      </c>
      <c r="H607" s="7">
        <v>0</v>
      </c>
      <c r="I607" s="7">
        <v>0</v>
      </c>
      <c r="J607" s="5">
        <v>126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120</v>
      </c>
      <c r="V607" s="7">
        <v>0</v>
      </c>
      <c r="W607" s="7">
        <v>0</v>
      </c>
      <c r="X607" s="7">
        <v>0</v>
      </c>
      <c r="Y607" s="5">
        <v>120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4</v>
      </c>
      <c r="AK607" s="8">
        <v>63</v>
      </c>
      <c r="AL607" s="5">
        <v>63</v>
      </c>
      <c r="AM607" s="5">
        <v>122</v>
      </c>
      <c r="AN607" s="28">
        <v>31.2</v>
      </c>
    </row>
    <row r="608">
      <c r="A608" s="24">
        <v>4198</v>
      </c>
      <c r="B608" s="9" t="s">
        <v>846</v>
      </c>
      <c r="C608" s="9" t="s">
        <v>64</v>
      </c>
      <c r="D608" s="9" t="s">
        <v>76</v>
      </c>
      <c r="E608" s="9" t="s">
        <v>163</v>
      </c>
      <c r="F608" s="11">
        <v>2</v>
      </c>
      <c r="G608" s="12">
        <v>0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2">
        <v>0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0.52</v>
      </c>
    </row>
    <row r="609">
      <c r="A609" s="23">
        <v>4207</v>
      </c>
      <c r="B609" s="4" t="s">
        <v>847</v>
      </c>
      <c r="C609" s="4" t="s">
        <v>64</v>
      </c>
      <c r="D609" s="4" t="s">
        <v>83</v>
      </c>
      <c r="E609" s="4" t="s">
        <v>147</v>
      </c>
      <c r="F609" s="6">
        <v>3</v>
      </c>
      <c r="G609" s="5">
        <v>1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3</v>
      </c>
      <c r="V609" s="5">
        <v>1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0.78</v>
      </c>
    </row>
    <row r="610">
      <c r="A610" s="24">
        <v>4208</v>
      </c>
      <c r="B610" s="9" t="s">
        <v>848</v>
      </c>
      <c r="C610" s="9" t="s">
        <v>64</v>
      </c>
      <c r="D610" s="9" t="s">
        <v>83</v>
      </c>
      <c r="E610" s="9" t="s">
        <v>147</v>
      </c>
      <c r="F610" s="11">
        <v>3</v>
      </c>
      <c r="G610" s="10">
        <v>3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3</v>
      </c>
      <c r="AK610" s="13">
        <v>3</v>
      </c>
      <c r="AL610" s="10">
        <v>3</v>
      </c>
      <c r="AM610" s="10">
        <v>3</v>
      </c>
      <c r="AN610" s="30">
        <v>0</v>
      </c>
    </row>
    <row r="611">
      <c r="A611" s="23">
        <v>4210</v>
      </c>
      <c r="B611" s="4" t="s">
        <v>849</v>
      </c>
      <c r="C611" s="4" t="s">
        <v>64</v>
      </c>
      <c r="D611" s="4" t="s">
        <v>83</v>
      </c>
      <c r="E611" s="4" t="s">
        <v>147</v>
      </c>
      <c r="F611" s="6">
        <v>3</v>
      </c>
      <c r="G611" s="5">
        <v>1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1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4213</v>
      </c>
      <c r="B612" s="9" t="s">
        <v>850</v>
      </c>
      <c r="C612" s="9" t="s">
        <v>686</v>
      </c>
      <c r="D612" s="9" t="s">
        <v>851</v>
      </c>
      <c r="E612" s="9" t="s">
        <v>361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4216</v>
      </c>
      <c r="B613" s="4" t="s">
        <v>852</v>
      </c>
      <c r="C613" s="4" t="s">
        <v>64</v>
      </c>
      <c r="D613" s="4" t="s">
        <v>68</v>
      </c>
      <c r="E613" s="4" t="s">
        <v>71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4228</v>
      </c>
      <c r="B614" s="9" t="s">
        <v>853</v>
      </c>
      <c r="C614" s="9" t="s">
        <v>64</v>
      </c>
      <c r="D614" s="9" t="s">
        <v>80</v>
      </c>
      <c r="E614" s="9" t="s">
        <v>354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4243</v>
      </c>
      <c r="B615" s="4" t="s">
        <v>854</v>
      </c>
      <c r="C615" s="4" t="s">
        <v>64</v>
      </c>
      <c r="D615" s="4" t="s">
        <v>80</v>
      </c>
      <c r="E615" s="4" t="s">
        <v>135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31">
        <v>0</v>
      </c>
    </row>
    <row r="616">
      <c r="A616" s="24">
        <v>4251</v>
      </c>
      <c r="B616" s="9" t="s">
        <v>855</v>
      </c>
      <c r="C616" s="9" t="s">
        <v>141</v>
      </c>
      <c r="D616" s="9" t="s">
        <v>378</v>
      </c>
      <c r="E616" s="9" t="s">
        <v>385</v>
      </c>
      <c r="F616" s="11">
        <v>1</v>
      </c>
      <c r="G616" s="12">
        <v>0</v>
      </c>
      <c r="H616" s="12">
        <v>0</v>
      </c>
      <c r="I616" s="12">
        <v>0</v>
      </c>
      <c r="J616" s="12">
        <v>0</v>
      </c>
      <c r="K616" s="10">
        <v>1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2">
        <v>0</v>
      </c>
      <c r="Z616" s="10">
        <v>1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4254</v>
      </c>
      <c r="B617" s="4" t="s">
        <v>856</v>
      </c>
      <c r="C617" s="4" t="s">
        <v>141</v>
      </c>
      <c r="D617" s="4" t="s">
        <v>378</v>
      </c>
      <c r="E617" s="4" t="s">
        <v>387</v>
      </c>
      <c r="F617" s="6">
        <v>2</v>
      </c>
      <c r="G617" s="7">
        <v>0</v>
      </c>
      <c r="H617" s="7">
        <v>0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7">
        <v>0</v>
      </c>
      <c r="W617" s="7">
        <v>0</v>
      </c>
      <c r="X617" s="5">
        <v>2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0.22</v>
      </c>
    </row>
    <row r="618">
      <c r="A618" s="24">
        <v>4281</v>
      </c>
      <c r="B618" s="9" t="s">
        <v>857</v>
      </c>
      <c r="C618" s="9" t="s">
        <v>64</v>
      </c>
      <c r="D618" s="9" t="s">
        <v>83</v>
      </c>
      <c r="E618" s="9" t="s">
        <v>84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30">
        <v>0</v>
      </c>
    </row>
    <row r="619">
      <c r="A619" s="23">
        <v>4283</v>
      </c>
      <c r="B619" s="4" t="s">
        <v>858</v>
      </c>
      <c r="C619" s="4" t="s">
        <v>141</v>
      </c>
      <c r="D619" s="4" t="s">
        <v>436</v>
      </c>
      <c r="E619" s="4" t="s">
        <v>437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4291</v>
      </c>
      <c r="B620" s="9" t="s">
        <v>859</v>
      </c>
      <c r="C620" s="9" t="s">
        <v>64</v>
      </c>
      <c r="D620" s="9" t="s">
        <v>129</v>
      </c>
      <c r="E620" s="9" t="s">
        <v>860</v>
      </c>
      <c r="F620" s="11">
        <v>2</v>
      </c>
      <c r="G620" s="10">
        <v>1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4293</v>
      </c>
      <c r="B621" s="4" t="s">
        <v>861</v>
      </c>
      <c r="C621" s="4" t="s">
        <v>64</v>
      </c>
      <c r="D621" s="4" t="s">
        <v>110</v>
      </c>
      <c r="E621" s="4" t="s">
        <v>455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4306</v>
      </c>
      <c r="B622" s="9" t="s">
        <v>862</v>
      </c>
      <c r="C622" s="9" t="s">
        <v>141</v>
      </c>
      <c r="D622" s="9" t="s">
        <v>378</v>
      </c>
      <c r="E622" s="9" t="s">
        <v>730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4308</v>
      </c>
      <c r="B623" s="4" t="s">
        <v>863</v>
      </c>
      <c r="C623" s="4" t="s">
        <v>64</v>
      </c>
      <c r="D623" s="4" t="s">
        <v>68</v>
      </c>
      <c r="E623" s="4" t="s">
        <v>393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</v>
      </c>
      <c r="V623" s="5">
        <v>3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4</v>
      </c>
      <c r="AK623" s="8">
        <v>4</v>
      </c>
      <c r="AL623" s="5">
        <v>4</v>
      </c>
      <c r="AM623" s="5">
        <v>4</v>
      </c>
      <c r="AN623" s="31">
        <v>0</v>
      </c>
    </row>
    <row r="624">
      <c r="A624" s="24">
        <v>4310</v>
      </c>
      <c r="B624" s="9" t="s">
        <v>864</v>
      </c>
      <c r="C624" s="9" t="s">
        <v>64</v>
      </c>
      <c r="D624" s="9" t="s">
        <v>80</v>
      </c>
      <c r="E624" s="9" t="s">
        <v>94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4311</v>
      </c>
      <c r="B625" s="4" t="s">
        <v>865</v>
      </c>
      <c r="C625" s="4" t="s">
        <v>141</v>
      </c>
      <c r="D625" s="4" t="s">
        <v>436</v>
      </c>
      <c r="E625" s="4" t="s">
        <v>441</v>
      </c>
      <c r="F625" s="6">
        <v>3</v>
      </c>
      <c r="G625" s="5">
        <v>1</v>
      </c>
      <c r="H625" s="5">
        <v>2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5">
        <v>1</v>
      </c>
      <c r="W625" s="5">
        <v>2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0.44</v>
      </c>
    </row>
    <row r="626">
      <c r="A626" s="24">
        <v>4313</v>
      </c>
      <c r="B626" s="9" t="s">
        <v>866</v>
      </c>
      <c r="C626" s="9" t="s">
        <v>64</v>
      </c>
      <c r="D626" s="9" t="s">
        <v>68</v>
      </c>
      <c r="E626" s="9" t="s">
        <v>393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0.52</v>
      </c>
    </row>
    <row r="627">
      <c r="A627" s="23">
        <v>4337</v>
      </c>
      <c r="B627" s="4" t="s">
        <v>867</v>
      </c>
      <c r="C627" s="4" t="s">
        <v>141</v>
      </c>
      <c r="D627" s="4" t="s">
        <v>378</v>
      </c>
      <c r="E627" s="4" t="s">
        <v>730</v>
      </c>
      <c r="F627" s="6">
        <v>3</v>
      </c>
      <c r="G627" s="7">
        <v>0</v>
      </c>
      <c r="H627" s="5">
        <v>1</v>
      </c>
      <c r="I627" s="7">
        <v>0</v>
      </c>
      <c r="J627" s="7">
        <v>0</v>
      </c>
      <c r="K627" s="7">
        <v>0</v>
      </c>
      <c r="L627" s="5">
        <v>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7">
        <v>0</v>
      </c>
      <c r="W627" s="5">
        <v>1</v>
      </c>
      <c r="X627" s="7">
        <v>0</v>
      </c>
      <c r="Y627" s="7">
        <v>0</v>
      </c>
      <c r="Z627" s="7">
        <v>0</v>
      </c>
      <c r="AA627" s="5">
        <v>2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0.35</v>
      </c>
    </row>
    <row r="628">
      <c r="A628" s="24">
        <v>4343</v>
      </c>
      <c r="B628" s="9" t="s">
        <v>868</v>
      </c>
      <c r="C628" s="9" t="s">
        <v>141</v>
      </c>
      <c r="D628" s="9" t="s">
        <v>436</v>
      </c>
      <c r="E628" s="9" t="s">
        <v>437</v>
      </c>
      <c r="F628" s="11">
        <v>2</v>
      </c>
      <c r="G628" s="12">
        <v>0</v>
      </c>
      <c r="H628" s="12">
        <v>0</v>
      </c>
      <c r="I628" s="10">
        <v>1</v>
      </c>
      <c r="J628" s="12">
        <v>0</v>
      </c>
      <c r="K628" s="10">
        <v>1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2">
        <v>0</v>
      </c>
      <c r="W628" s="12">
        <v>0</v>
      </c>
      <c r="X628" s="10">
        <v>1</v>
      </c>
      <c r="Y628" s="12">
        <v>0</v>
      </c>
      <c r="Z628" s="10">
        <v>1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4345</v>
      </c>
      <c r="B629" s="4" t="s">
        <v>869</v>
      </c>
      <c r="C629" s="4" t="s">
        <v>141</v>
      </c>
      <c r="D629" s="4" t="s">
        <v>436</v>
      </c>
      <c r="E629" s="4" t="s">
        <v>437</v>
      </c>
      <c r="F629" s="6">
        <v>2</v>
      </c>
      <c r="G629" s="5">
        <v>1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4396</v>
      </c>
      <c r="B630" s="9" t="s">
        <v>870</v>
      </c>
      <c r="C630" s="9" t="s">
        <v>613</v>
      </c>
      <c r="D630" s="9" t="s">
        <v>871</v>
      </c>
      <c r="E630" s="9" t="s">
        <v>872</v>
      </c>
      <c r="F630" s="11">
        <v>3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0">
        <v>1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0">
        <v>1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4402</v>
      </c>
      <c r="B631" s="4" t="s">
        <v>873</v>
      </c>
      <c r="C631" s="4" t="s">
        <v>171</v>
      </c>
      <c r="D631" s="4" t="s">
        <v>491</v>
      </c>
      <c r="E631" s="4" t="s">
        <v>874</v>
      </c>
      <c r="F631" s="6">
        <v>2</v>
      </c>
      <c r="G631" s="7">
        <v>0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5">
        <v>1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7">
        <v>0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5">
        <v>1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1">
        <v>0</v>
      </c>
    </row>
    <row r="632">
      <c r="A632" s="24">
        <v>4411</v>
      </c>
      <c r="B632" s="9" t="s">
        <v>875</v>
      </c>
      <c r="C632" s="9" t="s">
        <v>141</v>
      </c>
      <c r="D632" s="9" t="s">
        <v>876</v>
      </c>
      <c r="E632" s="9" t="s">
        <v>361</v>
      </c>
      <c r="F632" s="11">
        <v>10</v>
      </c>
      <c r="G632" s="10">
        <v>3</v>
      </c>
      <c r="H632" s="12">
        <v>0</v>
      </c>
      <c r="I632" s="12">
        <v>0</v>
      </c>
      <c r="J632" s="10">
        <v>7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9</v>
      </c>
      <c r="V632" s="10">
        <v>3</v>
      </c>
      <c r="W632" s="12">
        <v>0</v>
      </c>
      <c r="X632" s="12">
        <v>0</v>
      </c>
      <c r="Y632" s="10">
        <v>6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3.33</v>
      </c>
      <c r="AL632" s="10">
        <v>2</v>
      </c>
      <c r="AM632" s="10">
        <v>7</v>
      </c>
      <c r="AN632" s="29">
        <v>2.08</v>
      </c>
    </row>
    <row r="633">
      <c r="A633" s="23">
        <v>4414</v>
      </c>
      <c r="B633" s="4" t="s">
        <v>877</v>
      </c>
      <c r="C633" s="4" t="s">
        <v>64</v>
      </c>
      <c r="D633" s="4" t="s">
        <v>76</v>
      </c>
      <c r="E633" s="4" t="s">
        <v>878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4418</v>
      </c>
      <c r="B634" s="9" t="s">
        <v>879</v>
      </c>
      <c r="C634" s="9" t="s">
        <v>64</v>
      </c>
      <c r="D634" s="9" t="s">
        <v>80</v>
      </c>
      <c r="E634" s="9" t="s">
        <v>135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30">
        <v>0</v>
      </c>
    </row>
    <row r="635">
      <c r="A635" s="23">
        <v>4422</v>
      </c>
      <c r="B635" s="4" t="s">
        <v>880</v>
      </c>
      <c r="C635" s="4" t="s">
        <v>64</v>
      </c>
      <c r="D635" s="4" t="s">
        <v>110</v>
      </c>
      <c r="E635" s="4" t="s">
        <v>455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4440</v>
      </c>
      <c r="B636" s="9" t="s">
        <v>881</v>
      </c>
      <c r="C636" s="9" t="s">
        <v>64</v>
      </c>
      <c r="D636" s="9" t="s">
        <v>68</v>
      </c>
      <c r="E636" s="9" t="s">
        <v>393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4449</v>
      </c>
      <c r="B637" s="4" t="s">
        <v>882</v>
      </c>
      <c r="C637" s="4" t="s">
        <v>64</v>
      </c>
      <c r="D637" s="4" t="s">
        <v>80</v>
      </c>
      <c r="E637" s="4" t="s">
        <v>429</v>
      </c>
      <c r="F637" s="6">
        <v>6</v>
      </c>
      <c r="G637" s="5">
        <v>3</v>
      </c>
      <c r="H637" s="7">
        <v>0</v>
      </c>
      <c r="I637" s="5">
        <v>2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6</v>
      </c>
      <c r="V637" s="5">
        <v>3</v>
      </c>
      <c r="W637" s="7">
        <v>0</v>
      </c>
      <c r="X637" s="5">
        <v>2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</v>
      </c>
      <c r="AL637" s="5">
        <v>2</v>
      </c>
      <c r="AM637" s="5">
        <v>3</v>
      </c>
      <c r="AN637" s="31">
        <v>0</v>
      </c>
    </row>
    <row r="638">
      <c r="A638" s="24">
        <v>4456</v>
      </c>
      <c r="B638" s="9" t="s">
        <v>883</v>
      </c>
      <c r="C638" s="9" t="s">
        <v>171</v>
      </c>
      <c r="D638" s="9" t="s">
        <v>172</v>
      </c>
      <c r="E638" s="9" t="s">
        <v>183</v>
      </c>
      <c r="F638" s="11">
        <v>2</v>
      </c>
      <c r="G638" s="12">
        <v>0</v>
      </c>
      <c r="H638" s="12">
        <v>0</v>
      </c>
      <c r="I638" s="10">
        <v>2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2">
        <v>0</v>
      </c>
      <c r="W638" s="12">
        <v>0</v>
      </c>
      <c r="X638" s="10">
        <v>2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30">
        <v>0</v>
      </c>
    </row>
    <row r="639">
      <c r="A639" s="23">
        <v>4457</v>
      </c>
      <c r="B639" s="4" t="s">
        <v>884</v>
      </c>
      <c r="C639" s="4" t="s">
        <v>171</v>
      </c>
      <c r="D639" s="4" t="s">
        <v>172</v>
      </c>
      <c r="E639" s="4" t="s">
        <v>183</v>
      </c>
      <c r="F639" s="6">
        <v>5</v>
      </c>
      <c r="G639" s="5">
        <v>1</v>
      </c>
      <c r="H639" s="7">
        <v>0</v>
      </c>
      <c r="I639" s="5">
        <v>1</v>
      </c>
      <c r="J639" s="5">
        <v>1</v>
      </c>
      <c r="K639" s="5">
        <v>1</v>
      </c>
      <c r="L639" s="7">
        <v>0</v>
      </c>
      <c r="M639" s="7">
        <v>0</v>
      </c>
      <c r="N639" s="5">
        <v>1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5</v>
      </c>
      <c r="V639" s="5">
        <v>1</v>
      </c>
      <c r="W639" s="7">
        <v>0</v>
      </c>
      <c r="X639" s="5">
        <v>1</v>
      </c>
      <c r="Y639" s="5">
        <v>1</v>
      </c>
      <c r="Z639" s="5">
        <v>1</v>
      </c>
      <c r="AA639" s="7">
        <v>0</v>
      </c>
      <c r="AB639" s="7">
        <v>0</v>
      </c>
      <c r="AC639" s="5">
        <v>1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1">
        <v>0</v>
      </c>
    </row>
    <row r="640">
      <c r="A640" s="24">
        <v>4458</v>
      </c>
      <c r="B640" s="9" t="s">
        <v>885</v>
      </c>
      <c r="C640" s="9" t="s">
        <v>64</v>
      </c>
      <c r="D640" s="9" t="s">
        <v>129</v>
      </c>
      <c r="E640" s="9" t="s">
        <v>130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4467</v>
      </c>
      <c r="B641" s="4" t="s">
        <v>886</v>
      </c>
      <c r="C641" s="4" t="s">
        <v>64</v>
      </c>
      <c r="D641" s="4" t="s">
        <v>110</v>
      </c>
      <c r="E641" s="4" t="s">
        <v>887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4469</v>
      </c>
      <c r="B642" s="9" t="s">
        <v>888</v>
      </c>
      <c r="C642" s="9" t="s">
        <v>64</v>
      </c>
      <c r="D642" s="9" t="s">
        <v>110</v>
      </c>
      <c r="E642" s="9" t="s">
        <v>111</v>
      </c>
      <c r="F642" s="11">
        <v>1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4472</v>
      </c>
      <c r="B643" s="4" t="s">
        <v>889</v>
      </c>
      <c r="C643" s="4" t="s">
        <v>64</v>
      </c>
      <c r="D643" s="4" t="s">
        <v>110</v>
      </c>
      <c r="E643" s="4" t="s">
        <v>887</v>
      </c>
      <c r="F643" s="6">
        <v>3</v>
      </c>
      <c r="G643" s="5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28">
        <v>0.6</v>
      </c>
    </row>
    <row r="644">
      <c r="A644" s="24">
        <v>4476</v>
      </c>
      <c r="B644" s="9" t="s">
        <v>890</v>
      </c>
      <c r="C644" s="9" t="s">
        <v>64</v>
      </c>
      <c r="D644" s="9" t="s">
        <v>76</v>
      </c>
      <c r="E644" s="9" t="s">
        <v>119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0.26</v>
      </c>
    </row>
    <row r="645">
      <c r="A645" s="23">
        <v>4477</v>
      </c>
      <c r="B645" s="4" t="s">
        <v>891</v>
      </c>
      <c r="C645" s="4" t="s">
        <v>141</v>
      </c>
      <c r="D645" s="4" t="s">
        <v>446</v>
      </c>
      <c r="E645" s="4" t="s">
        <v>447</v>
      </c>
      <c r="F645" s="6">
        <v>5</v>
      </c>
      <c r="G645" s="7">
        <v>0</v>
      </c>
      <c r="H645" s="5">
        <v>4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7">
        <v>0</v>
      </c>
      <c r="W645" s="5">
        <v>2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2.5</v>
      </c>
      <c r="AL645" s="5">
        <v>2</v>
      </c>
      <c r="AM645" s="5">
        <v>4</v>
      </c>
      <c r="AN645" s="28">
        <v>0.9</v>
      </c>
    </row>
    <row r="646">
      <c r="A646" s="24">
        <v>4478</v>
      </c>
      <c r="B646" s="9" t="s">
        <v>892</v>
      </c>
      <c r="C646" s="9" t="s">
        <v>602</v>
      </c>
      <c r="D646" s="9" t="s">
        <v>893</v>
      </c>
      <c r="E646" s="9" t="s">
        <v>361</v>
      </c>
      <c r="F646" s="11">
        <v>1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0.26</v>
      </c>
    </row>
    <row r="647">
      <c r="A647" s="23">
        <v>4484</v>
      </c>
      <c r="B647" s="4" t="s">
        <v>894</v>
      </c>
      <c r="C647" s="4" t="s">
        <v>171</v>
      </c>
      <c r="D647" s="4" t="s">
        <v>185</v>
      </c>
      <c r="E647" s="4" t="s">
        <v>192</v>
      </c>
      <c r="F647" s="6">
        <v>8</v>
      </c>
      <c r="G647" s="5">
        <v>1</v>
      </c>
      <c r="H647" s="7">
        <v>0</v>
      </c>
      <c r="I647" s="5">
        <v>4</v>
      </c>
      <c r="J647" s="5">
        <v>1</v>
      </c>
      <c r="K647" s="5">
        <v>2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8</v>
      </c>
      <c r="V647" s="5">
        <v>1</v>
      </c>
      <c r="W647" s="7">
        <v>0</v>
      </c>
      <c r="X647" s="5">
        <v>4</v>
      </c>
      <c r="Y647" s="5">
        <v>1</v>
      </c>
      <c r="Z647" s="5">
        <v>2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1</v>
      </c>
      <c r="AM647" s="5">
        <v>4</v>
      </c>
      <c r="AN647" s="31">
        <v>0</v>
      </c>
    </row>
    <row r="648">
      <c r="A648" s="24">
        <v>4490</v>
      </c>
      <c r="B648" s="9" t="s">
        <v>895</v>
      </c>
      <c r="C648" s="9" t="s">
        <v>64</v>
      </c>
      <c r="D648" s="9" t="s">
        <v>110</v>
      </c>
      <c r="E648" s="9" t="s">
        <v>111</v>
      </c>
      <c r="F648" s="11">
        <v>3</v>
      </c>
      <c r="G648" s="10">
        <v>1</v>
      </c>
      <c r="H648" s="12">
        <v>0</v>
      </c>
      <c r="I648" s="12">
        <v>0</v>
      </c>
      <c r="J648" s="12">
        <v>0</v>
      </c>
      <c r="K648" s="10">
        <v>2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0">
        <v>1</v>
      </c>
      <c r="W648" s="12">
        <v>0</v>
      </c>
      <c r="X648" s="12">
        <v>0</v>
      </c>
      <c r="Y648" s="12">
        <v>0</v>
      </c>
      <c r="Z648" s="10">
        <v>1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0.5</v>
      </c>
    </row>
    <row r="649">
      <c r="A649" s="23">
        <v>4501</v>
      </c>
      <c r="B649" s="4" t="s">
        <v>896</v>
      </c>
      <c r="C649" s="4" t="s">
        <v>602</v>
      </c>
      <c r="D649" s="4" t="s">
        <v>897</v>
      </c>
      <c r="E649" s="4" t="s">
        <v>361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4502</v>
      </c>
      <c r="B650" s="9" t="s">
        <v>898</v>
      </c>
      <c r="C650" s="9" t="s">
        <v>141</v>
      </c>
      <c r="D650" s="9" t="s">
        <v>412</v>
      </c>
      <c r="E650" s="9" t="s">
        <v>413</v>
      </c>
      <c r="F650" s="11">
        <v>2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0">
        <v>2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0">
        <v>0</v>
      </c>
    </row>
    <row r="651">
      <c r="A651" s="23">
        <v>4511</v>
      </c>
      <c r="B651" s="4" t="s">
        <v>899</v>
      </c>
      <c r="C651" s="4" t="s">
        <v>171</v>
      </c>
      <c r="D651" s="4" t="s">
        <v>172</v>
      </c>
      <c r="E651" s="4" t="s">
        <v>173</v>
      </c>
      <c r="F651" s="6">
        <v>4</v>
      </c>
      <c r="G651" s="7">
        <v>0</v>
      </c>
      <c r="H651" s="5">
        <v>3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7">
        <v>0</v>
      </c>
      <c r="W651" s="5">
        <v>2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0.75</v>
      </c>
    </row>
    <row r="652">
      <c r="A652" s="24">
        <v>4512</v>
      </c>
      <c r="B652" s="9" t="s">
        <v>900</v>
      </c>
      <c r="C652" s="9" t="s">
        <v>141</v>
      </c>
      <c r="D652" s="9" t="s">
        <v>480</v>
      </c>
      <c r="E652" s="9" t="s">
        <v>551</v>
      </c>
      <c r="F652" s="11">
        <v>10</v>
      </c>
      <c r="G652" s="12">
        <v>0</v>
      </c>
      <c r="H652" s="10">
        <v>1</v>
      </c>
      <c r="I652" s="10">
        <v>4</v>
      </c>
      <c r="J652" s="10">
        <v>1</v>
      </c>
      <c r="K652" s="12">
        <v>0</v>
      </c>
      <c r="L652" s="10">
        <v>2</v>
      </c>
      <c r="M652" s="12">
        <v>0</v>
      </c>
      <c r="N652" s="10">
        <v>2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9</v>
      </c>
      <c r="V652" s="12">
        <v>0</v>
      </c>
      <c r="W652" s="10">
        <v>1</v>
      </c>
      <c r="X652" s="10">
        <v>3</v>
      </c>
      <c r="Y652" s="10">
        <v>1</v>
      </c>
      <c r="Z652" s="12">
        <v>0</v>
      </c>
      <c r="AA652" s="10">
        <v>2</v>
      </c>
      <c r="AB652" s="12">
        <v>0</v>
      </c>
      <c r="AC652" s="10">
        <v>2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2</v>
      </c>
      <c r="AM652" s="10">
        <v>4</v>
      </c>
      <c r="AN652" s="29">
        <v>0.5</v>
      </c>
    </row>
    <row r="653">
      <c r="A653" s="23">
        <v>4522</v>
      </c>
      <c r="B653" s="4" t="s">
        <v>901</v>
      </c>
      <c r="C653" s="4" t="s">
        <v>602</v>
      </c>
      <c r="D653" s="4" t="s">
        <v>902</v>
      </c>
      <c r="E653" s="4" t="s">
        <v>361</v>
      </c>
      <c r="F653" s="6">
        <v>1</v>
      </c>
      <c r="G653" s="7">
        <v>0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0.26</v>
      </c>
    </row>
    <row r="654">
      <c r="A654" s="24">
        <v>4524</v>
      </c>
      <c r="B654" s="9" t="s">
        <v>903</v>
      </c>
      <c r="C654" s="9" t="s">
        <v>602</v>
      </c>
      <c r="D654" s="9" t="s">
        <v>609</v>
      </c>
      <c r="E654" s="9" t="s">
        <v>361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0.52</v>
      </c>
    </row>
    <row r="655">
      <c r="A655" s="23">
        <v>4529</v>
      </c>
      <c r="B655" s="4" t="s">
        <v>904</v>
      </c>
      <c r="C655" s="4" t="s">
        <v>64</v>
      </c>
      <c r="D655" s="4" t="s">
        <v>73</v>
      </c>
      <c r="E655" s="4" t="s">
        <v>325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31">
        <v>0</v>
      </c>
    </row>
    <row r="656">
      <c r="A656" s="24">
        <v>4544</v>
      </c>
      <c r="B656" s="9" t="s">
        <v>905</v>
      </c>
      <c r="C656" s="9" t="s">
        <v>602</v>
      </c>
      <c r="D656" s="9" t="s">
        <v>630</v>
      </c>
      <c r="E656" s="9" t="s">
        <v>361</v>
      </c>
      <c r="F656" s="11">
        <v>2</v>
      </c>
      <c r="G656" s="12">
        <v>0</v>
      </c>
      <c r="H656" s="12">
        <v>0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2">
        <v>0</v>
      </c>
      <c r="W656" s="12">
        <v>0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0.52</v>
      </c>
    </row>
    <row r="657">
      <c r="A657" s="23">
        <v>4554</v>
      </c>
      <c r="B657" s="4" t="s">
        <v>906</v>
      </c>
      <c r="C657" s="4" t="s">
        <v>141</v>
      </c>
      <c r="D657" s="4" t="s">
        <v>412</v>
      </c>
      <c r="E657" s="4" t="s">
        <v>413</v>
      </c>
      <c r="F657" s="6">
        <v>1</v>
      </c>
      <c r="G657" s="7">
        <v>0</v>
      </c>
      <c r="H657" s="5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5">
        <v>1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1">
        <v>0</v>
      </c>
    </row>
    <row r="658">
      <c r="A658" s="24">
        <v>4558</v>
      </c>
      <c r="B658" s="9" t="s">
        <v>907</v>
      </c>
      <c r="C658" s="9" t="s">
        <v>64</v>
      </c>
      <c r="D658" s="9" t="s">
        <v>110</v>
      </c>
      <c r="E658" s="9" t="s">
        <v>908</v>
      </c>
      <c r="F658" s="11">
        <v>2</v>
      </c>
      <c r="G658" s="10">
        <v>1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0">
        <v>1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4561</v>
      </c>
      <c r="B659" s="4" t="s">
        <v>909</v>
      </c>
      <c r="C659" s="4" t="s">
        <v>64</v>
      </c>
      <c r="D659" s="4" t="s">
        <v>129</v>
      </c>
      <c r="E659" s="4" t="s">
        <v>323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4564</v>
      </c>
      <c r="B660" s="9" t="s">
        <v>910</v>
      </c>
      <c r="C660" s="9" t="s">
        <v>613</v>
      </c>
      <c r="D660" s="9" t="s">
        <v>871</v>
      </c>
      <c r="E660" s="9" t="s">
        <v>872</v>
      </c>
      <c r="F660" s="11">
        <v>2</v>
      </c>
      <c r="G660" s="12">
        <v>0</v>
      </c>
      <c r="H660" s="10">
        <v>2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2</v>
      </c>
      <c r="V660" s="12">
        <v>0</v>
      </c>
      <c r="W660" s="10">
        <v>2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30">
        <v>0</v>
      </c>
    </row>
    <row r="661">
      <c r="A661" s="23">
        <v>4583</v>
      </c>
      <c r="B661" s="4" t="s">
        <v>911</v>
      </c>
      <c r="C661" s="4" t="s">
        <v>64</v>
      </c>
      <c r="D661" s="4" t="s">
        <v>110</v>
      </c>
      <c r="E661" s="4" t="s">
        <v>455</v>
      </c>
      <c r="F661" s="6">
        <v>3</v>
      </c>
      <c r="G661" s="5">
        <v>1</v>
      </c>
      <c r="H661" s="7">
        <v>0</v>
      </c>
      <c r="I661" s="7">
        <v>0</v>
      </c>
      <c r="J661" s="5">
        <v>1</v>
      </c>
      <c r="K661" s="5">
        <v>1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5">
        <v>1</v>
      </c>
      <c r="W661" s="7">
        <v>0</v>
      </c>
      <c r="X661" s="7">
        <v>0</v>
      </c>
      <c r="Y661" s="5">
        <v>1</v>
      </c>
      <c r="Z661" s="5">
        <v>1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0.65</v>
      </c>
    </row>
    <row r="662">
      <c r="A662" s="24">
        <v>4596</v>
      </c>
      <c r="B662" s="9" t="s">
        <v>912</v>
      </c>
      <c r="C662" s="9" t="s">
        <v>171</v>
      </c>
      <c r="D662" s="9" t="s">
        <v>172</v>
      </c>
      <c r="E662" s="9" t="s">
        <v>173</v>
      </c>
      <c r="F662" s="11">
        <v>2</v>
      </c>
      <c r="G662" s="12">
        <v>0</v>
      </c>
      <c r="H662" s="10">
        <v>1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0">
        <v>1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4604</v>
      </c>
      <c r="B663" s="4" t="s">
        <v>913</v>
      </c>
      <c r="C663" s="4" t="s">
        <v>64</v>
      </c>
      <c r="D663" s="4" t="s">
        <v>80</v>
      </c>
      <c r="E663" s="4" t="s">
        <v>135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0.26</v>
      </c>
    </row>
    <row r="664">
      <c r="A664" s="24">
        <v>4606</v>
      </c>
      <c r="B664" s="9" t="s">
        <v>914</v>
      </c>
      <c r="C664" s="9" t="s">
        <v>64</v>
      </c>
      <c r="D664" s="9" t="s">
        <v>73</v>
      </c>
      <c r="E664" s="9" t="s">
        <v>457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4618</v>
      </c>
      <c r="B665" s="4" t="s">
        <v>915</v>
      </c>
      <c r="C665" s="4" t="s">
        <v>64</v>
      </c>
      <c r="D665" s="4" t="s">
        <v>129</v>
      </c>
      <c r="E665" s="4" t="s">
        <v>702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4619</v>
      </c>
      <c r="B666" s="9" t="s">
        <v>916</v>
      </c>
      <c r="C666" s="9" t="s">
        <v>64</v>
      </c>
      <c r="D666" s="9" t="s">
        <v>129</v>
      </c>
      <c r="E666" s="9" t="s">
        <v>917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4622</v>
      </c>
      <c r="B667" s="4" t="s">
        <v>918</v>
      </c>
      <c r="C667" s="4" t="s">
        <v>686</v>
      </c>
      <c r="D667" s="4" t="s">
        <v>919</v>
      </c>
      <c r="E667" s="4" t="s">
        <v>361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0.26</v>
      </c>
    </row>
    <row r="668">
      <c r="A668" s="24">
        <v>4625</v>
      </c>
      <c r="B668" s="9" t="s">
        <v>920</v>
      </c>
      <c r="C668" s="9" t="s">
        <v>64</v>
      </c>
      <c r="D668" s="9" t="s">
        <v>110</v>
      </c>
      <c r="E668" s="9" t="s">
        <v>151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0.26</v>
      </c>
    </row>
    <row r="669">
      <c r="A669" s="23">
        <v>4627</v>
      </c>
      <c r="B669" s="4" t="s">
        <v>921</v>
      </c>
      <c r="C669" s="4" t="s">
        <v>64</v>
      </c>
      <c r="D669" s="4" t="s">
        <v>68</v>
      </c>
      <c r="E669" s="4" t="s">
        <v>71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0.26</v>
      </c>
    </row>
    <row r="670">
      <c r="A670" s="24">
        <v>4632</v>
      </c>
      <c r="B670" s="9" t="s">
        <v>922</v>
      </c>
      <c r="C670" s="9" t="s">
        <v>64</v>
      </c>
      <c r="D670" s="9" t="s">
        <v>80</v>
      </c>
      <c r="E670" s="9" t="s">
        <v>81</v>
      </c>
      <c r="F670" s="11">
        <v>4</v>
      </c>
      <c r="G670" s="10">
        <v>4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0">
        <v>4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0.48</v>
      </c>
    </row>
    <row r="671">
      <c r="A671" s="23">
        <v>4637</v>
      </c>
      <c r="B671" s="4" t="s">
        <v>923</v>
      </c>
      <c r="C671" s="4" t="s">
        <v>64</v>
      </c>
      <c r="D671" s="4" t="s">
        <v>132</v>
      </c>
      <c r="E671" s="4" t="s">
        <v>212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4648</v>
      </c>
      <c r="B672" s="9" t="s">
        <v>924</v>
      </c>
      <c r="C672" s="9" t="s">
        <v>64</v>
      </c>
      <c r="D672" s="9" t="s">
        <v>68</v>
      </c>
      <c r="E672" s="9" t="s">
        <v>71</v>
      </c>
      <c r="F672" s="11">
        <v>1</v>
      </c>
      <c r="G672" s="12">
        <v>0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0.24</v>
      </c>
    </row>
    <row r="673">
      <c r="A673" s="23">
        <v>4667</v>
      </c>
      <c r="B673" s="4" t="s">
        <v>925</v>
      </c>
      <c r="C673" s="4" t="s">
        <v>64</v>
      </c>
      <c r="D673" s="4" t="s">
        <v>80</v>
      </c>
      <c r="E673" s="4" t="s">
        <v>81</v>
      </c>
      <c r="F673" s="6">
        <v>1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0.26</v>
      </c>
    </row>
    <row r="674">
      <c r="A674" s="24">
        <v>4672</v>
      </c>
      <c r="B674" s="9" t="s">
        <v>926</v>
      </c>
      <c r="C674" s="9" t="s">
        <v>64</v>
      </c>
      <c r="D674" s="9" t="s">
        <v>103</v>
      </c>
      <c r="E674" s="9" t="s">
        <v>927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4674</v>
      </c>
      <c r="B675" s="4" t="s">
        <v>928</v>
      </c>
      <c r="C675" s="4" t="s">
        <v>64</v>
      </c>
      <c r="D675" s="4" t="s">
        <v>83</v>
      </c>
      <c r="E675" s="4" t="s">
        <v>84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0.26</v>
      </c>
    </row>
    <row r="676">
      <c r="A676" s="24">
        <v>4675</v>
      </c>
      <c r="B676" s="9" t="s">
        <v>929</v>
      </c>
      <c r="C676" s="9" t="s">
        <v>64</v>
      </c>
      <c r="D676" s="9" t="s">
        <v>91</v>
      </c>
      <c r="E676" s="9" t="s">
        <v>157</v>
      </c>
      <c r="F676" s="11">
        <v>2</v>
      </c>
      <c r="G676" s="10">
        <v>2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0">
        <v>2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30">
        <v>0</v>
      </c>
    </row>
    <row r="677">
      <c r="A677" s="23">
        <v>4684</v>
      </c>
      <c r="B677" s="4" t="s">
        <v>930</v>
      </c>
      <c r="C677" s="4" t="s">
        <v>64</v>
      </c>
      <c r="D677" s="4" t="s">
        <v>83</v>
      </c>
      <c r="E677" s="4" t="s">
        <v>139</v>
      </c>
      <c r="F677" s="6">
        <v>3</v>
      </c>
      <c r="G677" s="5">
        <v>1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1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0.5</v>
      </c>
    </row>
    <row r="678">
      <c r="A678" s="24">
        <v>4686</v>
      </c>
      <c r="B678" s="9" t="s">
        <v>931</v>
      </c>
      <c r="C678" s="9" t="s">
        <v>64</v>
      </c>
      <c r="D678" s="9" t="s">
        <v>83</v>
      </c>
      <c r="E678" s="9" t="s">
        <v>137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4687</v>
      </c>
      <c r="B679" s="4" t="s">
        <v>932</v>
      </c>
      <c r="C679" s="4" t="s">
        <v>64</v>
      </c>
      <c r="D679" s="4" t="s">
        <v>83</v>
      </c>
      <c r="E679" s="4" t="s">
        <v>137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4695</v>
      </c>
      <c r="B680" s="9" t="s">
        <v>933</v>
      </c>
      <c r="C680" s="9" t="s">
        <v>64</v>
      </c>
      <c r="D680" s="9" t="s">
        <v>132</v>
      </c>
      <c r="E680" s="9" t="s">
        <v>133</v>
      </c>
      <c r="F680" s="11">
        <v>4</v>
      </c>
      <c r="G680" s="10">
        <v>2</v>
      </c>
      <c r="H680" s="12">
        <v>0</v>
      </c>
      <c r="I680" s="10">
        <v>1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4</v>
      </c>
      <c r="V680" s="10">
        <v>2</v>
      </c>
      <c r="W680" s="12">
        <v>0</v>
      </c>
      <c r="X680" s="10">
        <v>1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1.33</v>
      </c>
      <c r="AL680" s="10">
        <v>1</v>
      </c>
      <c r="AM680" s="10">
        <v>2</v>
      </c>
      <c r="AN680" s="29">
        <v>0.96</v>
      </c>
    </row>
    <row r="681">
      <c r="A681" s="23">
        <v>4707</v>
      </c>
      <c r="B681" s="4" t="s">
        <v>934</v>
      </c>
      <c r="C681" s="4" t="s">
        <v>64</v>
      </c>
      <c r="D681" s="4" t="s">
        <v>91</v>
      </c>
      <c r="E681" s="4" t="s">
        <v>157</v>
      </c>
      <c r="F681" s="6">
        <v>2</v>
      </c>
      <c r="G681" s="7">
        <v>0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0.24</v>
      </c>
    </row>
    <row r="682">
      <c r="A682" s="24">
        <v>4709</v>
      </c>
      <c r="B682" s="9" t="s">
        <v>935</v>
      </c>
      <c r="C682" s="9" t="s">
        <v>64</v>
      </c>
      <c r="D682" s="9" t="s">
        <v>91</v>
      </c>
      <c r="E682" s="9" t="s">
        <v>157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4712</v>
      </c>
      <c r="B683" s="4" t="s">
        <v>936</v>
      </c>
      <c r="C683" s="4" t="s">
        <v>64</v>
      </c>
      <c r="D683" s="4" t="s">
        <v>80</v>
      </c>
      <c r="E683" s="4" t="s">
        <v>86</v>
      </c>
      <c r="F683" s="6">
        <v>3</v>
      </c>
      <c r="G683" s="7">
        <v>0</v>
      </c>
      <c r="H683" s="5">
        <v>2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5">
        <v>1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31">
        <v>0</v>
      </c>
    </row>
    <row r="684">
      <c r="A684" s="24">
        <v>4715</v>
      </c>
      <c r="B684" s="9" t="s">
        <v>937</v>
      </c>
      <c r="C684" s="9" t="s">
        <v>64</v>
      </c>
      <c r="D684" s="9" t="s">
        <v>132</v>
      </c>
      <c r="E684" s="9" t="s">
        <v>133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4716</v>
      </c>
      <c r="B685" s="4" t="s">
        <v>938</v>
      </c>
      <c r="C685" s="4" t="s">
        <v>64</v>
      </c>
      <c r="D685" s="4" t="s">
        <v>110</v>
      </c>
      <c r="E685" s="4" t="s">
        <v>121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4735</v>
      </c>
      <c r="B686" s="9" t="s">
        <v>939</v>
      </c>
      <c r="C686" s="9" t="s">
        <v>64</v>
      </c>
      <c r="D686" s="9" t="s">
        <v>83</v>
      </c>
      <c r="E686" s="9" t="s">
        <v>207</v>
      </c>
      <c r="F686" s="11">
        <v>3</v>
      </c>
      <c r="G686" s="12">
        <v>0</v>
      </c>
      <c r="H686" s="12">
        <v>0</v>
      </c>
      <c r="I686" s="10">
        <v>1</v>
      </c>
      <c r="J686" s="12">
        <v>0</v>
      </c>
      <c r="K686" s="10">
        <v>2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3</v>
      </c>
      <c r="V686" s="12">
        <v>0</v>
      </c>
      <c r="W686" s="12">
        <v>0</v>
      </c>
      <c r="X686" s="10">
        <v>1</v>
      </c>
      <c r="Y686" s="12">
        <v>0</v>
      </c>
      <c r="Z686" s="10">
        <v>2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30">
        <v>0</v>
      </c>
    </row>
    <row r="687">
      <c r="A687" s="23">
        <v>4744</v>
      </c>
      <c r="B687" s="4" t="s">
        <v>940</v>
      </c>
      <c r="C687" s="4" t="s">
        <v>141</v>
      </c>
      <c r="D687" s="4" t="s">
        <v>142</v>
      </c>
      <c r="E687" s="4" t="s">
        <v>689</v>
      </c>
      <c r="F687" s="6">
        <v>2</v>
      </c>
      <c r="G687" s="7">
        <v>0</v>
      </c>
      <c r="H687" s="5">
        <v>1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7">
        <v>0</v>
      </c>
      <c r="W687" s="5">
        <v>1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0.22</v>
      </c>
    </row>
    <row r="688">
      <c r="A688" s="24">
        <v>4745</v>
      </c>
      <c r="B688" s="9" t="s">
        <v>941</v>
      </c>
      <c r="C688" s="9" t="s">
        <v>141</v>
      </c>
      <c r="D688" s="9" t="s">
        <v>412</v>
      </c>
      <c r="E688" s="9" t="s">
        <v>413</v>
      </c>
      <c r="F688" s="11">
        <v>2</v>
      </c>
      <c r="G688" s="12">
        <v>0</v>
      </c>
      <c r="H688" s="12">
        <v>0</v>
      </c>
      <c r="I688" s="10">
        <v>2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2">
        <v>0</v>
      </c>
      <c r="W688" s="12">
        <v>0</v>
      </c>
      <c r="X688" s="10">
        <v>2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0">
        <v>0</v>
      </c>
    </row>
    <row r="689">
      <c r="A689" s="23">
        <v>4758</v>
      </c>
      <c r="B689" s="4" t="s">
        <v>942</v>
      </c>
      <c r="C689" s="4" t="s">
        <v>64</v>
      </c>
      <c r="D689" s="4" t="s">
        <v>80</v>
      </c>
      <c r="E689" s="4" t="s">
        <v>81</v>
      </c>
      <c r="F689" s="6">
        <v>2</v>
      </c>
      <c r="G689" s="7">
        <v>0</v>
      </c>
      <c r="H689" s="5">
        <v>1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7">
        <v>0</v>
      </c>
      <c r="W689" s="5">
        <v>1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4759</v>
      </c>
      <c r="B690" s="9" t="s">
        <v>943</v>
      </c>
      <c r="C690" s="9" t="s">
        <v>64</v>
      </c>
      <c r="D690" s="9" t="s">
        <v>73</v>
      </c>
      <c r="E690" s="9" t="s">
        <v>457</v>
      </c>
      <c r="F690" s="11">
        <v>5</v>
      </c>
      <c r="G690" s="10">
        <v>5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5</v>
      </c>
      <c r="V690" s="10">
        <v>5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5</v>
      </c>
      <c r="AK690" s="13">
        <v>5</v>
      </c>
      <c r="AL690" s="10">
        <v>5</v>
      </c>
      <c r="AM690" s="10">
        <v>5</v>
      </c>
      <c r="AN690" s="30">
        <v>0</v>
      </c>
    </row>
    <row r="691">
      <c r="A691" s="23">
        <v>4765</v>
      </c>
      <c r="B691" s="4" t="s">
        <v>944</v>
      </c>
      <c r="C691" s="4" t="s">
        <v>64</v>
      </c>
      <c r="D691" s="4" t="s">
        <v>80</v>
      </c>
      <c r="E691" s="4" t="s">
        <v>86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0.26</v>
      </c>
    </row>
    <row r="692">
      <c r="A692" s="24">
        <v>4770</v>
      </c>
      <c r="B692" s="9" t="s">
        <v>945</v>
      </c>
      <c r="C692" s="9" t="s">
        <v>64</v>
      </c>
      <c r="D692" s="9" t="s">
        <v>80</v>
      </c>
      <c r="E692" s="9" t="s">
        <v>135</v>
      </c>
      <c r="F692" s="11">
        <v>4</v>
      </c>
      <c r="G692" s="10">
        <v>3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0">
        <v>3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30">
        <v>0</v>
      </c>
    </row>
    <row r="693">
      <c r="A693" s="23">
        <v>4781</v>
      </c>
      <c r="B693" s="4" t="s">
        <v>946</v>
      </c>
      <c r="C693" s="4" t="s">
        <v>171</v>
      </c>
      <c r="D693" s="4" t="s">
        <v>172</v>
      </c>
      <c r="E693" s="4" t="s">
        <v>173</v>
      </c>
      <c r="F693" s="6">
        <v>1</v>
      </c>
      <c r="G693" s="7">
        <v>0</v>
      </c>
      <c r="H693" s="7">
        <v>0</v>
      </c>
      <c r="I693" s="7">
        <v>0</v>
      </c>
      <c r="J693" s="7">
        <v>0</v>
      </c>
      <c r="K693" s="5">
        <v>1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7">
        <v>0</v>
      </c>
      <c r="Y693" s="7">
        <v>0</v>
      </c>
      <c r="Z693" s="5">
        <v>1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1">
        <v>0</v>
      </c>
    </row>
    <row r="694">
      <c r="A694" s="24">
        <v>4785</v>
      </c>
      <c r="B694" s="9" t="s">
        <v>947</v>
      </c>
      <c r="C694" s="9" t="s">
        <v>674</v>
      </c>
      <c r="D694" s="9" t="s">
        <v>675</v>
      </c>
      <c r="E694" s="9" t="s">
        <v>948</v>
      </c>
      <c r="F694" s="11">
        <v>2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4791</v>
      </c>
      <c r="B695" s="4" t="s">
        <v>949</v>
      </c>
      <c r="C695" s="4" t="s">
        <v>64</v>
      </c>
      <c r="D695" s="4" t="s">
        <v>80</v>
      </c>
      <c r="E695" s="4" t="s">
        <v>429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4792</v>
      </c>
      <c r="B696" s="9" t="s">
        <v>950</v>
      </c>
      <c r="C696" s="9" t="s">
        <v>64</v>
      </c>
      <c r="D696" s="9" t="s">
        <v>80</v>
      </c>
      <c r="E696" s="9" t="s">
        <v>429</v>
      </c>
      <c r="F696" s="11">
        <v>3</v>
      </c>
      <c r="G696" s="10">
        <v>2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3</v>
      </c>
      <c r="V696" s="10">
        <v>2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30">
        <v>0</v>
      </c>
    </row>
    <row r="697">
      <c r="A697" s="23">
        <v>4807</v>
      </c>
      <c r="B697" s="4" t="s">
        <v>951</v>
      </c>
      <c r="C697" s="4" t="s">
        <v>64</v>
      </c>
      <c r="D697" s="4" t="s">
        <v>132</v>
      </c>
      <c r="E697" s="4" t="s">
        <v>212</v>
      </c>
      <c r="F697" s="6">
        <v>3</v>
      </c>
      <c r="G697" s="5">
        <v>2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0.5</v>
      </c>
    </row>
    <row r="698">
      <c r="A698" s="24">
        <v>4808</v>
      </c>
      <c r="B698" s="9" t="s">
        <v>952</v>
      </c>
      <c r="C698" s="9" t="s">
        <v>64</v>
      </c>
      <c r="D698" s="9" t="s">
        <v>132</v>
      </c>
      <c r="E698" s="9" t="s">
        <v>133</v>
      </c>
      <c r="F698" s="11">
        <v>4</v>
      </c>
      <c r="G698" s="10">
        <v>2</v>
      </c>
      <c r="H698" s="12">
        <v>0</v>
      </c>
      <c r="I698" s="10">
        <v>2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2</v>
      </c>
      <c r="W698" s="12">
        <v>0</v>
      </c>
      <c r="X698" s="10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1.33</v>
      </c>
      <c r="AL698" s="10">
        <v>1</v>
      </c>
      <c r="AM698" s="10">
        <v>2</v>
      </c>
      <c r="AN698" s="29">
        <v>0.5</v>
      </c>
    </row>
    <row r="699">
      <c r="A699" s="23">
        <v>4811</v>
      </c>
      <c r="B699" s="4" t="s">
        <v>953</v>
      </c>
      <c r="C699" s="4" t="s">
        <v>64</v>
      </c>
      <c r="D699" s="4" t="s">
        <v>132</v>
      </c>
      <c r="E699" s="4" t="s">
        <v>227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0.22</v>
      </c>
    </row>
    <row r="700">
      <c r="A700" s="24">
        <v>4821</v>
      </c>
      <c r="B700" s="9" t="s">
        <v>954</v>
      </c>
      <c r="C700" s="9" t="s">
        <v>64</v>
      </c>
      <c r="D700" s="9" t="s">
        <v>110</v>
      </c>
      <c r="E700" s="9" t="s">
        <v>151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4823</v>
      </c>
      <c r="B701" s="4" t="s">
        <v>955</v>
      </c>
      <c r="C701" s="4" t="s">
        <v>64</v>
      </c>
      <c r="D701" s="4" t="s">
        <v>80</v>
      </c>
      <c r="E701" s="4" t="s">
        <v>86</v>
      </c>
      <c r="F701" s="6">
        <v>3</v>
      </c>
      <c r="G701" s="5">
        <v>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0.65</v>
      </c>
    </row>
    <row r="702">
      <c r="A702" s="24">
        <v>4833</v>
      </c>
      <c r="B702" s="9" t="s">
        <v>956</v>
      </c>
      <c r="C702" s="9" t="s">
        <v>64</v>
      </c>
      <c r="D702" s="9" t="s">
        <v>132</v>
      </c>
      <c r="E702" s="9" t="s">
        <v>133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4834</v>
      </c>
      <c r="B703" s="4" t="s">
        <v>957</v>
      </c>
      <c r="C703" s="4" t="s">
        <v>64</v>
      </c>
      <c r="D703" s="4" t="s">
        <v>132</v>
      </c>
      <c r="E703" s="4" t="s">
        <v>202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4835</v>
      </c>
      <c r="B704" s="9" t="s">
        <v>958</v>
      </c>
      <c r="C704" s="9" t="s">
        <v>64</v>
      </c>
      <c r="D704" s="9" t="s">
        <v>129</v>
      </c>
      <c r="E704" s="9" t="s">
        <v>757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4836</v>
      </c>
      <c r="B705" s="4" t="s">
        <v>959</v>
      </c>
      <c r="C705" s="4" t="s">
        <v>64</v>
      </c>
      <c r="D705" s="4" t="s">
        <v>132</v>
      </c>
      <c r="E705" s="4" t="s">
        <v>227</v>
      </c>
      <c r="F705" s="6">
        <v>3</v>
      </c>
      <c r="G705" s="5">
        <v>1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1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0.5</v>
      </c>
    </row>
    <row r="706">
      <c r="A706" s="24">
        <v>4840</v>
      </c>
      <c r="B706" s="9" t="s">
        <v>960</v>
      </c>
      <c r="C706" s="9" t="s">
        <v>64</v>
      </c>
      <c r="D706" s="9" t="s">
        <v>110</v>
      </c>
      <c r="E706" s="9" t="s">
        <v>682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0.26</v>
      </c>
    </row>
    <row r="707">
      <c r="A707" s="23">
        <v>4842</v>
      </c>
      <c r="B707" s="4" t="s">
        <v>961</v>
      </c>
      <c r="C707" s="4" t="s">
        <v>64</v>
      </c>
      <c r="D707" s="4" t="s">
        <v>76</v>
      </c>
      <c r="E707" s="4" t="s">
        <v>878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0.26</v>
      </c>
    </row>
    <row r="708">
      <c r="A708" s="24">
        <v>4845</v>
      </c>
      <c r="B708" s="9" t="s">
        <v>962</v>
      </c>
      <c r="C708" s="9" t="s">
        <v>64</v>
      </c>
      <c r="D708" s="9" t="s">
        <v>110</v>
      </c>
      <c r="E708" s="9" t="s">
        <v>151</v>
      </c>
      <c r="F708" s="11">
        <v>2</v>
      </c>
      <c r="G708" s="10">
        <v>1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1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4851</v>
      </c>
      <c r="B709" s="4" t="s">
        <v>963</v>
      </c>
      <c r="C709" s="4" t="s">
        <v>64</v>
      </c>
      <c r="D709" s="4" t="s">
        <v>107</v>
      </c>
      <c r="E709" s="4" t="s">
        <v>113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0.24</v>
      </c>
    </row>
    <row r="710">
      <c r="A710" s="24">
        <v>4852</v>
      </c>
      <c r="B710" s="9" t="s">
        <v>964</v>
      </c>
      <c r="C710" s="9" t="s">
        <v>64</v>
      </c>
      <c r="D710" s="9" t="s">
        <v>68</v>
      </c>
      <c r="E710" s="9" t="s">
        <v>245</v>
      </c>
      <c r="F710" s="11">
        <v>2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4859</v>
      </c>
      <c r="B711" s="4" t="s">
        <v>965</v>
      </c>
      <c r="C711" s="4" t="s">
        <v>64</v>
      </c>
      <c r="D711" s="4" t="s">
        <v>110</v>
      </c>
      <c r="E711" s="4" t="s">
        <v>151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0.37</v>
      </c>
    </row>
    <row r="712">
      <c r="A712" s="24">
        <v>4862</v>
      </c>
      <c r="B712" s="9" t="s">
        <v>966</v>
      </c>
      <c r="C712" s="9" t="s">
        <v>64</v>
      </c>
      <c r="D712" s="9" t="s">
        <v>110</v>
      </c>
      <c r="E712" s="9" t="s">
        <v>151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4864</v>
      </c>
      <c r="B713" s="4" t="s">
        <v>967</v>
      </c>
      <c r="C713" s="4" t="s">
        <v>64</v>
      </c>
      <c r="D713" s="4" t="s">
        <v>132</v>
      </c>
      <c r="E713" s="4" t="s">
        <v>212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4868</v>
      </c>
      <c r="B714" s="9" t="s">
        <v>968</v>
      </c>
      <c r="C714" s="9" t="s">
        <v>64</v>
      </c>
      <c r="D714" s="9" t="s">
        <v>110</v>
      </c>
      <c r="E714" s="9" t="s">
        <v>111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4869</v>
      </c>
      <c r="B715" s="4" t="s">
        <v>969</v>
      </c>
      <c r="C715" s="4" t="s">
        <v>64</v>
      </c>
      <c r="D715" s="4" t="s">
        <v>132</v>
      </c>
      <c r="E715" s="4" t="s">
        <v>227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4871</v>
      </c>
      <c r="B716" s="9" t="s">
        <v>970</v>
      </c>
      <c r="C716" s="9" t="s">
        <v>64</v>
      </c>
      <c r="D716" s="9" t="s">
        <v>80</v>
      </c>
      <c r="E716" s="9" t="s">
        <v>86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4875</v>
      </c>
      <c r="B717" s="4" t="s">
        <v>971</v>
      </c>
      <c r="C717" s="4" t="s">
        <v>64</v>
      </c>
      <c r="D717" s="4" t="s">
        <v>83</v>
      </c>
      <c r="E717" s="4" t="s">
        <v>84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4876</v>
      </c>
      <c r="B718" s="9" t="s">
        <v>972</v>
      </c>
      <c r="C718" s="9" t="s">
        <v>64</v>
      </c>
      <c r="D718" s="9" t="s">
        <v>110</v>
      </c>
      <c r="E718" s="9" t="s">
        <v>111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0.24</v>
      </c>
    </row>
    <row r="719">
      <c r="A719" s="23">
        <v>4880</v>
      </c>
      <c r="B719" s="4" t="s">
        <v>973</v>
      </c>
      <c r="C719" s="4" t="s">
        <v>64</v>
      </c>
      <c r="D719" s="4" t="s">
        <v>132</v>
      </c>
      <c r="E719" s="4" t="s">
        <v>133</v>
      </c>
      <c r="F719" s="6">
        <v>1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1">
        <v>0</v>
      </c>
    </row>
    <row r="720">
      <c r="A720" s="24">
        <v>4885</v>
      </c>
      <c r="B720" s="9" t="s">
        <v>974</v>
      </c>
      <c r="C720" s="9" t="s">
        <v>64</v>
      </c>
      <c r="D720" s="9" t="s">
        <v>80</v>
      </c>
      <c r="E720" s="9" t="s">
        <v>135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4901</v>
      </c>
      <c r="B721" s="4" t="s">
        <v>975</v>
      </c>
      <c r="C721" s="4" t="s">
        <v>64</v>
      </c>
      <c r="D721" s="4" t="s">
        <v>73</v>
      </c>
      <c r="E721" s="4" t="s">
        <v>96</v>
      </c>
      <c r="F721" s="6">
        <v>4</v>
      </c>
      <c r="G721" s="5">
        <v>3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4</v>
      </c>
      <c r="V721" s="5">
        <v>3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1.33</v>
      </c>
      <c r="AL721" s="5">
        <v>1</v>
      </c>
      <c r="AM721" s="5">
        <v>2</v>
      </c>
      <c r="AN721" s="28">
        <v>0.6</v>
      </c>
    </row>
    <row r="722">
      <c r="A722" s="24">
        <v>4906</v>
      </c>
      <c r="B722" s="9" t="s">
        <v>976</v>
      </c>
      <c r="C722" s="9" t="s">
        <v>64</v>
      </c>
      <c r="D722" s="9" t="s">
        <v>80</v>
      </c>
      <c r="E722" s="9" t="s">
        <v>429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4909</v>
      </c>
      <c r="B723" s="4" t="s">
        <v>977</v>
      </c>
      <c r="C723" s="4" t="s">
        <v>64</v>
      </c>
      <c r="D723" s="4" t="s">
        <v>68</v>
      </c>
      <c r="E723" s="4" t="s">
        <v>71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0.24</v>
      </c>
    </row>
    <row r="724">
      <c r="A724" s="24">
        <v>4913</v>
      </c>
      <c r="B724" s="9" t="s">
        <v>978</v>
      </c>
      <c r="C724" s="9" t="s">
        <v>64</v>
      </c>
      <c r="D724" s="9" t="s">
        <v>76</v>
      </c>
      <c r="E724" s="9" t="s">
        <v>125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0.5</v>
      </c>
    </row>
    <row r="725">
      <c r="A725" s="23">
        <v>4915</v>
      </c>
      <c r="B725" s="4" t="s">
        <v>979</v>
      </c>
      <c r="C725" s="4" t="s">
        <v>64</v>
      </c>
      <c r="D725" s="4" t="s">
        <v>65</v>
      </c>
      <c r="E725" s="4" t="s">
        <v>427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1">
        <v>0</v>
      </c>
    </row>
    <row r="726">
      <c r="A726" s="24">
        <v>4920</v>
      </c>
      <c r="B726" s="9" t="s">
        <v>980</v>
      </c>
      <c r="C726" s="9" t="s">
        <v>64</v>
      </c>
      <c r="D726" s="9" t="s">
        <v>83</v>
      </c>
      <c r="E726" s="9" t="s">
        <v>84</v>
      </c>
      <c r="F726" s="11">
        <v>3</v>
      </c>
      <c r="G726" s="10">
        <v>2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30">
        <v>0</v>
      </c>
    </row>
    <row r="727">
      <c r="A727" s="23">
        <v>4938</v>
      </c>
      <c r="B727" s="4" t="s">
        <v>981</v>
      </c>
      <c r="C727" s="4" t="s">
        <v>64</v>
      </c>
      <c r="D727" s="4" t="s">
        <v>68</v>
      </c>
      <c r="E727" s="4" t="s">
        <v>69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4942</v>
      </c>
      <c r="B728" s="9" t="s">
        <v>982</v>
      </c>
      <c r="C728" s="9" t="s">
        <v>64</v>
      </c>
      <c r="D728" s="9" t="s">
        <v>132</v>
      </c>
      <c r="E728" s="9" t="s">
        <v>133</v>
      </c>
      <c r="F728" s="11">
        <v>1</v>
      </c>
      <c r="G728" s="12">
        <v>0</v>
      </c>
      <c r="H728" s="10">
        <v>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0">
        <v>1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4944</v>
      </c>
      <c r="B729" s="4" t="s">
        <v>983</v>
      </c>
      <c r="C729" s="4" t="s">
        <v>64</v>
      </c>
      <c r="D729" s="4" t="s">
        <v>132</v>
      </c>
      <c r="E729" s="4" t="s">
        <v>202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1">
        <v>0</v>
      </c>
    </row>
    <row r="730">
      <c r="A730" s="24">
        <v>4945</v>
      </c>
      <c r="B730" s="9" t="s">
        <v>984</v>
      </c>
      <c r="C730" s="9" t="s">
        <v>64</v>
      </c>
      <c r="D730" s="9" t="s">
        <v>91</v>
      </c>
      <c r="E730" s="9" t="s">
        <v>157</v>
      </c>
      <c r="F730" s="11">
        <v>2</v>
      </c>
      <c r="G730" s="12">
        <v>0</v>
      </c>
      <c r="H730" s="12">
        <v>0</v>
      </c>
      <c r="I730" s="10">
        <v>1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2">
        <v>0</v>
      </c>
      <c r="W730" s="12">
        <v>0</v>
      </c>
      <c r="X730" s="10">
        <v>1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4952</v>
      </c>
      <c r="B731" s="4" t="s">
        <v>985</v>
      </c>
      <c r="C731" s="4" t="s">
        <v>602</v>
      </c>
      <c r="D731" s="4" t="s">
        <v>603</v>
      </c>
      <c r="E731" s="4" t="s">
        <v>361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0.26</v>
      </c>
    </row>
    <row r="732">
      <c r="A732" s="24">
        <v>4955</v>
      </c>
      <c r="B732" s="9" t="s">
        <v>986</v>
      </c>
      <c r="C732" s="9" t="s">
        <v>64</v>
      </c>
      <c r="D732" s="9" t="s">
        <v>110</v>
      </c>
      <c r="E732" s="9" t="s">
        <v>455</v>
      </c>
      <c r="F732" s="11">
        <v>13</v>
      </c>
      <c r="G732" s="10">
        <v>5</v>
      </c>
      <c r="H732" s="12">
        <v>0</v>
      </c>
      <c r="I732" s="10">
        <v>5</v>
      </c>
      <c r="J732" s="12">
        <v>0</v>
      </c>
      <c r="K732" s="10">
        <v>2</v>
      </c>
      <c r="L732" s="10">
        <v>1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11</v>
      </c>
      <c r="V732" s="10">
        <v>4</v>
      </c>
      <c r="W732" s="12">
        <v>0</v>
      </c>
      <c r="X732" s="10">
        <v>4</v>
      </c>
      <c r="Y732" s="12">
        <v>0</v>
      </c>
      <c r="Z732" s="10">
        <v>2</v>
      </c>
      <c r="AA732" s="10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2.6</v>
      </c>
      <c r="AL732" s="10">
        <v>2</v>
      </c>
      <c r="AM732" s="10">
        <v>5</v>
      </c>
      <c r="AN732" s="30">
        <v>0</v>
      </c>
    </row>
    <row r="733">
      <c r="A733" s="23">
        <v>4957</v>
      </c>
      <c r="B733" s="4" t="s">
        <v>987</v>
      </c>
      <c r="C733" s="4" t="s">
        <v>64</v>
      </c>
      <c r="D733" s="4" t="s">
        <v>80</v>
      </c>
      <c r="E733" s="4" t="s">
        <v>135</v>
      </c>
      <c r="F733" s="6">
        <v>2</v>
      </c>
      <c r="G733" s="5">
        <v>1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1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0.5</v>
      </c>
    </row>
    <row r="734">
      <c r="A734" s="24">
        <v>4959</v>
      </c>
      <c r="B734" s="9" t="s">
        <v>988</v>
      </c>
      <c r="C734" s="9" t="s">
        <v>64</v>
      </c>
      <c r="D734" s="9" t="s">
        <v>80</v>
      </c>
      <c r="E734" s="9" t="s">
        <v>429</v>
      </c>
      <c r="F734" s="11">
        <v>2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0">
        <v>1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0">
        <v>1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0.5</v>
      </c>
    </row>
    <row r="735">
      <c r="A735" s="23">
        <v>4962</v>
      </c>
      <c r="B735" s="4" t="s">
        <v>989</v>
      </c>
      <c r="C735" s="4" t="s">
        <v>64</v>
      </c>
      <c r="D735" s="4" t="s">
        <v>76</v>
      </c>
      <c r="E735" s="4" t="s">
        <v>271</v>
      </c>
      <c r="F735" s="6">
        <v>1</v>
      </c>
      <c r="G735" s="7">
        <v>0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4964</v>
      </c>
      <c r="B736" s="9" t="s">
        <v>990</v>
      </c>
      <c r="C736" s="9" t="s">
        <v>64</v>
      </c>
      <c r="D736" s="9" t="s">
        <v>68</v>
      </c>
      <c r="E736" s="9" t="s">
        <v>340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0.22</v>
      </c>
    </row>
    <row r="737">
      <c r="A737" s="23">
        <v>4966</v>
      </c>
      <c r="B737" s="4" t="s">
        <v>991</v>
      </c>
      <c r="C737" s="4" t="s">
        <v>64</v>
      </c>
      <c r="D737" s="4" t="s">
        <v>132</v>
      </c>
      <c r="E737" s="4" t="s">
        <v>212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0.26</v>
      </c>
    </row>
    <row r="738">
      <c r="A738" s="24">
        <v>4968</v>
      </c>
      <c r="B738" s="9" t="s">
        <v>992</v>
      </c>
      <c r="C738" s="9" t="s">
        <v>64</v>
      </c>
      <c r="D738" s="9" t="s">
        <v>132</v>
      </c>
      <c r="E738" s="9" t="s">
        <v>227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4969</v>
      </c>
      <c r="B739" s="4" t="s">
        <v>993</v>
      </c>
      <c r="C739" s="4" t="s">
        <v>64</v>
      </c>
      <c r="D739" s="4" t="s">
        <v>110</v>
      </c>
      <c r="E739" s="4" t="s">
        <v>151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4975</v>
      </c>
      <c r="B740" s="9" t="s">
        <v>994</v>
      </c>
      <c r="C740" s="9" t="s">
        <v>64</v>
      </c>
      <c r="D740" s="9" t="s">
        <v>83</v>
      </c>
      <c r="E740" s="9" t="s">
        <v>84</v>
      </c>
      <c r="F740" s="11">
        <v>4</v>
      </c>
      <c r="G740" s="10">
        <v>3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3</v>
      </c>
      <c r="V740" s="10">
        <v>2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2</v>
      </c>
      <c r="AM740" s="10">
        <v>3</v>
      </c>
      <c r="AN740" s="29">
        <v>0.25</v>
      </c>
    </row>
    <row r="741">
      <c r="A741" s="23">
        <v>4979</v>
      </c>
      <c r="B741" s="4" t="s">
        <v>995</v>
      </c>
      <c r="C741" s="4" t="s">
        <v>64</v>
      </c>
      <c r="D741" s="4" t="s">
        <v>83</v>
      </c>
      <c r="E741" s="4" t="s">
        <v>84</v>
      </c>
      <c r="F741" s="6">
        <v>2</v>
      </c>
      <c r="G741" s="5">
        <v>1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1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1">
        <v>0</v>
      </c>
    </row>
    <row r="742">
      <c r="A742" s="24">
        <v>4983</v>
      </c>
      <c r="B742" s="9" t="s">
        <v>996</v>
      </c>
      <c r="C742" s="9" t="s">
        <v>64</v>
      </c>
      <c r="D742" s="9" t="s">
        <v>132</v>
      </c>
      <c r="E742" s="9" t="s">
        <v>133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4986</v>
      </c>
      <c r="B743" s="4" t="s">
        <v>997</v>
      </c>
      <c r="C743" s="4" t="s">
        <v>64</v>
      </c>
      <c r="D743" s="4" t="s">
        <v>73</v>
      </c>
      <c r="E743" s="4" t="s">
        <v>96</v>
      </c>
      <c r="F743" s="6">
        <v>4</v>
      </c>
      <c r="G743" s="5">
        <v>3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4</v>
      </c>
      <c r="V743" s="5">
        <v>3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1.33</v>
      </c>
      <c r="AL743" s="5">
        <v>1</v>
      </c>
      <c r="AM743" s="5">
        <v>2</v>
      </c>
      <c r="AN743" s="28">
        <v>0.99</v>
      </c>
    </row>
    <row r="744">
      <c r="A744" s="24">
        <v>4988</v>
      </c>
      <c r="B744" s="9" t="s">
        <v>998</v>
      </c>
      <c r="C744" s="9" t="s">
        <v>64</v>
      </c>
      <c r="D744" s="9" t="s">
        <v>80</v>
      </c>
      <c r="E744" s="9" t="s">
        <v>81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4999</v>
      </c>
      <c r="B745" s="4" t="s">
        <v>999</v>
      </c>
      <c r="C745" s="4" t="s">
        <v>64</v>
      </c>
      <c r="D745" s="4" t="s">
        <v>91</v>
      </c>
      <c r="E745" s="4" t="s">
        <v>157</v>
      </c>
      <c r="F745" s="6">
        <v>1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5007</v>
      </c>
      <c r="B746" s="9" t="s">
        <v>1000</v>
      </c>
      <c r="C746" s="9" t="s">
        <v>64</v>
      </c>
      <c r="D746" s="9" t="s">
        <v>83</v>
      </c>
      <c r="E746" s="9" t="s">
        <v>98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5016</v>
      </c>
      <c r="B747" s="4" t="s">
        <v>1001</v>
      </c>
      <c r="C747" s="4" t="s">
        <v>64</v>
      </c>
      <c r="D747" s="4" t="s">
        <v>73</v>
      </c>
      <c r="E747" s="4" t="s">
        <v>325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1">
        <v>0</v>
      </c>
    </row>
    <row r="748">
      <c r="A748" s="24">
        <v>5023</v>
      </c>
      <c r="B748" s="9" t="s">
        <v>1002</v>
      </c>
      <c r="C748" s="9" t="s">
        <v>171</v>
      </c>
      <c r="D748" s="9" t="s">
        <v>185</v>
      </c>
      <c r="E748" s="9" t="s">
        <v>188</v>
      </c>
      <c r="F748" s="11">
        <v>2</v>
      </c>
      <c r="G748" s="10">
        <v>1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5029</v>
      </c>
      <c r="B749" s="4" t="s">
        <v>1003</v>
      </c>
      <c r="C749" s="4" t="s">
        <v>64</v>
      </c>
      <c r="D749" s="4" t="s">
        <v>129</v>
      </c>
      <c r="E749" s="4" t="s">
        <v>130</v>
      </c>
      <c r="F749" s="6">
        <v>6</v>
      </c>
      <c r="G749" s="5">
        <v>5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6</v>
      </c>
      <c r="V749" s="5">
        <v>5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</v>
      </c>
      <c r="AL749" s="5">
        <v>3</v>
      </c>
      <c r="AM749" s="5">
        <v>5</v>
      </c>
      <c r="AN749" s="31">
        <v>0</v>
      </c>
    </row>
    <row r="750">
      <c r="A750" s="24">
        <v>5032</v>
      </c>
      <c r="B750" s="9" t="s">
        <v>1004</v>
      </c>
      <c r="C750" s="9" t="s">
        <v>64</v>
      </c>
      <c r="D750" s="9" t="s">
        <v>73</v>
      </c>
      <c r="E750" s="9" t="s">
        <v>457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30">
        <v>0</v>
      </c>
    </row>
    <row r="751">
      <c r="A751" s="23">
        <v>5049</v>
      </c>
      <c r="B751" s="4" t="s">
        <v>1005</v>
      </c>
      <c r="C751" s="4" t="s">
        <v>64</v>
      </c>
      <c r="D751" s="4" t="s">
        <v>132</v>
      </c>
      <c r="E751" s="4" t="s">
        <v>133</v>
      </c>
      <c r="F751" s="6">
        <v>3</v>
      </c>
      <c r="G751" s="5">
        <v>1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5">
        <v>1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0.44</v>
      </c>
    </row>
    <row r="752">
      <c r="A752" s="24">
        <v>5057</v>
      </c>
      <c r="B752" s="9" t="s">
        <v>1006</v>
      </c>
      <c r="C752" s="9" t="s">
        <v>64</v>
      </c>
      <c r="D752" s="9" t="s">
        <v>80</v>
      </c>
      <c r="E752" s="9" t="s">
        <v>429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0.17</v>
      </c>
    </row>
    <row r="753">
      <c r="A753" s="23">
        <v>5058</v>
      </c>
      <c r="B753" s="4" t="s">
        <v>1007</v>
      </c>
      <c r="C753" s="4" t="s">
        <v>64</v>
      </c>
      <c r="D753" s="4" t="s">
        <v>80</v>
      </c>
      <c r="E753" s="4" t="s">
        <v>135</v>
      </c>
      <c r="F753" s="6">
        <v>1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5060</v>
      </c>
      <c r="B754" s="9" t="s">
        <v>1008</v>
      </c>
      <c r="C754" s="9" t="s">
        <v>64</v>
      </c>
      <c r="D754" s="9" t="s">
        <v>76</v>
      </c>
      <c r="E754" s="9" t="s">
        <v>163</v>
      </c>
      <c r="F754" s="11">
        <v>2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0">
        <v>2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0">
        <v>2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0">
        <v>0</v>
      </c>
    </row>
    <row r="755">
      <c r="A755" s="23">
        <v>5063</v>
      </c>
      <c r="B755" s="4" t="s">
        <v>1009</v>
      </c>
      <c r="C755" s="4" t="s">
        <v>64</v>
      </c>
      <c r="D755" s="4" t="s">
        <v>88</v>
      </c>
      <c r="E755" s="4" t="s">
        <v>89</v>
      </c>
      <c r="F755" s="6">
        <v>5</v>
      </c>
      <c r="G755" s="5">
        <v>2</v>
      </c>
      <c r="H755" s="7">
        <v>0</v>
      </c>
      <c r="I755" s="5">
        <v>3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5</v>
      </c>
      <c r="V755" s="5">
        <v>2</v>
      </c>
      <c r="W755" s="7">
        <v>0</v>
      </c>
      <c r="X755" s="5">
        <v>3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2.5</v>
      </c>
      <c r="AL755" s="5">
        <v>2</v>
      </c>
      <c r="AM755" s="5">
        <v>3</v>
      </c>
      <c r="AN755" s="31">
        <v>0</v>
      </c>
    </row>
    <row r="756">
      <c r="A756" s="24">
        <v>5065</v>
      </c>
      <c r="B756" s="9" t="s">
        <v>1010</v>
      </c>
      <c r="C756" s="9" t="s">
        <v>64</v>
      </c>
      <c r="D756" s="9" t="s">
        <v>83</v>
      </c>
      <c r="E756" s="9" t="s">
        <v>139</v>
      </c>
      <c r="F756" s="11">
        <v>7</v>
      </c>
      <c r="G756" s="10">
        <v>5</v>
      </c>
      <c r="H756" s="10">
        <v>1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5</v>
      </c>
      <c r="V756" s="10">
        <v>3</v>
      </c>
      <c r="W756" s="10">
        <v>1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1.4</v>
      </c>
      <c r="AL756" s="10">
        <v>1</v>
      </c>
      <c r="AM756" s="10">
        <v>3</v>
      </c>
      <c r="AN756" s="29">
        <v>0.62</v>
      </c>
    </row>
    <row r="757">
      <c r="A757" s="23">
        <v>5067</v>
      </c>
      <c r="B757" s="4" t="s">
        <v>1011</v>
      </c>
      <c r="C757" s="4" t="s">
        <v>64</v>
      </c>
      <c r="D757" s="4" t="s">
        <v>132</v>
      </c>
      <c r="E757" s="4" t="s">
        <v>212</v>
      </c>
      <c r="F757" s="6">
        <v>2</v>
      </c>
      <c r="G757" s="5">
        <v>1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1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0.26</v>
      </c>
    </row>
    <row r="758">
      <c r="A758" s="24">
        <v>5071</v>
      </c>
      <c r="B758" s="9" t="s">
        <v>1012</v>
      </c>
      <c r="C758" s="9" t="s">
        <v>64</v>
      </c>
      <c r="D758" s="9" t="s">
        <v>68</v>
      </c>
      <c r="E758" s="9" t="s">
        <v>71</v>
      </c>
      <c r="F758" s="11">
        <v>5</v>
      </c>
      <c r="G758" s="10">
        <v>5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4</v>
      </c>
      <c r="V758" s="10">
        <v>4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29">
        <v>1.24</v>
      </c>
    </row>
    <row r="759">
      <c r="A759" s="23">
        <v>5074</v>
      </c>
      <c r="B759" s="4" t="s">
        <v>1013</v>
      </c>
      <c r="C759" s="4" t="s">
        <v>64</v>
      </c>
      <c r="D759" s="4" t="s">
        <v>73</v>
      </c>
      <c r="E759" s="4" t="s">
        <v>325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31">
        <v>0</v>
      </c>
    </row>
    <row r="760">
      <c r="A760" s="24">
        <v>5082</v>
      </c>
      <c r="B760" s="9" t="s">
        <v>1014</v>
      </c>
      <c r="C760" s="9" t="s">
        <v>64</v>
      </c>
      <c r="D760" s="9" t="s">
        <v>80</v>
      </c>
      <c r="E760" s="9" t="s">
        <v>429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5085</v>
      </c>
      <c r="B761" s="4" t="s">
        <v>1015</v>
      </c>
      <c r="C761" s="4" t="s">
        <v>64</v>
      </c>
      <c r="D761" s="4" t="s">
        <v>91</v>
      </c>
      <c r="E761" s="4" t="s">
        <v>157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31">
        <v>0</v>
      </c>
    </row>
    <row r="762">
      <c r="A762" s="24">
        <v>5092</v>
      </c>
      <c r="B762" s="9" t="s">
        <v>1016</v>
      </c>
      <c r="C762" s="9" t="s">
        <v>64</v>
      </c>
      <c r="D762" s="9" t="s">
        <v>83</v>
      </c>
      <c r="E762" s="9" t="s">
        <v>139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5103</v>
      </c>
      <c r="B763" s="4" t="s">
        <v>1017</v>
      </c>
      <c r="C763" s="4" t="s">
        <v>141</v>
      </c>
      <c r="D763" s="4" t="s">
        <v>436</v>
      </c>
      <c r="E763" s="4" t="s">
        <v>549</v>
      </c>
      <c r="F763" s="6">
        <v>8</v>
      </c>
      <c r="G763" s="5">
        <v>2</v>
      </c>
      <c r="H763" s="7">
        <v>0</v>
      </c>
      <c r="I763" s="5">
        <v>5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7</v>
      </c>
      <c r="V763" s="5">
        <v>1</v>
      </c>
      <c r="W763" s="7">
        <v>0</v>
      </c>
      <c r="X763" s="5">
        <v>5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2.67</v>
      </c>
      <c r="AL763" s="5">
        <v>2</v>
      </c>
      <c r="AM763" s="5">
        <v>5</v>
      </c>
      <c r="AN763" s="31">
        <v>0</v>
      </c>
    </row>
    <row r="764">
      <c r="A764" s="24">
        <v>5116</v>
      </c>
      <c r="B764" s="9" t="s">
        <v>1018</v>
      </c>
      <c r="C764" s="9" t="s">
        <v>64</v>
      </c>
      <c r="D764" s="9" t="s">
        <v>83</v>
      </c>
      <c r="E764" s="9" t="s">
        <v>84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5148</v>
      </c>
      <c r="B765" s="4" t="s">
        <v>1019</v>
      </c>
      <c r="C765" s="4" t="s">
        <v>64</v>
      </c>
      <c r="D765" s="4" t="s">
        <v>83</v>
      </c>
      <c r="E765" s="4" t="s">
        <v>147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5149</v>
      </c>
      <c r="B766" s="9" t="s">
        <v>1020</v>
      </c>
      <c r="C766" s="9" t="s">
        <v>64</v>
      </c>
      <c r="D766" s="9" t="s">
        <v>83</v>
      </c>
      <c r="E766" s="9" t="s">
        <v>147</v>
      </c>
      <c r="F766" s="11">
        <v>6</v>
      </c>
      <c r="G766" s="12">
        <v>0</v>
      </c>
      <c r="H766" s="12">
        <v>0</v>
      </c>
      <c r="I766" s="12">
        <v>0</v>
      </c>
      <c r="J766" s="10">
        <v>6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4</v>
      </c>
      <c r="V766" s="12">
        <v>0</v>
      </c>
      <c r="W766" s="12">
        <v>0</v>
      </c>
      <c r="X766" s="12">
        <v>0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3</v>
      </c>
      <c r="AL766" s="10">
        <v>3</v>
      </c>
      <c r="AM766" s="10">
        <v>4</v>
      </c>
      <c r="AN766" s="29">
        <v>1</v>
      </c>
    </row>
    <row r="767">
      <c r="A767" s="23">
        <v>5150</v>
      </c>
      <c r="B767" s="4" t="s">
        <v>1021</v>
      </c>
      <c r="C767" s="4" t="s">
        <v>64</v>
      </c>
      <c r="D767" s="4" t="s">
        <v>83</v>
      </c>
      <c r="E767" s="4" t="s">
        <v>147</v>
      </c>
      <c r="F767" s="6">
        <v>3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5">
        <v>2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5">
        <v>2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31">
        <v>0</v>
      </c>
    </row>
    <row r="768">
      <c r="A768" s="24">
        <v>5153</v>
      </c>
      <c r="B768" s="9" t="s">
        <v>1022</v>
      </c>
      <c r="C768" s="9" t="s">
        <v>64</v>
      </c>
      <c r="D768" s="9" t="s">
        <v>83</v>
      </c>
      <c r="E768" s="9" t="s">
        <v>147</v>
      </c>
      <c r="F768" s="11">
        <v>2</v>
      </c>
      <c r="G768" s="10">
        <v>1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0">
        <v>1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5171</v>
      </c>
      <c r="B769" s="4" t="s">
        <v>482</v>
      </c>
      <c r="C769" s="4" t="s">
        <v>64</v>
      </c>
      <c r="D769" s="4" t="s">
        <v>80</v>
      </c>
      <c r="E769" s="4" t="s">
        <v>429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1">
        <v>0</v>
      </c>
    </row>
    <row r="770">
      <c r="A770" s="24">
        <v>5192</v>
      </c>
      <c r="B770" s="9" t="s">
        <v>1023</v>
      </c>
      <c r="C770" s="9" t="s">
        <v>64</v>
      </c>
      <c r="D770" s="9" t="s">
        <v>110</v>
      </c>
      <c r="E770" s="9" t="s">
        <v>121</v>
      </c>
      <c r="F770" s="11">
        <v>1</v>
      </c>
      <c r="G770" s="12">
        <v>0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5193</v>
      </c>
      <c r="B771" s="4" t="s">
        <v>1024</v>
      </c>
      <c r="C771" s="4" t="s">
        <v>64</v>
      </c>
      <c r="D771" s="4" t="s">
        <v>83</v>
      </c>
      <c r="E771" s="4" t="s">
        <v>84</v>
      </c>
      <c r="F771" s="6">
        <v>3</v>
      </c>
      <c r="G771" s="5">
        <v>2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2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5196</v>
      </c>
      <c r="B772" s="9" t="s">
        <v>1025</v>
      </c>
      <c r="C772" s="9" t="s">
        <v>64</v>
      </c>
      <c r="D772" s="9" t="s">
        <v>110</v>
      </c>
      <c r="E772" s="9" t="s">
        <v>327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5199</v>
      </c>
      <c r="B773" s="4" t="s">
        <v>1026</v>
      </c>
      <c r="C773" s="4" t="s">
        <v>64</v>
      </c>
      <c r="D773" s="4" t="s">
        <v>80</v>
      </c>
      <c r="E773" s="4" t="s">
        <v>135</v>
      </c>
      <c r="F773" s="6">
        <v>2</v>
      </c>
      <c r="G773" s="7">
        <v>0</v>
      </c>
      <c r="H773" s="7">
        <v>0</v>
      </c>
      <c r="I773" s="5">
        <v>1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7">
        <v>0</v>
      </c>
      <c r="W773" s="7">
        <v>0</v>
      </c>
      <c r="X773" s="5">
        <v>1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0.52</v>
      </c>
    </row>
    <row r="774">
      <c r="A774" s="24">
        <v>5200</v>
      </c>
      <c r="B774" s="9" t="s">
        <v>1027</v>
      </c>
      <c r="C774" s="9" t="s">
        <v>64</v>
      </c>
      <c r="D774" s="9" t="s">
        <v>80</v>
      </c>
      <c r="E774" s="9" t="s">
        <v>135</v>
      </c>
      <c r="F774" s="11">
        <v>6</v>
      </c>
      <c r="G774" s="10">
        <v>6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0">
        <v>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6</v>
      </c>
      <c r="AK774" s="13">
        <v>6</v>
      </c>
      <c r="AL774" s="10">
        <v>6</v>
      </c>
      <c r="AM774" s="10">
        <v>6</v>
      </c>
      <c r="AN774" s="30">
        <v>0</v>
      </c>
    </row>
    <row r="775">
      <c r="A775" s="23">
        <v>5204</v>
      </c>
      <c r="B775" s="4" t="s">
        <v>1028</v>
      </c>
      <c r="C775" s="4" t="s">
        <v>171</v>
      </c>
      <c r="D775" s="4" t="s">
        <v>172</v>
      </c>
      <c r="E775" s="4" t="s">
        <v>183</v>
      </c>
      <c r="F775" s="6">
        <v>3</v>
      </c>
      <c r="G775" s="7">
        <v>0</v>
      </c>
      <c r="H775" s="7">
        <v>0</v>
      </c>
      <c r="I775" s="5">
        <v>2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3</v>
      </c>
      <c r="V775" s="7">
        <v>0</v>
      </c>
      <c r="W775" s="7">
        <v>0</v>
      </c>
      <c r="X775" s="5">
        <v>2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31">
        <v>0</v>
      </c>
    </row>
    <row r="776">
      <c r="A776" s="24">
        <v>5223</v>
      </c>
      <c r="B776" s="9" t="s">
        <v>1029</v>
      </c>
      <c r="C776" s="9" t="s">
        <v>64</v>
      </c>
      <c r="D776" s="9" t="s">
        <v>132</v>
      </c>
      <c r="E776" s="9" t="s">
        <v>202</v>
      </c>
      <c r="F776" s="11">
        <v>5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0">
        <v>2</v>
      </c>
      <c r="M776" s="12">
        <v>0</v>
      </c>
      <c r="N776" s="10">
        <v>2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5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0">
        <v>2</v>
      </c>
      <c r="AB776" s="12">
        <v>0</v>
      </c>
      <c r="AC776" s="10">
        <v>2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1.67</v>
      </c>
      <c r="AL776" s="10">
        <v>2</v>
      </c>
      <c r="AM776" s="10">
        <v>2</v>
      </c>
      <c r="AN776" s="29">
        <v>0.25</v>
      </c>
    </row>
    <row r="777">
      <c r="A777" s="23">
        <v>5232</v>
      </c>
      <c r="B777" s="4" t="s">
        <v>1030</v>
      </c>
      <c r="C777" s="4" t="s">
        <v>64</v>
      </c>
      <c r="D777" s="4" t="s">
        <v>110</v>
      </c>
      <c r="E777" s="4" t="s">
        <v>151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5249</v>
      </c>
      <c r="B778" s="9" t="s">
        <v>1031</v>
      </c>
      <c r="C778" s="9" t="s">
        <v>64</v>
      </c>
      <c r="D778" s="9" t="s">
        <v>83</v>
      </c>
      <c r="E778" s="9" t="s">
        <v>84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5261</v>
      </c>
      <c r="B779" s="4" t="s">
        <v>1032</v>
      </c>
      <c r="C779" s="4" t="s">
        <v>64</v>
      </c>
      <c r="D779" s="4" t="s">
        <v>68</v>
      </c>
      <c r="E779" s="4" t="s">
        <v>393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0.37</v>
      </c>
    </row>
    <row r="780">
      <c r="A780" s="24">
        <v>5271</v>
      </c>
      <c r="B780" s="9" t="s">
        <v>1033</v>
      </c>
      <c r="C780" s="9" t="s">
        <v>64</v>
      </c>
      <c r="D780" s="9" t="s">
        <v>83</v>
      </c>
      <c r="E780" s="9" t="s">
        <v>84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5278</v>
      </c>
      <c r="B781" s="4" t="s">
        <v>1034</v>
      </c>
      <c r="C781" s="4" t="s">
        <v>64</v>
      </c>
      <c r="D781" s="4" t="s">
        <v>83</v>
      </c>
      <c r="E781" s="4" t="s">
        <v>84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5296</v>
      </c>
      <c r="B782" s="9" t="s">
        <v>1035</v>
      </c>
      <c r="C782" s="9" t="s">
        <v>64</v>
      </c>
      <c r="D782" s="9" t="s">
        <v>80</v>
      </c>
      <c r="E782" s="9" t="s">
        <v>354</v>
      </c>
      <c r="F782" s="11">
        <v>2</v>
      </c>
      <c r="G782" s="12">
        <v>0</v>
      </c>
      <c r="H782" s="10">
        <v>1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2">
        <v>0</v>
      </c>
      <c r="W782" s="10">
        <v>1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5301</v>
      </c>
      <c r="B783" s="4" t="s">
        <v>1036</v>
      </c>
      <c r="C783" s="4" t="s">
        <v>64</v>
      </c>
      <c r="D783" s="4" t="s">
        <v>129</v>
      </c>
      <c r="E783" s="4" t="s">
        <v>1037</v>
      </c>
      <c r="F783" s="6">
        <v>9</v>
      </c>
      <c r="G783" s="5">
        <v>5</v>
      </c>
      <c r="H783" s="7">
        <v>0</v>
      </c>
      <c r="I783" s="5">
        <v>2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9</v>
      </c>
      <c r="V783" s="5">
        <v>5</v>
      </c>
      <c r="W783" s="7">
        <v>0</v>
      </c>
      <c r="X783" s="5">
        <v>2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2.25</v>
      </c>
      <c r="AL783" s="5">
        <v>1</v>
      </c>
      <c r="AM783" s="5">
        <v>5</v>
      </c>
      <c r="AN783" s="28">
        <v>0.5</v>
      </c>
    </row>
    <row r="784">
      <c r="A784" s="24">
        <v>5305</v>
      </c>
      <c r="B784" s="9" t="s">
        <v>1038</v>
      </c>
      <c r="C784" s="9" t="s">
        <v>64</v>
      </c>
      <c r="D784" s="9" t="s">
        <v>132</v>
      </c>
      <c r="E784" s="9" t="s">
        <v>133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0.24</v>
      </c>
    </row>
    <row r="785">
      <c r="A785" s="23">
        <v>5328</v>
      </c>
      <c r="B785" s="4" t="s">
        <v>1039</v>
      </c>
      <c r="C785" s="4" t="s">
        <v>64</v>
      </c>
      <c r="D785" s="4" t="s">
        <v>80</v>
      </c>
      <c r="E785" s="4" t="s">
        <v>135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5337</v>
      </c>
      <c r="B786" s="9" t="s">
        <v>1040</v>
      </c>
      <c r="C786" s="9" t="s">
        <v>64</v>
      </c>
      <c r="D786" s="9" t="s">
        <v>110</v>
      </c>
      <c r="E786" s="9" t="s">
        <v>455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5358</v>
      </c>
      <c r="B787" s="4" t="s">
        <v>1041</v>
      </c>
      <c r="C787" s="4" t="s">
        <v>613</v>
      </c>
      <c r="D787" s="4" t="s">
        <v>871</v>
      </c>
      <c r="E787" s="4" t="s">
        <v>641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5361</v>
      </c>
      <c r="B788" s="9" t="s">
        <v>1042</v>
      </c>
      <c r="C788" s="9" t="s">
        <v>64</v>
      </c>
      <c r="D788" s="9" t="s">
        <v>68</v>
      </c>
      <c r="E788" s="9" t="s">
        <v>71</v>
      </c>
      <c r="F788" s="11">
        <v>2</v>
      </c>
      <c r="G788" s="12">
        <v>0</v>
      </c>
      <c r="H788" s="12">
        <v>0</v>
      </c>
      <c r="I788" s="10">
        <v>1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2">
        <v>0</v>
      </c>
      <c r="X788" s="10">
        <v>1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0.5</v>
      </c>
    </row>
    <row r="789">
      <c r="A789" s="23">
        <v>5382</v>
      </c>
      <c r="B789" s="4" t="s">
        <v>1043</v>
      </c>
      <c r="C789" s="4" t="s">
        <v>64</v>
      </c>
      <c r="D789" s="4" t="s">
        <v>76</v>
      </c>
      <c r="E789" s="4" t="s">
        <v>119</v>
      </c>
      <c r="F789" s="6">
        <v>7</v>
      </c>
      <c r="G789" s="5">
        <v>6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6</v>
      </c>
      <c r="V789" s="5">
        <v>5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1.75</v>
      </c>
      <c r="AL789" s="5">
        <v>1</v>
      </c>
      <c r="AM789" s="5">
        <v>3</v>
      </c>
      <c r="AN789" s="31">
        <v>0</v>
      </c>
    </row>
    <row r="790">
      <c r="A790" s="24">
        <v>5395</v>
      </c>
      <c r="B790" s="9" t="s">
        <v>1044</v>
      </c>
      <c r="C790" s="9" t="s">
        <v>64</v>
      </c>
      <c r="D790" s="9" t="s">
        <v>68</v>
      </c>
      <c r="E790" s="9" t="s">
        <v>71</v>
      </c>
      <c r="F790" s="11">
        <v>5</v>
      </c>
      <c r="G790" s="10">
        <v>4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5</v>
      </c>
      <c r="V790" s="10">
        <v>4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2.5</v>
      </c>
      <c r="AL790" s="10">
        <v>2</v>
      </c>
      <c r="AM790" s="10">
        <v>4</v>
      </c>
      <c r="AN790" s="29">
        <v>1.25</v>
      </c>
    </row>
    <row r="791">
      <c r="A791" s="23">
        <v>5398</v>
      </c>
      <c r="B791" s="4" t="s">
        <v>1045</v>
      </c>
      <c r="C791" s="4" t="s">
        <v>64</v>
      </c>
      <c r="D791" s="4" t="s">
        <v>110</v>
      </c>
      <c r="E791" s="4" t="s">
        <v>327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5427</v>
      </c>
      <c r="B792" s="9" t="s">
        <v>1046</v>
      </c>
      <c r="C792" s="9" t="s">
        <v>141</v>
      </c>
      <c r="D792" s="9" t="s">
        <v>597</v>
      </c>
      <c r="E792" s="9" t="s">
        <v>1047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5463</v>
      </c>
      <c r="B793" s="4" t="s">
        <v>1048</v>
      </c>
      <c r="C793" s="4" t="s">
        <v>141</v>
      </c>
      <c r="D793" s="4" t="s">
        <v>446</v>
      </c>
      <c r="E793" s="4" t="s">
        <v>447</v>
      </c>
      <c r="F793" s="6">
        <v>2</v>
      </c>
      <c r="G793" s="5">
        <v>1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5">
        <v>1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5473</v>
      </c>
      <c r="B794" s="9" t="s">
        <v>1049</v>
      </c>
      <c r="C794" s="9" t="s">
        <v>64</v>
      </c>
      <c r="D794" s="9" t="s">
        <v>110</v>
      </c>
      <c r="E794" s="9" t="s">
        <v>121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5475</v>
      </c>
      <c r="B795" s="4" t="s">
        <v>1050</v>
      </c>
      <c r="C795" s="4" t="s">
        <v>64</v>
      </c>
      <c r="D795" s="4" t="s">
        <v>73</v>
      </c>
      <c r="E795" s="4" t="s">
        <v>1051</v>
      </c>
      <c r="F795" s="6">
        <v>4</v>
      </c>
      <c r="G795" s="7">
        <v>0</v>
      </c>
      <c r="H795" s="7">
        <v>0</v>
      </c>
      <c r="I795" s="7">
        <v>0</v>
      </c>
      <c r="J795" s="5">
        <v>4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4</v>
      </c>
      <c r="V795" s="7">
        <v>0</v>
      </c>
      <c r="W795" s="7">
        <v>0</v>
      </c>
      <c r="X795" s="7">
        <v>0</v>
      </c>
      <c r="Y795" s="5">
        <v>4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1.04</v>
      </c>
    </row>
    <row r="796">
      <c r="A796" s="24">
        <v>5476</v>
      </c>
      <c r="B796" s="9" t="s">
        <v>1052</v>
      </c>
      <c r="C796" s="9" t="s">
        <v>141</v>
      </c>
      <c r="D796" s="9" t="s">
        <v>378</v>
      </c>
      <c r="E796" s="9" t="s">
        <v>385</v>
      </c>
      <c r="F796" s="11">
        <v>3</v>
      </c>
      <c r="G796" s="12">
        <v>0</v>
      </c>
      <c r="H796" s="12">
        <v>0</v>
      </c>
      <c r="I796" s="12">
        <v>0</v>
      </c>
      <c r="J796" s="10">
        <v>2</v>
      </c>
      <c r="K796" s="12">
        <v>0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3</v>
      </c>
      <c r="V796" s="12">
        <v>0</v>
      </c>
      <c r="W796" s="12">
        <v>0</v>
      </c>
      <c r="X796" s="12">
        <v>0</v>
      </c>
      <c r="Y796" s="10">
        <v>2</v>
      </c>
      <c r="Z796" s="12">
        <v>0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0.5</v>
      </c>
    </row>
    <row r="797">
      <c r="A797" s="23">
        <v>5479</v>
      </c>
      <c r="B797" s="4" t="s">
        <v>1053</v>
      </c>
      <c r="C797" s="4" t="s">
        <v>64</v>
      </c>
      <c r="D797" s="4" t="s">
        <v>83</v>
      </c>
      <c r="E797" s="4" t="s">
        <v>207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0.52</v>
      </c>
    </row>
    <row r="798">
      <c r="A798" s="24">
        <v>5498</v>
      </c>
      <c r="B798" s="9" t="s">
        <v>1054</v>
      </c>
      <c r="C798" s="9" t="s">
        <v>64</v>
      </c>
      <c r="D798" s="9" t="s">
        <v>83</v>
      </c>
      <c r="E798" s="9" t="s">
        <v>139</v>
      </c>
      <c r="F798" s="11">
        <v>2</v>
      </c>
      <c r="G798" s="12">
        <v>0</v>
      </c>
      <c r="H798" s="10">
        <v>2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0">
        <v>2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30">
        <v>0</v>
      </c>
    </row>
    <row r="799">
      <c r="A799" s="23">
        <v>5500</v>
      </c>
      <c r="B799" s="4" t="s">
        <v>1055</v>
      </c>
      <c r="C799" s="4" t="s">
        <v>64</v>
      </c>
      <c r="D799" s="4" t="s">
        <v>132</v>
      </c>
      <c r="E799" s="4" t="s">
        <v>227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1">
        <v>0</v>
      </c>
    </row>
    <row r="800">
      <c r="A800" s="24">
        <v>5507</v>
      </c>
      <c r="B800" s="9" t="s">
        <v>1056</v>
      </c>
      <c r="C800" s="9" t="s">
        <v>64</v>
      </c>
      <c r="D800" s="9" t="s">
        <v>132</v>
      </c>
      <c r="E800" s="9" t="s">
        <v>227</v>
      </c>
      <c r="F800" s="11">
        <v>1</v>
      </c>
      <c r="G800" s="12">
        <v>0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5508</v>
      </c>
      <c r="B801" s="4" t="s">
        <v>1057</v>
      </c>
      <c r="C801" s="4" t="s">
        <v>64</v>
      </c>
      <c r="D801" s="4" t="s">
        <v>80</v>
      </c>
      <c r="E801" s="4" t="s">
        <v>429</v>
      </c>
      <c r="F801" s="6">
        <v>1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5517</v>
      </c>
      <c r="B802" s="9" t="s">
        <v>1058</v>
      </c>
      <c r="C802" s="9" t="s">
        <v>64</v>
      </c>
      <c r="D802" s="9" t="s">
        <v>83</v>
      </c>
      <c r="E802" s="9" t="s">
        <v>139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5536</v>
      </c>
      <c r="B803" s="4" t="s">
        <v>1059</v>
      </c>
      <c r="C803" s="4" t="s">
        <v>141</v>
      </c>
      <c r="D803" s="4" t="s">
        <v>597</v>
      </c>
      <c r="E803" s="4" t="s">
        <v>693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0.24</v>
      </c>
    </row>
    <row r="804">
      <c r="A804" s="24">
        <v>5539</v>
      </c>
      <c r="B804" s="9" t="s">
        <v>1060</v>
      </c>
      <c r="C804" s="9" t="s">
        <v>64</v>
      </c>
      <c r="D804" s="9" t="s">
        <v>132</v>
      </c>
      <c r="E804" s="9" t="s">
        <v>227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5561</v>
      </c>
      <c r="B805" s="4" t="s">
        <v>1061</v>
      </c>
      <c r="C805" s="4" t="s">
        <v>64</v>
      </c>
      <c r="D805" s="4" t="s">
        <v>80</v>
      </c>
      <c r="E805" s="4" t="s">
        <v>429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3</v>
      </c>
      <c r="AL805" s="5">
        <v>3</v>
      </c>
      <c r="AM805" s="5">
        <v>3</v>
      </c>
      <c r="AN805" s="31">
        <v>0</v>
      </c>
    </row>
    <row r="806">
      <c r="A806" s="24">
        <v>5589</v>
      </c>
      <c r="B806" s="9" t="s">
        <v>1062</v>
      </c>
      <c r="C806" s="9" t="s">
        <v>602</v>
      </c>
      <c r="D806" s="9" t="s">
        <v>603</v>
      </c>
      <c r="E806" s="9" t="s">
        <v>361</v>
      </c>
      <c r="F806" s="11">
        <v>4</v>
      </c>
      <c r="G806" s="12">
        <v>0</v>
      </c>
      <c r="H806" s="12">
        <v>0</v>
      </c>
      <c r="I806" s="12">
        <v>0</v>
      </c>
      <c r="J806" s="10">
        <v>4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4</v>
      </c>
      <c r="V806" s="12">
        <v>0</v>
      </c>
      <c r="W806" s="12">
        <v>0</v>
      </c>
      <c r="X806" s="12">
        <v>0</v>
      </c>
      <c r="Y806" s="10">
        <v>4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4</v>
      </c>
      <c r="AK806" s="13">
        <v>4</v>
      </c>
      <c r="AL806" s="10">
        <v>4</v>
      </c>
      <c r="AM806" s="10">
        <v>4</v>
      </c>
      <c r="AN806" s="29">
        <v>1</v>
      </c>
    </row>
    <row r="807">
      <c r="A807" s="23">
        <v>5645</v>
      </c>
      <c r="B807" s="4" t="s">
        <v>1063</v>
      </c>
      <c r="C807" s="4" t="s">
        <v>602</v>
      </c>
      <c r="D807" s="4" t="s">
        <v>641</v>
      </c>
      <c r="E807" s="4" t="s">
        <v>361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5737</v>
      </c>
      <c r="B808" s="9" t="s">
        <v>1064</v>
      </c>
      <c r="C808" s="9" t="s">
        <v>602</v>
      </c>
      <c r="D808" s="9" t="s">
        <v>605</v>
      </c>
      <c r="E808" s="9" t="s">
        <v>361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0.52</v>
      </c>
    </row>
    <row r="809">
      <c r="A809" s="23">
        <v>5742</v>
      </c>
      <c r="B809" s="4" t="s">
        <v>1065</v>
      </c>
      <c r="C809" s="4" t="s">
        <v>602</v>
      </c>
      <c r="D809" s="4" t="s">
        <v>630</v>
      </c>
      <c r="E809" s="4" t="s">
        <v>361</v>
      </c>
      <c r="F809" s="6">
        <v>1</v>
      </c>
      <c r="G809" s="7">
        <v>0</v>
      </c>
      <c r="H809" s="7">
        <v>0</v>
      </c>
      <c r="I809" s="7">
        <v>0</v>
      </c>
      <c r="J809" s="7">
        <v>0</v>
      </c>
      <c r="K809" s="5">
        <v>1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7">
        <v>0</v>
      </c>
      <c r="Z809" s="5">
        <v>1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5768</v>
      </c>
      <c r="B810" s="9" t="s">
        <v>1066</v>
      </c>
      <c r="C810" s="9" t="s">
        <v>602</v>
      </c>
      <c r="D810" s="9" t="s">
        <v>611</v>
      </c>
      <c r="E810" s="9" t="s">
        <v>361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5777</v>
      </c>
      <c r="B811" s="4" t="s">
        <v>1067</v>
      </c>
      <c r="C811" s="4" t="s">
        <v>602</v>
      </c>
      <c r="D811" s="4" t="s">
        <v>641</v>
      </c>
      <c r="E811" s="4" t="s">
        <v>361</v>
      </c>
      <c r="F811" s="6">
        <v>1</v>
      </c>
      <c r="G811" s="7">
        <v>0</v>
      </c>
      <c r="H811" s="7">
        <v>0</v>
      </c>
      <c r="I811" s="5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5">
        <v>1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0.22</v>
      </c>
    </row>
    <row r="812">
      <c r="A812" s="24">
        <v>5780</v>
      </c>
      <c r="B812" s="9" t="s">
        <v>1068</v>
      </c>
      <c r="C812" s="9" t="s">
        <v>602</v>
      </c>
      <c r="D812" s="9" t="s">
        <v>641</v>
      </c>
      <c r="E812" s="9" t="s">
        <v>361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5853</v>
      </c>
      <c r="B813" s="4" t="s">
        <v>1069</v>
      </c>
      <c r="C813" s="4" t="s">
        <v>602</v>
      </c>
      <c r="D813" s="4" t="s">
        <v>897</v>
      </c>
      <c r="E813" s="4" t="s">
        <v>361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5895</v>
      </c>
      <c r="B814" s="9" t="s">
        <v>1070</v>
      </c>
      <c r="C814" s="9" t="s">
        <v>602</v>
      </c>
      <c r="D814" s="9" t="s">
        <v>1071</v>
      </c>
      <c r="E814" s="9" t="s">
        <v>361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5954</v>
      </c>
      <c r="B815" s="4" t="s">
        <v>1072</v>
      </c>
      <c r="C815" s="4" t="s">
        <v>622</v>
      </c>
      <c r="D815" s="4" t="s">
        <v>1073</v>
      </c>
      <c r="E815" s="4" t="s">
        <v>1074</v>
      </c>
      <c r="F815" s="6">
        <v>3</v>
      </c>
      <c r="G815" s="5">
        <v>1</v>
      </c>
      <c r="H815" s="7">
        <v>0</v>
      </c>
      <c r="I815" s="5">
        <v>1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1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5959</v>
      </c>
      <c r="B816" s="9" t="s">
        <v>1075</v>
      </c>
      <c r="C816" s="9" t="s">
        <v>686</v>
      </c>
      <c r="D816" s="9" t="s">
        <v>919</v>
      </c>
      <c r="E816" s="9" t="s">
        <v>361</v>
      </c>
      <c r="F816" s="11">
        <v>4</v>
      </c>
      <c r="G816" s="12">
        <v>0</v>
      </c>
      <c r="H816" s="12">
        <v>0</v>
      </c>
      <c r="I816" s="10">
        <v>2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2">
        <v>0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29">
        <v>0.26</v>
      </c>
    </row>
    <row r="817">
      <c r="A817" s="23">
        <v>5980</v>
      </c>
      <c r="B817" s="4" t="s">
        <v>1076</v>
      </c>
      <c r="C817" s="4" t="s">
        <v>622</v>
      </c>
      <c r="D817" s="4" t="s">
        <v>670</v>
      </c>
      <c r="E817" s="4" t="s">
        <v>671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1">
        <v>0</v>
      </c>
    </row>
    <row r="818">
      <c r="A818" s="24">
        <v>6000</v>
      </c>
      <c r="B818" s="9" t="s">
        <v>1077</v>
      </c>
      <c r="C818" s="9" t="s">
        <v>64</v>
      </c>
      <c r="D818" s="9" t="s">
        <v>73</v>
      </c>
      <c r="E818" s="9" t="s">
        <v>325</v>
      </c>
      <c r="F818" s="11">
        <v>7</v>
      </c>
      <c r="G818" s="10">
        <v>7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4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7</v>
      </c>
      <c r="AK818" s="13">
        <v>7</v>
      </c>
      <c r="AL818" s="10">
        <v>7</v>
      </c>
      <c r="AM818" s="10">
        <v>7</v>
      </c>
      <c r="AN818" s="30">
        <v>0</v>
      </c>
    </row>
    <row r="819">
      <c r="A819" s="23">
        <v>6026</v>
      </c>
      <c r="B819" s="4" t="s">
        <v>1078</v>
      </c>
      <c r="C819" s="4" t="s">
        <v>622</v>
      </c>
      <c r="D819" s="4" t="s">
        <v>623</v>
      </c>
      <c r="E819" s="4" t="s">
        <v>1079</v>
      </c>
      <c r="F819" s="6">
        <v>2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6029</v>
      </c>
      <c r="B820" s="9" t="s">
        <v>1080</v>
      </c>
      <c r="C820" s="9" t="s">
        <v>64</v>
      </c>
      <c r="D820" s="9" t="s">
        <v>132</v>
      </c>
      <c r="E820" s="9" t="s">
        <v>212</v>
      </c>
      <c r="F820" s="11">
        <v>2</v>
      </c>
      <c r="G820" s="10">
        <v>1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0.62</v>
      </c>
    </row>
    <row r="821">
      <c r="A821" s="23">
        <v>6030</v>
      </c>
      <c r="B821" s="4" t="s">
        <v>1081</v>
      </c>
      <c r="C821" s="4" t="s">
        <v>171</v>
      </c>
      <c r="D821" s="4" t="s">
        <v>172</v>
      </c>
      <c r="E821" s="4" t="s">
        <v>183</v>
      </c>
      <c r="F821" s="6">
        <v>4</v>
      </c>
      <c r="G821" s="7">
        <v>0</v>
      </c>
      <c r="H821" s="7">
        <v>0</v>
      </c>
      <c r="I821" s="7">
        <v>0</v>
      </c>
      <c r="J821" s="7">
        <v>0</v>
      </c>
      <c r="K821" s="5">
        <v>4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4</v>
      </c>
      <c r="V821" s="7">
        <v>0</v>
      </c>
      <c r="W821" s="7">
        <v>0</v>
      </c>
      <c r="X821" s="7">
        <v>0</v>
      </c>
      <c r="Y821" s="7">
        <v>0</v>
      </c>
      <c r="Z821" s="5">
        <v>4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4</v>
      </c>
      <c r="AK821" s="8">
        <v>4</v>
      </c>
      <c r="AL821" s="5">
        <v>4</v>
      </c>
      <c r="AM821" s="5">
        <v>4</v>
      </c>
      <c r="AN821" s="31">
        <v>0</v>
      </c>
    </row>
    <row r="822">
      <c r="A822" s="24">
        <v>6045</v>
      </c>
      <c r="B822" s="9" t="s">
        <v>1082</v>
      </c>
      <c r="C822" s="9" t="s">
        <v>686</v>
      </c>
      <c r="D822" s="9" t="s">
        <v>919</v>
      </c>
      <c r="E822" s="9" t="s">
        <v>361</v>
      </c>
      <c r="F822" s="11">
        <v>3</v>
      </c>
      <c r="G822" s="12">
        <v>0</v>
      </c>
      <c r="H822" s="12">
        <v>0</v>
      </c>
      <c r="I822" s="12">
        <v>0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2">
        <v>0</v>
      </c>
      <c r="X822" s="12">
        <v>0</v>
      </c>
      <c r="Y822" s="10">
        <v>3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3</v>
      </c>
      <c r="AK822" s="13">
        <v>3</v>
      </c>
      <c r="AL822" s="10">
        <v>3</v>
      </c>
      <c r="AM822" s="10">
        <v>3</v>
      </c>
      <c r="AN822" s="29">
        <v>0.75</v>
      </c>
    </row>
    <row r="823">
      <c r="A823" s="23">
        <v>6102</v>
      </c>
      <c r="B823" s="4" t="s">
        <v>1083</v>
      </c>
      <c r="C823" s="4" t="s">
        <v>64</v>
      </c>
      <c r="D823" s="4" t="s">
        <v>110</v>
      </c>
      <c r="E823" s="4" t="s">
        <v>111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1">
        <v>0</v>
      </c>
    </row>
    <row r="824">
      <c r="A824" s="24">
        <v>6108</v>
      </c>
      <c r="B824" s="9" t="s">
        <v>1084</v>
      </c>
      <c r="C824" s="9" t="s">
        <v>64</v>
      </c>
      <c r="D824" s="9" t="s">
        <v>83</v>
      </c>
      <c r="E824" s="9" t="s">
        <v>137</v>
      </c>
      <c r="F824" s="11">
        <v>2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2">
        <v>0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0.5</v>
      </c>
    </row>
    <row r="825">
      <c r="A825" s="23">
        <v>6114</v>
      </c>
      <c r="B825" s="4" t="s">
        <v>1085</v>
      </c>
      <c r="C825" s="4" t="s">
        <v>141</v>
      </c>
      <c r="D825" s="4" t="s">
        <v>230</v>
      </c>
      <c r="E825" s="4" t="s">
        <v>1086</v>
      </c>
      <c r="F825" s="6">
        <v>5</v>
      </c>
      <c r="G825" s="7">
        <v>0</v>
      </c>
      <c r="H825" s="5">
        <v>1</v>
      </c>
      <c r="I825" s="7">
        <v>0</v>
      </c>
      <c r="J825" s="5">
        <v>3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5</v>
      </c>
      <c r="V825" s="7">
        <v>0</v>
      </c>
      <c r="W825" s="5">
        <v>1</v>
      </c>
      <c r="X825" s="7">
        <v>0</v>
      </c>
      <c r="Y825" s="5">
        <v>3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1.25</v>
      </c>
      <c r="AL825" s="5">
        <v>1</v>
      </c>
      <c r="AM825" s="5">
        <v>2</v>
      </c>
      <c r="AN825" s="28">
        <v>1.14</v>
      </c>
    </row>
    <row r="826">
      <c r="A826" s="24">
        <v>6149</v>
      </c>
      <c r="B826" s="9" t="s">
        <v>1087</v>
      </c>
      <c r="C826" s="9" t="s">
        <v>619</v>
      </c>
      <c r="D826" s="9" t="s">
        <v>725</v>
      </c>
      <c r="E826" s="9" t="s">
        <v>361</v>
      </c>
      <c r="F826" s="11">
        <v>2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0">
        <v>1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0">
        <v>1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6151</v>
      </c>
      <c r="B827" s="4" t="s">
        <v>1088</v>
      </c>
      <c r="C827" s="4" t="s">
        <v>64</v>
      </c>
      <c r="D827" s="4" t="s">
        <v>129</v>
      </c>
      <c r="E827" s="4" t="s">
        <v>323</v>
      </c>
      <c r="F827" s="6">
        <v>4</v>
      </c>
      <c r="G827" s="5">
        <v>1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4</v>
      </c>
      <c r="V827" s="5">
        <v>1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31">
        <v>0</v>
      </c>
    </row>
    <row r="828">
      <c r="A828" s="24">
        <v>6156</v>
      </c>
      <c r="B828" s="9" t="s">
        <v>1089</v>
      </c>
      <c r="C828" s="9" t="s">
        <v>64</v>
      </c>
      <c r="D828" s="9" t="s">
        <v>129</v>
      </c>
      <c r="E828" s="9" t="s">
        <v>323</v>
      </c>
      <c r="F828" s="11">
        <v>5</v>
      </c>
      <c r="G828" s="10">
        <v>1</v>
      </c>
      <c r="H828" s="12">
        <v>0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0">
        <v>1</v>
      </c>
      <c r="W828" s="12">
        <v>0</v>
      </c>
      <c r="X828" s="12">
        <v>0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1.25</v>
      </c>
      <c r="AL828" s="10">
        <v>1</v>
      </c>
      <c r="AM828" s="10">
        <v>2</v>
      </c>
      <c r="AN828" s="29">
        <v>0.48</v>
      </c>
    </row>
    <row r="829">
      <c r="A829" s="23">
        <v>6171</v>
      </c>
      <c r="B829" s="4" t="s">
        <v>1090</v>
      </c>
      <c r="C829" s="4" t="s">
        <v>64</v>
      </c>
      <c r="D829" s="4" t="s">
        <v>110</v>
      </c>
      <c r="E829" s="4" t="s">
        <v>111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1">
        <v>0</v>
      </c>
    </row>
    <row r="830">
      <c r="A830" s="24">
        <v>6202</v>
      </c>
      <c r="B830" s="9" t="s">
        <v>1091</v>
      </c>
      <c r="C830" s="9" t="s">
        <v>686</v>
      </c>
      <c r="D830" s="9" t="s">
        <v>687</v>
      </c>
      <c r="E830" s="9" t="s">
        <v>361</v>
      </c>
      <c r="F830" s="11">
        <v>3</v>
      </c>
      <c r="G830" s="12">
        <v>0</v>
      </c>
      <c r="H830" s="12">
        <v>0</v>
      </c>
      <c r="I830" s="10">
        <v>2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</v>
      </c>
      <c r="V830" s="12">
        <v>0</v>
      </c>
      <c r="W830" s="12">
        <v>0</v>
      </c>
      <c r="X830" s="10">
        <v>2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0.26</v>
      </c>
    </row>
    <row r="831">
      <c r="A831" s="23">
        <v>6227</v>
      </c>
      <c r="B831" s="4" t="s">
        <v>1092</v>
      </c>
      <c r="C831" s="4" t="s">
        <v>622</v>
      </c>
      <c r="D831" s="4" t="s">
        <v>623</v>
      </c>
      <c r="E831" s="4" t="s">
        <v>1079</v>
      </c>
      <c r="F831" s="6">
        <v>2</v>
      </c>
      <c r="G831" s="5">
        <v>1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5">
        <v>1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0.26</v>
      </c>
    </row>
    <row r="832">
      <c r="A832" s="24">
        <v>6228</v>
      </c>
      <c r="B832" s="9" t="s">
        <v>1093</v>
      </c>
      <c r="C832" s="9" t="s">
        <v>622</v>
      </c>
      <c r="D832" s="9" t="s">
        <v>623</v>
      </c>
      <c r="E832" s="9" t="s">
        <v>1079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6274</v>
      </c>
      <c r="B833" s="4" t="s">
        <v>1094</v>
      </c>
      <c r="C833" s="4" t="s">
        <v>64</v>
      </c>
      <c r="D833" s="4" t="s">
        <v>80</v>
      </c>
      <c r="E833" s="4" t="s">
        <v>135</v>
      </c>
      <c r="F833" s="6">
        <v>1</v>
      </c>
      <c r="G833" s="7">
        <v>0</v>
      </c>
      <c r="H833" s="7">
        <v>0</v>
      </c>
      <c r="I833" s="7">
        <v>0</v>
      </c>
      <c r="J833" s="7">
        <v>0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7">
        <v>0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1">
        <v>0</v>
      </c>
    </row>
    <row r="834">
      <c r="A834" s="24">
        <v>6277</v>
      </c>
      <c r="B834" s="9" t="s">
        <v>1095</v>
      </c>
      <c r="C834" s="9" t="s">
        <v>64</v>
      </c>
      <c r="D834" s="9" t="s">
        <v>110</v>
      </c>
      <c r="E834" s="9" t="s">
        <v>327</v>
      </c>
      <c r="F834" s="11">
        <v>2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0">
        <v>2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29">
        <v>0.48</v>
      </c>
    </row>
    <row r="835">
      <c r="A835" s="23">
        <v>6286</v>
      </c>
      <c r="B835" s="4" t="s">
        <v>1096</v>
      </c>
      <c r="C835" s="4" t="s">
        <v>64</v>
      </c>
      <c r="D835" s="4" t="s">
        <v>76</v>
      </c>
      <c r="E835" s="4" t="s">
        <v>163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6313</v>
      </c>
      <c r="B836" s="9" t="s">
        <v>1097</v>
      </c>
      <c r="C836" s="9" t="s">
        <v>171</v>
      </c>
      <c r="D836" s="9" t="s">
        <v>172</v>
      </c>
      <c r="E836" s="9" t="s">
        <v>181</v>
      </c>
      <c r="F836" s="11">
        <v>1</v>
      </c>
      <c r="G836" s="12">
        <v>0</v>
      </c>
      <c r="H836" s="12">
        <v>0</v>
      </c>
      <c r="I836" s="12">
        <v>0</v>
      </c>
      <c r="J836" s="12">
        <v>0</v>
      </c>
      <c r="K836" s="10">
        <v>1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2">
        <v>0</v>
      </c>
      <c r="Z836" s="10">
        <v>1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6342</v>
      </c>
      <c r="B837" s="4" t="s">
        <v>1098</v>
      </c>
      <c r="C837" s="4" t="s">
        <v>64</v>
      </c>
      <c r="D837" s="4" t="s">
        <v>110</v>
      </c>
      <c r="E837" s="4" t="s">
        <v>151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6343</v>
      </c>
      <c r="B838" s="9" t="s">
        <v>1099</v>
      </c>
      <c r="C838" s="9" t="s">
        <v>64</v>
      </c>
      <c r="D838" s="9" t="s">
        <v>76</v>
      </c>
      <c r="E838" s="9" t="s">
        <v>878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6349</v>
      </c>
      <c r="B839" s="4" t="s">
        <v>1100</v>
      </c>
      <c r="C839" s="4" t="s">
        <v>171</v>
      </c>
      <c r="D839" s="4" t="s">
        <v>172</v>
      </c>
      <c r="E839" s="4" t="s">
        <v>173</v>
      </c>
      <c r="F839" s="6">
        <v>2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5">
        <v>1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5">
        <v>1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6424</v>
      </c>
      <c r="B840" s="9" t="s">
        <v>1101</v>
      </c>
      <c r="C840" s="9" t="s">
        <v>622</v>
      </c>
      <c r="D840" s="9" t="s">
        <v>1102</v>
      </c>
      <c r="E840" s="9" t="s">
        <v>1103</v>
      </c>
      <c r="F840" s="11">
        <v>2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0">
        <v>2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0">
        <v>2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30">
        <v>0</v>
      </c>
    </row>
    <row r="841">
      <c r="A841" s="23">
        <v>6434</v>
      </c>
      <c r="B841" s="4" t="s">
        <v>644</v>
      </c>
      <c r="C841" s="4" t="s">
        <v>64</v>
      </c>
      <c r="D841" s="4" t="s">
        <v>76</v>
      </c>
      <c r="E841" s="4" t="s">
        <v>163</v>
      </c>
      <c r="F841" s="6">
        <v>2</v>
      </c>
      <c r="G841" s="5">
        <v>1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1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6436</v>
      </c>
      <c r="B842" s="9" t="s">
        <v>1104</v>
      </c>
      <c r="C842" s="9" t="s">
        <v>64</v>
      </c>
      <c r="D842" s="9" t="s">
        <v>76</v>
      </c>
      <c r="E842" s="9" t="s">
        <v>163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6437</v>
      </c>
      <c r="B843" s="4" t="s">
        <v>1105</v>
      </c>
      <c r="C843" s="4" t="s">
        <v>64</v>
      </c>
      <c r="D843" s="4" t="s">
        <v>110</v>
      </c>
      <c r="E843" s="4" t="s">
        <v>151</v>
      </c>
      <c r="F843" s="6">
        <v>2</v>
      </c>
      <c r="G843" s="7">
        <v>0</v>
      </c>
      <c r="H843" s="7">
        <v>0</v>
      </c>
      <c r="I843" s="7">
        <v>0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2</v>
      </c>
      <c r="V843" s="7">
        <v>0</v>
      </c>
      <c r="W843" s="7">
        <v>0</v>
      </c>
      <c r="X843" s="7">
        <v>0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0.24</v>
      </c>
    </row>
    <row r="844">
      <c r="A844" s="24">
        <v>6445</v>
      </c>
      <c r="B844" s="9" t="s">
        <v>1106</v>
      </c>
      <c r="C844" s="9" t="s">
        <v>64</v>
      </c>
      <c r="D844" s="9" t="s">
        <v>76</v>
      </c>
      <c r="E844" s="9" t="s">
        <v>163</v>
      </c>
      <c r="F844" s="11">
        <v>8</v>
      </c>
      <c r="G844" s="12">
        <v>0</v>
      </c>
      <c r="H844" s="12">
        <v>0</v>
      </c>
      <c r="I844" s="12">
        <v>0</v>
      </c>
      <c r="J844" s="10">
        <v>8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7</v>
      </c>
      <c r="V844" s="12">
        <v>0</v>
      </c>
      <c r="W844" s="12">
        <v>0</v>
      </c>
      <c r="X844" s="12">
        <v>0</v>
      </c>
      <c r="Y844" s="10">
        <v>7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8</v>
      </c>
      <c r="AK844" s="13">
        <v>8</v>
      </c>
      <c r="AL844" s="10">
        <v>8</v>
      </c>
      <c r="AM844" s="10">
        <v>8</v>
      </c>
      <c r="AN844" s="30">
        <v>0</v>
      </c>
    </row>
    <row r="845">
      <c r="A845" s="23">
        <v>6446</v>
      </c>
      <c r="B845" s="4" t="s">
        <v>1107</v>
      </c>
      <c r="C845" s="4" t="s">
        <v>64</v>
      </c>
      <c r="D845" s="4" t="s">
        <v>76</v>
      </c>
      <c r="E845" s="4" t="s">
        <v>163</v>
      </c>
      <c r="F845" s="6">
        <v>2</v>
      </c>
      <c r="G845" s="7">
        <v>0</v>
      </c>
      <c r="H845" s="7">
        <v>0</v>
      </c>
      <c r="I845" s="7">
        <v>0</v>
      </c>
      <c r="J845" s="5">
        <v>1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7">
        <v>0</v>
      </c>
      <c r="W845" s="7">
        <v>0</v>
      </c>
      <c r="X845" s="7">
        <v>0</v>
      </c>
      <c r="Y845" s="5">
        <v>1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6447</v>
      </c>
      <c r="B846" s="9" t="s">
        <v>1108</v>
      </c>
      <c r="C846" s="9" t="s">
        <v>64</v>
      </c>
      <c r="D846" s="9" t="s">
        <v>80</v>
      </c>
      <c r="E846" s="9" t="s">
        <v>81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6474</v>
      </c>
      <c r="B847" s="4" t="s">
        <v>1109</v>
      </c>
      <c r="C847" s="4" t="s">
        <v>64</v>
      </c>
      <c r="D847" s="4" t="s">
        <v>83</v>
      </c>
      <c r="E847" s="4" t="s">
        <v>145</v>
      </c>
      <c r="F847" s="6">
        <v>2</v>
      </c>
      <c r="G847" s="5">
        <v>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31">
        <v>0</v>
      </c>
    </row>
    <row r="848">
      <c r="A848" s="24">
        <v>6483</v>
      </c>
      <c r="B848" s="9" t="s">
        <v>1110</v>
      </c>
      <c r="C848" s="9" t="s">
        <v>64</v>
      </c>
      <c r="D848" s="9" t="s">
        <v>68</v>
      </c>
      <c r="E848" s="9" t="s">
        <v>71</v>
      </c>
      <c r="F848" s="11">
        <v>3</v>
      </c>
      <c r="G848" s="10">
        <v>2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6484</v>
      </c>
      <c r="B849" s="4" t="s">
        <v>1111</v>
      </c>
      <c r="C849" s="4" t="s">
        <v>64</v>
      </c>
      <c r="D849" s="4" t="s">
        <v>65</v>
      </c>
      <c r="E849" s="4" t="s">
        <v>361</v>
      </c>
      <c r="F849" s="6">
        <v>5</v>
      </c>
      <c r="G849" s="5">
        <v>2</v>
      </c>
      <c r="H849" s="7">
        <v>0</v>
      </c>
      <c r="I849" s="5">
        <v>2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4</v>
      </c>
      <c r="V849" s="5">
        <v>1</v>
      </c>
      <c r="W849" s="7">
        <v>0</v>
      </c>
      <c r="X849" s="5">
        <v>2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1.67</v>
      </c>
      <c r="AL849" s="5">
        <v>2</v>
      </c>
      <c r="AM849" s="5">
        <v>2</v>
      </c>
      <c r="AN849" s="28">
        <v>1.1</v>
      </c>
    </row>
    <row r="850">
      <c r="A850" s="24">
        <v>6485</v>
      </c>
      <c r="B850" s="9" t="s">
        <v>1112</v>
      </c>
      <c r="C850" s="9" t="s">
        <v>64</v>
      </c>
      <c r="D850" s="9" t="s">
        <v>132</v>
      </c>
      <c r="E850" s="9" t="s">
        <v>227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6486</v>
      </c>
      <c r="B851" s="4" t="s">
        <v>1113</v>
      </c>
      <c r="C851" s="4" t="s">
        <v>64</v>
      </c>
      <c r="D851" s="4" t="s">
        <v>73</v>
      </c>
      <c r="E851" s="4" t="s">
        <v>457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6497</v>
      </c>
      <c r="B852" s="9" t="s">
        <v>1114</v>
      </c>
      <c r="C852" s="9" t="s">
        <v>674</v>
      </c>
      <c r="D852" s="9" t="s">
        <v>1115</v>
      </c>
      <c r="E852" s="9" t="s">
        <v>1116</v>
      </c>
      <c r="F852" s="11">
        <v>2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0">
        <v>1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0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6524</v>
      </c>
      <c r="B853" s="4" t="s">
        <v>1117</v>
      </c>
      <c r="C853" s="4" t="s">
        <v>622</v>
      </c>
      <c r="D853" s="4" t="s">
        <v>711</v>
      </c>
      <c r="E853" s="4" t="s">
        <v>1118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6526</v>
      </c>
      <c r="B854" s="9" t="s">
        <v>1119</v>
      </c>
      <c r="C854" s="9" t="s">
        <v>64</v>
      </c>
      <c r="D854" s="9" t="s">
        <v>129</v>
      </c>
      <c r="E854" s="9" t="s">
        <v>198</v>
      </c>
      <c r="F854" s="11">
        <v>3</v>
      </c>
      <c r="G854" s="10">
        <v>3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3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3</v>
      </c>
      <c r="AK854" s="13">
        <v>3</v>
      </c>
      <c r="AL854" s="10">
        <v>3</v>
      </c>
      <c r="AM854" s="10">
        <v>3</v>
      </c>
      <c r="AN854" s="30">
        <v>0</v>
      </c>
    </row>
    <row r="855">
      <c r="A855" s="23">
        <v>6538</v>
      </c>
      <c r="B855" s="4" t="s">
        <v>1120</v>
      </c>
      <c r="C855" s="4" t="s">
        <v>141</v>
      </c>
      <c r="D855" s="4" t="s">
        <v>230</v>
      </c>
      <c r="E855" s="4" t="s">
        <v>1086</v>
      </c>
      <c r="F855" s="6">
        <v>3</v>
      </c>
      <c r="G855" s="7">
        <v>0</v>
      </c>
      <c r="H855" s="7">
        <v>0</v>
      </c>
      <c r="I855" s="5">
        <v>1</v>
      </c>
      <c r="J855" s="7">
        <v>0</v>
      </c>
      <c r="K855" s="7">
        <v>0</v>
      </c>
      <c r="L855" s="5">
        <v>2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</v>
      </c>
      <c r="V855" s="7">
        <v>0</v>
      </c>
      <c r="W855" s="7">
        <v>0</v>
      </c>
      <c r="X855" s="5">
        <v>1</v>
      </c>
      <c r="Y855" s="7">
        <v>0</v>
      </c>
      <c r="Z855" s="7">
        <v>0</v>
      </c>
      <c r="AA855" s="5">
        <v>2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31">
        <v>0</v>
      </c>
    </row>
    <row r="856">
      <c r="A856" s="24">
        <v>6605</v>
      </c>
      <c r="B856" s="9" t="s">
        <v>1121</v>
      </c>
      <c r="C856" s="9" t="s">
        <v>622</v>
      </c>
      <c r="D856" s="9" t="s">
        <v>623</v>
      </c>
      <c r="E856" s="9" t="s">
        <v>1122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0.26</v>
      </c>
    </row>
    <row r="857">
      <c r="A857" s="23">
        <v>6622</v>
      </c>
      <c r="B857" s="4" t="s">
        <v>1123</v>
      </c>
      <c r="C857" s="4" t="s">
        <v>686</v>
      </c>
      <c r="D857" s="4" t="s">
        <v>687</v>
      </c>
      <c r="E857" s="4" t="s">
        <v>361</v>
      </c>
      <c r="F857" s="6">
        <v>8</v>
      </c>
      <c r="G857" s="7">
        <v>0</v>
      </c>
      <c r="H857" s="7">
        <v>0</v>
      </c>
      <c r="I857" s="5">
        <v>5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6</v>
      </c>
      <c r="V857" s="7">
        <v>0</v>
      </c>
      <c r="W857" s="7">
        <v>0</v>
      </c>
      <c r="X857" s="5">
        <v>3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2.67</v>
      </c>
      <c r="AL857" s="5">
        <v>3</v>
      </c>
      <c r="AM857" s="5">
        <v>3</v>
      </c>
      <c r="AN857" s="28">
        <v>0.78</v>
      </c>
    </row>
    <row r="858">
      <c r="A858" s="24">
        <v>6636</v>
      </c>
      <c r="B858" s="9" t="s">
        <v>1124</v>
      </c>
      <c r="C858" s="9" t="s">
        <v>64</v>
      </c>
      <c r="D858" s="9" t="s">
        <v>132</v>
      </c>
      <c r="E858" s="9" t="s">
        <v>202</v>
      </c>
      <c r="F858" s="11">
        <v>1</v>
      </c>
      <c r="G858" s="12">
        <v>0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6644</v>
      </c>
      <c r="B859" s="4" t="s">
        <v>1125</v>
      </c>
      <c r="C859" s="4" t="s">
        <v>622</v>
      </c>
      <c r="D859" s="4" t="s">
        <v>670</v>
      </c>
      <c r="E859" s="4" t="s">
        <v>1126</v>
      </c>
      <c r="F859" s="6">
        <v>1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0.24</v>
      </c>
    </row>
    <row r="860">
      <c r="A860" s="24">
        <v>6667</v>
      </c>
      <c r="B860" s="9" t="s">
        <v>1127</v>
      </c>
      <c r="C860" s="9" t="s">
        <v>64</v>
      </c>
      <c r="D860" s="9" t="s">
        <v>132</v>
      </c>
      <c r="E860" s="9" t="s">
        <v>212</v>
      </c>
      <c r="F860" s="11">
        <v>5</v>
      </c>
      <c r="G860" s="10">
        <v>4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5</v>
      </c>
      <c r="V860" s="10">
        <v>4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2</v>
      </c>
      <c r="AM860" s="10">
        <v>2</v>
      </c>
      <c r="AN860" s="29">
        <v>0.25</v>
      </c>
    </row>
    <row r="861">
      <c r="A861" s="23">
        <v>6697</v>
      </c>
      <c r="B861" s="4" t="s">
        <v>1128</v>
      </c>
      <c r="C861" s="4" t="s">
        <v>686</v>
      </c>
      <c r="D861" s="4" t="s">
        <v>919</v>
      </c>
      <c r="E861" s="4" t="s">
        <v>361</v>
      </c>
      <c r="F861" s="6">
        <v>4</v>
      </c>
      <c r="G861" s="7">
        <v>0</v>
      </c>
      <c r="H861" s="7">
        <v>0</v>
      </c>
      <c r="I861" s="7">
        <v>0</v>
      </c>
      <c r="J861" s="5">
        <v>4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4</v>
      </c>
      <c r="V861" s="7">
        <v>0</v>
      </c>
      <c r="W861" s="7">
        <v>0</v>
      </c>
      <c r="X861" s="7">
        <v>0</v>
      </c>
      <c r="Y861" s="5">
        <v>4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4</v>
      </c>
      <c r="AK861" s="8">
        <v>4</v>
      </c>
      <c r="AL861" s="5">
        <v>4</v>
      </c>
      <c r="AM861" s="5">
        <v>4</v>
      </c>
      <c r="AN861" s="28">
        <v>1.04</v>
      </c>
    </row>
    <row r="862">
      <c r="A862" s="24">
        <v>6707</v>
      </c>
      <c r="B862" s="9" t="s">
        <v>1129</v>
      </c>
      <c r="C862" s="9" t="s">
        <v>64</v>
      </c>
      <c r="D862" s="9" t="s">
        <v>132</v>
      </c>
      <c r="E862" s="9" t="s">
        <v>227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6716</v>
      </c>
      <c r="B863" s="4" t="s">
        <v>1130</v>
      </c>
      <c r="C863" s="4" t="s">
        <v>64</v>
      </c>
      <c r="D863" s="4" t="s">
        <v>73</v>
      </c>
      <c r="E863" s="4" t="s">
        <v>457</v>
      </c>
      <c r="F863" s="6">
        <v>2</v>
      </c>
      <c r="G863" s="5">
        <v>2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28">
        <v>0.38</v>
      </c>
    </row>
    <row r="864">
      <c r="A864" s="24">
        <v>6729</v>
      </c>
      <c r="B864" s="9" t="s">
        <v>1131</v>
      </c>
      <c r="C864" s="9" t="s">
        <v>64</v>
      </c>
      <c r="D864" s="9" t="s">
        <v>132</v>
      </c>
      <c r="E864" s="9" t="s">
        <v>133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0.22</v>
      </c>
    </row>
    <row r="865">
      <c r="A865" s="23">
        <v>6803</v>
      </c>
      <c r="B865" s="4" t="s">
        <v>1132</v>
      </c>
      <c r="C865" s="4" t="s">
        <v>141</v>
      </c>
      <c r="D865" s="4" t="s">
        <v>142</v>
      </c>
      <c r="E865" s="4" t="s">
        <v>143</v>
      </c>
      <c r="F865" s="6">
        <v>1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0.35</v>
      </c>
    </row>
    <row r="866">
      <c r="A866" s="24">
        <v>6809</v>
      </c>
      <c r="B866" s="9" t="s">
        <v>1133</v>
      </c>
      <c r="C866" s="9" t="s">
        <v>141</v>
      </c>
      <c r="D866" s="9" t="s">
        <v>142</v>
      </c>
      <c r="E866" s="9" t="s">
        <v>143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30">
        <v>0</v>
      </c>
    </row>
    <row r="867">
      <c r="A867" s="23">
        <v>6900</v>
      </c>
      <c r="B867" s="4" t="s">
        <v>1134</v>
      </c>
      <c r="C867" s="4" t="s">
        <v>64</v>
      </c>
      <c r="D867" s="4" t="s">
        <v>110</v>
      </c>
      <c r="E867" s="4" t="s">
        <v>151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6913</v>
      </c>
      <c r="B868" s="9" t="s">
        <v>1135</v>
      </c>
      <c r="C868" s="9" t="s">
        <v>64</v>
      </c>
      <c r="D868" s="9" t="s">
        <v>68</v>
      </c>
      <c r="E868" s="9" t="s">
        <v>245</v>
      </c>
      <c r="F868" s="11">
        <v>4</v>
      </c>
      <c r="G868" s="10">
        <v>4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4</v>
      </c>
      <c r="AK868" s="13">
        <v>4</v>
      </c>
      <c r="AL868" s="10">
        <v>4</v>
      </c>
      <c r="AM868" s="10">
        <v>4</v>
      </c>
      <c r="AN868" s="30">
        <v>0</v>
      </c>
    </row>
    <row r="869">
      <c r="A869" s="23">
        <v>6927</v>
      </c>
      <c r="B869" s="4" t="s">
        <v>1136</v>
      </c>
      <c r="C869" s="4" t="s">
        <v>64</v>
      </c>
      <c r="D869" s="4" t="s">
        <v>73</v>
      </c>
      <c r="E869" s="4" t="s">
        <v>325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7008</v>
      </c>
      <c r="B870" s="9" t="s">
        <v>1137</v>
      </c>
      <c r="C870" s="9" t="s">
        <v>141</v>
      </c>
      <c r="D870" s="9" t="s">
        <v>480</v>
      </c>
      <c r="E870" s="9" t="s">
        <v>481</v>
      </c>
      <c r="F870" s="11">
        <v>2</v>
      </c>
      <c r="G870" s="12">
        <v>0</v>
      </c>
      <c r="H870" s="12">
        <v>0</v>
      </c>
      <c r="I870" s="10">
        <v>1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2">
        <v>0</v>
      </c>
      <c r="W870" s="12">
        <v>0</v>
      </c>
      <c r="X870" s="10">
        <v>1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7168</v>
      </c>
      <c r="B871" s="4" t="s">
        <v>1138</v>
      </c>
      <c r="C871" s="4" t="s">
        <v>1139</v>
      </c>
      <c r="D871" s="4" t="s">
        <v>1140</v>
      </c>
      <c r="E871" s="4" t="s">
        <v>1141</v>
      </c>
      <c r="F871" s="6">
        <v>3</v>
      </c>
      <c r="G871" s="7">
        <v>0</v>
      </c>
      <c r="H871" s="5">
        <v>3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5">
        <v>2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28">
        <v>0.58</v>
      </c>
    </row>
    <row r="872">
      <c r="A872" s="24">
        <v>7216</v>
      </c>
      <c r="B872" s="9" t="s">
        <v>1142</v>
      </c>
      <c r="C872" s="9" t="s">
        <v>171</v>
      </c>
      <c r="D872" s="9" t="s">
        <v>1143</v>
      </c>
      <c r="E872" s="9" t="s">
        <v>1144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7257</v>
      </c>
      <c r="B873" s="4" t="s">
        <v>1145</v>
      </c>
      <c r="C873" s="4" t="s">
        <v>64</v>
      </c>
      <c r="D873" s="4" t="s">
        <v>110</v>
      </c>
      <c r="E873" s="4" t="s">
        <v>151</v>
      </c>
      <c r="F873" s="6">
        <v>1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5">
        <v>1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5">
        <v>1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7258</v>
      </c>
      <c r="B874" s="9" t="s">
        <v>1146</v>
      </c>
      <c r="C874" s="9" t="s">
        <v>64</v>
      </c>
      <c r="D874" s="9" t="s">
        <v>110</v>
      </c>
      <c r="E874" s="9" t="s">
        <v>151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7341</v>
      </c>
      <c r="B875" s="4" t="s">
        <v>1147</v>
      </c>
      <c r="C875" s="4" t="s">
        <v>1148</v>
      </c>
      <c r="D875" s="4" t="s">
        <v>361</v>
      </c>
      <c r="E875" s="4" t="s">
        <v>361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1">
        <v>0</v>
      </c>
    </row>
    <row r="876">
      <c r="A876" s="24">
        <v>7349</v>
      </c>
      <c r="B876" s="9" t="s">
        <v>1149</v>
      </c>
      <c r="C876" s="9" t="s">
        <v>141</v>
      </c>
      <c r="D876" s="9" t="s">
        <v>1150</v>
      </c>
      <c r="E876" s="9" t="s">
        <v>1151</v>
      </c>
      <c r="F876" s="11">
        <v>2</v>
      </c>
      <c r="G876" s="12">
        <v>0</v>
      </c>
      <c r="H876" s="12">
        <v>0</v>
      </c>
      <c r="I876" s="10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2">
        <v>0</v>
      </c>
      <c r="W876" s="12">
        <v>0</v>
      </c>
      <c r="X876" s="10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0">
        <v>0</v>
      </c>
    </row>
    <row r="877">
      <c r="A877" s="23">
        <v>7356</v>
      </c>
      <c r="B877" s="4" t="s">
        <v>1152</v>
      </c>
      <c r="C877" s="4" t="s">
        <v>686</v>
      </c>
      <c r="D877" s="4" t="s">
        <v>919</v>
      </c>
      <c r="E877" s="4" t="s">
        <v>361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7439</v>
      </c>
      <c r="B878" s="9" t="s">
        <v>1153</v>
      </c>
      <c r="C878" s="9" t="s">
        <v>686</v>
      </c>
      <c r="D878" s="9" t="s">
        <v>1154</v>
      </c>
      <c r="E878" s="9" t="s">
        <v>361</v>
      </c>
      <c r="F878" s="11">
        <v>2</v>
      </c>
      <c r="G878" s="12">
        <v>0</v>
      </c>
      <c r="H878" s="12">
        <v>0</v>
      </c>
      <c r="I878" s="10">
        <v>2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2">
        <v>0</v>
      </c>
      <c r="W878" s="12">
        <v>0</v>
      </c>
      <c r="X878" s="10">
        <v>2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7440</v>
      </c>
      <c r="B879" s="4" t="s">
        <v>1155</v>
      </c>
      <c r="C879" s="4" t="s">
        <v>686</v>
      </c>
      <c r="D879" s="4" t="s">
        <v>1154</v>
      </c>
      <c r="E879" s="4" t="s">
        <v>361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0.33</v>
      </c>
    </row>
    <row r="880">
      <c r="A880" s="24">
        <v>7471</v>
      </c>
      <c r="B880" s="9" t="s">
        <v>1156</v>
      </c>
      <c r="C880" s="9" t="s">
        <v>64</v>
      </c>
      <c r="D880" s="9" t="s">
        <v>80</v>
      </c>
      <c r="E880" s="9" t="s">
        <v>86</v>
      </c>
      <c r="F880" s="11">
        <v>2</v>
      </c>
      <c r="G880" s="10">
        <v>1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0">
        <v>1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0.5</v>
      </c>
    </row>
    <row r="881">
      <c r="A881" s="23">
        <v>7484</v>
      </c>
      <c r="B881" s="4" t="s">
        <v>1157</v>
      </c>
      <c r="C881" s="4" t="s">
        <v>141</v>
      </c>
      <c r="D881" s="4" t="s">
        <v>1158</v>
      </c>
      <c r="E881" s="4" t="s">
        <v>1159</v>
      </c>
      <c r="F881" s="6">
        <v>2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5">
        <v>2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1">
        <v>0</v>
      </c>
    </row>
    <row r="882">
      <c r="A882" s="24">
        <v>7490</v>
      </c>
      <c r="B882" s="9" t="s">
        <v>1160</v>
      </c>
      <c r="C882" s="9" t="s">
        <v>64</v>
      </c>
      <c r="D882" s="9" t="s">
        <v>107</v>
      </c>
      <c r="E882" s="9" t="s">
        <v>108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7514</v>
      </c>
      <c r="B883" s="4" t="s">
        <v>1161</v>
      </c>
      <c r="C883" s="4" t="s">
        <v>141</v>
      </c>
      <c r="D883" s="4" t="s">
        <v>142</v>
      </c>
      <c r="E883" s="4" t="s">
        <v>689</v>
      </c>
      <c r="F883" s="6">
        <v>2</v>
      </c>
      <c r="G883" s="7">
        <v>0</v>
      </c>
      <c r="H883" s="7">
        <v>0</v>
      </c>
      <c r="I883" s="5">
        <v>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31">
        <v>0</v>
      </c>
    </row>
    <row r="884">
      <c r="A884" s="24">
        <v>7538</v>
      </c>
      <c r="B884" s="9" t="s">
        <v>1162</v>
      </c>
      <c r="C884" s="9" t="s">
        <v>141</v>
      </c>
      <c r="D884" s="9" t="s">
        <v>480</v>
      </c>
      <c r="E884" s="9" t="s">
        <v>551</v>
      </c>
      <c r="F884" s="11">
        <v>2</v>
      </c>
      <c r="G884" s="10">
        <v>1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1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7542</v>
      </c>
      <c r="B885" s="4" t="s">
        <v>1163</v>
      </c>
      <c r="C885" s="4" t="s">
        <v>64</v>
      </c>
      <c r="D885" s="4" t="s">
        <v>107</v>
      </c>
      <c r="E885" s="4" t="s">
        <v>108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7561</v>
      </c>
      <c r="B886" s="9" t="s">
        <v>1164</v>
      </c>
      <c r="C886" s="9" t="s">
        <v>141</v>
      </c>
      <c r="D886" s="9" t="s">
        <v>142</v>
      </c>
      <c r="E886" s="9" t="s">
        <v>689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0.35</v>
      </c>
    </row>
    <row r="887">
      <c r="A887" s="23">
        <v>7598</v>
      </c>
      <c r="B887" s="4" t="s">
        <v>1165</v>
      </c>
      <c r="C887" s="4" t="s">
        <v>64</v>
      </c>
      <c r="D887" s="4" t="s">
        <v>103</v>
      </c>
      <c r="E887" s="4" t="s">
        <v>1166</v>
      </c>
      <c r="F887" s="6">
        <v>3</v>
      </c>
      <c r="G887" s="5">
        <v>2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5">
        <v>1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31">
        <v>0</v>
      </c>
    </row>
    <row r="888">
      <c r="A888" s="24">
        <v>7622</v>
      </c>
      <c r="B888" s="9" t="s">
        <v>1167</v>
      </c>
      <c r="C888" s="9" t="s">
        <v>64</v>
      </c>
      <c r="D888" s="9" t="s">
        <v>110</v>
      </c>
      <c r="E888" s="9" t="s">
        <v>455</v>
      </c>
      <c r="F888" s="11">
        <v>1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0">
        <v>1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0">
        <v>1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7625</v>
      </c>
      <c r="B889" s="4" t="s">
        <v>1168</v>
      </c>
      <c r="C889" s="4" t="s">
        <v>64</v>
      </c>
      <c r="D889" s="4" t="s">
        <v>110</v>
      </c>
      <c r="E889" s="4" t="s">
        <v>151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1">
        <v>0</v>
      </c>
    </row>
    <row r="890">
      <c r="A890" s="24">
        <v>7631</v>
      </c>
      <c r="B890" s="9" t="s">
        <v>1169</v>
      </c>
      <c r="C890" s="9" t="s">
        <v>64</v>
      </c>
      <c r="D890" s="9" t="s">
        <v>132</v>
      </c>
      <c r="E890" s="9" t="s">
        <v>212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30">
        <v>0</v>
      </c>
    </row>
    <row r="891">
      <c r="A891" s="23">
        <v>7649</v>
      </c>
      <c r="B891" s="4" t="s">
        <v>1170</v>
      </c>
      <c r="C891" s="4" t="s">
        <v>64</v>
      </c>
      <c r="D891" s="4" t="s">
        <v>110</v>
      </c>
      <c r="E891" s="4" t="s">
        <v>111</v>
      </c>
      <c r="F891" s="6">
        <v>1</v>
      </c>
      <c r="G891" s="7">
        <v>0</v>
      </c>
      <c r="H891" s="7">
        <v>0</v>
      </c>
      <c r="I891" s="7">
        <v>0</v>
      </c>
      <c r="J891" s="7">
        <v>0</v>
      </c>
      <c r="K891" s="5">
        <v>1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7">
        <v>0</v>
      </c>
      <c r="Y891" s="7">
        <v>0</v>
      </c>
      <c r="Z891" s="5">
        <v>1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7650</v>
      </c>
      <c r="B892" s="9" t="s">
        <v>1171</v>
      </c>
      <c r="C892" s="9" t="s">
        <v>64</v>
      </c>
      <c r="D892" s="9" t="s">
        <v>73</v>
      </c>
      <c r="E892" s="9" t="s">
        <v>457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30">
        <v>0</v>
      </c>
    </row>
    <row r="893">
      <c r="A893" s="23">
        <v>7654</v>
      </c>
      <c r="B893" s="4" t="s">
        <v>1172</v>
      </c>
      <c r="C893" s="4" t="s">
        <v>64</v>
      </c>
      <c r="D893" s="4" t="s">
        <v>110</v>
      </c>
      <c r="E893" s="4" t="s">
        <v>151</v>
      </c>
      <c r="F893" s="6">
        <v>1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0.24</v>
      </c>
    </row>
    <row r="894">
      <c r="A894" s="24">
        <v>7665</v>
      </c>
      <c r="B894" s="9" t="s">
        <v>933</v>
      </c>
      <c r="C894" s="9" t="s">
        <v>64</v>
      </c>
      <c r="D894" s="9" t="s">
        <v>76</v>
      </c>
      <c r="E894" s="9" t="s">
        <v>77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7925</v>
      </c>
      <c r="B895" s="4" t="s">
        <v>1173</v>
      </c>
      <c r="C895" s="4" t="s">
        <v>171</v>
      </c>
      <c r="D895" s="4" t="s">
        <v>1174</v>
      </c>
      <c r="E895" s="4" t="s">
        <v>1175</v>
      </c>
      <c r="F895" s="6">
        <v>3</v>
      </c>
      <c r="G895" s="5">
        <v>1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3</v>
      </c>
      <c r="V895" s="5">
        <v>1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0.85</v>
      </c>
    </row>
    <row r="896">
      <c r="A896" s="24">
        <v>7935</v>
      </c>
      <c r="B896" s="9" t="s">
        <v>1176</v>
      </c>
      <c r="C896" s="9" t="s">
        <v>64</v>
      </c>
      <c r="D896" s="9" t="s">
        <v>88</v>
      </c>
      <c r="E896" s="9" t="s">
        <v>363</v>
      </c>
      <c r="F896" s="11">
        <v>6</v>
      </c>
      <c r="G896" s="10">
        <v>3</v>
      </c>
      <c r="H896" s="10">
        <v>2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5</v>
      </c>
      <c r="V896" s="10">
        <v>3</v>
      </c>
      <c r="W896" s="10">
        <v>1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0.86</v>
      </c>
    </row>
    <row r="897">
      <c r="A897" s="23">
        <v>8021</v>
      </c>
      <c r="B897" s="4" t="s">
        <v>1177</v>
      </c>
      <c r="C897" s="4" t="s">
        <v>674</v>
      </c>
      <c r="D897" s="4" t="s">
        <v>675</v>
      </c>
      <c r="E897" s="4" t="s">
        <v>1178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8073</v>
      </c>
      <c r="B898" s="9" t="s">
        <v>1179</v>
      </c>
      <c r="C898" s="9" t="s">
        <v>64</v>
      </c>
      <c r="D898" s="9" t="s">
        <v>80</v>
      </c>
      <c r="E898" s="9" t="s">
        <v>135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8098</v>
      </c>
      <c r="B899" s="4" t="s">
        <v>1180</v>
      </c>
      <c r="C899" s="4" t="s">
        <v>171</v>
      </c>
      <c r="D899" s="4" t="s">
        <v>172</v>
      </c>
      <c r="E899" s="4" t="s">
        <v>173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1">
        <v>0</v>
      </c>
    </row>
    <row r="900">
      <c r="A900" s="24">
        <v>8119</v>
      </c>
      <c r="B900" s="9" t="s">
        <v>1181</v>
      </c>
      <c r="C900" s="9" t="s">
        <v>171</v>
      </c>
      <c r="D900" s="9" t="s">
        <v>1182</v>
      </c>
      <c r="E900" s="9" t="s">
        <v>361</v>
      </c>
      <c r="F900" s="11">
        <v>1</v>
      </c>
      <c r="G900" s="12">
        <v>0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8132</v>
      </c>
      <c r="B901" s="4" t="s">
        <v>1183</v>
      </c>
      <c r="C901" s="4" t="s">
        <v>64</v>
      </c>
      <c r="D901" s="4" t="s">
        <v>83</v>
      </c>
      <c r="E901" s="4" t="s">
        <v>84</v>
      </c>
      <c r="F901" s="6">
        <v>2</v>
      </c>
      <c r="G901" s="7">
        <v>0</v>
      </c>
      <c r="H901" s="5">
        <v>1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7">
        <v>0</v>
      </c>
      <c r="W901" s="5">
        <v>1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0.5</v>
      </c>
    </row>
    <row r="902">
      <c r="A902" s="24">
        <v>8213</v>
      </c>
      <c r="B902" s="9" t="s">
        <v>1184</v>
      </c>
      <c r="C902" s="9" t="s">
        <v>64</v>
      </c>
      <c r="D902" s="9" t="s">
        <v>132</v>
      </c>
      <c r="E902" s="9" t="s">
        <v>212</v>
      </c>
      <c r="F902" s="11">
        <v>3</v>
      </c>
      <c r="G902" s="10">
        <v>2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0">
        <v>2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0.25</v>
      </c>
    </row>
    <row r="903">
      <c r="A903" s="23">
        <v>8256</v>
      </c>
      <c r="B903" s="4" t="s">
        <v>1185</v>
      </c>
      <c r="C903" s="4" t="s">
        <v>64</v>
      </c>
      <c r="D903" s="4" t="s">
        <v>68</v>
      </c>
      <c r="E903" s="4" t="s">
        <v>69</v>
      </c>
      <c r="F903" s="6">
        <v>2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8275</v>
      </c>
      <c r="B904" s="9" t="s">
        <v>1186</v>
      </c>
      <c r="C904" s="9" t="s">
        <v>622</v>
      </c>
      <c r="D904" s="9" t="s">
        <v>1187</v>
      </c>
      <c r="E904" s="9" t="s">
        <v>1188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8278</v>
      </c>
      <c r="B905" s="4" t="s">
        <v>1189</v>
      </c>
      <c r="C905" s="4" t="s">
        <v>171</v>
      </c>
      <c r="D905" s="4" t="s">
        <v>1190</v>
      </c>
      <c r="E905" s="4" t="s">
        <v>1191</v>
      </c>
      <c r="F905" s="6">
        <v>2</v>
      </c>
      <c r="G905" s="7">
        <v>0</v>
      </c>
      <c r="H905" s="7">
        <v>0</v>
      </c>
      <c r="I905" s="7">
        <v>0</v>
      </c>
      <c r="J905" s="7">
        <v>0</v>
      </c>
      <c r="K905" s="5">
        <v>2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7">
        <v>0</v>
      </c>
      <c r="Y905" s="7">
        <v>0</v>
      </c>
      <c r="Z905" s="5">
        <v>2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31">
        <v>0</v>
      </c>
    </row>
    <row r="906">
      <c r="A906" s="24">
        <v>8289</v>
      </c>
      <c r="B906" s="9" t="s">
        <v>1192</v>
      </c>
      <c r="C906" s="9" t="s">
        <v>171</v>
      </c>
      <c r="D906" s="9" t="s">
        <v>185</v>
      </c>
      <c r="E906" s="9" t="s">
        <v>186</v>
      </c>
      <c r="F906" s="11">
        <v>2</v>
      </c>
      <c r="G906" s="12">
        <v>0</v>
      </c>
      <c r="H906" s="12">
        <v>0</v>
      </c>
      <c r="I906" s="10">
        <v>1</v>
      </c>
      <c r="J906" s="12">
        <v>0</v>
      </c>
      <c r="K906" s="10">
        <v>1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2">
        <v>0</v>
      </c>
      <c r="W906" s="12">
        <v>0</v>
      </c>
      <c r="X906" s="10">
        <v>1</v>
      </c>
      <c r="Y906" s="12">
        <v>0</v>
      </c>
      <c r="Z906" s="10">
        <v>1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8352</v>
      </c>
      <c r="B907" s="4" t="s">
        <v>1193</v>
      </c>
      <c r="C907" s="4" t="s">
        <v>686</v>
      </c>
      <c r="D907" s="4" t="s">
        <v>695</v>
      </c>
      <c r="E907" s="4" t="s">
        <v>361</v>
      </c>
      <c r="F907" s="6">
        <v>1</v>
      </c>
      <c r="G907" s="7">
        <v>0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1">
        <v>0</v>
      </c>
    </row>
    <row r="908">
      <c r="A908" s="24">
        <v>8381</v>
      </c>
      <c r="B908" s="9" t="s">
        <v>1194</v>
      </c>
      <c r="C908" s="9" t="s">
        <v>141</v>
      </c>
      <c r="D908" s="9" t="s">
        <v>436</v>
      </c>
      <c r="E908" s="9" t="s">
        <v>1195</v>
      </c>
      <c r="F908" s="11">
        <v>3</v>
      </c>
      <c r="G908" s="10">
        <v>1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0">
        <v>1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0.24</v>
      </c>
    </row>
    <row r="909">
      <c r="A909" s="23">
        <v>8481</v>
      </c>
      <c r="B909" s="4" t="s">
        <v>1196</v>
      </c>
      <c r="C909" s="4" t="s">
        <v>64</v>
      </c>
      <c r="D909" s="4" t="s">
        <v>80</v>
      </c>
      <c r="E909" s="4" t="s">
        <v>81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8535</v>
      </c>
      <c r="B910" s="9" t="s">
        <v>1197</v>
      </c>
      <c r="C910" s="9" t="s">
        <v>619</v>
      </c>
      <c r="D910" s="9" t="s">
        <v>1198</v>
      </c>
      <c r="E910" s="9" t="s">
        <v>361</v>
      </c>
      <c r="F910" s="11">
        <v>3</v>
      </c>
      <c r="G910" s="12">
        <v>0</v>
      </c>
      <c r="H910" s="12">
        <v>0</v>
      </c>
      <c r="I910" s="12">
        <v>0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2">
        <v>0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0.5</v>
      </c>
    </row>
    <row r="911">
      <c r="A911" s="23">
        <v>8555</v>
      </c>
      <c r="B911" s="4" t="s">
        <v>1199</v>
      </c>
      <c r="C911" s="4" t="s">
        <v>64</v>
      </c>
      <c r="D911" s="4" t="s">
        <v>107</v>
      </c>
      <c r="E911" s="4" t="s">
        <v>108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8563</v>
      </c>
      <c r="B912" s="9" t="s">
        <v>1200</v>
      </c>
      <c r="C912" s="9" t="s">
        <v>64</v>
      </c>
      <c r="D912" s="9" t="s">
        <v>110</v>
      </c>
      <c r="E912" s="9" t="s">
        <v>151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8566</v>
      </c>
      <c r="B913" s="4" t="s">
        <v>1201</v>
      </c>
      <c r="C913" s="4" t="s">
        <v>64</v>
      </c>
      <c r="D913" s="4" t="s">
        <v>103</v>
      </c>
      <c r="E913" s="4" t="s">
        <v>1202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1">
        <v>0</v>
      </c>
    </row>
    <row r="914">
      <c r="A914" s="24">
        <v>8587</v>
      </c>
      <c r="B914" s="9" t="s">
        <v>1203</v>
      </c>
      <c r="C914" s="9" t="s">
        <v>64</v>
      </c>
      <c r="D914" s="9" t="s">
        <v>68</v>
      </c>
      <c r="E914" s="9" t="s">
        <v>71</v>
      </c>
      <c r="F914" s="11">
        <v>4</v>
      </c>
      <c r="G914" s="10">
        <v>3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4</v>
      </c>
      <c r="V914" s="10">
        <v>3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1.33</v>
      </c>
      <c r="AL914" s="10">
        <v>1</v>
      </c>
      <c r="AM914" s="10">
        <v>2</v>
      </c>
      <c r="AN914" s="29">
        <v>0.44</v>
      </c>
    </row>
    <row r="915">
      <c r="A915" s="23">
        <v>8604</v>
      </c>
      <c r="B915" s="4" t="s">
        <v>1204</v>
      </c>
      <c r="C915" s="4" t="s">
        <v>171</v>
      </c>
      <c r="D915" s="4" t="s">
        <v>1205</v>
      </c>
      <c r="E915" s="4" t="s">
        <v>361</v>
      </c>
      <c r="F915" s="6">
        <v>1</v>
      </c>
      <c r="G915" s="7">
        <v>0</v>
      </c>
      <c r="H915" s="7">
        <v>0</v>
      </c>
      <c r="I915" s="7">
        <v>0</v>
      </c>
      <c r="J915" s="7">
        <v>0</v>
      </c>
      <c r="K915" s="5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7">
        <v>0</v>
      </c>
      <c r="Z915" s="5">
        <v>1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1">
        <v>0</v>
      </c>
    </row>
    <row r="916">
      <c r="A916" s="24">
        <v>8629</v>
      </c>
      <c r="B916" s="9" t="s">
        <v>1206</v>
      </c>
      <c r="C916" s="9" t="s">
        <v>64</v>
      </c>
      <c r="D916" s="9" t="s">
        <v>68</v>
      </c>
      <c r="E916" s="9" t="s">
        <v>393</v>
      </c>
      <c r="F916" s="11">
        <v>1</v>
      </c>
      <c r="G916" s="12">
        <v>0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0.22</v>
      </c>
    </row>
    <row r="917">
      <c r="A917" s="23">
        <v>8635</v>
      </c>
      <c r="B917" s="4" t="s">
        <v>1207</v>
      </c>
      <c r="C917" s="4" t="s">
        <v>64</v>
      </c>
      <c r="D917" s="4" t="s">
        <v>83</v>
      </c>
      <c r="E917" s="4" t="s">
        <v>1208</v>
      </c>
      <c r="F917" s="6">
        <v>4</v>
      </c>
      <c r="G917" s="5">
        <v>1</v>
      </c>
      <c r="H917" s="7">
        <v>0</v>
      </c>
      <c r="I917" s="7">
        <v>0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1</v>
      </c>
      <c r="W917" s="7">
        <v>0</v>
      </c>
      <c r="X917" s="7">
        <v>0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1.33</v>
      </c>
      <c r="AL917" s="5">
        <v>1</v>
      </c>
      <c r="AM917" s="5">
        <v>2</v>
      </c>
      <c r="AN917" s="28">
        <v>1.04</v>
      </c>
    </row>
    <row r="918">
      <c r="A918" s="24">
        <v>8651</v>
      </c>
      <c r="B918" s="9" t="s">
        <v>1209</v>
      </c>
      <c r="C918" s="9" t="s">
        <v>64</v>
      </c>
      <c r="D918" s="9" t="s">
        <v>129</v>
      </c>
      <c r="E918" s="9" t="s">
        <v>1037</v>
      </c>
      <c r="F918" s="11">
        <v>2</v>
      </c>
      <c r="G918" s="10">
        <v>1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0">
        <v>1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8652</v>
      </c>
      <c r="B919" s="4" t="s">
        <v>1210</v>
      </c>
      <c r="C919" s="4" t="s">
        <v>171</v>
      </c>
      <c r="D919" s="4" t="s">
        <v>1211</v>
      </c>
      <c r="E919" s="4" t="s">
        <v>1212</v>
      </c>
      <c r="F919" s="6">
        <v>2</v>
      </c>
      <c r="G919" s="7">
        <v>0</v>
      </c>
      <c r="H919" s="7">
        <v>0</v>
      </c>
      <c r="I919" s="7">
        <v>0</v>
      </c>
      <c r="J919" s="7">
        <v>0</v>
      </c>
      <c r="K919" s="5">
        <v>2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7">
        <v>0</v>
      </c>
      <c r="X919" s="7">
        <v>0</v>
      </c>
      <c r="Y919" s="7">
        <v>0</v>
      </c>
      <c r="Z919" s="5">
        <v>2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1">
        <v>0</v>
      </c>
    </row>
    <row r="920">
      <c r="A920" s="24">
        <v>8695</v>
      </c>
      <c r="B920" s="9" t="s">
        <v>1213</v>
      </c>
      <c r="C920" s="9" t="s">
        <v>141</v>
      </c>
      <c r="D920" s="9" t="s">
        <v>230</v>
      </c>
      <c r="E920" s="9" t="s">
        <v>231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8706</v>
      </c>
      <c r="B921" s="4" t="s">
        <v>1214</v>
      </c>
      <c r="C921" s="4" t="s">
        <v>64</v>
      </c>
      <c r="D921" s="4" t="s">
        <v>129</v>
      </c>
      <c r="E921" s="4" t="s">
        <v>1037</v>
      </c>
      <c r="F921" s="6">
        <v>24</v>
      </c>
      <c r="G921" s="7">
        <v>0</v>
      </c>
      <c r="H921" s="7">
        <v>0</v>
      </c>
      <c r="I921" s="7">
        <v>0</v>
      </c>
      <c r="J921" s="5">
        <v>24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23</v>
      </c>
      <c r="V921" s="7">
        <v>0</v>
      </c>
      <c r="W921" s="7">
        <v>0</v>
      </c>
      <c r="X921" s="7">
        <v>0</v>
      </c>
      <c r="Y921" s="5">
        <v>23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12</v>
      </c>
      <c r="AL921" s="5">
        <v>12</v>
      </c>
      <c r="AM921" s="5">
        <v>23</v>
      </c>
      <c r="AN921" s="28">
        <v>5.75</v>
      </c>
    </row>
    <row r="922">
      <c r="A922" s="24">
        <v>8715</v>
      </c>
      <c r="B922" s="9" t="s">
        <v>1215</v>
      </c>
      <c r="C922" s="9" t="s">
        <v>64</v>
      </c>
      <c r="D922" s="9" t="s">
        <v>83</v>
      </c>
      <c r="E922" s="9" t="s">
        <v>98</v>
      </c>
      <c r="F922" s="11">
        <v>2</v>
      </c>
      <c r="G922" s="10">
        <v>1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8723</v>
      </c>
      <c r="B923" s="4" t="s">
        <v>1216</v>
      </c>
      <c r="C923" s="4" t="s">
        <v>64</v>
      </c>
      <c r="D923" s="4" t="s">
        <v>91</v>
      </c>
      <c r="E923" s="4" t="s">
        <v>775</v>
      </c>
      <c r="F923" s="6">
        <v>7</v>
      </c>
      <c r="G923" s="5">
        <v>7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7</v>
      </c>
      <c r="V923" s="5">
        <v>7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3.5</v>
      </c>
      <c r="AL923" s="5">
        <v>3</v>
      </c>
      <c r="AM923" s="5">
        <v>5</v>
      </c>
      <c r="AN923" s="28">
        <v>0.76</v>
      </c>
    </row>
    <row r="924">
      <c r="A924" s="24">
        <v>8755</v>
      </c>
      <c r="B924" s="9" t="s">
        <v>1217</v>
      </c>
      <c r="C924" s="9" t="s">
        <v>171</v>
      </c>
      <c r="D924" s="9" t="s">
        <v>1218</v>
      </c>
      <c r="E924" s="9" t="s">
        <v>1218</v>
      </c>
      <c r="F924" s="11">
        <v>3</v>
      </c>
      <c r="G924" s="12">
        <v>0</v>
      </c>
      <c r="H924" s="12">
        <v>0</v>
      </c>
      <c r="I924" s="10">
        <v>1</v>
      </c>
      <c r="J924" s="12">
        <v>0</v>
      </c>
      <c r="K924" s="10">
        <v>2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3</v>
      </c>
      <c r="V924" s="12">
        <v>0</v>
      </c>
      <c r="W924" s="12">
        <v>0</v>
      </c>
      <c r="X924" s="10">
        <v>1</v>
      </c>
      <c r="Y924" s="12">
        <v>0</v>
      </c>
      <c r="Z924" s="10">
        <v>2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0.24</v>
      </c>
    </row>
    <row r="925">
      <c r="A925" s="23">
        <v>8795</v>
      </c>
      <c r="B925" s="4" t="s">
        <v>1219</v>
      </c>
      <c r="C925" s="4" t="s">
        <v>64</v>
      </c>
      <c r="D925" s="4" t="s">
        <v>73</v>
      </c>
      <c r="E925" s="4" t="s">
        <v>74</v>
      </c>
      <c r="F925" s="6">
        <v>5</v>
      </c>
      <c r="G925" s="5">
        <v>2</v>
      </c>
      <c r="H925" s="7">
        <v>0</v>
      </c>
      <c r="I925" s="5">
        <v>1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4</v>
      </c>
      <c r="V925" s="5">
        <v>1</v>
      </c>
      <c r="W925" s="7">
        <v>0</v>
      </c>
      <c r="X925" s="5">
        <v>1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1.67</v>
      </c>
      <c r="AL925" s="5">
        <v>2</v>
      </c>
      <c r="AM925" s="5">
        <v>2</v>
      </c>
      <c r="AN925" s="28">
        <v>0.5</v>
      </c>
    </row>
    <row r="926">
      <c r="A926" s="24">
        <v>8961</v>
      </c>
      <c r="B926" s="9" t="s">
        <v>1220</v>
      </c>
      <c r="C926" s="9" t="s">
        <v>64</v>
      </c>
      <c r="D926" s="9" t="s">
        <v>76</v>
      </c>
      <c r="E926" s="9" t="s">
        <v>125</v>
      </c>
      <c r="F926" s="11">
        <v>4</v>
      </c>
      <c r="G926" s="10">
        <v>1</v>
      </c>
      <c r="H926" s="12">
        <v>0</v>
      </c>
      <c r="I926" s="12">
        <v>0</v>
      </c>
      <c r="J926" s="10">
        <v>1</v>
      </c>
      <c r="K926" s="12">
        <v>0</v>
      </c>
      <c r="L926" s="10">
        <v>2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1</v>
      </c>
      <c r="W926" s="12">
        <v>0</v>
      </c>
      <c r="X926" s="12">
        <v>0</v>
      </c>
      <c r="Y926" s="10">
        <v>1</v>
      </c>
      <c r="Z926" s="12">
        <v>0</v>
      </c>
      <c r="AA926" s="10">
        <v>2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1.33</v>
      </c>
      <c r="AL926" s="10">
        <v>1</v>
      </c>
      <c r="AM926" s="10">
        <v>2</v>
      </c>
      <c r="AN926" s="29">
        <v>0.25</v>
      </c>
    </row>
    <row r="927">
      <c r="A927" s="23">
        <v>9015</v>
      </c>
      <c r="B927" s="4" t="s">
        <v>208</v>
      </c>
      <c r="C927" s="4" t="s">
        <v>64</v>
      </c>
      <c r="D927" s="4" t="s">
        <v>76</v>
      </c>
      <c r="E927" s="4" t="s">
        <v>125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0.37</v>
      </c>
    </row>
    <row r="928">
      <c r="A928" s="24">
        <v>9105</v>
      </c>
      <c r="B928" s="9" t="s">
        <v>1221</v>
      </c>
      <c r="C928" s="9" t="s">
        <v>64</v>
      </c>
      <c r="D928" s="9" t="s">
        <v>132</v>
      </c>
      <c r="E928" s="9" t="s">
        <v>212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0">
        <v>0</v>
      </c>
    </row>
    <row r="929">
      <c r="A929" s="23">
        <v>9221</v>
      </c>
      <c r="B929" s="4" t="s">
        <v>1222</v>
      </c>
      <c r="C929" s="4" t="s">
        <v>64</v>
      </c>
      <c r="D929" s="4" t="s">
        <v>80</v>
      </c>
      <c r="E929" s="4" t="s">
        <v>135</v>
      </c>
      <c r="F929" s="6">
        <v>6</v>
      </c>
      <c r="G929" s="5">
        <v>1</v>
      </c>
      <c r="H929" s="7">
        <v>0</v>
      </c>
      <c r="I929" s="5">
        <v>4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5</v>
      </c>
      <c r="V929" s="5">
        <v>1</v>
      </c>
      <c r="W929" s="7">
        <v>0</v>
      </c>
      <c r="X929" s="5">
        <v>3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1</v>
      </c>
      <c r="AM929" s="5">
        <v>4</v>
      </c>
      <c r="AN929" s="31">
        <v>0</v>
      </c>
    </row>
    <row r="930">
      <c r="A930" s="24">
        <v>9364</v>
      </c>
      <c r="B930" s="9" t="s">
        <v>1223</v>
      </c>
      <c r="C930" s="9" t="s">
        <v>602</v>
      </c>
      <c r="D930" s="9" t="s">
        <v>1224</v>
      </c>
      <c r="E930" s="9" t="s">
        <v>361</v>
      </c>
      <c r="F930" s="11">
        <v>3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0">
        <v>1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3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0">
        <v>1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0.5</v>
      </c>
    </row>
    <row r="931">
      <c r="A931" s="23">
        <v>9483</v>
      </c>
      <c r="B931" s="4" t="s">
        <v>1225</v>
      </c>
      <c r="C931" s="4" t="s">
        <v>64</v>
      </c>
      <c r="D931" s="4" t="s">
        <v>129</v>
      </c>
      <c r="E931" s="4" t="s">
        <v>130</v>
      </c>
      <c r="F931" s="6">
        <v>4</v>
      </c>
      <c r="G931" s="5">
        <v>1</v>
      </c>
      <c r="H931" s="7">
        <v>0</v>
      </c>
      <c r="I931" s="7">
        <v>0</v>
      </c>
      <c r="J931" s="5">
        <v>3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4</v>
      </c>
      <c r="V931" s="5">
        <v>1</v>
      </c>
      <c r="W931" s="7">
        <v>0</v>
      </c>
      <c r="X931" s="7">
        <v>0</v>
      </c>
      <c r="Y931" s="5">
        <v>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0.64</v>
      </c>
    </row>
    <row r="932">
      <c r="A932" s="24">
        <v>9505</v>
      </c>
      <c r="B932" s="9" t="s">
        <v>1226</v>
      </c>
      <c r="C932" s="9" t="s">
        <v>602</v>
      </c>
      <c r="D932" s="9" t="s">
        <v>1227</v>
      </c>
      <c r="E932" s="9" t="s">
        <v>361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9527</v>
      </c>
      <c r="B933" s="4" t="s">
        <v>1228</v>
      </c>
      <c r="C933" s="4" t="s">
        <v>64</v>
      </c>
      <c r="D933" s="4" t="s">
        <v>110</v>
      </c>
      <c r="E933" s="4" t="s">
        <v>121</v>
      </c>
      <c r="F933" s="6">
        <v>3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5">
        <v>2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5">
        <v>2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0.24</v>
      </c>
    </row>
    <row r="934">
      <c r="A934" s="24">
        <v>9529</v>
      </c>
      <c r="B934" s="9" t="s">
        <v>1229</v>
      </c>
      <c r="C934" s="9" t="s">
        <v>64</v>
      </c>
      <c r="D934" s="9" t="s">
        <v>132</v>
      </c>
      <c r="E934" s="9" t="s">
        <v>212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9550</v>
      </c>
      <c r="B935" s="4" t="s">
        <v>1230</v>
      </c>
      <c r="C935" s="4" t="s">
        <v>602</v>
      </c>
      <c r="D935" s="4" t="s">
        <v>605</v>
      </c>
      <c r="E935" s="4" t="s">
        <v>361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0.26</v>
      </c>
    </row>
    <row r="936">
      <c r="A936" s="24">
        <v>9558</v>
      </c>
      <c r="B936" s="9" t="s">
        <v>1231</v>
      </c>
      <c r="C936" s="9" t="s">
        <v>64</v>
      </c>
      <c r="D936" s="9" t="s">
        <v>73</v>
      </c>
      <c r="E936" s="9" t="s">
        <v>325</v>
      </c>
      <c r="F936" s="11">
        <v>11</v>
      </c>
      <c r="G936" s="10">
        <v>3</v>
      </c>
      <c r="H936" s="12">
        <v>0</v>
      </c>
      <c r="I936" s="12">
        <v>0</v>
      </c>
      <c r="J936" s="10">
        <v>8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11</v>
      </c>
      <c r="V936" s="10">
        <v>3</v>
      </c>
      <c r="W936" s="12">
        <v>0</v>
      </c>
      <c r="X936" s="12">
        <v>0</v>
      </c>
      <c r="Y936" s="10">
        <v>8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2.75</v>
      </c>
      <c r="AL936" s="10">
        <v>2</v>
      </c>
      <c r="AM936" s="10">
        <v>6</v>
      </c>
      <c r="AN936" s="29">
        <v>2.08</v>
      </c>
    </row>
    <row r="937">
      <c r="A937" s="23">
        <v>9616</v>
      </c>
      <c r="B937" s="4" t="s">
        <v>1232</v>
      </c>
      <c r="C937" s="4" t="s">
        <v>64</v>
      </c>
      <c r="D937" s="4" t="s">
        <v>76</v>
      </c>
      <c r="E937" s="4" t="s">
        <v>119</v>
      </c>
      <c r="F937" s="6">
        <v>2</v>
      </c>
      <c r="G937" s="5">
        <v>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0.76</v>
      </c>
    </row>
    <row r="938">
      <c r="A938" s="24">
        <v>9627</v>
      </c>
      <c r="B938" s="9" t="s">
        <v>1233</v>
      </c>
      <c r="C938" s="9" t="s">
        <v>141</v>
      </c>
      <c r="D938" s="9" t="s">
        <v>436</v>
      </c>
      <c r="E938" s="9" t="s">
        <v>499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0.22</v>
      </c>
    </row>
    <row r="939">
      <c r="A939" s="23">
        <v>9630</v>
      </c>
      <c r="B939" s="4" t="s">
        <v>1234</v>
      </c>
      <c r="C939" s="4" t="s">
        <v>64</v>
      </c>
      <c r="D939" s="4" t="s">
        <v>83</v>
      </c>
      <c r="E939" s="4" t="s">
        <v>280</v>
      </c>
      <c r="F939" s="6">
        <v>3</v>
      </c>
      <c r="G939" s="5">
        <v>1</v>
      </c>
      <c r="H939" s="7">
        <v>0</v>
      </c>
      <c r="I939" s="7">
        <v>0</v>
      </c>
      <c r="J939" s="5">
        <v>1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1</v>
      </c>
      <c r="W939" s="7">
        <v>0</v>
      </c>
      <c r="X939" s="7">
        <v>0</v>
      </c>
      <c r="Y939" s="5">
        <v>1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9746</v>
      </c>
      <c r="B940" s="9" t="s">
        <v>1235</v>
      </c>
      <c r="C940" s="9" t="s">
        <v>619</v>
      </c>
      <c r="D940" s="9" t="s">
        <v>725</v>
      </c>
      <c r="E940" s="9" t="s">
        <v>361</v>
      </c>
      <c r="F940" s="11">
        <v>1</v>
      </c>
      <c r="G940" s="12">
        <v>0</v>
      </c>
      <c r="H940" s="10">
        <v>1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0">
        <v>1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9759</v>
      </c>
      <c r="B941" s="4" t="s">
        <v>1236</v>
      </c>
      <c r="C941" s="4" t="s">
        <v>674</v>
      </c>
      <c r="D941" s="4" t="s">
        <v>1237</v>
      </c>
      <c r="E941" s="4" t="s">
        <v>361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9770</v>
      </c>
      <c r="B942" s="9" t="s">
        <v>1238</v>
      </c>
      <c r="C942" s="9" t="s">
        <v>141</v>
      </c>
      <c r="D942" s="9" t="s">
        <v>480</v>
      </c>
      <c r="E942" s="9" t="s">
        <v>481</v>
      </c>
      <c r="F942" s="11">
        <v>3</v>
      </c>
      <c r="G942" s="12">
        <v>0</v>
      </c>
      <c r="H942" s="12">
        <v>0</v>
      </c>
      <c r="I942" s="10">
        <v>2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</v>
      </c>
      <c r="V942" s="12">
        <v>0</v>
      </c>
      <c r="W942" s="12">
        <v>0</v>
      </c>
      <c r="X942" s="10">
        <v>2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0.5</v>
      </c>
    </row>
    <row r="943">
      <c r="A943" s="23">
        <v>9810</v>
      </c>
      <c r="B943" s="4" t="s">
        <v>1239</v>
      </c>
      <c r="C943" s="4" t="s">
        <v>171</v>
      </c>
      <c r="D943" s="4" t="s">
        <v>185</v>
      </c>
      <c r="E943" s="4" t="s">
        <v>192</v>
      </c>
      <c r="F943" s="6">
        <v>1</v>
      </c>
      <c r="G943" s="7">
        <v>0</v>
      </c>
      <c r="H943" s="7">
        <v>0</v>
      </c>
      <c r="I943" s="7">
        <v>0</v>
      </c>
      <c r="J943" s="7">
        <v>0</v>
      </c>
      <c r="K943" s="5">
        <v>1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7">
        <v>0</v>
      </c>
      <c r="Z943" s="5">
        <v>1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0.22</v>
      </c>
    </row>
    <row r="944">
      <c r="A944" s="24">
        <v>9811</v>
      </c>
      <c r="B944" s="9" t="s">
        <v>1240</v>
      </c>
      <c r="C944" s="9" t="s">
        <v>64</v>
      </c>
      <c r="D944" s="9" t="s">
        <v>129</v>
      </c>
      <c r="E944" s="9" t="s">
        <v>130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9826</v>
      </c>
      <c r="B945" s="4" t="s">
        <v>1241</v>
      </c>
      <c r="C945" s="4" t="s">
        <v>64</v>
      </c>
      <c r="D945" s="4" t="s">
        <v>80</v>
      </c>
      <c r="E945" s="4" t="s">
        <v>429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0.5</v>
      </c>
    </row>
    <row r="946">
      <c r="A946" s="24">
        <v>9836</v>
      </c>
      <c r="B946" s="9" t="s">
        <v>1242</v>
      </c>
      <c r="C946" s="9" t="s">
        <v>64</v>
      </c>
      <c r="D946" s="9" t="s">
        <v>91</v>
      </c>
      <c r="E946" s="9" t="s">
        <v>157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0.26</v>
      </c>
    </row>
    <row r="947">
      <c r="A947" s="23">
        <v>9840</v>
      </c>
      <c r="B947" s="4" t="s">
        <v>1243</v>
      </c>
      <c r="C947" s="4" t="s">
        <v>141</v>
      </c>
      <c r="D947" s="4" t="s">
        <v>142</v>
      </c>
      <c r="E947" s="4" t="s">
        <v>143</v>
      </c>
      <c r="F947" s="6">
        <v>5</v>
      </c>
      <c r="G947" s="7">
        <v>0</v>
      </c>
      <c r="H947" s="5">
        <v>3</v>
      </c>
      <c r="I947" s="7">
        <v>0</v>
      </c>
      <c r="J947" s="7">
        <v>0</v>
      </c>
      <c r="K947" s="7">
        <v>0</v>
      </c>
      <c r="L947" s="5">
        <v>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5</v>
      </c>
      <c r="V947" s="7">
        <v>0</v>
      </c>
      <c r="W947" s="5">
        <v>3</v>
      </c>
      <c r="X947" s="7">
        <v>0</v>
      </c>
      <c r="Y947" s="7">
        <v>0</v>
      </c>
      <c r="Z947" s="7">
        <v>0</v>
      </c>
      <c r="AA947" s="5">
        <v>2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2.5</v>
      </c>
      <c r="AL947" s="5">
        <v>2</v>
      </c>
      <c r="AM947" s="5">
        <v>3</v>
      </c>
      <c r="AN947" s="31">
        <v>0</v>
      </c>
    </row>
    <row r="948">
      <c r="A948" s="24">
        <v>9926</v>
      </c>
      <c r="B948" s="9" t="s">
        <v>1244</v>
      </c>
      <c r="C948" s="9" t="s">
        <v>64</v>
      </c>
      <c r="D948" s="9" t="s">
        <v>68</v>
      </c>
      <c r="E948" s="9" t="s">
        <v>71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9978</v>
      </c>
      <c r="B949" s="4" t="s">
        <v>1245</v>
      </c>
      <c r="C949" s="4" t="s">
        <v>64</v>
      </c>
      <c r="D949" s="4" t="s">
        <v>80</v>
      </c>
      <c r="E949" s="4" t="s">
        <v>429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10000</v>
      </c>
      <c r="B950" s="9" t="s">
        <v>1246</v>
      </c>
      <c r="C950" s="9" t="s">
        <v>64</v>
      </c>
      <c r="D950" s="9" t="s">
        <v>73</v>
      </c>
      <c r="E950" s="9" t="s">
        <v>96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10018</v>
      </c>
      <c r="B951" s="4" t="s">
        <v>1247</v>
      </c>
      <c r="C951" s="4" t="s">
        <v>64</v>
      </c>
      <c r="D951" s="4" t="s">
        <v>110</v>
      </c>
      <c r="E951" s="4" t="s">
        <v>455</v>
      </c>
      <c r="F951" s="6">
        <v>4</v>
      </c>
      <c r="G951" s="5">
        <v>2</v>
      </c>
      <c r="H951" s="7">
        <v>0</v>
      </c>
      <c r="I951" s="5">
        <v>1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4</v>
      </c>
      <c r="V951" s="5">
        <v>2</v>
      </c>
      <c r="W951" s="7">
        <v>0</v>
      </c>
      <c r="X951" s="5">
        <v>1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10063</v>
      </c>
      <c r="B952" s="9" t="s">
        <v>1248</v>
      </c>
      <c r="C952" s="9" t="s">
        <v>64</v>
      </c>
      <c r="D952" s="9" t="s">
        <v>76</v>
      </c>
      <c r="E952" s="9" t="s">
        <v>163</v>
      </c>
      <c r="F952" s="11">
        <v>43</v>
      </c>
      <c r="G952" s="12">
        <v>0</v>
      </c>
      <c r="H952" s="12">
        <v>0</v>
      </c>
      <c r="I952" s="12">
        <v>0</v>
      </c>
      <c r="J952" s="10">
        <v>43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43</v>
      </c>
      <c r="V952" s="12">
        <v>0</v>
      </c>
      <c r="W952" s="12">
        <v>0</v>
      </c>
      <c r="X952" s="12">
        <v>0</v>
      </c>
      <c r="Y952" s="10">
        <v>43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43</v>
      </c>
      <c r="AK952" s="13">
        <v>43</v>
      </c>
      <c r="AL952" s="10">
        <v>43</v>
      </c>
      <c r="AM952" s="10">
        <v>43</v>
      </c>
      <c r="AN952" s="29">
        <v>10.32</v>
      </c>
    </row>
    <row r="953">
      <c r="A953" s="23">
        <v>10105</v>
      </c>
      <c r="B953" s="4" t="s">
        <v>1249</v>
      </c>
      <c r="C953" s="4" t="s">
        <v>64</v>
      </c>
      <c r="D953" s="4" t="s">
        <v>76</v>
      </c>
      <c r="E953" s="4" t="s">
        <v>163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10123</v>
      </c>
      <c r="B954" s="9" t="s">
        <v>1250</v>
      </c>
      <c r="C954" s="9" t="s">
        <v>171</v>
      </c>
      <c r="D954" s="9" t="s">
        <v>185</v>
      </c>
      <c r="E954" s="9" t="s">
        <v>186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10130</v>
      </c>
      <c r="B955" s="4" t="s">
        <v>1251</v>
      </c>
      <c r="C955" s="4" t="s">
        <v>64</v>
      </c>
      <c r="D955" s="4" t="s">
        <v>68</v>
      </c>
      <c r="E955" s="4" t="s">
        <v>69</v>
      </c>
      <c r="F955" s="6">
        <v>2</v>
      </c>
      <c r="G955" s="5">
        <v>1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1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0.64</v>
      </c>
    </row>
    <row r="956">
      <c r="A956" s="24">
        <v>10184</v>
      </c>
      <c r="B956" s="9" t="s">
        <v>1252</v>
      </c>
      <c r="C956" s="9" t="s">
        <v>64</v>
      </c>
      <c r="D956" s="9" t="s">
        <v>68</v>
      </c>
      <c r="E956" s="9" t="s">
        <v>245</v>
      </c>
      <c r="F956" s="11">
        <v>2</v>
      </c>
      <c r="G956" s="10">
        <v>1</v>
      </c>
      <c r="H956" s="12">
        <v>0</v>
      </c>
      <c r="I956" s="12">
        <v>0</v>
      </c>
      <c r="J956" s="12">
        <v>0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0">
        <v>1</v>
      </c>
      <c r="W956" s="12">
        <v>0</v>
      </c>
      <c r="X956" s="12">
        <v>0</v>
      </c>
      <c r="Y956" s="12">
        <v>0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10187</v>
      </c>
      <c r="B957" s="4" t="s">
        <v>1253</v>
      </c>
      <c r="C957" s="4" t="s">
        <v>171</v>
      </c>
      <c r="D957" s="4" t="s">
        <v>390</v>
      </c>
      <c r="E957" s="4" t="s">
        <v>390</v>
      </c>
      <c r="F957" s="6">
        <v>5</v>
      </c>
      <c r="G957" s="5">
        <v>3</v>
      </c>
      <c r="H957" s="7">
        <v>0</v>
      </c>
      <c r="I957" s="7">
        <v>0</v>
      </c>
      <c r="J957" s="7">
        <v>0</v>
      </c>
      <c r="K957" s="5">
        <v>2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5</v>
      </c>
      <c r="V957" s="5">
        <v>3</v>
      </c>
      <c r="W957" s="7">
        <v>0</v>
      </c>
      <c r="X957" s="7">
        <v>0</v>
      </c>
      <c r="Y957" s="7">
        <v>0</v>
      </c>
      <c r="Z957" s="5">
        <v>2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1.25</v>
      </c>
      <c r="AL957" s="5">
        <v>1</v>
      </c>
      <c r="AM957" s="5">
        <v>2</v>
      </c>
      <c r="AN957" s="31">
        <v>0</v>
      </c>
    </row>
    <row r="958">
      <c r="A958" s="24">
        <v>10213</v>
      </c>
      <c r="B958" s="9" t="s">
        <v>1254</v>
      </c>
      <c r="C958" s="9" t="s">
        <v>602</v>
      </c>
      <c r="D958" s="9" t="s">
        <v>1227</v>
      </c>
      <c r="E958" s="9" t="s">
        <v>361</v>
      </c>
      <c r="F958" s="11">
        <v>4</v>
      </c>
      <c r="G958" s="12">
        <v>0</v>
      </c>
      <c r="H958" s="12">
        <v>0</v>
      </c>
      <c r="I958" s="10">
        <v>1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</v>
      </c>
      <c r="V958" s="12">
        <v>0</v>
      </c>
      <c r="W958" s="12">
        <v>0</v>
      </c>
      <c r="X958" s="10">
        <v>1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1.33</v>
      </c>
      <c r="AL958" s="10">
        <v>1</v>
      </c>
      <c r="AM958" s="10">
        <v>2</v>
      </c>
      <c r="AN958" s="29">
        <v>0.72</v>
      </c>
    </row>
    <row r="959">
      <c r="A959" s="23">
        <v>10320</v>
      </c>
      <c r="B959" s="4" t="s">
        <v>1255</v>
      </c>
      <c r="C959" s="4" t="s">
        <v>686</v>
      </c>
      <c r="D959" s="4" t="s">
        <v>687</v>
      </c>
      <c r="E959" s="4" t="s">
        <v>361</v>
      </c>
      <c r="F959" s="6">
        <v>2</v>
      </c>
      <c r="G959" s="7">
        <v>0</v>
      </c>
      <c r="H959" s="7">
        <v>0</v>
      </c>
      <c r="I959" s="5">
        <v>2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7">
        <v>0</v>
      </c>
      <c r="W959" s="7">
        <v>0</v>
      </c>
      <c r="X959" s="5">
        <v>2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1">
        <v>0</v>
      </c>
    </row>
    <row r="960">
      <c r="A960" s="24">
        <v>10325</v>
      </c>
      <c r="B960" s="9" t="s">
        <v>1256</v>
      </c>
      <c r="C960" s="9" t="s">
        <v>64</v>
      </c>
      <c r="D960" s="9" t="s">
        <v>68</v>
      </c>
      <c r="E960" s="9" t="s">
        <v>71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10385</v>
      </c>
      <c r="B961" s="4" t="s">
        <v>1257</v>
      </c>
      <c r="C961" s="4" t="s">
        <v>171</v>
      </c>
      <c r="D961" s="4" t="s">
        <v>491</v>
      </c>
      <c r="E961" s="4" t="s">
        <v>492</v>
      </c>
      <c r="F961" s="6">
        <v>2</v>
      </c>
      <c r="G961" s="7">
        <v>0</v>
      </c>
      <c r="H961" s="7">
        <v>0</v>
      </c>
      <c r="I961" s="7">
        <v>0</v>
      </c>
      <c r="J961" s="7">
        <v>0</v>
      </c>
      <c r="K961" s="5">
        <v>2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7">
        <v>0</v>
      </c>
      <c r="W961" s="7">
        <v>0</v>
      </c>
      <c r="X961" s="7">
        <v>0</v>
      </c>
      <c r="Y961" s="7">
        <v>0</v>
      </c>
      <c r="Z961" s="5">
        <v>2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0.5</v>
      </c>
    </row>
    <row r="962">
      <c r="A962" s="24">
        <v>10487</v>
      </c>
      <c r="B962" s="9" t="s">
        <v>1258</v>
      </c>
      <c r="C962" s="9" t="s">
        <v>171</v>
      </c>
      <c r="D962" s="9" t="s">
        <v>172</v>
      </c>
      <c r="E962" s="9" t="s">
        <v>173</v>
      </c>
      <c r="F962" s="11">
        <v>4</v>
      </c>
      <c r="G962" s="10">
        <v>1</v>
      </c>
      <c r="H962" s="12">
        <v>0</v>
      </c>
      <c r="I962" s="10">
        <v>1</v>
      </c>
      <c r="J962" s="10">
        <v>1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0">
        <v>1</v>
      </c>
      <c r="W962" s="12">
        <v>0</v>
      </c>
      <c r="X962" s="10">
        <v>1</v>
      </c>
      <c r="Y962" s="10">
        <v>1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10542</v>
      </c>
      <c r="B963" s="4" t="s">
        <v>1259</v>
      </c>
      <c r="C963" s="4" t="s">
        <v>64</v>
      </c>
      <c r="D963" s="4" t="s">
        <v>80</v>
      </c>
      <c r="E963" s="4" t="s">
        <v>94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28">
        <v>0.5</v>
      </c>
    </row>
    <row r="964">
      <c r="A964" s="24">
        <v>10546</v>
      </c>
      <c r="B964" s="9" t="s">
        <v>1260</v>
      </c>
      <c r="C964" s="9" t="s">
        <v>686</v>
      </c>
      <c r="D964" s="9" t="s">
        <v>738</v>
      </c>
      <c r="E964" s="9" t="s">
        <v>361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10548</v>
      </c>
      <c r="B965" s="4" t="s">
        <v>1261</v>
      </c>
      <c r="C965" s="4" t="s">
        <v>64</v>
      </c>
      <c r="D965" s="4" t="s">
        <v>76</v>
      </c>
      <c r="E965" s="4" t="s">
        <v>285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0.24</v>
      </c>
    </row>
    <row r="966">
      <c r="A966" s="24">
        <v>10577</v>
      </c>
      <c r="B966" s="9" t="s">
        <v>1262</v>
      </c>
      <c r="C966" s="9" t="s">
        <v>686</v>
      </c>
      <c r="D966" s="9" t="s">
        <v>687</v>
      </c>
      <c r="E966" s="9" t="s">
        <v>361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0.26</v>
      </c>
    </row>
    <row r="967">
      <c r="A967" s="23">
        <v>10612</v>
      </c>
      <c r="B967" s="4" t="s">
        <v>1263</v>
      </c>
      <c r="C967" s="4" t="s">
        <v>64</v>
      </c>
      <c r="D967" s="4" t="s">
        <v>132</v>
      </c>
      <c r="E967" s="4" t="s">
        <v>227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10637</v>
      </c>
      <c r="B968" s="9" t="s">
        <v>1264</v>
      </c>
      <c r="C968" s="9" t="s">
        <v>64</v>
      </c>
      <c r="D968" s="9" t="s">
        <v>76</v>
      </c>
      <c r="E968" s="9" t="s">
        <v>285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10847</v>
      </c>
      <c r="B969" s="4" t="s">
        <v>1265</v>
      </c>
      <c r="C969" s="4" t="s">
        <v>64</v>
      </c>
      <c r="D969" s="4" t="s">
        <v>65</v>
      </c>
      <c r="E969" s="4" t="s">
        <v>427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1">
        <v>0</v>
      </c>
    </row>
    <row r="970">
      <c r="A970" s="24">
        <v>10862</v>
      </c>
      <c r="B970" s="9" t="s">
        <v>1266</v>
      </c>
      <c r="C970" s="9" t="s">
        <v>171</v>
      </c>
      <c r="D970" s="9" t="s">
        <v>172</v>
      </c>
      <c r="E970" s="9" t="s">
        <v>173</v>
      </c>
      <c r="F970" s="11">
        <v>1</v>
      </c>
      <c r="G970" s="12">
        <v>0</v>
      </c>
      <c r="H970" s="12">
        <v>0</v>
      </c>
      <c r="I970" s="12">
        <v>0</v>
      </c>
      <c r="J970" s="12">
        <v>0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10867</v>
      </c>
      <c r="B971" s="4" t="s">
        <v>1267</v>
      </c>
      <c r="C971" s="4" t="s">
        <v>64</v>
      </c>
      <c r="D971" s="4" t="s">
        <v>68</v>
      </c>
      <c r="E971" s="4" t="s">
        <v>71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10902</v>
      </c>
      <c r="B972" s="9" t="s">
        <v>1268</v>
      </c>
      <c r="C972" s="9" t="s">
        <v>64</v>
      </c>
      <c r="D972" s="9" t="s">
        <v>76</v>
      </c>
      <c r="E972" s="9" t="s">
        <v>119</v>
      </c>
      <c r="F972" s="11">
        <v>1</v>
      </c>
      <c r="G972" s="12">
        <v>0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10944</v>
      </c>
      <c r="B973" s="4" t="s">
        <v>1269</v>
      </c>
      <c r="C973" s="4" t="s">
        <v>64</v>
      </c>
      <c r="D973" s="4" t="s">
        <v>132</v>
      </c>
      <c r="E973" s="4" t="s">
        <v>133</v>
      </c>
      <c r="F973" s="6">
        <v>2</v>
      </c>
      <c r="G973" s="5">
        <v>1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5">
        <v>1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0.5</v>
      </c>
    </row>
    <row r="974">
      <c r="A974" s="24">
        <v>10957</v>
      </c>
      <c r="B974" s="9" t="s">
        <v>1270</v>
      </c>
      <c r="C974" s="9" t="s">
        <v>141</v>
      </c>
      <c r="D974" s="9" t="s">
        <v>436</v>
      </c>
      <c r="E974" s="9" t="s">
        <v>549</v>
      </c>
      <c r="F974" s="11">
        <v>3</v>
      </c>
      <c r="G974" s="12">
        <v>0</v>
      </c>
      <c r="H974" s="12">
        <v>0</v>
      </c>
      <c r="I974" s="10">
        <v>2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2">
        <v>0</v>
      </c>
      <c r="W974" s="12">
        <v>0</v>
      </c>
      <c r="X974" s="10">
        <v>2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0.75</v>
      </c>
    </row>
    <row r="975">
      <c r="A975" s="23">
        <v>11018</v>
      </c>
      <c r="B975" s="4" t="s">
        <v>1271</v>
      </c>
      <c r="C975" s="4" t="s">
        <v>141</v>
      </c>
      <c r="D975" s="4" t="s">
        <v>597</v>
      </c>
      <c r="E975" s="4" t="s">
        <v>693</v>
      </c>
      <c r="F975" s="6">
        <v>2</v>
      </c>
      <c r="G975" s="5">
        <v>1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5">
        <v>1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1">
        <v>0</v>
      </c>
    </row>
    <row r="976">
      <c r="A976" s="24">
        <v>11125</v>
      </c>
      <c r="B976" s="9" t="s">
        <v>1272</v>
      </c>
      <c r="C976" s="9" t="s">
        <v>64</v>
      </c>
      <c r="D976" s="9" t="s">
        <v>80</v>
      </c>
      <c r="E976" s="9" t="s">
        <v>135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0.24</v>
      </c>
    </row>
    <row r="977">
      <c r="A977" s="23">
        <v>11144</v>
      </c>
      <c r="B977" s="4" t="s">
        <v>1273</v>
      </c>
      <c r="C977" s="4" t="s">
        <v>171</v>
      </c>
      <c r="D977" s="4" t="s">
        <v>451</v>
      </c>
      <c r="E977" s="4" t="s">
        <v>460</v>
      </c>
      <c r="F977" s="6">
        <v>3</v>
      </c>
      <c r="G977" s="7">
        <v>0</v>
      </c>
      <c r="H977" s="7">
        <v>0</v>
      </c>
      <c r="I977" s="5">
        <v>1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7">
        <v>0</v>
      </c>
      <c r="W977" s="7">
        <v>0</v>
      </c>
      <c r="X977" s="5">
        <v>1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31">
        <v>0</v>
      </c>
    </row>
    <row r="978">
      <c r="A978" s="24">
        <v>11158</v>
      </c>
      <c r="B978" s="9" t="s">
        <v>1274</v>
      </c>
      <c r="C978" s="9" t="s">
        <v>64</v>
      </c>
      <c r="D978" s="9" t="s">
        <v>80</v>
      </c>
      <c r="E978" s="9" t="s">
        <v>86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11185</v>
      </c>
      <c r="B979" s="4" t="s">
        <v>1275</v>
      </c>
      <c r="C979" s="4" t="s">
        <v>64</v>
      </c>
      <c r="D979" s="4" t="s">
        <v>91</v>
      </c>
      <c r="E979" s="4" t="s">
        <v>157</v>
      </c>
      <c r="F979" s="6">
        <v>1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0.26</v>
      </c>
    </row>
    <row r="980">
      <c r="A980" s="24">
        <v>11192</v>
      </c>
      <c r="B980" s="9" t="s">
        <v>1276</v>
      </c>
      <c r="C980" s="9" t="s">
        <v>602</v>
      </c>
      <c r="D980" s="9" t="s">
        <v>1224</v>
      </c>
      <c r="E980" s="9" t="s">
        <v>361</v>
      </c>
      <c r="F980" s="11">
        <v>1</v>
      </c>
      <c r="G980" s="12">
        <v>0</v>
      </c>
      <c r="H980" s="12">
        <v>0</v>
      </c>
      <c r="I980" s="12">
        <v>0</v>
      </c>
      <c r="J980" s="12">
        <v>0</v>
      </c>
      <c r="K980" s="10">
        <v>1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2">
        <v>0</v>
      </c>
      <c r="Y980" s="12">
        <v>0</v>
      </c>
      <c r="Z980" s="10">
        <v>1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11268</v>
      </c>
      <c r="B981" s="4" t="s">
        <v>1277</v>
      </c>
      <c r="C981" s="4" t="s">
        <v>686</v>
      </c>
      <c r="D981" s="4" t="s">
        <v>1154</v>
      </c>
      <c r="E981" s="4" t="s">
        <v>361</v>
      </c>
      <c r="F981" s="6">
        <v>1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1">
        <v>0</v>
      </c>
    </row>
    <row r="982">
      <c r="A982" s="24">
        <v>11310</v>
      </c>
      <c r="B982" s="9" t="s">
        <v>1278</v>
      </c>
      <c r="C982" s="9" t="s">
        <v>64</v>
      </c>
      <c r="D982" s="9" t="s">
        <v>129</v>
      </c>
      <c r="E982" s="9" t="s">
        <v>130</v>
      </c>
      <c r="F982" s="11">
        <v>3</v>
      </c>
      <c r="G982" s="10">
        <v>3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3</v>
      </c>
      <c r="AK982" s="13">
        <v>3</v>
      </c>
      <c r="AL982" s="10">
        <v>3</v>
      </c>
      <c r="AM982" s="10">
        <v>3</v>
      </c>
      <c r="AN982" s="30">
        <v>0</v>
      </c>
    </row>
    <row r="983">
      <c r="A983" s="23">
        <v>11363</v>
      </c>
      <c r="B983" s="4" t="s">
        <v>1279</v>
      </c>
      <c r="C983" s="4" t="s">
        <v>141</v>
      </c>
      <c r="D983" s="4" t="s">
        <v>480</v>
      </c>
      <c r="E983" s="4" t="s">
        <v>551</v>
      </c>
      <c r="F983" s="6">
        <v>2</v>
      </c>
      <c r="G983" s="7">
        <v>0</v>
      </c>
      <c r="H983" s="7">
        <v>0</v>
      </c>
      <c r="I983" s="5">
        <v>2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1">
        <v>0</v>
      </c>
    </row>
    <row r="984">
      <c r="A984" s="24">
        <v>11399</v>
      </c>
      <c r="B984" s="9" t="s">
        <v>1280</v>
      </c>
      <c r="C984" s="9" t="s">
        <v>64</v>
      </c>
      <c r="D984" s="9" t="s">
        <v>83</v>
      </c>
      <c r="E984" s="9" t="s">
        <v>84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11431</v>
      </c>
      <c r="B985" s="4" t="s">
        <v>1281</v>
      </c>
      <c r="C985" s="4" t="s">
        <v>64</v>
      </c>
      <c r="D985" s="4" t="s">
        <v>68</v>
      </c>
      <c r="E985" s="4" t="s">
        <v>71</v>
      </c>
      <c r="F985" s="6">
        <v>1</v>
      </c>
      <c r="G985" s="7">
        <v>0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11529</v>
      </c>
      <c r="B986" s="9" t="s">
        <v>1282</v>
      </c>
      <c r="C986" s="9" t="s">
        <v>64</v>
      </c>
      <c r="D986" s="9" t="s">
        <v>110</v>
      </c>
      <c r="E986" s="9" t="s">
        <v>455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11535</v>
      </c>
      <c r="B987" s="4" t="s">
        <v>1283</v>
      </c>
      <c r="C987" s="4" t="s">
        <v>602</v>
      </c>
      <c r="D987" s="4" t="s">
        <v>902</v>
      </c>
      <c r="E987" s="4" t="s">
        <v>361</v>
      </c>
      <c r="F987" s="6">
        <v>3</v>
      </c>
      <c r="G987" s="5">
        <v>1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5">
        <v>1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0.5</v>
      </c>
    </row>
    <row r="988">
      <c r="A988" s="24">
        <v>11584</v>
      </c>
      <c r="B988" s="9" t="s">
        <v>1284</v>
      </c>
      <c r="C988" s="9" t="s">
        <v>64</v>
      </c>
      <c r="D988" s="9" t="s">
        <v>83</v>
      </c>
      <c r="E988" s="9" t="s">
        <v>84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0.22</v>
      </c>
    </row>
    <row r="989">
      <c r="A989" s="23">
        <v>11598</v>
      </c>
      <c r="B989" s="4" t="s">
        <v>1285</v>
      </c>
      <c r="C989" s="4" t="s">
        <v>64</v>
      </c>
      <c r="D989" s="4" t="s">
        <v>80</v>
      </c>
      <c r="E989" s="4" t="s">
        <v>429</v>
      </c>
      <c r="F989" s="6">
        <v>2</v>
      </c>
      <c r="G989" s="7">
        <v>0</v>
      </c>
      <c r="H989" s="5">
        <v>1</v>
      </c>
      <c r="I989" s="7">
        <v>0</v>
      </c>
      <c r="J989" s="7">
        <v>0</v>
      </c>
      <c r="K989" s="7">
        <v>0</v>
      </c>
      <c r="L989" s="5">
        <v>1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5">
        <v>1</v>
      </c>
      <c r="X989" s="7">
        <v>0</v>
      </c>
      <c r="Y989" s="7">
        <v>0</v>
      </c>
      <c r="Z989" s="7">
        <v>0</v>
      </c>
      <c r="AA989" s="5">
        <v>1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0.52</v>
      </c>
    </row>
    <row r="990">
      <c r="A990" s="24">
        <v>11616</v>
      </c>
      <c r="B990" s="9" t="s">
        <v>1286</v>
      </c>
      <c r="C990" s="9" t="s">
        <v>64</v>
      </c>
      <c r="D990" s="9" t="s">
        <v>132</v>
      </c>
      <c r="E990" s="9" t="s">
        <v>212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11618</v>
      </c>
      <c r="B991" s="4" t="s">
        <v>1287</v>
      </c>
      <c r="C991" s="4" t="s">
        <v>171</v>
      </c>
      <c r="D991" s="4" t="s">
        <v>451</v>
      </c>
      <c r="E991" s="4" t="s">
        <v>460</v>
      </c>
      <c r="F991" s="6">
        <v>5</v>
      </c>
      <c r="G991" s="7">
        <v>0</v>
      </c>
      <c r="H991" s="7">
        <v>0</v>
      </c>
      <c r="I991" s="5">
        <v>2</v>
      </c>
      <c r="J991" s="7">
        <v>0</v>
      </c>
      <c r="K991" s="5">
        <v>3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5</v>
      </c>
      <c r="V991" s="7">
        <v>0</v>
      </c>
      <c r="W991" s="7">
        <v>0</v>
      </c>
      <c r="X991" s="5">
        <v>2</v>
      </c>
      <c r="Y991" s="7">
        <v>0</v>
      </c>
      <c r="Z991" s="5">
        <v>3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2.5</v>
      </c>
      <c r="AL991" s="5">
        <v>2</v>
      </c>
      <c r="AM991" s="5">
        <v>3</v>
      </c>
      <c r="AN991" s="31">
        <v>0</v>
      </c>
    </row>
    <row r="992">
      <c r="A992" s="24">
        <v>11639</v>
      </c>
      <c r="B992" s="9" t="s">
        <v>1288</v>
      </c>
      <c r="C992" s="9" t="s">
        <v>64</v>
      </c>
      <c r="D992" s="9" t="s">
        <v>110</v>
      </c>
      <c r="E992" s="9" t="s">
        <v>117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0.26</v>
      </c>
    </row>
    <row r="993">
      <c r="A993" s="23">
        <v>11661</v>
      </c>
      <c r="B993" s="4" t="s">
        <v>1289</v>
      </c>
      <c r="C993" s="4" t="s">
        <v>613</v>
      </c>
      <c r="D993" s="4" t="s">
        <v>871</v>
      </c>
      <c r="E993" s="4" t="s">
        <v>1290</v>
      </c>
      <c r="F993" s="6">
        <v>1</v>
      </c>
      <c r="G993" s="7">
        <v>0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1">
        <v>0</v>
      </c>
    </row>
    <row r="994">
      <c r="A994" s="24">
        <v>11793</v>
      </c>
      <c r="B994" s="9" t="s">
        <v>1291</v>
      </c>
      <c r="C994" s="9" t="s">
        <v>64</v>
      </c>
      <c r="D994" s="9" t="s">
        <v>68</v>
      </c>
      <c r="E994" s="9" t="s">
        <v>71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11836</v>
      </c>
      <c r="B995" s="4" t="s">
        <v>1292</v>
      </c>
      <c r="C995" s="4" t="s">
        <v>64</v>
      </c>
      <c r="D995" s="4" t="s">
        <v>68</v>
      </c>
      <c r="E995" s="4" t="s">
        <v>71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11842</v>
      </c>
      <c r="B996" s="9" t="s">
        <v>1293</v>
      </c>
      <c r="C996" s="9" t="s">
        <v>64</v>
      </c>
      <c r="D996" s="9" t="s">
        <v>110</v>
      </c>
      <c r="E996" s="9" t="s">
        <v>151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11850</v>
      </c>
      <c r="B997" s="4" t="s">
        <v>1294</v>
      </c>
      <c r="C997" s="4" t="s">
        <v>64</v>
      </c>
      <c r="D997" s="4" t="s">
        <v>88</v>
      </c>
      <c r="E997" s="4" t="s">
        <v>363</v>
      </c>
      <c r="F997" s="6">
        <v>2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5">
        <v>2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31">
        <v>0</v>
      </c>
    </row>
    <row r="998">
      <c r="A998" s="24">
        <v>11933</v>
      </c>
      <c r="B998" s="9" t="s">
        <v>1295</v>
      </c>
      <c r="C998" s="9" t="s">
        <v>64</v>
      </c>
      <c r="D998" s="9" t="s">
        <v>110</v>
      </c>
      <c r="E998" s="9" t="s">
        <v>117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11969</v>
      </c>
      <c r="B999" s="4" t="s">
        <v>1296</v>
      </c>
      <c r="C999" s="4" t="s">
        <v>64</v>
      </c>
      <c r="D999" s="4" t="s">
        <v>76</v>
      </c>
      <c r="E999" s="4" t="s">
        <v>125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12005</v>
      </c>
      <c r="B1000" s="9" t="s">
        <v>1297</v>
      </c>
      <c r="C1000" s="9" t="s">
        <v>64</v>
      </c>
      <c r="D1000" s="9" t="s">
        <v>65</v>
      </c>
      <c r="E1000" s="9" t="s">
        <v>427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12013</v>
      </c>
      <c r="B1001" s="4" t="s">
        <v>1298</v>
      </c>
      <c r="C1001" s="4" t="s">
        <v>64</v>
      </c>
      <c r="D1001" s="4" t="s">
        <v>80</v>
      </c>
      <c r="E1001" s="4" t="s">
        <v>81</v>
      </c>
      <c r="F1001" s="6">
        <v>3</v>
      </c>
      <c r="G1001" s="5">
        <v>1</v>
      </c>
      <c r="H1001" s="7">
        <v>0</v>
      </c>
      <c r="I1001" s="5">
        <v>1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3</v>
      </c>
      <c r="V1001" s="5">
        <v>1</v>
      </c>
      <c r="W1001" s="7">
        <v>0</v>
      </c>
      <c r="X1001" s="5">
        <v>1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0.48</v>
      </c>
    </row>
    <row r="1002">
      <c r="A1002" s="24">
        <v>12014</v>
      </c>
      <c r="B1002" s="9" t="s">
        <v>1299</v>
      </c>
      <c r="C1002" s="9" t="s">
        <v>64</v>
      </c>
      <c r="D1002" s="9" t="s">
        <v>80</v>
      </c>
      <c r="E1002" s="9" t="s">
        <v>81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12026</v>
      </c>
      <c r="B1003" s="4" t="s">
        <v>1300</v>
      </c>
      <c r="C1003" s="4" t="s">
        <v>64</v>
      </c>
      <c r="D1003" s="4" t="s">
        <v>80</v>
      </c>
      <c r="E1003" s="4" t="s">
        <v>354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12031</v>
      </c>
      <c r="B1004" s="9" t="s">
        <v>1301</v>
      </c>
      <c r="C1004" s="9" t="s">
        <v>64</v>
      </c>
      <c r="D1004" s="9" t="s">
        <v>83</v>
      </c>
      <c r="E1004" s="9" t="s">
        <v>137</v>
      </c>
      <c r="F1004" s="11">
        <v>2</v>
      </c>
      <c r="G1004" s="10">
        <v>1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0">
        <v>1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12039</v>
      </c>
      <c r="B1005" s="4" t="s">
        <v>1302</v>
      </c>
      <c r="C1005" s="4" t="s">
        <v>64</v>
      </c>
      <c r="D1005" s="4" t="s">
        <v>110</v>
      </c>
      <c r="E1005" s="4" t="s">
        <v>121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1">
        <v>0</v>
      </c>
    </row>
    <row r="1006">
      <c r="A1006" s="24">
        <v>12047</v>
      </c>
      <c r="B1006" s="9" t="s">
        <v>208</v>
      </c>
      <c r="C1006" s="9" t="s">
        <v>64</v>
      </c>
      <c r="D1006" s="9" t="s">
        <v>110</v>
      </c>
      <c r="E1006" s="9" t="s">
        <v>117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0.24</v>
      </c>
    </row>
    <row r="1007">
      <c r="A1007" s="23">
        <v>12055</v>
      </c>
      <c r="B1007" s="4" t="s">
        <v>1303</v>
      </c>
      <c r="C1007" s="4" t="s">
        <v>64</v>
      </c>
      <c r="D1007" s="4" t="s">
        <v>110</v>
      </c>
      <c r="E1007" s="4" t="s">
        <v>111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1">
        <v>0</v>
      </c>
    </row>
    <row r="1008">
      <c r="A1008" s="24">
        <v>12059</v>
      </c>
      <c r="B1008" s="9" t="s">
        <v>1304</v>
      </c>
      <c r="C1008" s="9" t="s">
        <v>64</v>
      </c>
      <c r="D1008" s="9" t="s">
        <v>76</v>
      </c>
      <c r="E1008" s="9" t="s">
        <v>478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12063</v>
      </c>
      <c r="B1009" s="4" t="s">
        <v>1305</v>
      </c>
      <c r="C1009" s="4" t="s">
        <v>64</v>
      </c>
      <c r="D1009" s="4" t="s">
        <v>132</v>
      </c>
      <c r="E1009" s="4" t="s">
        <v>227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12072</v>
      </c>
      <c r="B1010" s="9" t="s">
        <v>1306</v>
      </c>
      <c r="C1010" s="9" t="s">
        <v>64</v>
      </c>
      <c r="D1010" s="9" t="s">
        <v>91</v>
      </c>
      <c r="E1010" s="9" t="s">
        <v>92</v>
      </c>
      <c r="F1010" s="11">
        <v>6</v>
      </c>
      <c r="G1010" s="10">
        <v>4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6</v>
      </c>
      <c r="V1010" s="10">
        <v>4</v>
      </c>
      <c r="W1010" s="12">
        <v>0</v>
      </c>
      <c r="X1010" s="10">
        <v>2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3</v>
      </c>
      <c r="AL1010" s="10">
        <v>3</v>
      </c>
      <c r="AM1010" s="10">
        <v>4</v>
      </c>
      <c r="AN1010" s="30">
        <v>0</v>
      </c>
    </row>
    <row r="1011">
      <c r="A1011" s="23">
        <v>12074</v>
      </c>
      <c r="B1011" s="4" t="s">
        <v>1307</v>
      </c>
      <c r="C1011" s="4" t="s">
        <v>64</v>
      </c>
      <c r="D1011" s="4" t="s">
        <v>129</v>
      </c>
      <c r="E1011" s="4" t="s">
        <v>130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31">
        <v>0</v>
      </c>
    </row>
    <row r="1012">
      <c r="A1012" s="24">
        <v>12092</v>
      </c>
      <c r="B1012" s="9" t="s">
        <v>1308</v>
      </c>
      <c r="C1012" s="9" t="s">
        <v>64</v>
      </c>
      <c r="D1012" s="9" t="s">
        <v>68</v>
      </c>
      <c r="E1012" s="9" t="s">
        <v>71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0.22</v>
      </c>
    </row>
    <row r="1013">
      <c r="A1013" s="23">
        <v>12097</v>
      </c>
      <c r="B1013" s="4" t="s">
        <v>1309</v>
      </c>
      <c r="C1013" s="4" t="s">
        <v>64</v>
      </c>
      <c r="D1013" s="4" t="s">
        <v>103</v>
      </c>
      <c r="E1013" s="4" t="s">
        <v>1310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1">
        <v>0</v>
      </c>
    </row>
    <row r="1014">
      <c r="A1014" s="24">
        <v>12102</v>
      </c>
      <c r="B1014" s="9" t="s">
        <v>1311</v>
      </c>
      <c r="C1014" s="9" t="s">
        <v>64</v>
      </c>
      <c r="D1014" s="9" t="s">
        <v>68</v>
      </c>
      <c r="E1014" s="9" t="s">
        <v>245</v>
      </c>
      <c r="F1014" s="11">
        <v>7</v>
      </c>
      <c r="G1014" s="10">
        <v>1</v>
      </c>
      <c r="H1014" s="12">
        <v>0</v>
      </c>
      <c r="I1014" s="10">
        <v>1</v>
      </c>
      <c r="J1014" s="10">
        <v>5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6</v>
      </c>
      <c r="V1014" s="10">
        <v>1</v>
      </c>
      <c r="W1014" s="12">
        <v>0</v>
      </c>
      <c r="X1014" s="10">
        <v>1</v>
      </c>
      <c r="Y1014" s="10">
        <v>4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1.4</v>
      </c>
      <c r="AL1014" s="10">
        <v>1</v>
      </c>
      <c r="AM1014" s="10">
        <v>2</v>
      </c>
      <c r="AN1014" s="29">
        <v>1</v>
      </c>
    </row>
    <row r="1015">
      <c r="A1015" s="23">
        <v>12110</v>
      </c>
      <c r="B1015" s="4" t="s">
        <v>1312</v>
      </c>
      <c r="C1015" s="4" t="s">
        <v>64</v>
      </c>
      <c r="D1015" s="4" t="s">
        <v>76</v>
      </c>
      <c r="E1015" s="4" t="s">
        <v>119</v>
      </c>
      <c r="F1015" s="6">
        <v>3</v>
      </c>
      <c r="G1015" s="5">
        <v>1</v>
      </c>
      <c r="H1015" s="7">
        <v>0</v>
      </c>
      <c r="I1015" s="5">
        <v>1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5">
        <v>1</v>
      </c>
      <c r="W1015" s="7">
        <v>0</v>
      </c>
      <c r="X1015" s="5">
        <v>1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0.52</v>
      </c>
    </row>
    <row r="1016">
      <c r="A1016" s="24">
        <v>12122</v>
      </c>
      <c r="B1016" s="9" t="s">
        <v>1313</v>
      </c>
      <c r="C1016" s="9" t="s">
        <v>64</v>
      </c>
      <c r="D1016" s="9" t="s">
        <v>80</v>
      </c>
      <c r="E1016" s="9" t="s">
        <v>135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12128</v>
      </c>
      <c r="B1017" s="4" t="s">
        <v>1314</v>
      </c>
      <c r="C1017" s="4" t="s">
        <v>64</v>
      </c>
      <c r="D1017" s="4" t="s">
        <v>80</v>
      </c>
      <c r="E1017" s="4" t="s">
        <v>135</v>
      </c>
      <c r="F1017" s="6">
        <v>3</v>
      </c>
      <c r="G1017" s="5">
        <v>2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5">
        <v>2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31">
        <v>0</v>
      </c>
    </row>
    <row r="1018">
      <c r="A1018" s="24">
        <v>12142</v>
      </c>
      <c r="B1018" s="9" t="s">
        <v>1315</v>
      </c>
      <c r="C1018" s="9" t="s">
        <v>64</v>
      </c>
      <c r="D1018" s="9" t="s">
        <v>132</v>
      </c>
      <c r="E1018" s="9" t="s">
        <v>227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12164</v>
      </c>
      <c r="B1019" s="4" t="s">
        <v>1316</v>
      </c>
      <c r="C1019" s="4" t="s">
        <v>64</v>
      </c>
      <c r="D1019" s="4" t="s">
        <v>76</v>
      </c>
      <c r="E1019" s="4" t="s">
        <v>878</v>
      </c>
      <c r="F1019" s="6">
        <v>2</v>
      </c>
      <c r="G1019" s="7">
        <v>0</v>
      </c>
      <c r="H1019" s="7">
        <v>0</v>
      </c>
      <c r="I1019" s="5">
        <v>1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5">
        <v>1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0.34</v>
      </c>
    </row>
    <row r="1020">
      <c r="A1020" s="24">
        <v>12173</v>
      </c>
      <c r="B1020" s="9" t="s">
        <v>1317</v>
      </c>
      <c r="C1020" s="9" t="s">
        <v>64</v>
      </c>
      <c r="D1020" s="9" t="s">
        <v>68</v>
      </c>
      <c r="E1020" s="9" t="s">
        <v>71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12177</v>
      </c>
      <c r="B1021" s="4" t="s">
        <v>1318</v>
      </c>
      <c r="C1021" s="4" t="s">
        <v>64</v>
      </c>
      <c r="D1021" s="4" t="s">
        <v>110</v>
      </c>
      <c r="E1021" s="4" t="s">
        <v>117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0.26</v>
      </c>
    </row>
    <row r="1022">
      <c r="A1022" s="24">
        <v>12190</v>
      </c>
      <c r="B1022" s="9" t="s">
        <v>1319</v>
      </c>
      <c r="C1022" s="9" t="s">
        <v>64</v>
      </c>
      <c r="D1022" s="9" t="s">
        <v>110</v>
      </c>
      <c r="E1022" s="9" t="s">
        <v>121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12202</v>
      </c>
      <c r="B1023" s="4" t="s">
        <v>1320</v>
      </c>
      <c r="C1023" s="4" t="s">
        <v>64</v>
      </c>
      <c r="D1023" s="4" t="s">
        <v>83</v>
      </c>
      <c r="E1023" s="4" t="s">
        <v>563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0.24</v>
      </c>
    </row>
    <row r="1024">
      <c r="A1024" s="24">
        <v>12208</v>
      </c>
      <c r="B1024" s="9" t="s">
        <v>1321</v>
      </c>
      <c r="C1024" s="9" t="s">
        <v>64</v>
      </c>
      <c r="D1024" s="9" t="s">
        <v>110</v>
      </c>
      <c r="E1024" s="9" t="s">
        <v>151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0.26</v>
      </c>
    </row>
    <row r="1025">
      <c r="A1025" s="23">
        <v>12281</v>
      </c>
      <c r="B1025" s="4" t="s">
        <v>1322</v>
      </c>
      <c r="C1025" s="4" t="s">
        <v>141</v>
      </c>
      <c r="D1025" s="4" t="s">
        <v>1158</v>
      </c>
      <c r="E1025" s="4" t="s">
        <v>1323</v>
      </c>
      <c r="F1025" s="6">
        <v>1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12286</v>
      </c>
      <c r="B1026" s="9" t="s">
        <v>1324</v>
      </c>
      <c r="C1026" s="9" t="s">
        <v>686</v>
      </c>
      <c r="D1026" s="9" t="s">
        <v>705</v>
      </c>
      <c r="E1026" s="9" t="s">
        <v>361</v>
      </c>
      <c r="F1026" s="11">
        <v>3</v>
      </c>
      <c r="G1026" s="12">
        <v>0</v>
      </c>
      <c r="H1026" s="12">
        <v>0</v>
      </c>
      <c r="I1026" s="10">
        <v>2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</v>
      </c>
      <c r="V1026" s="12">
        <v>0</v>
      </c>
      <c r="W1026" s="12">
        <v>0</v>
      </c>
      <c r="X1026" s="10">
        <v>2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29">
        <v>0.26</v>
      </c>
    </row>
    <row r="1027">
      <c r="A1027" s="23">
        <v>12289</v>
      </c>
      <c r="B1027" s="4" t="s">
        <v>1325</v>
      </c>
      <c r="C1027" s="4" t="s">
        <v>622</v>
      </c>
      <c r="D1027" s="4" t="s">
        <v>623</v>
      </c>
      <c r="E1027" s="4" t="s">
        <v>1326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1">
        <v>0</v>
      </c>
    </row>
    <row r="1028">
      <c r="A1028" s="24">
        <v>12317</v>
      </c>
      <c r="B1028" s="9" t="s">
        <v>1327</v>
      </c>
      <c r="C1028" s="9" t="s">
        <v>171</v>
      </c>
      <c r="D1028" s="9" t="s">
        <v>172</v>
      </c>
      <c r="E1028" s="9" t="s">
        <v>173</v>
      </c>
      <c r="F1028" s="11">
        <v>3</v>
      </c>
      <c r="G1028" s="12">
        <v>0</v>
      </c>
      <c r="H1028" s="12">
        <v>0</v>
      </c>
      <c r="I1028" s="12">
        <v>0</v>
      </c>
      <c r="J1028" s="10">
        <v>1</v>
      </c>
      <c r="K1028" s="10">
        <v>1</v>
      </c>
      <c r="L1028" s="12">
        <v>0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2">
        <v>0</v>
      </c>
      <c r="W1028" s="12">
        <v>0</v>
      </c>
      <c r="X1028" s="12">
        <v>0</v>
      </c>
      <c r="Y1028" s="10">
        <v>1</v>
      </c>
      <c r="Z1028" s="10">
        <v>1</v>
      </c>
      <c r="AA1028" s="12">
        <v>0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0.24</v>
      </c>
    </row>
    <row r="1029">
      <c r="A1029" s="23">
        <v>12370</v>
      </c>
      <c r="B1029" s="4" t="s">
        <v>1328</v>
      </c>
      <c r="C1029" s="4" t="s">
        <v>141</v>
      </c>
      <c r="D1029" s="4" t="s">
        <v>436</v>
      </c>
      <c r="E1029" s="4" t="s">
        <v>549</v>
      </c>
      <c r="F1029" s="6">
        <v>4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5">
        <v>4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4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5">
        <v>4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31">
        <v>0</v>
      </c>
    </row>
    <row r="1030">
      <c r="A1030" s="24">
        <v>12371</v>
      </c>
      <c r="B1030" s="9" t="s">
        <v>1329</v>
      </c>
      <c r="C1030" s="9" t="s">
        <v>141</v>
      </c>
      <c r="D1030" s="9" t="s">
        <v>436</v>
      </c>
      <c r="E1030" s="9" t="s">
        <v>1330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0.24</v>
      </c>
    </row>
    <row r="1031">
      <c r="A1031" s="23">
        <v>12385</v>
      </c>
      <c r="B1031" s="4" t="s">
        <v>1331</v>
      </c>
      <c r="C1031" s="4" t="s">
        <v>64</v>
      </c>
      <c r="D1031" s="4" t="s">
        <v>132</v>
      </c>
      <c r="E1031" s="4" t="s">
        <v>202</v>
      </c>
      <c r="F1031" s="6">
        <v>3</v>
      </c>
      <c r="G1031" s="7">
        <v>0</v>
      </c>
      <c r="H1031" s="5">
        <v>2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7">
        <v>0</v>
      </c>
      <c r="W1031" s="5">
        <v>1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0.36</v>
      </c>
    </row>
    <row r="1032">
      <c r="A1032" s="24">
        <v>12386</v>
      </c>
      <c r="B1032" s="9" t="s">
        <v>1332</v>
      </c>
      <c r="C1032" s="9" t="s">
        <v>64</v>
      </c>
      <c r="D1032" s="9" t="s">
        <v>107</v>
      </c>
      <c r="E1032" s="9" t="s">
        <v>746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0.38</v>
      </c>
    </row>
    <row r="1033">
      <c r="A1033" s="23">
        <v>12453</v>
      </c>
      <c r="B1033" s="4" t="s">
        <v>1333</v>
      </c>
      <c r="C1033" s="4" t="s">
        <v>686</v>
      </c>
      <c r="D1033" s="4" t="s">
        <v>705</v>
      </c>
      <c r="E1033" s="4" t="s">
        <v>361</v>
      </c>
      <c r="F1033" s="6">
        <v>2</v>
      </c>
      <c r="G1033" s="7">
        <v>0</v>
      </c>
      <c r="H1033" s="5">
        <v>1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7">
        <v>0</v>
      </c>
      <c r="W1033" s="5">
        <v>1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1">
        <v>0</v>
      </c>
    </row>
    <row r="1034">
      <c r="A1034" s="24">
        <v>12483</v>
      </c>
      <c r="B1034" s="9" t="s">
        <v>1334</v>
      </c>
      <c r="C1034" s="9" t="s">
        <v>141</v>
      </c>
      <c r="D1034" s="9" t="s">
        <v>142</v>
      </c>
      <c r="E1034" s="9" t="s">
        <v>143</v>
      </c>
      <c r="F1034" s="11">
        <v>1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12495</v>
      </c>
      <c r="B1035" s="4" t="s">
        <v>1335</v>
      </c>
      <c r="C1035" s="4" t="s">
        <v>171</v>
      </c>
      <c r="D1035" s="4" t="s">
        <v>491</v>
      </c>
      <c r="E1035" s="4" t="s">
        <v>874</v>
      </c>
      <c r="F1035" s="6">
        <v>1</v>
      </c>
      <c r="G1035" s="7">
        <v>0</v>
      </c>
      <c r="H1035" s="7">
        <v>0</v>
      </c>
      <c r="I1035" s="7">
        <v>0</v>
      </c>
      <c r="J1035" s="7">
        <v>0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7">
        <v>0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12518</v>
      </c>
      <c r="B1036" s="9" t="s">
        <v>1336</v>
      </c>
      <c r="C1036" s="9" t="s">
        <v>686</v>
      </c>
      <c r="D1036" s="9" t="s">
        <v>1154</v>
      </c>
      <c r="E1036" s="9" t="s">
        <v>361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12631</v>
      </c>
      <c r="B1037" s="4" t="s">
        <v>1337</v>
      </c>
      <c r="C1037" s="4" t="s">
        <v>64</v>
      </c>
      <c r="D1037" s="4" t="s">
        <v>68</v>
      </c>
      <c r="E1037" s="4" t="s">
        <v>245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1">
        <v>0</v>
      </c>
    </row>
    <row r="1038">
      <c r="A1038" s="24">
        <v>12636</v>
      </c>
      <c r="B1038" s="9" t="s">
        <v>1338</v>
      </c>
      <c r="C1038" s="9" t="s">
        <v>64</v>
      </c>
      <c r="D1038" s="9" t="s">
        <v>110</v>
      </c>
      <c r="E1038" s="9" t="s">
        <v>151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12638</v>
      </c>
      <c r="B1039" s="4" t="s">
        <v>1339</v>
      </c>
      <c r="C1039" s="4" t="s">
        <v>64</v>
      </c>
      <c r="D1039" s="4" t="s">
        <v>76</v>
      </c>
      <c r="E1039" s="4" t="s">
        <v>77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12643</v>
      </c>
      <c r="B1040" s="9" t="s">
        <v>1340</v>
      </c>
      <c r="C1040" s="9" t="s">
        <v>64</v>
      </c>
      <c r="D1040" s="9" t="s">
        <v>80</v>
      </c>
      <c r="E1040" s="9" t="s">
        <v>94</v>
      </c>
      <c r="F1040" s="11">
        <v>6</v>
      </c>
      <c r="G1040" s="12">
        <v>0</v>
      </c>
      <c r="H1040" s="12">
        <v>0</v>
      </c>
      <c r="I1040" s="10">
        <v>1</v>
      </c>
      <c r="J1040" s="10">
        <v>5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6</v>
      </c>
      <c r="V1040" s="12">
        <v>0</v>
      </c>
      <c r="W1040" s="12">
        <v>0</v>
      </c>
      <c r="X1040" s="10">
        <v>1</v>
      </c>
      <c r="Y1040" s="10">
        <v>5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1</v>
      </c>
      <c r="AM1040" s="10">
        <v>4</v>
      </c>
      <c r="AN1040" s="29">
        <v>1.04</v>
      </c>
    </row>
    <row r="1041">
      <c r="A1041" s="23">
        <v>12655</v>
      </c>
      <c r="B1041" s="4" t="s">
        <v>1341</v>
      </c>
      <c r="C1041" s="4" t="s">
        <v>64</v>
      </c>
      <c r="D1041" s="4" t="s">
        <v>68</v>
      </c>
      <c r="E1041" s="4" t="s">
        <v>71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12681</v>
      </c>
      <c r="B1042" s="9" t="s">
        <v>1342</v>
      </c>
      <c r="C1042" s="9" t="s">
        <v>64</v>
      </c>
      <c r="D1042" s="9" t="s">
        <v>83</v>
      </c>
      <c r="E1042" s="9" t="s">
        <v>84</v>
      </c>
      <c r="F1042" s="11">
        <v>2</v>
      </c>
      <c r="G1042" s="12">
        <v>0</v>
      </c>
      <c r="H1042" s="12">
        <v>0</v>
      </c>
      <c r="I1042" s="12">
        <v>0</v>
      </c>
      <c r="J1042" s="10">
        <v>1</v>
      </c>
      <c r="K1042" s="10">
        <v>1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1</v>
      </c>
      <c r="Z1042" s="10">
        <v>1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12699</v>
      </c>
      <c r="B1043" s="4" t="s">
        <v>1343</v>
      </c>
      <c r="C1043" s="4" t="s">
        <v>602</v>
      </c>
      <c r="D1043" s="4" t="s">
        <v>609</v>
      </c>
      <c r="E1043" s="4" t="s">
        <v>361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12763</v>
      </c>
      <c r="B1044" s="9" t="s">
        <v>1344</v>
      </c>
      <c r="C1044" s="9" t="s">
        <v>64</v>
      </c>
      <c r="D1044" s="9" t="s">
        <v>68</v>
      </c>
      <c r="E1044" s="9" t="s">
        <v>71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</v>
      </c>
    </row>
    <row r="1045">
      <c r="A1045" s="23">
        <v>12766</v>
      </c>
      <c r="B1045" s="4" t="s">
        <v>1345</v>
      </c>
      <c r="C1045" s="4" t="s">
        <v>1139</v>
      </c>
      <c r="D1045" s="4" t="s">
        <v>1346</v>
      </c>
      <c r="E1045" s="4" t="s">
        <v>1347</v>
      </c>
      <c r="F1045" s="6">
        <v>2</v>
      </c>
      <c r="G1045" s="7">
        <v>0</v>
      </c>
      <c r="H1045" s="5">
        <v>1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7">
        <v>0</v>
      </c>
      <c r="W1045" s="5">
        <v>1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12799</v>
      </c>
      <c r="B1046" s="9" t="s">
        <v>1348</v>
      </c>
      <c r="C1046" s="9" t="s">
        <v>64</v>
      </c>
      <c r="D1046" s="9" t="s">
        <v>68</v>
      </c>
      <c r="E1046" s="9" t="s">
        <v>71</v>
      </c>
      <c r="F1046" s="11">
        <v>3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3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3</v>
      </c>
      <c r="AL1046" s="10">
        <v>3</v>
      </c>
      <c r="AM1046" s="10">
        <v>3</v>
      </c>
      <c r="AN1046" s="30">
        <v>0</v>
      </c>
    </row>
    <row r="1047">
      <c r="A1047" s="23">
        <v>12807</v>
      </c>
      <c r="B1047" s="4" t="s">
        <v>1349</v>
      </c>
      <c r="C1047" s="4" t="s">
        <v>64</v>
      </c>
      <c r="D1047" s="4" t="s">
        <v>73</v>
      </c>
      <c r="E1047" s="4" t="s">
        <v>457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1">
        <v>0</v>
      </c>
    </row>
    <row r="1048">
      <c r="A1048" s="24">
        <v>12809</v>
      </c>
      <c r="B1048" s="9" t="s">
        <v>1350</v>
      </c>
      <c r="C1048" s="9" t="s">
        <v>64</v>
      </c>
      <c r="D1048" s="9" t="s">
        <v>76</v>
      </c>
      <c r="E1048" s="9" t="s">
        <v>77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0.33</v>
      </c>
    </row>
    <row r="1049">
      <c r="A1049" s="23">
        <v>12813</v>
      </c>
      <c r="B1049" s="4" t="s">
        <v>1351</v>
      </c>
      <c r="C1049" s="4" t="s">
        <v>64</v>
      </c>
      <c r="D1049" s="4" t="s">
        <v>110</v>
      </c>
      <c r="E1049" s="4" t="s">
        <v>121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0.26</v>
      </c>
    </row>
    <row r="1050">
      <c r="A1050" s="24">
        <v>12822</v>
      </c>
      <c r="B1050" s="9" t="s">
        <v>1352</v>
      </c>
      <c r="C1050" s="9" t="s">
        <v>64</v>
      </c>
      <c r="D1050" s="9" t="s">
        <v>68</v>
      </c>
      <c r="E1050" s="9" t="s">
        <v>245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12826</v>
      </c>
      <c r="B1051" s="4" t="s">
        <v>1353</v>
      </c>
      <c r="C1051" s="4" t="s">
        <v>64</v>
      </c>
      <c r="D1051" s="4" t="s">
        <v>110</v>
      </c>
      <c r="E1051" s="4" t="s">
        <v>117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12828</v>
      </c>
      <c r="B1052" s="9" t="s">
        <v>1354</v>
      </c>
      <c r="C1052" s="9" t="s">
        <v>64</v>
      </c>
      <c r="D1052" s="9" t="s">
        <v>110</v>
      </c>
      <c r="E1052" s="9" t="s">
        <v>151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0.34</v>
      </c>
    </row>
    <row r="1053">
      <c r="A1053" s="23">
        <v>12834</v>
      </c>
      <c r="B1053" s="4" t="s">
        <v>1355</v>
      </c>
      <c r="C1053" s="4" t="s">
        <v>64</v>
      </c>
      <c r="D1053" s="4" t="s">
        <v>76</v>
      </c>
      <c r="E1053" s="4" t="s">
        <v>878</v>
      </c>
      <c r="F1053" s="6">
        <v>1</v>
      </c>
      <c r="G1053" s="7">
        <v>0</v>
      </c>
      <c r="H1053" s="7">
        <v>0</v>
      </c>
      <c r="I1053" s="7">
        <v>0</v>
      </c>
      <c r="J1053" s="7">
        <v>0</v>
      </c>
      <c r="K1053" s="5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7">
        <v>0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1">
        <v>0</v>
      </c>
    </row>
    <row r="1054">
      <c r="A1054" s="24">
        <v>12836</v>
      </c>
      <c r="B1054" s="9" t="s">
        <v>1356</v>
      </c>
      <c r="C1054" s="9" t="s">
        <v>64</v>
      </c>
      <c r="D1054" s="9" t="s">
        <v>88</v>
      </c>
      <c r="E1054" s="9" t="s">
        <v>363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12854</v>
      </c>
      <c r="B1055" s="4" t="s">
        <v>1357</v>
      </c>
      <c r="C1055" s="4" t="s">
        <v>64</v>
      </c>
      <c r="D1055" s="4" t="s">
        <v>83</v>
      </c>
      <c r="E1055" s="4" t="s">
        <v>145</v>
      </c>
      <c r="F1055" s="6">
        <v>2</v>
      </c>
      <c r="G1055" s="7">
        <v>0</v>
      </c>
      <c r="H1055" s="7">
        <v>0</v>
      </c>
      <c r="I1055" s="7">
        <v>0</v>
      </c>
      <c r="J1055" s="7">
        <v>0</v>
      </c>
      <c r="K1055" s="5">
        <v>2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7">
        <v>0</v>
      </c>
      <c r="W1055" s="7">
        <v>0</v>
      </c>
      <c r="X1055" s="7">
        <v>0</v>
      </c>
      <c r="Y1055" s="7">
        <v>0</v>
      </c>
      <c r="Z1055" s="5">
        <v>2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31">
        <v>0</v>
      </c>
    </row>
    <row r="1056">
      <c r="A1056" s="24">
        <v>12856</v>
      </c>
      <c r="B1056" s="9" t="s">
        <v>1358</v>
      </c>
      <c r="C1056" s="9" t="s">
        <v>359</v>
      </c>
      <c r="D1056" s="9" t="s">
        <v>763</v>
      </c>
      <c r="E1056" s="9" t="s">
        <v>361</v>
      </c>
      <c r="F1056" s="11">
        <v>2</v>
      </c>
      <c r="G1056" s="12">
        <v>0</v>
      </c>
      <c r="H1056" s="12">
        <v>0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2">
        <v>0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0">
        <v>0</v>
      </c>
    </row>
    <row r="1057">
      <c r="A1057" s="23">
        <v>12894</v>
      </c>
      <c r="B1057" s="4" t="s">
        <v>1359</v>
      </c>
      <c r="C1057" s="4" t="s">
        <v>64</v>
      </c>
      <c r="D1057" s="4" t="s">
        <v>68</v>
      </c>
      <c r="E1057" s="4" t="s">
        <v>71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1">
        <v>0</v>
      </c>
    </row>
    <row r="1058">
      <c r="A1058" s="24">
        <v>12910</v>
      </c>
      <c r="B1058" s="9" t="s">
        <v>1360</v>
      </c>
      <c r="C1058" s="9" t="s">
        <v>64</v>
      </c>
      <c r="D1058" s="9" t="s">
        <v>129</v>
      </c>
      <c r="E1058" s="9" t="s">
        <v>702</v>
      </c>
      <c r="F1058" s="11">
        <v>2</v>
      </c>
      <c r="G1058" s="10">
        <v>2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30">
        <v>0</v>
      </c>
    </row>
    <row r="1059">
      <c r="A1059" s="23">
        <v>12929</v>
      </c>
      <c r="B1059" s="4" t="s">
        <v>1361</v>
      </c>
      <c r="C1059" s="4" t="s">
        <v>64</v>
      </c>
      <c r="D1059" s="4" t="s">
        <v>76</v>
      </c>
      <c r="E1059" s="4" t="s">
        <v>77</v>
      </c>
      <c r="F1059" s="6">
        <v>2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1">
        <v>0</v>
      </c>
    </row>
    <row r="1060">
      <c r="A1060" s="24">
        <v>12932</v>
      </c>
      <c r="B1060" s="9" t="s">
        <v>1362</v>
      </c>
      <c r="C1060" s="9" t="s">
        <v>64</v>
      </c>
      <c r="D1060" s="9" t="s">
        <v>132</v>
      </c>
      <c r="E1060" s="9" t="s">
        <v>227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13066</v>
      </c>
      <c r="B1061" s="4" t="s">
        <v>1363</v>
      </c>
      <c r="C1061" s="4" t="s">
        <v>64</v>
      </c>
      <c r="D1061" s="4" t="s">
        <v>80</v>
      </c>
      <c r="E1061" s="4" t="s">
        <v>86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13133</v>
      </c>
      <c r="B1062" s="9" t="s">
        <v>1364</v>
      </c>
      <c r="C1062" s="9" t="s">
        <v>171</v>
      </c>
      <c r="D1062" s="9" t="s">
        <v>172</v>
      </c>
      <c r="E1062" s="9" t="s">
        <v>183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0">
        <v>1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0">
        <v>1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13158</v>
      </c>
      <c r="B1063" s="4" t="s">
        <v>1365</v>
      </c>
      <c r="C1063" s="4" t="s">
        <v>64</v>
      </c>
      <c r="D1063" s="4" t="s">
        <v>73</v>
      </c>
      <c r="E1063" s="4" t="s">
        <v>457</v>
      </c>
      <c r="F1063" s="6">
        <v>4</v>
      </c>
      <c r="G1063" s="5">
        <v>1</v>
      </c>
      <c r="H1063" s="7">
        <v>0</v>
      </c>
      <c r="I1063" s="7">
        <v>0</v>
      </c>
      <c r="J1063" s="5">
        <v>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3</v>
      </c>
      <c r="V1063" s="5">
        <v>1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2</v>
      </c>
      <c r="AM1063" s="5">
        <v>3</v>
      </c>
      <c r="AN1063" s="28">
        <v>0.75</v>
      </c>
    </row>
    <row r="1064">
      <c r="A1064" s="24">
        <v>13168</v>
      </c>
      <c r="B1064" s="9" t="s">
        <v>1366</v>
      </c>
      <c r="C1064" s="9" t="s">
        <v>64</v>
      </c>
      <c r="D1064" s="9" t="s">
        <v>76</v>
      </c>
      <c r="E1064" s="9" t="s">
        <v>878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13239</v>
      </c>
      <c r="B1065" s="4" t="s">
        <v>1367</v>
      </c>
      <c r="C1065" s="4" t="s">
        <v>64</v>
      </c>
      <c r="D1065" s="4" t="s">
        <v>73</v>
      </c>
      <c r="E1065" s="4" t="s">
        <v>74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31">
        <v>0</v>
      </c>
    </row>
    <row r="1066">
      <c r="A1066" s="24">
        <v>13261</v>
      </c>
      <c r="B1066" s="9" t="s">
        <v>1368</v>
      </c>
      <c r="C1066" s="9" t="s">
        <v>64</v>
      </c>
      <c r="D1066" s="9" t="s">
        <v>83</v>
      </c>
      <c r="E1066" s="9" t="s">
        <v>1369</v>
      </c>
      <c r="F1066" s="11">
        <v>12</v>
      </c>
      <c r="G1066" s="12">
        <v>0</v>
      </c>
      <c r="H1066" s="12">
        <v>0</v>
      </c>
      <c r="I1066" s="10">
        <v>4</v>
      </c>
      <c r="J1066" s="10">
        <v>6</v>
      </c>
      <c r="K1066" s="12">
        <v>0</v>
      </c>
      <c r="L1066" s="10">
        <v>2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9</v>
      </c>
      <c r="V1066" s="12">
        <v>0</v>
      </c>
      <c r="W1066" s="12">
        <v>0</v>
      </c>
      <c r="X1066" s="10">
        <v>2</v>
      </c>
      <c r="Y1066" s="10">
        <v>6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3</v>
      </c>
      <c r="AL1066" s="10">
        <v>3</v>
      </c>
      <c r="AM1066" s="10">
        <v>4</v>
      </c>
      <c r="AN1066" s="29">
        <v>1.04</v>
      </c>
    </row>
    <row r="1067">
      <c r="A1067" s="23">
        <v>13274</v>
      </c>
      <c r="B1067" s="4" t="s">
        <v>1370</v>
      </c>
      <c r="C1067" s="4" t="s">
        <v>64</v>
      </c>
      <c r="D1067" s="4" t="s">
        <v>83</v>
      </c>
      <c r="E1067" s="4" t="s">
        <v>147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13275</v>
      </c>
      <c r="B1068" s="9" t="s">
        <v>1371</v>
      </c>
      <c r="C1068" s="9" t="s">
        <v>64</v>
      </c>
      <c r="D1068" s="9" t="s">
        <v>83</v>
      </c>
      <c r="E1068" s="9" t="s">
        <v>280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13288</v>
      </c>
      <c r="B1069" s="4" t="s">
        <v>1372</v>
      </c>
      <c r="C1069" s="4" t="s">
        <v>64</v>
      </c>
      <c r="D1069" s="4" t="s">
        <v>83</v>
      </c>
      <c r="E1069" s="4" t="s">
        <v>563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0.24</v>
      </c>
    </row>
    <row r="1070">
      <c r="A1070" s="24">
        <v>13337</v>
      </c>
      <c r="B1070" s="9" t="s">
        <v>1373</v>
      </c>
      <c r="C1070" s="9" t="s">
        <v>64</v>
      </c>
      <c r="D1070" s="9" t="s">
        <v>83</v>
      </c>
      <c r="E1070" s="9" t="s">
        <v>98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13346</v>
      </c>
      <c r="B1071" s="4" t="s">
        <v>1374</v>
      </c>
      <c r="C1071" s="4" t="s">
        <v>64</v>
      </c>
      <c r="D1071" s="4" t="s">
        <v>83</v>
      </c>
      <c r="E1071" s="4" t="s">
        <v>1208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28">
        <v>0.35</v>
      </c>
    </row>
    <row r="1072">
      <c r="A1072" s="24">
        <v>13351</v>
      </c>
      <c r="B1072" s="9" t="s">
        <v>1375</v>
      </c>
      <c r="C1072" s="9" t="s">
        <v>64</v>
      </c>
      <c r="D1072" s="9" t="s">
        <v>80</v>
      </c>
      <c r="E1072" s="9" t="s">
        <v>94</v>
      </c>
      <c r="F1072" s="11">
        <v>1</v>
      </c>
      <c r="G1072" s="12">
        <v>0</v>
      </c>
      <c r="H1072" s="12">
        <v>0</v>
      </c>
      <c r="I1072" s="12">
        <v>0</v>
      </c>
      <c r="J1072" s="12">
        <v>0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2">
        <v>0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13356</v>
      </c>
      <c r="B1073" s="4" t="s">
        <v>1376</v>
      </c>
      <c r="C1073" s="4" t="s">
        <v>64</v>
      </c>
      <c r="D1073" s="4" t="s">
        <v>110</v>
      </c>
      <c r="E1073" s="4" t="s">
        <v>111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13361</v>
      </c>
      <c r="B1074" s="9" t="s">
        <v>1377</v>
      </c>
      <c r="C1074" s="9" t="s">
        <v>64</v>
      </c>
      <c r="D1074" s="9" t="s">
        <v>73</v>
      </c>
      <c r="E1074" s="9" t="s">
        <v>457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13364</v>
      </c>
      <c r="B1075" s="4" t="s">
        <v>1378</v>
      </c>
      <c r="C1075" s="4" t="s">
        <v>64</v>
      </c>
      <c r="D1075" s="4" t="s">
        <v>68</v>
      </c>
      <c r="E1075" s="4" t="s">
        <v>71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28">
        <v>0.5</v>
      </c>
    </row>
    <row r="1076">
      <c r="A1076" s="24">
        <v>13365</v>
      </c>
      <c r="B1076" s="9" t="s">
        <v>1379</v>
      </c>
      <c r="C1076" s="9" t="s">
        <v>64</v>
      </c>
      <c r="D1076" s="9" t="s">
        <v>76</v>
      </c>
      <c r="E1076" s="9" t="s">
        <v>878</v>
      </c>
      <c r="F1076" s="11">
        <v>1</v>
      </c>
      <c r="G1076" s="12">
        <v>0</v>
      </c>
      <c r="H1076" s="12">
        <v>0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13368</v>
      </c>
      <c r="B1077" s="4" t="s">
        <v>1380</v>
      </c>
      <c r="C1077" s="4" t="s">
        <v>64</v>
      </c>
      <c r="D1077" s="4" t="s">
        <v>110</v>
      </c>
      <c r="E1077" s="4" t="s">
        <v>908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0.26</v>
      </c>
    </row>
    <row r="1078">
      <c r="A1078" s="24">
        <v>13380</v>
      </c>
      <c r="B1078" s="9" t="s">
        <v>1381</v>
      </c>
      <c r="C1078" s="9" t="s">
        <v>141</v>
      </c>
      <c r="D1078" s="9" t="s">
        <v>378</v>
      </c>
      <c r="E1078" s="9" t="s">
        <v>379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13391</v>
      </c>
      <c r="B1079" s="4" t="s">
        <v>1382</v>
      </c>
      <c r="C1079" s="4" t="s">
        <v>64</v>
      </c>
      <c r="D1079" s="4" t="s">
        <v>76</v>
      </c>
      <c r="E1079" s="4" t="s">
        <v>478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13398</v>
      </c>
      <c r="B1080" s="9" t="s">
        <v>1383</v>
      </c>
      <c r="C1080" s="9" t="s">
        <v>64</v>
      </c>
      <c r="D1080" s="9" t="s">
        <v>129</v>
      </c>
      <c r="E1080" s="9" t="s">
        <v>757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13411</v>
      </c>
      <c r="B1081" s="4" t="s">
        <v>1384</v>
      </c>
      <c r="C1081" s="4" t="s">
        <v>64</v>
      </c>
      <c r="D1081" s="4" t="s">
        <v>132</v>
      </c>
      <c r="E1081" s="4" t="s">
        <v>227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31">
        <v>0</v>
      </c>
    </row>
    <row r="1082">
      <c r="A1082" s="24">
        <v>13438</v>
      </c>
      <c r="B1082" s="9" t="s">
        <v>1385</v>
      </c>
      <c r="C1082" s="9" t="s">
        <v>64</v>
      </c>
      <c r="D1082" s="9" t="s">
        <v>132</v>
      </c>
      <c r="E1082" s="9" t="s">
        <v>133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0">
        <v>0</v>
      </c>
    </row>
    <row r="1083">
      <c r="A1083" s="23">
        <v>13456</v>
      </c>
      <c r="B1083" s="4" t="s">
        <v>1386</v>
      </c>
      <c r="C1083" s="4" t="s">
        <v>64</v>
      </c>
      <c r="D1083" s="4" t="s">
        <v>132</v>
      </c>
      <c r="E1083" s="4" t="s">
        <v>212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13457</v>
      </c>
      <c r="B1084" s="9" t="s">
        <v>1387</v>
      </c>
      <c r="C1084" s="9" t="s">
        <v>64</v>
      </c>
      <c r="D1084" s="9" t="s">
        <v>132</v>
      </c>
      <c r="E1084" s="9" t="s">
        <v>227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13467</v>
      </c>
      <c r="B1085" s="4" t="s">
        <v>1388</v>
      </c>
      <c r="C1085" s="4" t="s">
        <v>64</v>
      </c>
      <c r="D1085" s="4" t="s">
        <v>132</v>
      </c>
      <c r="E1085" s="4" t="s">
        <v>212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13472</v>
      </c>
      <c r="B1086" s="9" t="s">
        <v>1389</v>
      </c>
      <c r="C1086" s="9" t="s">
        <v>64</v>
      </c>
      <c r="D1086" s="9" t="s">
        <v>132</v>
      </c>
      <c r="E1086" s="9" t="s">
        <v>133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0.76</v>
      </c>
    </row>
    <row r="1087">
      <c r="A1087" s="23">
        <v>13478</v>
      </c>
      <c r="B1087" s="4" t="s">
        <v>1390</v>
      </c>
      <c r="C1087" s="4" t="s">
        <v>64</v>
      </c>
      <c r="D1087" s="4" t="s">
        <v>132</v>
      </c>
      <c r="E1087" s="4" t="s">
        <v>227</v>
      </c>
      <c r="F1087" s="6">
        <v>3</v>
      </c>
      <c r="G1087" s="5">
        <v>1</v>
      </c>
      <c r="H1087" s="7">
        <v>0</v>
      </c>
      <c r="I1087" s="5">
        <v>2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</v>
      </c>
      <c r="V1087" s="5">
        <v>1</v>
      </c>
      <c r="W1087" s="7">
        <v>0</v>
      </c>
      <c r="X1087" s="5">
        <v>2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28">
        <v>0.48</v>
      </c>
    </row>
    <row r="1088">
      <c r="A1088" s="24">
        <v>13489</v>
      </c>
      <c r="B1088" s="9" t="s">
        <v>1391</v>
      </c>
      <c r="C1088" s="9" t="s">
        <v>64</v>
      </c>
      <c r="D1088" s="9" t="s">
        <v>132</v>
      </c>
      <c r="E1088" s="9" t="s">
        <v>227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0.36</v>
      </c>
    </row>
    <row r="1089">
      <c r="A1089" s="23">
        <v>13503</v>
      </c>
      <c r="B1089" s="4" t="s">
        <v>1392</v>
      </c>
      <c r="C1089" s="4" t="s">
        <v>64</v>
      </c>
      <c r="D1089" s="4" t="s">
        <v>129</v>
      </c>
      <c r="E1089" s="4" t="s">
        <v>1037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1">
        <v>0</v>
      </c>
    </row>
    <row r="1090">
      <c r="A1090" s="24">
        <v>13523</v>
      </c>
      <c r="B1090" s="9" t="s">
        <v>1393</v>
      </c>
      <c r="C1090" s="9" t="s">
        <v>64</v>
      </c>
      <c r="D1090" s="9" t="s">
        <v>110</v>
      </c>
      <c r="E1090" s="9" t="s">
        <v>121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0.22</v>
      </c>
    </row>
    <row r="1091">
      <c r="A1091" s="23">
        <v>13550</v>
      </c>
      <c r="B1091" s="4" t="s">
        <v>1394</v>
      </c>
      <c r="C1091" s="4" t="s">
        <v>1139</v>
      </c>
      <c r="D1091" s="4" t="s">
        <v>1395</v>
      </c>
      <c r="E1091" s="4" t="s">
        <v>1396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0.34</v>
      </c>
    </row>
    <row r="1092">
      <c r="A1092" s="24">
        <v>13586</v>
      </c>
      <c r="B1092" s="9" t="s">
        <v>1397</v>
      </c>
      <c r="C1092" s="9" t="s">
        <v>64</v>
      </c>
      <c r="D1092" s="9" t="s">
        <v>83</v>
      </c>
      <c r="E1092" s="9" t="s">
        <v>465</v>
      </c>
      <c r="F1092" s="11">
        <v>5</v>
      </c>
      <c r="G1092" s="12">
        <v>0</v>
      </c>
      <c r="H1092" s="12">
        <v>0</v>
      </c>
      <c r="I1092" s="12">
        <v>0</v>
      </c>
      <c r="J1092" s="10">
        <v>5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2">
        <v>0</v>
      </c>
      <c r="W1092" s="12">
        <v>0</v>
      </c>
      <c r="X1092" s="12">
        <v>0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2.5</v>
      </c>
      <c r="AL1092" s="10">
        <v>2</v>
      </c>
      <c r="AM1092" s="10">
        <v>3</v>
      </c>
      <c r="AN1092" s="29">
        <v>1.04</v>
      </c>
    </row>
    <row r="1093">
      <c r="A1093" s="23">
        <v>13587</v>
      </c>
      <c r="B1093" s="4" t="s">
        <v>1398</v>
      </c>
      <c r="C1093" s="4" t="s">
        <v>64</v>
      </c>
      <c r="D1093" s="4" t="s">
        <v>68</v>
      </c>
      <c r="E1093" s="4" t="s">
        <v>71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0.22</v>
      </c>
    </row>
    <row r="1094">
      <c r="A1094" s="24">
        <v>13590</v>
      </c>
      <c r="B1094" s="9" t="s">
        <v>1399</v>
      </c>
      <c r="C1094" s="9" t="s">
        <v>64</v>
      </c>
      <c r="D1094" s="9" t="s">
        <v>110</v>
      </c>
      <c r="E1094" s="9" t="s">
        <v>151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13598</v>
      </c>
      <c r="B1095" s="4" t="s">
        <v>1400</v>
      </c>
      <c r="C1095" s="4" t="s">
        <v>64</v>
      </c>
      <c r="D1095" s="4" t="s">
        <v>68</v>
      </c>
      <c r="E1095" s="4" t="s">
        <v>71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0.22</v>
      </c>
    </row>
    <row r="1096">
      <c r="A1096" s="24">
        <v>13639</v>
      </c>
      <c r="B1096" s="9" t="s">
        <v>1401</v>
      </c>
      <c r="C1096" s="9" t="s">
        <v>64</v>
      </c>
      <c r="D1096" s="9" t="s">
        <v>73</v>
      </c>
      <c r="E1096" s="9" t="s">
        <v>74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13676</v>
      </c>
      <c r="B1097" s="4" t="s">
        <v>1402</v>
      </c>
      <c r="C1097" s="4" t="s">
        <v>64</v>
      </c>
      <c r="D1097" s="4" t="s">
        <v>68</v>
      </c>
      <c r="E1097" s="4" t="s">
        <v>71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13692</v>
      </c>
      <c r="B1098" s="9" t="s">
        <v>1403</v>
      </c>
      <c r="C1098" s="9" t="s">
        <v>64</v>
      </c>
      <c r="D1098" s="9" t="s">
        <v>73</v>
      </c>
      <c r="E1098" s="9" t="s">
        <v>1051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13700</v>
      </c>
      <c r="B1099" s="4" t="s">
        <v>1404</v>
      </c>
      <c r="C1099" s="4" t="s">
        <v>64</v>
      </c>
      <c r="D1099" s="4" t="s">
        <v>68</v>
      </c>
      <c r="E1099" s="4" t="s">
        <v>71</v>
      </c>
      <c r="F1099" s="6">
        <v>1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0.22</v>
      </c>
    </row>
    <row r="1100">
      <c r="A1100" s="24">
        <v>13704</v>
      </c>
      <c r="B1100" s="9" t="s">
        <v>1405</v>
      </c>
      <c r="C1100" s="9" t="s">
        <v>64</v>
      </c>
      <c r="D1100" s="9" t="s">
        <v>110</v>
      </c>
      <c r="E1100" s="9" t="s">
        <v>151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13706</v>
      </c>
      <c r="B1101" s="4" t="s">
        <v>1406</v>
      </c>
      <c r="C1101" s="4" t="s">
        <v>64</v>
      </c>
      <c r="D1101" s="4" t="s">
        <v>76</v>
      </c>
      <c r="E1101" s="4" t="s">
        <v>166</v>
      </c>
      <c r="F1101" s="6">
        <v>1</v>
      </c>
      <c r="G1101" s="7">
        <v>0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1">
        <v>0</v>
      </c>
    </row>
    <row r="1102">
      <c r="A1102" s="24">
        <v>13715</v>
      </c>
      <c r="B1102" s="9" t="s">
        <v>1407</v>
      </c>
      <c r="C1102" s="9" t="s">
        <v>64</v>
      </c>
      <c r="D1102" s="9" t="s">
        <v>68</v>
      </c>
      <c r="E1102" s="9" t="s">
        <v>71</v>
      </c>
      <c r="F1102" s="11">
        <v>2</v>
      </c>
      <c r="G1102" s="10">
        <v>1</v>
      </c>
      <c r="H1102" s="10">
        <v>1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1</v>
      </c>
      <c r="W1102" s="10">
        <v>1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0.24</v>
      </c>
    </row>
    <row r="1103">
      <c r="A1103" s="23">
        <v>13725</v>
      </c>
      <c r="B1103" s="4" t="s">
        <v>1408</v>
      </c>
      <c r="C1103" s="4" t="s">
        <v>64</v>
      </c>
      <c r="D1103" s="4" t="s">
        <v>76</v>
      </c>
      <c r="E1103" s="4" t="s">
        <v>125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31">
        <v>0</v>
      </c>
    </row>
    <row r="1104">
      <c r="A1104" s="24">
        <v>13727</v>
      </c>
      <c r="B1104" s="9" t="s">
        <v>1409</v>
      </c>
      <c r="C1104" s="9" t="s">
        <v>64</v>
      </c>
      <c r="D1104" s="9" t="s">
        <v>83</v>
      </c>
      <c r="E1104" s="9" t="s">
        <v>84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13733</v>
      </c>
      <c r="B1105" s="4" t="s">
        <v>1410</v>
      </c>
      <c r="C1105" s="4" t="s">
        <v>64</v>
      </c>
      <c r="D1105" s="4" t="s">
        <v>110</v>
      </c>
      <c r="E1105" s="4" t="s">
        <v>151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0.6</v>
      </c>
    </row>
    <row r="1106">
      <c r="A1106" s="24">
        <v>13800</v>
      </c>
      <c r="B1106" s="9" t="s">
        <v>1411</v>
      </c>
      <c r="C1106" s="9" t="s">
        <v>64</v>
      </c>
      <c r="D1106" s="9" t="s">
        <v>110</v>
      </c>
      <c r="E1106" s="9" t="s">
        <v>151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13801</v>
      </c>
      <c r="B1107" s="4" t="s">
        <v>1412</v>
      </c>
      <c r="C1107" s="4" t="s">
        <v>64</v>
      </c>
      <c r="D1107" s="4" t="s">
        <v>68</v>
      </c>
      <c r="E1107" s="4" t="s">
        <v>71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13806</v>
      </c>
      <c r="B1108" s="9" t="s">
        <v>1413</v>
      </c>
      <c r="C1108" s="9" t="s">
        <v>64</v>
      </c>
      <c r="D1108" s="9" t="s">
        <v>76</v>
      </c>
      <c r="E1108" s="9" t="s">
        <v>478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13888</v>
      </c>
      <c r="B1109" s="4" t="s">
        <v>1414</v>
      </c>
      <c r="C1109" s="4" t="s">
        <v>64</v>
      </c>
      <c r="D1109" s="4" t="s">
        <v>83</v>
      </c>
      <c r="E1109" s="4" t="s">
        <v>207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13893</v>
      </c>
      <c r="B1110" s="9" t="s">
        <v>1415</v>
      </c>
      <c r="C1110" s="9" t="s">
        <v>64</v>
      </c>
      <c r="D1110" s="9" t="s">
        <v>76</v>
      </c>
      <c r="E1110" s="9" t="s">
        <v>878</v>
      </c>
      <c r="F1110" s="11">
        <v>2</v>
      </c>
      <c r="G1110" s="10">
        <v>1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0">
        <v>1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13896</v>
      </c>
      <c r="B1111" s="4" t="s">
        <v>1416</v>
      </c>
      <c r="C1111" s="4" t="s">
        <v>64</v>
      </c>
      <c r="D1111" s="4" t="s">
        <v>83</v>
      </c>
      <c r="E1111" s="4" t="s">
        <v>465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13897</v>
      </c>
      <c r="B1112" s="9" t="s">
        <v>1417</v>
      </c>
      <c r="C1112" s="9" t="s">
        <v>64</v>
      </c>
      <c r="D1112" s="9" t="s">
        <v>83</v>
      </c>
      <c r="E1112" s="9" t="s">
        <v>84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13905</v>
      </c>
      <c r="B1113" s="4" t="s">
        <v>1418</v>
      </c>
      <c r="C1113" s="4" t="s">
        <v>64</v>
      </c>
      <c r="D1113" s="4" t="s">
        <v>83</v>
      </c>
      <c r="E1113" s="4" t="s">
        <v>207</v>
      </c>
      <c r="F1113" s="6">
        <v>2</v>
      </c>
      <c r="G1113" s="5">
        <v>1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5">
        <v>1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0.5</v>
      </c>
    </row>
    <row r="1114">
      <c r="A1114" s="24">
        <v>13913</v>
      </c>
      <c r="B1114" s="9" t="s">
        <v>1419</v>
      </c>
      <c r="C1114" s="9" t="s">
        <v>64</v>
      </c>
      <c r="D1114" s="9" t="s">
        <v>80</v>
      </c>
      <c r="E1114" s="9" t="s">
        <v>94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0.5</v>
      </c>
    </row>
    <row r="1115">
      <c r="A1115" s="23">
        <v>13914</v>
      </c>
      <c r="B1115" s="4" t="s">
        <v>1420</v>
      </c>
      <c r="C1115" s="4" t="s">
        <v>64</v>
      </c>
      <c r="D1115" s="4" t="s">
        <v>88</v>
      </c>
      <c r="E1115" s="4" t="s">
        <v>363</v>
      </c>
      <c r="F1115" s="6">
        <v>3</v>
      </c>
      <c r="G1115" s="5">
        <v>3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3</v>
      </c>
      <c r="V1115" s="5">
        <v>3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31">
        <v>0</v>
      </c>
    </row>
    <row r="1116">
      <c r="A1116" s="24">
        <v>13920</v>
      </c>
      <c r="B1116" s="9" t="s">
        <v>1421</v>
      </c>
      <c r="C1116" s="9" t="s">
        <v>64</v>
      </c>
      <c r="D1116" s="9" t="s">
        <v>110</v>
      </c>
      <c r="E1116" s="9" t="s">
        <v>121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13996</v>
      </c>
      <c r="B1117" s="4" t="s">
        <v>1422</v>
      </c>
      <c r="C1117" s="4" t="s">
        <v>64</v>
      </c>
      <c r="D1117" s="4" t="s">
        <v>76</v>
      </c>
      <c r="E1117" s="4" t="s">
        <v>119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14013</v>
      </c>
      <c r="B1118" s="9" t="s">
        <v>1423</v>
      </c>
      <c r="C1118" s="9" t="s">
        <v>64</v>
      </c>
      <c r="D1118" s="9" t="s">
        <v>73</v>
      </c>
      <c r="E1118" s="9" t="s">
        <v>457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0.38</v>
      </c>
    </row>
    <row r="1119">
      <c r="A1119" s="23">
        <v>14065</v>
      </c>
      <c r="B1119" s="4" t="s">
        <v>1424</v>
      </c>
      <c r="C1119" s="4" t="s">
        <v>171</v>
      </c>
      <c r="D1119" s="4" t="s">
        <v>172</v>
      </c>
      <c r="E1119" s="4" t="s">
        <v>183</v>
      </c>
      <c r="F1119" s="6">
        <v>5</v>
      </c>
      <c r="G1119" s="5">
        <v>3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5">
        <v>1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4</v>
      </c>
      <c r="V1119" s="5">
        <v>2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5">
        <v>1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1.67</v>
      </c>
      <c r="AL1119" s="5">
        <v>1</v>
      </c>
      <c r="AM1119" s="5">
        <v>3</v>
      </c>
      <c r="AN1119" s="31">
        <v>0</v>
      </c>
    </row>
    <row r="1120">
      <c r="A1120" s="24">
        <v>14081</v>
      </c>
      <c r="B1120" s="9" t="s">
        <v>1425</v>
      </c>
      <c r="C1120" s="9" t="s">
        <v>64</v>
      </c>
      <c r="D1120" s="9" t="s">
        <v>80</v>
      </c>
      <c r="E1120" s="9" t="s">
        <v>86</v>
      </c>
      <c r="F1120" s="11">
        <v>3</v>
      </c>
      <c r="G1120" s="10">
        <v>1</v>
      </c>
      <c r="H1120" s="12">
        <v>0</v>
      </c>
      <c r="I1120" s="10">
        <v>2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0">
        <v>1</v>
      </c>
      <c r="W1120" s="12">
        <v>0</v>
      </c>
      <c r="X1120" s="10">
        <v>2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0.75</v>
      </c>
    </row>
    <row r="1121">
      <c r="A1121" s="23">
        <v>14089</v>
      </c>
      <c r="B1121" s="4" t="s">
        <v>1426</v>
      </c>
      <c r="C1121" s="4" t="s">
        <v>64</v>
      </c>
      <c r="D1121" s="4" t="s">
        <v>83</v>
      </c>
      <c r="E1121" s="4" t="s">
        <v>465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1">
        <v>0</v>
      </c>
    </row>
    <row r="1122">
      <c r="A1122" s="24">
        <v>14092</v>
      </c>
      <c r="B1122" s="9" t="s">
        <v>1427</v>
      </c>
      <c r="C1122" s="9" t="s">
        <v>64</v>
      </c>
      <c r="D1122" s="9" t="s">
        <v>91</v>
      </c>
      <c r="E1122" s="9" t="s">
        <v>157</v>
      </c>
      <c r="F1122" s="11">
        <v>2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14180</v>
      </c>
      <c r="B1123" s="4" t="s">
        <v>1428</v>
      </c>
      <c r="C1123" s="4" t="s">
        <v>64</v>
      </c>
      <c r="D1123" s="4" t="s">
        <v>129</v>
      </c>
      <c r="E1123" s="4" t="s">
        <v>1037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1">
        <v>0</v>
      </c>
    </row>
    <row r="1124">
      <c r="A1124" s="24">
        <v>14191</v>
      </c>
      <c r="B1124" s="9" t="s">
        <v>1429</v>
      </c>
      <c r="C1124" s="9" t="s">
        <v>1139</v>
      </c>
      <c r="D1124" s="9" t="s">
        <v>1140</v>
      </c>
      <c r="E1124" s="9" t="s">
        <v>361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14234</v>
      </c>
      <c r="B1125" s="4" t="s">
        <v>1430</v>
      </c>
      <c r="C1125" s="4" t="s">
        <v>64</v>
      </c>
      <c r="D1125" s="4" t="s">
        <v>110</v>
      </c>
      <c r="E1125" s="4" t="s">
        <v>455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28">
        <v>0.25</v>
      </c>
    </row>
    <row r="1126">
      <c r="A1126" s="24">
        <v>14240</v>
      </c>
      <c r="B1126" s="9" t="s">
        <v>1431</v>
      </c>
      <c r="C1126" s="9" t="s">
        <v>613</v>
      </c>
      <c r="D1126" s="9" t="s">
        <v>614</v>
      </c>
      <c r="E1126" s="9" t="s">
        <v>1432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0.38</v>
      </c>
    </row>
    <row r="1127">
      <c r="A1127" s="23">
        <v>14296</v>
      </c>
      <c r="B1127" s="4" t="s">
        <v>1433</v>
      </c>
      <c r="C1127" s="4" t="s">
        <v>64</v>
      </c>
      <c r="D1127" s="4" t="s">
        <v>76</v>
      </c>
      <c r="E1127" s="4" t="s">
        <v>77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14333</v>
      </c>
      <c r="B1128" s="9" t="s">
        <v>1434</v>
      </c>
      <c r="C1128" s="9" t="s">
        <v>64</v>
      </c>
      <c r="D1128" s="9" t="s">
        <v>110</v>
      </c>
      <c r="E1128" s="9" t="s">
        <v>151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14409</v>
      </c>
      <c r="B1129" s="4" t="s">
        <v>1435</v>
      </c>
      <c r="C1129" s="4" t="s">
        <v>171</v>
      </c>
      <c r="D1129" s="4" t="s">
        <v>1174</v>
      </c>
      <c r="E1129" s="4" t="s">
        <v>1175</v>
      </c>
      <c r="F1129" s="6">
        <v>2</v>
      </c>
      <c r="G1129" s="7">
        <v>0</v>
      </c>
      <c r="H1129" s="7">
        <v>0</v>
      </c>
      <c r="I1129" s="7">
        <v>0</v>
      </c>
      <c r="J1129" s="5">
        <v>1</v>
      </c>
      <c r="K1129" s="5">
        <v>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1</v>
      </c>
      <c r="Z1129" s="5">
        <v>1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1">
        <v>0</v>
      </c>
    </row>
    <row r="1130">
      <c r="A1130" s="24">
        <v>14418</v>
      </c>
      <c r="B1130" s="9" t="s">
        <v>1436</v>
      </c>
      <c r="C1130" s="9" t="s">
        <v>64</v>
      </c>
      <c r="D1130" s="9" t="s">
        <v>91</v>
      </c>
      <c r="E1130" s="9" t="s">
        <v>157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14478</v>
      </c>
      <c r="B1131" s="4" t="s">
        <v>1437</v>
      </c>
      <c r="C1131" s="4" t="s">
        <v>64</v>
      </c>
      <c r="D1131" s="4" t="s">
        <v>110</v>
      </c>
      <c r="E1131" s="4" t="s">
        <v>121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1">
        <v>0</v>
      </c>
    </row>
    <row r="1132">
      <c r="A1132" s="24">
        <v>14601</v>
      </c>
      <c r="B1132" s="9" t="s">
        <v>1438</v>
      </c>
      <c r="C1132" s="9" t="s">
        <v>141</v>
      </c>
      <c r="D1132" s="9" t="s">
        <v>436</v>
      </c>
      <c r="E1132" s="9" t="s">
        <v>549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14624</v>
      </c>
      <c r="B1133" s="4" t="s">
        <v>1439</v>
      </c>
      <c r="C1133" s="4" t="s">
        <v>141</v>
      </c>
      <c r="D1133" s="4" t="s">
        <v>378</v>
      </c>
      <c r="E1133" s="4" t="s">
        <v>730</v>
      </c>
      <c r="F1133" s="6">
        <v>5</v>
      </c>
      <c r="G1133" s="5">
        <v>2</v>
      </c>
      <c r="H1133" s="7">
        <v>0</v>
      </c>
      <c r="I1133" s="5">
        <v>1</v>
      </c>
      <c r="J1133" s="5">
        <v>1</v>
      </c>
      <c r="K1133" s="7">
        <v>0</v>
      </c>
      <c r="L1133" s="5">
        <v>1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5</v>
      </c>
      <c r="V1133" s="5">
        <v>2</v>
      </c>
      <c r="W1133" s="7">
        <v>0</v>
      </c>
      <c r="X1133" s="5">
        <v>1</v>
      </c>
      <c r="Y1133" s="5">
        <v>1</v>
      </c>
      <c r="Z1133" s="7">
        <v>0</v>
      </c>
      <c r="AA1133" s="5">
        <v>1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1.25</v>
      </c>
      <c r="AL1133" s="5">
        <v>1</v>
      </c>
      <c r="AM1133" s="5">
        <v>2</v>
      </c>
      <c r="AN1133" s="31">
        <v>0</v>
      </c>
    </row>
    <row r="1134">
      <c r="A1134" s="24">
        <v>14625</v>
      </c>
      <c r="B1134" s="9" t="s">
        <v>1440</v>
      </c>
      <c r="C1134" s="9" t="s">
        <v>64</v>
      </c>
      <c r="D1134" s="9" t="s">
        <v>83</v>
      </c>
      <c r="E1134" s="9" t="s">
        <v>137</v>
      </c>
      <c r="F1134" s="11">
        <v>3</v>
      </c>
      <c r="G1134" s="10">
        <v>2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3</v>
      </c>
      <c r="V1134" s="10">
        <v>2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</v>
      </c>
    </row>
    <row r="1135">
      <c r="A1135" s="23">
        <v>14728</v>
      </c>
      <c r="B1135" s="4" t="s">
        <v>1441</v>
      </c>
      <c r="C1135" s="4" t="s">
        <v>602</v>
      </c>
      <c r="D1135" s="4" t="s">
        <v>605</v>
      </c>
      <c r="E1135" s="4" t="s">
        <v>361</v>
      </c>
      <c r="F1135" s="6">
        <v>2</v>
      </c>
      <c r="G1135" s="7">
        <v>0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7">
        <v>0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0.44</v>
      </c>
    </row>
    <row r="1136">
      <c r="A1136" s="24">
        <v>14789</v>
      </c>
      <c r="B1136" s="9" t="s">
        <v>1442</v>
      </c>
      <c r="C1136" s="9" t="s">
        <v>64</v>
      </c>
      <c r="D1136" s="9" t="s">
        <v>68</v>
      </c>
      <c r="E1136" s="9" t="s">
        <v>71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14799</v>
      </c>
      <c r="B1137" s="4" t="s">
        <v>1443</v>
      </c>
      <c r="C1137" s="4" t="s">
        <v>64</v>
      </c>
      <c r="D1137" s="4" t="s">
        <v>68</v>
      </c>
      <c r="E1137" s="4" t="s">
        <v>71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1">
        <v>0</v>
      </c>
    </row>
    <row r="1138">
      <c r="A1138" s="24">
        <v>14818</v>
      </c>
      <c r="B1138" s="9" t="s">
        <v>1444</v>
      </c>
      <c r="C1138" s="9" t="s">
        <v>64</v>
      </c>
      <c r="D1138" s="9" t="s">
        <v>80</v>
      </c>
      <c r="E1138" s="9" t="s">
        <v>429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14824</v>
      </c>
      <c r="B1139" s="4" t="s">
        <v>1445</v>
      </c>
      <c r="C1139" s="4" t="s">
        <v>141</v>
      </c>
      <c r="D1139" s="4" t="s">
        <v>1446</v>
      </c>
      <c r="E1139" s="4" t="s">
        <v>1447</v>
      </c>
      <c r="F1139" s="6">
        <v>8</v>
      </c>
      <c r="G1139" s="7">
        <v>0</v>
      </c>
      <c r="H1139" s="7">
        <v>0</v>
      </c>
      <c r="I1139" s="5">
        <v>6</v>
      </c>
      <c r="J1139" s="7">
        <v>0</v>
      </c>
      <c r="K1139" s="7">
        <v>0</v>
      </c>
      <c r="L1139" s="5">
        <v>2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7</v>
      </c>
      <c r="V1139" s="7">
        <v>0</v>
      </c>
      <c r="W1139" s="7">
        <v>0</v>
      </c>
      <c r="X1139" s="5">
        <v>5</v>
      </c>
      <c r="Y1139" s="7">
        <v>0</v>
      </c>
      <c r="Z1139" s="7">
        <v>0</v>
      </c>
      <c r="AA1139" s="5">
        <v>2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4</v>
      </c>
      <c r="AL1139" s="5">
        <v>4</v>
      </c>
      <c r="AM1139" s="5">
        <v>6</v>
      </c>
      <c r="AN1139" s="31">
        <v>0</v>
      </c>
    </row>
    <row r="1140">
      <c r="A1140" s="24">
        <v>14883</v>
      </c>
      <c r="B1140" s="9" t="s">
        <v>1448</v>
      </c>
      <c r="C1140" s="9" t="s">
        <v>64</v>
      </c>
      <c r="D1140" s="9" t="s">
        <v>83</v>
      </c>
      <c r="E1140" s="9" t="s">
        <v>280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14901</v>
      </c>
      <c r="B1141" s="4" t="s">
        <v>1449</v>
      </c>
      <c r="C1141" s="4" t="s">
        <v>141</v>
      </c>
      <c r="D1141" s="4" t="s">
        <v>446</v>
      </c>
      <c r="E1141" s="4" t="s">
        <v>447</v>
      </c>
      <c r="F1141" s="6">
        <v>1</v>
      </c>
      <c r="G1141" s="7">
        <v>0</v>
      </c>
      <c r="H1141" s="5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5">
        <v>1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0.24</v>
      </c>
    </row>
    <row r="1142">
      <c r="A1142" s="24">
        <v>14923</v>
      </c>
      <c r="B1142" s="9" t="s">
        <v>1450</v>
      </c>
      <c r="C1142" s="9" t="s">
        <v>64</v>
      </c>
      <c r="D1142" s="9" t="s">
        <v>80</v>
      </c>
      <c r="E1142" s="9" t="s">
        <v>86</v>
      </c>
      <c r="F1142" s="11">
        <v>3</v>
      </c>
      <c r="G1142" s="10">
        <v>1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3</v>
      </c>
      <c r="V1142" s="10">
        <v>1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29">
        <v>0.75</v>
      </c>
    </row>
    <row r="1143">
      <c r="A1143" s="23">
        <v>14932</v>
      </c>
      <c r="B1143" s="4" t="s">
        <v>1451</v>
      </c>
      <c r="C1143" s="4" t="s">
        <v>141</v>
      </c>
      <c r="D1143" s="4" t="s">
        <v>378</v>
      </c>
      <c r="E1143" s="4" t="s">
        <v>387</v>
      </c>
      <c r="F1143" s="6">
        <v>1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1">
        <v>0</v>
      </c>
    </row>
    <row r="1144">
      <c r="A1144" s="24">
        <v>14963</v>
      </c>
      <c r="B1144" s="9" t="s">
        <v>1452</v>
      </c>
      <c r="C1144" s="9" t="s">
        <v>64</v>
      </c>
      <c r="D1144" s="9" t="s">
        <v>76</v>
      </c>
      <c r="E1144" s="9" t="s">
        <v>119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0.36</v>
      </c>
    </row>
    <row r="1145">
      <c r="A1145" s="23">
        <v>14978</v>
      </c>
      <c r="B1145" s="4" t="s">
        <v>1453</v>
      </c>
      <c r="C1145" s="4" t="s">
        <v>64</v>
      </c>
      <c r="D1145" s="4" t="s">
        <v>76</v>
      </c>
      <c r="E1145" s="4" t="s">
        <v>77</v>
      </c>
      <c r="F1145" s="6">
        <v>2</v>
      </c>
      <c r="G1145" s="7">
        <v>0</v>
      </c>
      <c r="H1145" s="7">
        <v>0</v>
      </c>
      <c r="I1145" s="5">
        <v>1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7">
        <v>0</v>
      </c>
      <c r="W1145" s="7">
        <v>0</v>
      </c>
      <c r="X1145" s="5">
        <v>1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15007</v>
      </c>
      <c r="B1146" s="9" t="s">
        <v>1454</v>
      </c>
      <c r="C1146" s="9" t="s">
        <v>64</v>
      </c>
      <c r="D1146" s="9" t="s">
        <v>76</v>
      </c>
      <c r="E1146" s="9" t="s">
        <v>163</v>
      </c>
      <c r="F1146" s="11">
        <v>8</v>
      </c>
      <c r="G1146" s="12">
        <v>0</v>
      </c>
      <c r="H1146" s="10">
        <v>1</v>
      </c>
      <c r="I1146" s="12">
        <v>0</v>
      </c>
      <c r="J1146" s="10">
        <v>7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8</v>
      </c>
      <c r="V1146" s="12">
        <v>0</v>
      </c>
      <c r="W1146" s="10">
        <v>1</v>
      </c>
      <c r="X1146" s="12">
        <v>0</v>
      </c>
      <c r="Y1146" s="10">
        <v>7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2.67</v>
      </c>
      <c r="AL1146" s="10">
        <v>1</v>
      </c>
      <c r="AM1146" s="10">
        <v>6</v>
      </c>
      <c r="AN1146" s="29">
        <v>1.5</v>
      </c>
    </row>
    <row r="1147">
      <c r="A1147" s="23">
        <v>15010</v>
      </c>
      <c r="B1147" s="4" t="s">
        <v>1455</v>
      </c>
      <c r="C1147" s="4" t="s">
        <v>171</v>
      </c>
      <c r="D1147" s="4" t="s">
        <v>185</v>
      </c>
      <c r="E1147" s="4" t="s">
        <v>186</v>
      </c>
      <c r="F1147" s="6">
        <v>2</v>
      </c>
      <c r="G1147" s="7">
        <v>0</v>
      </c>
      <c r="H1147" s="7">
        <v>0</v>
      </c>
      <c r="I1147" s="7">
        <v>0</v>
      </c>
      <c r="J1147" s="7">
        <v>0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7">
        <v>0</v>
      </c>
      <c r="Z1147" s="5">
        <v>2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31">
        <v>0</v>
      </c>
    </row>
    <row r="1148">
      <c r="A1148" s="24">
        <v>15027</v>
      </c>
      <c r="B1148" s="9" t="s">
        <v>1456</v>
      </c>
      <c r="C1148" s="9" t="s">
        <v>64</v>
      </c>
      <c r="D1148" s="9" t="s">
        <v>107</v>
      </c>
      <c r="E1148" s="9" t="s">
        <v>113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15032</v>
      </c>
      <c r="B1149" s="4" t="s">
        <v>1457</v>
      </c>
      <c r="C1149" s="4" t="s">
        <v>64</v>
      </c>
      <c r="D1149" s="4" t="s">
        <v>68</v>
      </c>
      <c r="E1149" s="4" t="s">
        <v>71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15091</v>
      </c>
      <c r="B1150" s="9" t="s">
        <v>1458</v>
      </c>
      <c r="C1150" s="9" t="s">
        <v>64</v>
      </c>
      <c r="D1150" s="9" t="s">
        <v>83</v>
      </c>
      <c r="E1150" s="9" t="s">
        <v>1208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0.36</v>
      </c>
    </row>
    <row r="1151">
      <c r="A1151" s="23">
        <v>15126</v>
      </c>
      <c r="B1151" s="4" t="s">
        <v>1459</v>
      </c>
      <c r="C1151" s="4" t="s">
        <v>64</v>
      </c>
      <c r="D1151" s="4" t="s">
        <v>80</v>
      </c>
      <c r="E1151" s="4" t="s">
        <v>86</v>
      </c>
      <c r="F1151" s="6">
        <v>3</v>
      </c>
      <c r="G1151" s="7">
        <v>0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7">
        <v>0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0.75</v>
      </c>
    </row>
    <row r="1152">
      <c r="A1152" s="24">
        <v>15150</v>
      </c>
      <c r="B1152" s="9" t="s">
        <v>1460</v>
      </c>
      <c r="C1152" s="9" t="s">
        <v>64</v>
      </c>
      <c r="D1152" s="9" t="s">
        <v>110</v>
      </c>
      <c r="E1152" s="9" t="s">
        <v>111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15166</v>
      </c>
      <c r="B1153" s="4" t="s">
        <v>1461</v>
      </c>
      <c r="C1153" s="4" t="s">
        <v>602</v>
      </c>
      <c r="D1153" s="4" t="s">
        <v>1071</v>
      </c>
      <c r="E1153" s="4" t="s">
        <v>361</v>
      </c>
      <c r="F1153" s="6">
        <v>2</v>
      </c>
      <c r="G1153" s="7">
        <v>0</v>
      </c>
      <c r="H1153" s="7">
        <v>0</v>
      </c>
      <c r="I1153" s="5">
        <v>2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7">
        <v>0</v>
      </c>
      <c r="W1153" s="7">
        <v>0</v>
      </c>
      <c r="X1153" s="5">
        <v>2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31">
        <v>0</v>
      </c>
    </row>
    <row r="1154">
      <c r="A1154" s="24">
        <v>15322</v>
      </c>
      <c r="B1154" s="9" t="s">
        <v>1462</v>
      </c>
      <c r="C1154" s="9" t="s">
        <v>64</v>
      </c>
      <c r="D1154" s="9" t="s">
        <v>110</v>
      </c>
      <c r="E1154" s="9" t="s">
        <v>151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15326</v>
      </c>
      <c r="B1155" s="4" t="s">
        <v>1463</v>
      </c>
      <c r="C1155" s="4" t="s">
        <v>64</v>
      </c>
      <c r="D1155" s="4" t="s">
        <v>110</v>
      </c>
      <c r="E1155" s="4" t="s">
        <v>151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15330</v>
      </c>
      <c r="B1156" s="9" t="s">
        <v>1464</v>
      </c>
      <c r="C1156" s="9" t="s">
        <v>64</v>
      </c>
      <c r="D1156" s="9" t="s">
        <v>68</v>
      </c>
      <c r="E1156" s="9" t="s">
        <v>71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15375</v>
      </c>
      <c r="B1157" s="4" t="s">
        <v>1465</v>
      </c>
      <c r="C1157" s="4" t="s">
        <v>64</v>
      </c>
      <c r="D1157" s="4" t="s">
        <v>80</v>
      </c>
      <c r="E1157" s="4" t="s">
        <v>135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15378</v>
      </c>
      <c r="B1158" s="9" t="s">
        <v>1466</v>
      </c>
      <c r="C1158" s="9" t="s">
        <v>64</v>
      </c>
      <c r="D1158" s="9" t="s">
        <v>68</v>
      </c>
      <c r="E1158" s="9" t="s">
        <v>71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15406</v>
      </c>
      <c r="B1159" s="4" t="s">
        <v>1467</v>
      </c>
      <c r="C1159" s="4" t="s">
        <v>64</v>
      </c>
      <c r="D1159" s="4" t="s">
        <v>83</v>
      </c>
      <c r="E1159" s="4" t="s">
        <v>147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0.5</v>
      </c>
    </row>
    <row r="1160">
      <c r="A1160" s="24">
        <v>15415</v>
      </c>
      <c r="B1160" s="9" t="s">
        <v>1468</v>
      </c>
      <c r="C1160" s="9" t="s">
        <v>64</v>
      </c>
      <c r="D1160" s="9" t="s">
        <v>110</v>
      </c>
      <c r="E1160" s="9" t="s">
        <v>151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15544</v>
      </c>
      <c r="B1161" s="4" t="s">
        <v>1469</v>
      </c>
      <c r="C1161" s="4" t="s">
        <v>64</v>
      </c>
      <c r="D1161" s="4" t="s">
        <v>110</v>
      </c>
      <c r="E1161" s="4" t="s">
        <v>117</v>
      </c>
      <c r="F1161" s="6">
        <v>4</v>
      </c>
      <c r="G1161" s="5">
        <v>2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5">
        <v>1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1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5">
        <v>1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1.33</v>
      </c>
      <c r="AL1161" s="5">
        <v>1</v>
      </c>
      <c r="AM1161" s="5">
        <v>2</v>
      </c>
      <c r="AN1161" s="31">
        <v>0</v>
      </c>
    </row>
    <row r="1162">
      <c r="A1162" s="24">
        <v>15556</v>
      </c>
      <c r="B1162" s="9" t="s">
        <v>1470</v>
      </c>
      <c r="C1162" s="9" t="s">
        <v>686</v>
      </c>
      <c r="D1162" s="9" t="s">
        <v>919</v>
      </c>
      <c r="E1162" s="9" t="s">
        <v>361</v>
      </c>
      <c r="F1162" s="11">
        <v>2</v>
      </c>
      <c r="G1162" s="12">
        <v>0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15609</v>
      </c>
      <c r="B1163" s="4" t="s">
        <v>1471</v>
      </c>
      <c r="C1163" s="4" t="s">
        <v>64</v>
      </c>
      <c r="D1163" s="4" t="s">
        <v>110</v>
      </c>
      <c r="E1163" s="4" t="s">
        <v>111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15671</v>
      </c>
      <c r="B1164" s="9" t="s">
        <v>1472</v>
      </c>
      <c r="C1164" s="9" t="s">
        <v>64</v>
      </c>
      <c r="D1164" s="9" t="s">
        <v>110</v>
      </c>
      <c r="E1164" s="9" t="s">
        <v>151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0.22</v>
      </c>
    </row>
    <row r="1165">
      <c r="A1165" s="23">
        <v>15726</v>
      </c>
      <c r="B1165" s="4" t="s">
        <v>1473</v>
      </c>
      <c r="C1165" s="4" t="s">
        <v>64</v>
      </c>
      <c r="D1165" s="4" t="s">
        <v>83</v>
      </c>
      <c r="E1165" s="4" t="s">
        <v>207</v>
      </c>
      <c r="F1165" s="6">
        <v>1</v>
      </c>
      <c r="G1165" s="7">
        <v>0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15730</v>
      </c>
      <c r="B1166" s="9" t="s">
        <v>1474</v>
      </c>
      <c r="C1166" s="9" t="s">
        <v>141</v>
      </c>
      <c r="D1166" s="9" t="s">
        <v>230</v>
      </c>
      <c r="E1166" s="9" t="s">
        <v>231</v>
      </c>
      <c r="F1166" s="11">
        <v>3</v>
      </c>
      <c r="G1166" s="12">
        <v>0</v>
      </c>
      <c r="H1166" s="10">
        <v>1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2">
        <v>0</v>
      </c>
      <c r="W1166" s="10">
        <v>1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0.5</v>
      </c>
    </row>
    <row r="1167">
      <c r="A1167" s="23">
        <v>15750</v>
      </c>
      <c r="B1167" s="4" t="s">
        <v>1475</v>
      </c>
      <c r="C1167" s="4" t="s">
        <v>64</v>
      </c>
      <c r="D1167" s="4" t="s">
        <v>76</v>
      </c>
      <c r="E1167" s="4" t="s">
        <v>125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1">
        <v>0</v>
      </c>
    </row>
    <row r="1168">
      <c r="A1168" s="24">
        <v>15774</v>
      </c>
      <c r="B1168" s="9" t="s">
        <v>1476</v>
      </c>
      <c r="C1168" s="9" t="s">
        <v>64</v>
      </c>
      <c r="D1168" s="9" t="s">
        <v>110</v>
      </c>
      <c r="E1168" s="9" t="s">
        <v>455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0.36</v>
      </c>
    </row>
    <row r="1169">
      <c r="A1169" s="23">
        <v>15826</v>
      </c>
      <c r="B1169" s="4" t="s">
        <v>1477</v>
      </c>
      <c r="C1169" s="4" t="s">
        <v>64</v>
      </c>
      <c r="D1169" s="4" t="s">
        <v>110</v>
      </c>
      <c r="E1169" s="4" t="s">
        <v>151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0.44</v>
      </c>
    </row>
    <row r="1170">
      <c r="A1170" s="24">
        <v>15854</v>
      </c>
      <c r="B1170" s="9" t="s">
        <v>1478</v>
      </c>
      <c r="C1170" s="9" t="s">
        <v>64</v>
      </c>
      <c r="D1170" s="9" t="s">
        <v>83</v>
      </c>
      <c r="E1170" s="9" t="s">
        <v>563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15872</v>
      </c>
      <c r="B1171" s="4" t="s">
        <v>1479</v>
      </c>
      <c r="C1171" s="4" t="s">
        <v>141</v>
      </c>
      <c r="D1171" s="4" t="s">
        <v>661</v>
      </c>
      <c r="E1171" s="4" t="s">
        <v>662</v>
      </c>
      <c r="F1171" s="6">
        <v>2</v>
      </c>
      <c r="G1171" s="7">
        <v>0</v>
      </c>
      <c r="H1171" s="5">
        <v>1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2</v>
      </c>
      <c r="V1171" s="7">
        <v>0</v>
      </c>
      <c r="W1171" s="5">
        <v>1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1">
        <v>0</v>
      </c>
    </row>
    <row r="1172">
      <c r="A1172" s="24">
        <v>15881</v>
      </c>
      <c r="B1172" s="9" t="s">
        <v>1480</v>
      </c>
      <c r="C1172" s="9" t="s">
        <v>64</v>
      </c>
      <c r="D1172" s="9" t="s">
        <v>73</v>
      </c>
      <c r="E1172" s="9" t="s">
        <v>325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30">
        <v>0</v>
      </c>
    </row>
    <row r="1173">
      <c r="A1173" s="23">
        <v>15899</v>
      </c>
      <c r="B1173" s="4" t="s">
        <v>1481</v>
      </c>
      <c r="C1173" s="4" t="s">
        <v>64</v>
      </c>
      <c r="D1173" s="4" t="s">
        <v>83</v>
      </c>
      <c r="E1173" s="4" t="s">
        <v>98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15917</v>
      </c>
      <c r="B1174" s="9" t="s">
        <v>1482</v>
      </c>
      <c r="C1174" s="9" t="s">
        <v>64</v>
      </c>
      <c r="D1174" s="9" t="s">
        <v>73</v>
      </c>
      <c r="E1174" s="9" t="s">
        <v>457</v>
      </c>
      <c r="F1174" s="11">
        <v>3</v>
      </c>
      <c r="G1174" s="10">
        <v>3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3</v>
      </c>
      <c r="V1174" s="10">
        <v>3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30">
        <v>0</v>
      </c>
    </row>
    <row r="1175">
      <c r="A1175" s="23">
        <v>15955</v>
      </c>
      <c r="B1175" s="4" t="s">
        <v>1483</v>
      </c>
      <c r="C1175" s="4" t="s">
        <v>64</v>
      </c>
      <c r="D1175" s="4" t="s">
        <v>110</v>
      </c>
      <c r="E1175" s="4" t="s">
        <v>151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15956</v>
      </c>
      <c r="B1176" s="9" t="s">
        <v>1484</v>
      </c>
      <c r="C1176" s="9" t="s">
        <v>141</v>
      </c>
      <c r="D1176" s="9" t="s">
        <v>412</v>
      </c>
      <c r="E1176" s="9" t="s">
        <v>413</v>
      </c>
      <c r="F1176" s="11">
        <v>1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0.34</v>
      </c>
    </row>
    <row r="1177">
      <c r="A1177" s="23">
        <v>15982</v>
      </c>
      <c r="B1177" s="4" t="s">
        <v>1485</v>
      </c>
      <c r="C1177" s="4" t="s">
        <v>141</v>
      </c>
      <c r="D1177" s="4" t="s">
        <v>480</v>
      </c>
      <c r="E1177" s="4" t="s">
        <v>481</v>
      </c>
      <c r="F1177" s="6">
        <v>1</v>
      </c>
      <c r="G1177" s="7">
        <v>0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15988</v>
      </c>
      <c r="B1178" s="9" t="s">
        <v>1486</v>
      </c>
      <c r="C1178" s="9" t="s">
        <v>64</v>
      </c>
      <c r="D1178" s="9" t="s">
        <v>110</v>
      </c>
      <c r="E1178" s="9" t="s">
        <v>151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15994</v>
      </c>
      <c r="B1179" s="4" t="s">
        <v>1487</v>
      </c>
      <c r="C1179" s="4" t="s">
        <v>64</v>
      </c>
      <c r="D1179" s="4" t="s">
        <v>110</v>
      </c>
      <c r="E1179" s="4" t="s">
        <v>1488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16017</v>
      </c>
      <c r="B1180" s="9" t="s">
        <v>1489</v>
      </c>
      <c r="C1180" s="9" t="s">
        <v>1490</v>
      </c>
      <c r="D1180" s="9" t="s">
        <v>1491</v>
      </c>
      <c r="E1180" s="9" t="s">
        <v>361</v>
      </c>
      <c r="F1180" s="11">
        <v>3</v>
      </c>
      <c r="G1180" s="12">
        <v>0</v>
      </c>
      <c r="H1180" s="10">
        <v>3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</v>
      </c>
      <c r="V1180" s="12">
        <v>0</v>
      </c>
      <c r="W1180" s="10">
        <v>3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29">
        <v>1.08</v>
      </c>
    </row>
    <row r="1181">
      <c r="A1181" s="23">
        <v>16024</v>
      </c>
      <c r="B1181" s="4" t="s">
        <v>1492</v>
      </c>
      <c r="C1181" s="4" t="s">
        <v>141</v>
      </c>
      <c r="D1181" s="4" t="s">
        <v>142</v>
      </c>
      <c r="E1181" s="4" t="s">
        <v>143</v>
      </c>
      <c r="F1181" s="6">
        <v>1</v>
      </c>
      <c r="G1181" s="7">
        <v>0</v>
      </c>
      <c r="H1181" s="5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5">
        <v>1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0.22</v>
      </c>
    </row>
    <row r="1182">
      <c r="A1182" s="24">
        <v>16029</v>
      </c>
      <c r="B1182" s="9" t="s">
        <v>1493</v>
      </c>
      <c r="C1182" s="9" t="s">
        <v>1148</v>
      </c>
      <c r="D1182" s="9" t="s">
        <v>1494</v>
      </c>
      <c r="E1182" s="9" t="s">
        <v>361</v>
      </c>
      <c r="F1182" s="11">
        <v>4</v>
      </c>
      <c r="G1182" s="12">
        <v>0</v>
      </c>
      <c r="H1182" s="12">
        <v>0</v>
      </c>
      <c r="I1182" s="12">
        <v>0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3</v>
      </c>
      <c r="V1182" s="12">
        <v>0</v>
      </c>
      <c r="W1182" s="12">
        <v>0</v>
      </c>
      <c r="X1182" s="12">
        <v>0</v>
      </c>
      <c r="Y1182" s="10">
        <v>3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</v>
      </c>
      <c r="AL1182" s="10">
        <v>2</v>
      </c>
      <c r="AM1182" s="10">
        <v>3</v>
      </c>
      <c r="AN1182" s="29">
        <v>0.78</v>
      </c>
    </row>
    <row r="1183">
      <c r="A1183" s="23">
        <v>16091</v>
      </c>
      <c r="B1183" s="4" t="s">
        <v>1495</v>
      </c>
      <c r="C1183" s="4" t="s">
        <v>64</v>
      </c>
      <c r="D1183" s="4" t="s">
        <v>88</v>
      </c>
      <c r="E1183" s="4" t="s">
        <v>363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31">
        <v>0</v>
      </c>
    </row>
    <row r="1184">
      <c r="A1184" s="24">
        <v>16098</v>
      </c>
      <c r="B1184" s="9" t="s">
        <v>1496</v>
      </c>
      <c r="C1184" s="9" t="s">
        <v>64</v>
      </c>
      <c r="D1184" s="9" t="s">
        <v>107</v>
      </c>
      <c r="E1184" s="9" t="s">
        <v>108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16100</v>
      </c>
      <c r="B1185" s="4" t="s">
        <v>1497</v>
      </c>
      <c r="C1185" s="4" t="s">
        <v>64</v>
      </c>
      <c r="D1185" s="4" t="s">
        <v>132</v>
      </c>
      <c r="E1185" s="4" t="s">
        <v>212</v>
      </c>
      <c r="F1185" s="6">
        <v>3</v>
      </c>
      <c r="G1185" s="7">
        <v>0</v>
      </c>
      <c r="H1185" s="7">
        <v>0</v>
      </c>
      <c r="I1185" s="7">
        <v>0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3</v>
      </c>
      <c r="AL1185" s="5">
        <v>3</v>
      </c>
      <c r="AM1185" s="5">
        <v>3</v>
      </c>
      <c r="AN1185" s="28">
        <v>0.25</v>
      </c>
    </row>
    <row r="1186">
      <c r="A1186" s="24">
        <v>16102</v>
      </c>
      <c r="B1186" s="9" t="s">
        <v>1498</v>
      </c>
      <c r="C1186" s="9" t="s">
        <v>64</v>
      </c>
      <c r="D1186" s="9" t="s">
        <v>132</v>
      </c>
      <c r="E1186" s="9" t="s">
        <v>227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16129</v>
      </c>
      <c r="B1187" s="4" t="s">
        <v>1499</v>
      </c>
      <c r="C1187" s="4" t="s">
        <v>359</v>
      </c>
      <c r="D1187" s="4" t="s">
        <v>360</v>
      </c>
      <c r="E1187" s="4" t="s">
        <v>361</v>
      </c>
      <c r="F1187" s="6">
        <v>2</v>
      </c>
      <c r="G1187" s="5">
        <v>1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5">
        <v>1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16131</v>
      </c>
      <c r="B1188" s="9" t="s">
        <v>1500</v>
      </c>
      <c r="C1188" s="9" t="s">
        <v>64</v>
      </c>
      <c r="D1188" s="9" t="s">
        <v>132</v>
      </c>
      <c r="E1188" s="9" t="s">
        <v>133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16137</v>
      </c>
      <c r="B1189" s="4" t="s">
        <v>1501</v>
      </c>
      <c r="C1189" s="4" t="s">
        <v>622</v>
      </c>
      <c r="D1189" s="4" t="s">
        <v>670</v>
      </c>
      <c r="E1189" s="4" t="s">
        <v>671</v>
      </c>
      <c r="F1189" s="6">
        <v>3</v>
      </c>
      <c r="G1189" s="7">
        <v>0</v>
      </c>
      <c r="H1189" s="5">
        <v>2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3</v>
      </c>
      <c r="V1189" s="7">
        <v>0</v>
      </c>
      <c r="W1189" s="5">
        <v>2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0.65</v>
      </c>
    </row>
    <row r="1190">
      <c r="A1190" s="24">
        <v>16140</v>
      </c>
      <c r="B1190" s="9" t="s">
        <v>1502</v>
      </c>
      <c r="C1190" s="9" t="s">
        <v>64</v>
      </c>
      <c r="D1190" s="9" t="s">
        <v>80</v>
      </c>
      <c r="E1190" s="9" t="s">
        <v>86</v>
      </c>
      <c r="F1190" s="11">
        <v>2</v>
      </c>
      <c r="G1190" s="12">
        <v>0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2">
        <v>0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0.52</v>
      </c>
    </row>
    <row r="1191">
      <c r="A1191" s="23">
        <v>16143</v>
      </c>
      <c r="B1191" s="4" t="s">
        <v>1503</v>
      </c>
      <c r="C1191" s="4" t="s">
        <v>64</v>
      </c>
      <c r="D1191" s="4" t="s">
        <v>91</v>
      </c>
      <c r="E1191" s="4" t="s">
        <v>157</v>
      </c>
      <c r="F1191" s="6">
        <v>2</v>
      </c>
      <c r="G1191" s="5">
        <v>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5">
        <v>2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31">
        <v>0</v>
      </c>
    </row>
    <row r="1192">
      <c r="A1192" s="24">
        <v>16212</v>
      </c>
      <c r="B1192" s="9" t="s">
        <v>1504</v>
      </c>
      <c r="C1192" s="9" t="s">
        <v>64</v>
      </c>
      <c r="D1192" s="9" t="s">
        <v>76</v>
      </c>
      <c r="E1192" s="9" t="s">
        <v>119</v>
      </c>
      <c r="F1192" s="11">
        <v>3</v>
      </c>
      <c r="G1192" s="10">
        <v>2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3</v>
      </c>
      <c r="V1192" s="10">
        <v>2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0.25</v>
      </c>
    </row>
    <row r="1193">
      <c r="A1193" s="23">
        <v>16250</v>
      </c>
      <c r="B1193" s="4" t="s">
        <v>1505</v>
      </c>
      <c r="C1193" s="4" t="s">
        <v>622</v>
      </c>
      <c r="D1193" s="4" t="s">
        <v>670</v>
      </c>
      <c r="E1193" s="4" t="s">
        <v>671</v>
      </c>
      <c r="F1193" s="6">
        <v>5</v>
      </c>
      <c r="G1193" s="5">
        <v>1</v>
      </c>
      <c r="H1193" s="7">
        <v>0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5</v>
      </c>
      <c r="V1193" s="5">
        <v>1</v>
      </c>
      <c r="W1193" s="7">
        <v>0</v>
      </c>
      <c r="X1193" s="7">
        <v>0</v>
      </c>
      <c r="Y1193" s="5">
        <v>4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1</v>
      </c>
      <c r="AM1193" s="5">
        <v>3</v>
      </c>
      <c r="AN1193" s="28">
        <v>1.04</v>
      </c>
    </row>
    <row r="1194">
      <c r="A1194" s="24">
        <v>16301</v>
      </c>
      <c r="B1194" s="9" t="s">
        <v>1506</v>
      </c>
      <c r="C1194" s="9" t="s">
        <v>64</v>
      </c>
      <c r="D1194" s="9" t="s">
        <v>132</v>
      </c>
      <c r="E1194" s="9" t="s">
        <v>133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16345</v>
      </c>
      <c r="B1195" s="4" t="s">
        <v>1507</v>
      </c>
      <c r="C1195" s="4" t="s">
        <v>141</v>
      </c>
      <c r="D1195" s="4" t="s">
        <v>436</v>
      </c>
      <c r="E1195" s="4" t="s">
        <v>549</v>
      </c>
      <c r="F1195" s="6">
        <v>2</v>
      </c>
      <c r="G1195" s="5">
        <v>1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2</v>
      </c>
      <c r="V1195" s="5">
        <v>1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0.5</v>
      </c>
    </row>
    <row r="1196">
      <c r="A1196" s="24">
        <v>16347</v>
      </c>
      <c r="B1196" s="9" t="s">
        <v>1508</v>
      </c>
      <c r="C1196" s="9" t="s">
        <v>1148</v>
      </c>
      <c r="D1196" s="9" t="s">
        <v>361</v>
      </c>
      <c r="E1196" s="9" t="s">
        <v>361</v>
      </c>
      <c r="F1196" s="11">
        <v>6</v>
      </c>
      <c r="G1196" s="12">
        <v>0</v>
      </c>
      <c r="H1196" s="12">
        <v>0</v>
      </c>
      <c r="I1196" s="12">
        <v>0</v>
      </c>
      <c r="J1196" s="10">
        <v>6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6</v>
      </c>
      <c r="V1196" s="12">
        <v>0</v>
      </c>
      <c r="W1196" s="12">
        <v>0</v>
      </c>
      <c r="X1196" s="12">
        <v>0</v>
      </c>
      <c r="Y1196" s="10">
        <v>6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29">
        <v>1.56</v>
      </c>
    </row>
    <row r="1197">
      <c r="A1197" s="23">
        <v>16350</v>
      </c>
      <c r="B1197" s="4" t="s">
        <v>1509</v>
      </c>
      <c r="C1197" s="4" t="s">
        <v>141</v>
      </c>
      <c r="D1197" s="4" t="s">
        <v>480</v>
      </c>
      <c r="E1197" s="4" t="s">
        <v>481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1">
        <v>0</v>
      </c>
    </row>
    <row r="1198">
      <c r="A1198" s="24">
        <v>16371</v>
      </c>
      <c r="B1198" s="9" t="s">
        <v>1510</v>
      </c>
      <c r="C1198" s="9" t="s">
        <v>141</v>
      </c>
      <c r="D1198" s="9" t="s">
        <v>480</v>
      </c>
      <c r="E1198" s="9" t="s">
        <v>551</v>
      </c>
      <c r="F1198" s="11">
        <v>3</v>
      </c>
      <c r="G1198" s="12">
        <v>0</v>
      </c>
      <c r="H1198" s="12">
        <v>0</v>
      </c>
      <c r="I1198" s="10">
        <v>1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3</v>
      </c>
      <c r="V1198" s="12">
        <v>0</v>
      </c>
      <c r="W1198" s="12">
        <v>0</v>
      </c>
      <c r="X1198" s="10">
        <v>1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0.75</v>
      </c>
    </row>
    <row r="1199">
      <c r="A1199" s="23">
        <v>16494</v>
      </c>
      <c r="B1199" s="4" t="s">
        <v>1511</v>
      </c>
      <c r="C1199" s="4" t="s">
        <v>141</v>
      </c>
      <c r="D1199" s="4" t="s">
        <v>412</v>
      </c>
      <c r="E1199" s="4" t="s">
        <v>413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16540</v>
      </c>
      <c r="B1200" s="9" t="s">
        <v>1512</v>
      </c>
      <c r="C1200" s="9" t="s">
        <v>64</v>
      </c>
      <c r="D1200" s="9" t="s">
        <v>132</v>
      </c>
      <c r="E1200" s="9" t="s">
        <v>227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2">
        <v>0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0.52</v>
      </c>
    </row>
    <row r="1201">
      <c r="A1201" s="23">
        <v>16542</v>
      </c>
      <c r="B1201" s="4" t="s">
        <v>1513</v>
      </c>
      <c r="C1201" s="4" t="s">
        <v>64</v>
      </c>
      <c r="D1201" s="4" t="s">
        <v>68</v>
      </c>
      <c r="E1201" s="4" t="s">
        <v>69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0.62</v>
      </c>
    </row>
    <row r="1202">
      <c r="A1202" s="24">
        <v>16551</v>
      </c>
      <c r="B1202" s="9" t="s">
        <v>1514</v>
      </c>
      <c r="C1202" s="9" t="s">
        <v>141</v>
      </c>
      <c r="D1202" s="9" t="s">
        <v>412</v>
      </c>
      <c r="E1202" s="9" t="s">
        <v>413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0.34</v>
      </c>
    </row>
    <row r="1203">
      <c r="A1203" s="23">
        <v>16554</v>
      </c>
      <c r="B1203" s="4" t="s">
        <v>1515</v>
      </c>
      <c r="C1203" s="4" t="s">
        <v>64</v>
      </c>
      <c r="D1203" s="4" t="s">
        <v>68</v>
      </c>
      <c r="E1203" s="4" t="s">
        <v>71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16559</v>
      </c>
      <c r="B1204" s="9" t="s">
        <v>1516</v>
      </c>
      <c r="C1204" s="9" t="s">
        <v>359</v>
      </c>
      <c r="D1204" s="9" t="s">
        <v>763</v>
      </c>
      <c r="E1204" s="9" t="s">
        <v>361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16604</v>
      </c>
      <c r="B1205" s="4" t="s">
        <v>1517</v>
      </c>
      <c r="C1205" s="4" t="s">
        <v>171</v>
      </c>
      <c r="D1205" s="4" t="s">
        <v>185</v>
      </c>
      <c r="E1205" s="4" t="s">
        <v>1518</v>
      </c>
      <c r="F1205" s="6">
        <v>1</v>
      </c>
      <c r="G1205" s="7">
        <v>0</v>
      </c>
      <c r="H1205" s="7">
        <v>0</v>
      </c>
      <c r="I1205" s="7">
        <v>0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16622</v>
      </c>
      <c r="B1206" s="9" t="s">
        <v>1519</v>
      </c>
      <c r="C1206" s="9" t="s">
        <v>1520</v>
      </c>
      <c r="D1206" s="9" t="s">
        <v>361</v>
      </c>
      <c r="E1206" s="9" t="s">
        <v>1521</v>
      </c>
      <c r="F1206" s="11">
        <v>2</v>
      </c>
      <c r="G1206" s="12">
        <v>0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30">
        <v>0</v>
      </c>
    </row>
    <row r="1207">
      <c r="A1207" s="23">
        <v>16666</v>
      </c>
      <c r="B1207" s="4" t="s">
        <v>1522</v>
      </c>
      <c r="C1207" s="4" t="s">
        <v>64</v>
      </c>
      <c r="D1207" s="4" t="s">
        <v>83</v>
      </c>
      <c r="E1207" s="4" t="s">
        <v>137</v>
      </c>
      <c r="F1207" s="6">
        <v>3</v>
      </c>
      <c r="G1207" s="7">
        <v>0</v>
      </c>
      <c r="H1207" s="5">
        <v>2</v>
      </c>
      <c r="I1207" s="7">
        <v>0</v>
      </c>
      <c r="J1207" s="7">
        <v>0</v>
      </c>
      <c r="K1207" s="5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</v>
      </c>
      <c r="V1207" s="7">
        <v>0</v>
      </c>
      <c r="W1207" s="5">
        <v>2</v>
      </c>
      <c r="X1207" s="7">
        <v>0</v>
      </c>
      <c r="Y1207" s="7">
        <v>0</v>
      </c>
      <c r="Z1207" s="5">
        <v>1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1">
        <v>0</v>
      </c>
    </row>
    <row r="1208">
      <c r="A1208" s="24">
        <v>16719</v>
      </c>
      <c r="B1208" s="9" t="s">
        <v>1523</v>
      </c>
      <c r="C1208" s="9" t="s">
        <v>64</v>
      </c>
      <c r="D1208" s="9" t="s">
        <v>68</v>
      </c>
      <c r="E1208" s="9" t="s">
        <v>71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0.24</v>
      </c>
    </row>
    <row r="1209">
      <c r="A1209" s="23">
        <v>16728</v>
      </c>
      <c r="B1209" s="4" t="s">
        <v>1524</v>
      </c>
      <c r="C1209" s="4" t="s">
        <v>602</v>
      </c>
      <c r="D1209" s="4" t="s">
        <v>641</v>
      </c>
      <c r="E1209" s="4" t="s">
        <v>361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0.26</v>
      </c>
    </row>
    <row r="1210">
      <c r="A1210" s="24">
        <v>16742</v>
      </c>
      <c r="B1210" s="9" t="s">
        <v>1525</v>
      </c>
      <c r="C1210" s="9" t="s">
        <v>141</v>
      </c>
      <c r="D1210" s="9" t="s">
        <v>412</v>
      </c>
      <c r="E1210" s="9" t="s">
        <v>413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16745</v>
      </c>
      <c r="B1211" s="4" t="s">
        <v>1526</v>
      </c>
      <c r="C1211" s="4" t="s">
        <v>141</v>
      </c>
      <c r="D1211" s="4" t="s">
        <v>661</v>
      </c>
      <c r="E1211" s="4" t="s">
        <v>662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1">
        <v>0</v>
      </c>
    </row>
    <row r="1212">
      <c r="A1212" s="24">
        <v>16761</v>
      </c>
      <c r="B1212" s="9" t="s">
        <v>1527</v>
      </c>
      <c r="C1212" s="9" t="s">
        <v>64</v>
      </c>
      <c r="D1212" s="9" t="s">
        <v>73</v>
      </c>
      <c r="E1212" s="9" t="s">
        <v>325</v>
      </c>
      <c r="F1212" s="11">
        <v>2</v>
      </c>
      <c r="G1212" s="10">
        <v>1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0">
        <v>1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</v>
      </c>
    </row>
    <row r="1213">
      <c r="A1213" s="23">
        <v>16767</v>
      </c>
      <c r="B1213" s="4" t="s">
        <v>1528</v>
      </c>
      <c r="C1213" s="4" t="s">
        <v>622</v>
      </c>
      <c r="D1213" s="4" t="s">
        <v>711</v>
      </c>
      <c r="E1213" s="4" t="s">
        <v>1529</v>
      </c>
      <c r="F1213" s="6">
        <v>4</v>
      </c>
      <c r="G1213" s="7">
        <v>0</v>
      </c>
      <c r="H1213" s="7">
        <v>0</v>
      </c>
      <c r="I1213" s="5">
        <v>1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4</v>
      </c>
      <c r="V1213" s="7">
        <v>0</v>
      </c>
      <c r="W1213" s="7">
        <v>0</v>
      </c>
      <c r="X1213" s="5">
        <v>1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0.78</v>
      </c>
    </row>
    <row r="1214">
      <c r="A1214" s="24">
        <v>16907</v>
      </c>
      <c r="B1214" s="9" t="s">
        <v>1530</v>
      </c>
      <c r="C1214" s="9" t="s">
        <v>64</v>
      </c>
      <c r="D1214" s="9" t="s">
        <v>76</v>
      </c>
      <c r="E1214" s="9" t="s">
        <v>271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16978</v>
      </c>
      <c r="B1215" s="4" t="s">
        <v>1531</v>
      </c>
      <c r="C1215" s="4" t="s">
        <v>64</v>
      </c>
      <c r="D1215" s="4" t="s">
        <v>88</v>
      </c>
      <c r="E1215" s="4" t="s">
        <v>89</v>
      </c>
      <c r="F1215" s="6">
        <v>4</v>
      </c>
      <c r="G1215" s="5">
        <v>1</v>
      </c>
      <c r="H1215" s="5">
        <v>1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4</v>
      </c>
      <c r="V1215" s="5">
        <v>1</v>
      </c>
      <c r="W1215" s="5">
        <v>1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1.2</v>
      </c>
    </row>
    <row r="1216">
      <c r="A1216" s="24">
        <v>16980</v>
      </c>
      <c r="B1216" s="9" t="s">
        <v>1532</v>
      </c>
      <c r="C1216" s="9" t="s">
        <v>64</v>
      </c>
      <c r="D1216" s="9" t="s">
        <v>132</v>
      </c>
      <c r="E1216" s="9" t="s">
        <v>227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0.24</v>
      </c>
    </row>
    <row r="1217">
      <c r="A1217" s="23">
        <v>17033</v>
      </c>
      <c r="B1217" s="4" t="s">
        <v>1533</v>
      </c>
      <c r="C1217" s="4" t="s">
        <v>64</v>
      </c>
      <c r="D1217" s="4" t="s">
        <v>88</v>
      </c>
      <c r="E1217" s="4" t="s">
        <v>89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17037</v>
      </c>
      <c r="B1218" s="9" t="s">
        <v>1534</v>
      </c>
      <c r="C1218" s="9" t="s">
        <v>64</v>
      </c>
      <c r="D1218" s="9" t="s">
        <v>76</v>
      </c>
      <c r="E1218" s="9" t="s">
        <v>77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17059</v>
      </c>
      <c r="B1219" s="4" t="s">
        <v>1535</v>
      </c>
      <c r="C1219" s="4" t="s">
        <v>64</v>
      </c>
      <c r="D1219" s="4" t="s">
        <v>110</v>
      </c>
      <c r="E1219" s="4" t="s">
        <v>121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1">
        <v>0</v>
      </c>
    </row>
    <row r="1220">
      <c r="A1220" s="24">
        <v>17063</v>
      </c>
      <c r="B1220" s="9" t="s">
        <v>1536</v>
      </c>
      <c r="C1220" s="9" t="s">
        <v>602</v>
      </c>
      <c r="D1220" s="9" t="s">
        <v>641</v>
      </c>
      <c r="E1220" s="9" t="s">
        <v>361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17064</v>
      </c>
      <c r="B1221" s="4" t="s">
        <v>1537</v>
      </c>
      <c r="C1221" s="4" t="s">
        <v>64</v>
      </c>
      <c r="D1221" s="4" t="s">
        <v>129</v>
      </c>
      <c r="E1221" s="4" t="s">
        <v>130</v>
      </c>
      <c r="F1221" s="6">
        <v>6</v>
      </c>
      <c r="G1221" s="5">
        <v>6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6</v>
      </c>
      <c r="V1221" s="5">
        <v>6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6</v>
      </c>
      <c r="AK1221" s="8">
        <v>6</v>
      </c>
      <c r="AL1221" s="5">
        <v>6</v>
      </c>
      <c r="AM1221" s="5">
        <v>6</v>
      </c>
      <c r="AN1221" s="28">
        <v>1.5</v>
      </c>
    </row>
    <row r="1222">
      <c r="A1222" s="24">
        <v>17104</v>
      </c>
      <c r="B1222" s="9" t="s">
        <v>1538</v>
      </c>
      <c r="C1222" s="9" t="s">
        <v>64</v>
      </c>
      <c r="D1222" s="9" t="s">
        <v>83</v>
      </c>
      <c r="E1222" s="9" t="s">
        <v>563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0.38</v>
      </c>
    </row>
    <row r="1223">
      <c r="A1223" s="23">
        <v>17209</v>
      </c>
      <c r="B1223" s="4" t="s">
        <v>1539</v>
      </c>
      <c r="C1223" s="4" t="s">
        <v>64</v>
      </c>
      <c r="D1223" s="4" t="s">
        <v>80</v>
      </c>
      <c r="E1223" s="4" t="s">
        <v>429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1">
        <v>0</v>
      </c>
    </row>
    <row r="1224">
      <c r="A1224" s="24">
        <v>17214</v>
      </c>
      <c r="B1224" s="9" t="s">
        <v>1540</v>
      </c>
      <c r="C1224" s="9" t="s">
        <v>64</v>
      </c>
      <c r="D1224" s="9" t="s">
        <v>132</v>
      </c>
      <c r="E1224" s="9" t="s">
        <v>227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17215</v>
      </c>
      <c r="B1225" s="4" t="s">
        <v>1541</v>
      </c>
      <c r="C1225" s="4" t="s">
        <v>64</v>
      </c>
      <c r="D1225" s="4" t="s">
        <v>68</v>
      </c>
      <c r="E1225" s="4" t="s">
        <v>245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1">
        <v>0</v>
      </c>
    </row>
    <row r="1226">
      <c r="A1226" s="24">
        <v>17221</v>
      </c>
      <c r="B1226" s="9" t="s">
        <v>1542</v>
      </c>
      <c r="C1226" s="9" t="s">
        <v>619</v>
      </c>
      <c r="D1226" s="9" t="s">
        <v>728</v>
      </c>
      <c r="E1226" s="9" t="s">
        <v>361</v>
      </c>
      <c r="F1226" s="11">
        <v>2</v>
      </c>
      <c r="G1226" s="12">
        <v>0</v>
      </c>
      <c r="H1226" s="10">
        <v>1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2">
        <v>0</v>
      </c>
      <c r="W1226" s="10">
        <v>1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17244</v>
      </c>
      <c r="B1227" s="4" t="s">
        <v>1543</v>
      </c>
      <c r="C1227" s="4" t="s">
        <v>141</v>
      </c>
      <c r="D1227" s="4" t="s">
        <v>412</v>
      </c>
      <c r="E1227" s="4" t="s">
        <v>1544</v>
      </c>
      <c r="F1227" s="6">
        <v>4</v>
      </c>
      <c r="G1227" s="5">
        <v>3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4</v>
      </c>
      <c r="V1227" s="5">
        <v>3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28">
        <v>0.61</v>
      </c>
    </row>
    <row r="1228">
      <c r="A1228" s="24">
        <v>17249</v>
      </c>
      <c r="B1228" s="9" t="s">
        <v>1545</v>
      </c>
      <c r="C1228" s="9" t="s">
        <v>141</v>
      </c>
      <c r="D1228" s="9" t="s">
        <v>1158</v>
      </c>
      <c r="E1228" s="9" t="s">
        <v>1159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17256</v>
      </c>
      <c r="B1229" s="4" t="s">
        <v>1546</v>
      </c>
      <c r="C1229" s="4" t="s">
        <v>171</v>
      </c>
      <c r="D1229" s="4" t="s">
        <v>172</v>
      </c>
      <c r="E1229" s="4" t="s">
        <v>173</v>
      </c>
      <c r="F1229" s="6">
        <v>4</v>
      </c>
      <c r="G1229" s="5">
        <v>3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5">
        <v>2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1.33</v>
      </c>
      <c r="AL1229" s="5">
        <v>1</v>
      </c>
      <c r="AM1229" s="5">
        <v>2</v>
      </c>
      <c r="AN1229" s="31">
        <v>0</v>
      </c>
    </row>
    <row r="1230">
      <c r="A1230" s="24">
        <v>17310</v>
      </c>
      <c r="B1230" s="9" t="s">
        <v>1547</v>
      </c>
      <c r="C1230" s="9" t="s">
        <v>686</v>
      </c>
      <c r="D1230" s="9" t="s">
        <v>919</v>
      </c>
      <c r="E1230" s="9" t="s">
        <v>361</v>
      </c>
      <c r="F1230" s="11">
        <v>4</v>
      </c>
      <c r="G1230" s="10">
        <v>1</v>
      </c>
      <c r="H1230" s="12">
        <v>0</v>
      </c>
      <c r="I1230" s="10">
        <v>1</v>
      </c>
      <c r="J1230" s="10">
        <v>1</v>
      </c>
      <c r="K1230" s="12">
        <v>0</v>
      </c>
      <c r="L1230" s="12">
        <v>0</v>
      </c>
      <c r="M1230" s="12">
        <v>0</v>
      </c>
      <c r="N1230" s="10">
        <v>1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4</v>
      </c>
      <c r="V1230" s="10">
        <v>1</v>
      </c>
      <c r="W1230" s="12">
        <v>0</v>
      </c>
      <c r="X1230" s="10">
        <v>1</v>
      </c>
      <c r="Y1230" s="10">
        <v>1</v>
      </c>
      <c r="Z1230" s="12">
        <v>0</v>
      </c>
      <c r="AA1230" s="12">
        <v>0</v>
      </c>
      <c r="AB1230" s="12">
        <v>0</v>
      </c>
      <c r="AC1230" s="10">
        <v>1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1</v>
      </c>
    </row>
    <row r="1231">
      <c r="A1231" s="23">
        <v>17315</v>
      </c>
      <c r="B1231" s="4" t="s">
        <v>1548</v>
      </c>
      <c r="C1231" s="4" t="s">
        <v>64</v>
      </c>
      <c r="D1231" s="4" t="s">
        <v>91</v>
      </c>
      <c r="E1231" s="4" t="s">
        <v>92</v>
      </c>
      <c r="F1231" s="6">
        <v>6</v>
      </c>
      <c r="G1231" s="5">
        <v>3</v>
      </c>
      <c r="H1231" s="5">
        <v>1</v>
      </c>
      <c r="I1231" s="5">
        <v>2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5</v>
      </c>
      <c r="V1231" s="5">
        <v>3</v>
      </c>
      <c r="W1231" s="5">
        <v>1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31">
        <v>0</v>
      </c>
    </row>
    <row r="1232">
      <c r="A1232" s="24">
        <v>17347</v>
      </c>
      <c r="B1232" s="9" t="s">
        <v>1549</v>
      </c>
      <c r="C1232" s="9" t="s">
        <v>64</v>
      </c>
      <c r="D1232" s="9" t="s">
        <v>80</v>
      </c>
      <c r="E1232" s="9" t="s">
        <v>354</v>
      </c>
      <c r="F1232" s="11">
        <v>2</v>
      </c>
      <c r="G1232" s="12">
        <v>0</v>
      </c>
      <c r="H1232" s="12">
        <v>0</v>
      </c>
      <c r="I1232" s="10">
        <v>1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2">
        <v>0</v>
      </c>
      <c r="W1232" s="12">
        <v>0</v>
      </c>
      <c r="X1232" s="10">
        <v>1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17359</v>
      </c>
      <c r="B1233" s="4" t="s">
        <v>1550</v>
      </c>
      <c r="C1233" s="4" t="s">
        <v>64</v>
      </c>
      <c r="D1233" s="4" t="s">
        <v>110</v>
      </c>
      <c r="E1233" s="4" t="s">
        <v>121</v>
      </c>
      <c r="F1233" s="6">
        <v>1</v>
      </c>
      <c r="G1233" s="7">
        <v>0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0.22</v>
      </c>
    </row>
    <row r="1234">
      <c r="A1234" s="24">
        <v>17365</v>
      </c>
      <c r="B1234" s="9" t="s">
        <v>1551</v>
      </c>
      <c r="C1234" s="9" t="s">
        <v>64</v>
      </c>
      <c r="D1234" s="9" t="s">
        <v>76</v>
      </c>
      <c r="E1234" s="9" t="s">
        <v>119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0.6</v>
      </c>
    </row>
    <row r="1235">
      <c r="A1235" s="23">
        <v>17416</v>
      </c>
      <c r="B1235" s="4" t="s">
        <v>1552</v>
      </c>
      <c r="C1235" s="4" t="s">
        <v>64</v>
      </c>
      <c r="D1235" s="4" t="s">
        <v>110</v>
      </c>
      <c r="E1235" s="4" t="s">
        <v>121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0.37</v>
      </c>
    </row>
    <row r="1236">
      <c r="A1236" s="24">
        <v>17469</v>
      </c>
      <c r="B1236" s="9" t="s">
        <v>1553</v>
      </c>
      <c r="C1236" s="9" t="s">
        <v>141</v>
      </c>
      <c r="D1236" s="9" t="s">
        <v>1150</v>
      </c>
      <c r="E1236" s="9" t="s">
        <v>1554</v>
      </c>
      <c r="F1236" s="11">
        <v>4</v>
      </c>
      <c r="G1236" s="12">
        <v>0</v>
      </c>
      <c r="H1236" s="12">
        <v>0</v>
      </c>
      <c r="I1236" s="10">
        <v>1</v>
      </c>
      <c r="J1236" s="10">
        <v>2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4</v>
      </c>
      <c r="V1236" s="12">
        <v>0</v>
      </c>
      <c r="W1236" s="12">
        <v>0</v>
      </c>
      <c r="X1236" s="10">
        <v>1</v>
      </c>
      <c r="Y1236" s="10">
        <v>2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1.33</v>
      </c>
      <c r="AL1236" s="10">
        <v>1</v>
      </c>
      <c r="AM1236" s="10">
        <v>2</v>
      </c>
      <c r="AN1236" s="29">
        <v>0.78</v>
      </c>
    </row>
    <row r="1237">
      <c r="A1237" s="23">
        <v>17487</v>
      </c>
      <c r="B1237" s="4" t="s">
        <v>1555</v>
      </c>
      <c r="C1237" s="4" t="s">
        <v>64</v>
      </c>
      <c r="D1237" s="4" t="s">
        <v>76</v>
      </c>
      <c r="E1237" s="4" t="s">
        <v>878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1">
        <v>0</v>
      </c>
    </row>
    <row r="1238">
      <c r="A1238" s="24">
        <v>17491</v>
      </c>
      <c r="B1238" s="9" t="s">
        <v>1556</v>
      </c>
      <c r="C1238" s="9" t="s">
        <v>171</v>
      </c>
      <c r="D1238" s="9" t="s">
        <v>172</v>
      </c>
      <c r="E1238" s="9" t="s">
        <v>183</v>
      </c>
      <c r="F1238" s="11">
        <v>1</v>
      </c>
      <c r="G1238" s="12">
        <v>0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17492</v>
      </c>
      <c r="B1239" s="4" t="s">
        <v>1557</v>
      </c>
      <c r="C1239" s="4" t="s">
        <v>171</v>
      </c>
      <c r="D1239" s="4" t="s">
        <v>172</v>
      </c>
      <c r="E1239" s="4" t="s">
        <v>173</v>
      </c>
      <c r="F1239" s="6">
        <v>2</v>
      </c>
      <c r="G1239" s="7">
        <v>0</v>
      </c>
      <c r="H1239" s="5">
        <v>1</v>
      </c>
      <c r="I1239" s="7">
        <v>0</v>
      </c>
      <c r="J1239" s="7">
        <v>0</v>
      </c>
      <c r="K1239" s="5">
        <v>1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7">
        <v>0</v>
      </c>
      <c r="W1239" s="5">
        <v>1</v>
      </c>
      <c r="X1239" s="7">
        <v>0</v>
      </c>
      <c r="Y1239" s="7">
        <v>0</v>
      </c>
      <c r="Z1239" s="5">
        <v>1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1">
        <v>0</v>
      </c>
    </row>
    <row r="1240">
      <c r="A1240" s="24">
        <v>17564</v>
      </c>
      <c r="B1240" s="9" t="s">
        <v>1558</v>
      </c>
      <c r="C1240" s="9" t="s">
        <v>64</v>
      </c>
      <c r="D1240" s="9" t="s">
        <v>110</v>
      </c>
      <c r="E1240" s="9" t="s">
        <v>111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17571</v>
      </c>
      <c r="B1241" s="4" t="s">
        <v>1559</v>
      </c>
      <c r="C1241" s="4" t="s">
        <v>171</v>
      </c>
      <c r="D1241" s="4" t="s">
        <v>172</v>
      </c>
      <c r="E1241" s="4" t="s">
        <v>173</v>
      </c>
      <c r="F1241" s="6">
        <v>3</v>
      </c>
      <c r="G1241" s="5">
        <v>1</v>
      </c>
      <c r="H1241" s="7">
        <v>0</v>
      </c>
      <c r="I1241" s="7">
        <v>0</v>
      </c>
      <c r="J1241" s="5">
        <v>1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3</v>
      </c>
      <c r="V1241" s="5">
        <v>1</v>
      </c>
      <c r="W1241" s="7">
        <v>0</v>
      </c>
      <c r="X1241" s="7">
        <v>0</v>
      </c>
      <c r="Y1241" s="5">
        <v>1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17572</v>
      </c>
      <c r="B1242" s="9" t="s">
        <v>1560</v>
      </c>
      <c r="C1242" s="9" t="s">
        <v>171</v>
      </c>
      <c r="D1242" s="9" t="s">
        <v>172</v>
      </c>
      <c r="E1242" s="9" t="s">
        <v>173</v>
      </c>
      <c r="F1242" s="11">
        <v>1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0">
        <v>1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0">
        <v>0</v>
      </c>
    </row>
    <row r="1243">
      <c r="A1243" s="23">
        <v>17573</v>
      </c>
      <c r="B1243" s="4" t="s">
        <v>1561</v>
      </c>
      <c r="C1243" s="4" t="s">
        <v>171</v>
      </c>
      <c r="D1243" s="4" t="s">
        <v>185</v>
      </c>
      <c r="E1243" s="4" t="s">
        <v>194</v>
      </c>
      <c r="F1243" s="6">
        <v>6</v>
      </c>
      <c r="G1243" s="5">
        <v>1</v>
      </c>
      <c r="H1243" s="7">
        <v>0</v>
      </c>
      <c r="I1243" s="5">
        <v>2</v>
      </c>
      <c r="J1243" s="7">
        <v>0</v>
      </c>
      <c r="K1243" s="5">
        <v>3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6</v>
      </c>
      <c r="V1243" s="5">
        <v>1</v>
      </c>
      <c r="W1243" s="7">
        <v>0</v>
      </c>
      <c r="X1243" s="5">
        <v>2</v>
      </c>
      <c r="Y1243" s="7">
        <v>0</v>
      </c>
      <c r="Z1243" s="5">
        <v>3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3</v>
      </c>
      <c r="AN1243" s="28">
        <v>0.24</v>
      </c>
    </row>
    <row r="1244">
      <c r="A1244" s="24">
        <v>17582</v>
      </c>
      <c r="B1244" s="9" t="s">
        <v>1562</v>
      </c>
      <c r="C1244" s="9" t="s">
        <v>64</v>
      </c>
      <c r="D1244" s="9" t="s">
        <v>68</v>
      </c>
      <c r="E1244" s="9" t="s">
        <v>71</v>
      </c>
      <c r="F1244" s="11">
        <v>1</v>
      </c>
      <c r="G1244" s="12">
        <v>0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0.24</v>
      </c>
    </row>
    <row r="1245">
      <c r="A1245" s="23">
        <v>17595</v>
      </c>
      <c r="B1245" s="4" t="s">
        <v>1563</v>
      </c>
      <c r="C1245" s="4" t="s">
        <v>64</v>
      </c>
      <c r="D1245" s="4" t="s">
        <v>80</v>
      </c>
      <c r="E1245" s="4" t="s">
        <v>86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17598</v>
      </c>
      <c r="B1246" s="9" t="s">
        <v>1564</v>
      </c>
      <c r="C1246" s="9" t="s">
        <v>64</v>
      </c>
      <c r="D1246" s="9" t="s">
        <v>65</v>
      </c>
      <c r="E1246" s="9" t="s">
        <v>1565</v>
      </c>
      <c r="F1246" s="11">
        <v>5</v>
      </c>
      <c r="G1246" s="12">
        <v>0</v>
      </c>
      <c r="H1246" s="10">
        <v>3</v>
      </c>
      <c r="I1246" s="10">
        <v>2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4</v>
      </c>
      <c r="V1246" s="12">
        <v>0</v>
      </c>
      <c r="W1246" s="10">
        <v>2</v>
      </c>
      <c r="X1246" s="10">
        <v>2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2.5</v>
      </c>
      <c r="AL1246" s="10">
        <v>2</v>
      </c>
      <c r="AM1246" s="10">
        <v>3</v>
      </c>
      <c r="AN1246" s="29">
        <v>1</v>
      </c>
    </row>
    <row r="1247">
      <c r="A1247" s="23">
        <v>17712</v>
      </c>
      <c r="B1247" s="4" t="s">
        <v>1566</v>
      </c>
      <c r="C1247" s="4" t="s">
        <v>64</v>
      </c>
      <c r="D1247" s="4" t="s">
        <v>73</v>
      </c>
      <c r="E1247" s="4" t="s">
        <v>457</v>
      </c>
      <c r="F1247" s="6">
        <v>2</v>
      </c>
      <c r="G1247" s="5">
        <v>1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5">
        <v>1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17724</v>
      </c>
      <c r="B1248" s="9" t="s">
        <v>1567</v>
      </c>
      <c r="C1248" s="9" t="s">
        <v>64</v>
      </c>
      <c r="D1248" s="9" t="s">
        <v>83</v>
      </c>
      <c r="E1248" s="9" t="s">
        <v>98</v>
      </c>
      <c r="F1248" s="11">
        <v>1</v>
      </c>
      <c r="G1248" s="12">
        <v>0</v>
      </c>
      <c r="H1248" s="10">
        <v>1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0">
        <v>1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0.26</v>
      </c>
    </row>
    <row r="1249">
      <c r="A1249" s="23">
        <v>17737</v>
      </c>
      <c r="B1249" s="4" t="s">
        <v>1568</v>
      </c>
      <c r="C1249" s="4" t="s">
        <v>64</v>
      </c>
      <c r="D1249" s="4" t="s">
        <v>88</v>
      </c>
      <c r="E1249" s="4" t="s">
        <v>363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1">
        <v>0</v>
      </c>
    </row>
    <row r="1250">
      <c r="A1250" s="24">
        <v>17738</v>
      </c>
      <c r="B1250" s="9" t="s">
        <v>1569</v>
      </c>
      <c r="C1250" s="9" t="s">
        <v>64</v>
      </c>
      <c r="D1250" s="9" t="s">
        <v>73</v>
      </c>
      <c r="E1250" s="9" t="s">
        <v>457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17740</v>
      </c>
      <c r="B1251" s="4" t="s">
        <v>1570</v>
      </c>
      <c r="C1251" s="4" t="s">
        <v>64</v>
      </c>
      <c r="D1251" s="4" t="s">
        <v>65</v>
      </c>
      <c r="E1251" s="4" t="s">
        <v>427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17749</v>
      </c>
      <c r="B1252" s="9" t="s">
        <v>1571</v>
      </c>
      <c r="C1252" s="9" t="s">
        <v>602</v>
      </c>
      <c r="D1252" s="9" t="s">
        <v>902</v>
      </c>
      <c r="E1252" s="9" t="s">
        <v>361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17770</v>
      </c>
      <c r="B1253" s="4" t="s">
        <v>1572</v>
      </c>
      <c r="C1253" s="4" t="s">
        <v>64</v>
      </c>
      <c r="D1253" s="4" t="s">
        <v>68</v>
      </c>
      <c r="E1253" s="4" t="s">
        <v>69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17781</v>
      </c>
      <c r="B1254" s="9" t="s">
        <v>1573</v>
      </c>
      <c r="C1254" s="9" t="s">
        <v>64</v>
      </c>
      <c r="D1254" s="9" t="s">
        <v>132</v>
      </c>
      <c r="E1254" s="9" t="s">
        <v>212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17788</v>
      </c>
      <c r="B1255" s="4" t="s">
        <v>1574</v>
      </c>
      <c r="C1255" s="4" t="s">
        <v>64</v>
      </c>
      <c r="D1255" s="4" t="s">
        <v>73</v>
      </c>
      <c r="E1255" s="4" t="s">
        <v>457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1">
        <v>0</v>
      </c>
    </row>
    <row r="1256">
      <c r="A1256" s="24">
        <v>17792</v>
      </c>
      <c r="B1256" s="9" t="s">
        <v>1575</v>
      </c>
      <c r="C1256" s="9" t="s">
        <v>141</v>
      </c>
      <c r="D1256" s="9" t="s">
        <v>378</v>
      </c>
      <c r="E1256" s="9" t="s">
        <v>379</v>
      </c>
      <c r="F1256" s="11">
        <v>1</v>
      </c>
      <c r="G1256" s="12">
        <v>0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17804</v>
      </c>
      <c r="B1257" s="4" t="s">
        <v>1576</v>
      </c>
      <c r="C1257" s="4" t="s">
        <v>686</v>
      </c>
      <c r="D1257" s="4" t="s">
        <v>705</v>
      </c>
      <c r="E1257" s="4" t="s">
        <v>361</v>
      </c>
      <c r="F1257" s="6">
        <v>4</v>
      </c>
      <c r="G1257" s="7">
        <v>0</v>
      </c>
      <c r="H1257" s="7">
        <v>0</v>
      </c>
      <c r="I1257" s="5">
        <v>4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3</v>
      </c>
      <c r="V1257" s="7">
        <v>0</v>
      </c>
      <c r="W1257" s="7">
        <v>0</v>
      </c>
      <c r="X1257" s="5">
        <v>3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31">
        <v>0</v>
      </c>
    </row>
    <row r="1258">
      <c r="A1258" s="24">
        <v>17819</v>
      </c>
      <c r="B1258" s="9" t="s">
        <v>1577</v>
      </c>
      <c r="C1258" s="9" t="s">
        <v>64</v>
      </c>
      <c r="D1258" s="9" t="s">
        <v>76</v>
      </c>
      <c r="E1258" s="9" t="s">
        <v>878</v>
      </c>
      <c r="F1258" s="11">
        <v>1</v>
      </c>
      <c r="G1258" s="12">
        <v>0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2">
        <v>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0.24</v>
      </c>
    </row>
    <row r="1259">
      <c r="A1259" s="23">
        <v>17876</v>
      </c>
      <c r="B1259" s="4" t="s">
        <v>1578</v>
      </c>
      <c r="C1259" s="4" t="s">
        <v>64</v>
      </c>
      <c r="D1259" s="4" t="s">
        <v>132</v>
      </c>
      <c r="E1259" s="4" t="s">
        <v>133</v>
      </c>
      <c r="F1259" s="6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5">
        <v>1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5">
        <v>1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1">
        <v>0</v>
      </c>
    </row>
    <row r="1260">
      <c r="A1260" s="24">
        <v>17881</v>
      </c>
      <c r="B1260" s="9" t="s">
        <v>1579</v>
      </c>
      <c r="C1260" s="9" t="s">
        <v>613</v>
      </c>
      <c r="D1260" s="9" t="s">
        <v>871</v>
      </c>
      <c r="E1260" s="9" t="s">
        <v>641</v>
      </c>
      <c r="F1260" s="11">
        <v>1</v>
      </c>
      <c r="G1260" s="12">
        <v>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0">
        <v>1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0">
        <v>1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17928</v>
      </c>
      <c r="B1261" s="4" t="s">
        <v>1580</v>
      </c>
      <c r="C1261" s="4" t="s">
        <v>64</v>
      </c>
      <c r="D1261" s="4" t="s">
        <v>68</v>
      </c>
      <c r="E1261" s="4" t="s">
        <v>245</v>
      </c>
      <c r="F1261" s="6">
        <v>1</v>
      </c>
      <c r="G1261" s="7">
        <v>0</v>
      </c>
      <c r="H1261" s="5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5">
        <v>1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0.26</v>
      </c>
    </row>
    <row r="1262">
      <c r="A1262" s="24">
        <v>17932</v>
      </c>
      <c r="B1262" s="9" t="s">
        <v>1581</v>
      </c>
      <c r="C1262" s="9" t="s">
        <v>171</v>
      </c>
      <c r="D1262" s="9" t="s">
        <v>451</v>
      </c>
      <c r="E1262" s="9" t="s">
        <v>1582</v>
      </c>
      <c r="F1262" s="11">
        <v>1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0">
        <v>1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0">
        <v>1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17933</v>
      </c>
      <c r="B1263" s="4" t="s">
        <v>1583</v>
      </c>
      <c r="C1263" s="4" t="s">
        <v>64</v>
      </c>
      <c r="D1263" s="4" t="s">
        <v>132</v>
      </c>
      <c r="E1263" s="4" t="s">
        <v>212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0.35</v>
      </c>
    </row>
    <row r="1264">
      <c r="A1264" s="24">
        <v>17934</v>
      </c>
      <c r="B1264" s="9" t="s">
        <v>1584</v>
      </c>
      <c r="C1264" s="9" t="s">
        <v>64</v>
      </c>
      <c r="D1264" s="9" t="s">
        <v>73</v>
      </c>
      <c r="E1264" s="9" t="s">
        <v>325</v>
      </c>
      <c r="F1264" s="11">
        <v>1</v>
      </c>
      <c r="G1264" s="12">
        <v>0</v>
      </c>
      <c r="H1264" s="10">
        <v>1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2">
        <v>0</v>
      </c>
      <c r="W1264" s="10">
        <v>1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17944</v>
      </c>
      <c r="B1265" s="4" t="s">
        <v>1585</v>
      </c>
      <c r="C1265" s="4" t="s">
        <v>64</v>
      </c>
      <c r="D1265" s="4" t="s">
        <v>68</v>
      </c>
      <c r="E1265" s="4" t="s">
        <v>245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0.24</v>
      </c>
    </row>
    <row r="1266">
      <c r="A1266" s="24">
        <v>17961</v>
      </c>
      <c r="B1266" s="9" t="s">
        <v>1586</v>
      </c>
      <c r="C1266" s="9" t="s">
        <v>64</v>
      </c>
      <c r="D1266" s="9" t="s">
        <v>68</v>
      </c>
      <c r="E1266" s="9" t="s">
        <v>71</v>
      </c>
      <c r="F1266" s="11">
        <v>2</v>
      </c>
      <c r="G1266" s="12">
        <v>0</v>
      </c>
      <c r="H1266" s="12">
        <v>0</v>
      </c>
      <c r="I1266" s="10">
        <v>2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2">
        <v>0</v>
      </c>
      <c r="W1266" s="12">
        <v>0</v>
      </c>
      <c r="X1266" s="10">
        <v>2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0.5</v>
      </c>
    </row>
    <row r="1267">
      <c r="A1267" s="23">
        <v>18050</v>
      </c>
      <c r="B1267" s="4" t="s">
        <v>1587</v>
      </c>
      <c r="C1267" s="4" t="s">
        <v>64</v>
      </c>
      <c r="D1267" s="4" t="s">
        <v>76</v>
      </c>
      <c r="E1267" s="4" t="s">
        <v>163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18076</v>
      </c>
      <c r="B1268" s="9" t="s">
        <v>1588</v>
      </c>
      <c r="C1268" s="9" t="s">
        <v>171</v>
      </c>
      <c r="D1268" s="9" t="s">
        <v>172</v>
      </c>
      <c r="E1268" s="9" t="s">
        <v>173</v>
      </c>
      <c r="F1268" s="11">
        <v>3</v>
      </c>
      <c r="G1268" s="12">
        <v>0</v>
      </c>
      <c r="H1268" s="10">
        <v>1</v>
      </c>
      <c r="I1268" s="12">
        <v>0</v>
      </c>
      <c r="J1268" s="12">
        <v>0</v>
      </c>
      <c r="K1268" s="10">
        <v>2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2">
        <v>0</v>
      </c>
      <c r="W1268" s="10">
        <v>1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1.5</v>
      </c>
      <c r="AL1268" s="10">
        <v>1</v>
      </c>
      <c r="AM1268" s="10">
        <v>2</v>
      </c>
      <c r="AN1268" s="30">
        <v>0</v>
      </c>
    </row>
    <row r="1269">
      <c r="A1269" s="23">
        <v>18079</v>
      </c>
      <c r="B1269" s="4" t="s">
        <v>1589</v>
      </c>
      <c r="C1269" s="4" t="s">
        <v>171</v>
      </c>
      <c r="D1269" s="4" t="s">
        <v>185</v>
      </c>
      <c r="E1269" s="4" t="s">
        <v>186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18083</v>
      </c>
      <c r="B1270" s="9" t="s">
        <v>1590</v>
      </c>
      <c r="C1270" s="9" t="s">
        <v>171</v>
      </c>
      <c r="D1270" s="9" t="s">
        <v>451</v>
      </c>
      <c r="E1270" s="9" t="s">
        <v>452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18090</v>
      </c>
      <c r="B1271" s="4" t="s">
        <v>1591</v>
      </c>
      <c r="C1271" s="4" t="s">
        <v>171</v>
      </c>
      <c r="D1271" s="4" t="s">
        <v>172</v>
      </c>
      <c r="E1271" s="4" t="s">
        <v>173</v>
      </c>
      <c r="F1271" s="6">
        <v>1</v>
      </c>
      <c r="G1271" s="7">
        <v>0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1">
        <v>0</v>
      </c>
    </row>
    <row r="1272">
      <c r="A1272" s="24">
        <v>18150</v>
      </c>
      <c r="B1272" s="9" t="s">
        <v>1592</v>
      </c>
      <c r="C1272" s="9" t="s">
        <v>141</v>
      </c>
      <c r="D1272" s="9" t="s">
        <v>230</v>
      </c>
      <c r="E1272" s="9" t="s">
        <v>231</v>
      </c>
      <c r="F1272" s="11">
        <v>9</v>
      </c>
      <c r="G1272" s="12">
        <v>0</v>
      </c>
      <c r="H1272" s="10">
        <v>1</v>
      </c>
      <c r="I1272" s="12">
        <v>0</v>
      </c>
      <c r="J1272" s="10">
        <v>8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9</v>
      </c>
      <c r="V1272" s="12">
        <v>0</v>
      </c>
      <c r="W1272" s="10">
        <v>1</v>
      </c>
      <c r="X1272" s="12">
        <v>0</v>
      </c>
      <c r="Y1272" s="10">
        <v>8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4.5</v>
      </c>
      <c r="AL1272" s="10">
        <v>4</v>
      </c>
      <c r="AM1272" s="10">
        <v>8</v>
      </c>
      <c r="AN1272" s="29">
        <v>2.37</v>
      </c>
    </row>
    <row r="1273">
      <c r="A1273" s="23">
        <v>18252</v>
      </c>
      <c r="B1273" s="4" t="s">
        <v>1593</v>
      </c>
      <c r="C1273" s="4" t="s">
        <v>64</v>
      </c>
      <c r="D1273" s="4" t="s">
        <v>83</v>
      </c>
      <c r="E1273" s="4" t="s">
        <v>147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1">
        <v>0</v>
      </c>
    </row>
    <row r="1274">
      <c r="A1274" s="24">
        <v>18273</v>
      </c>
      <c r="B1274" s="9" t="s">
        <v>1594</v>
      </c>
      <c r="C1274" s="9" t="s">
        <v>64</v>
      </c>
      <c r="D1274" s="9" t="s">
        <v>110</v>
      </c>
      <c r="E1274" s="9" t="s">
        <v>151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18276</v>
      </c>
      <c r="B1275" s="4" t="s">
        <v>1595</v>
      </c>
      <c r="C1275" s="4" t="s">
        <v>686</v>
      </c>
      <c r="D1275" s="4" t="s">
        <v>695</v>
      </c>
      <c r="E1275" s="4" t="s">
        <v>361</v>
      </c>
      <c r="F1275" s="6">
        <v>2</v>
      </c>
      <c r="G1275" s="7">
        <v>0</v>
      </c>
      <c r="H1275" s="7">
        <v>0</v>
      </c>
      <c r="I1275" s="5">
        <v>2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7">
        <v>0</v>
      </c>
      <c r="W1275" s="7">
        <v>0</v>
      </c>
      <c r="X1275" s="5">
        <v>2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31">
        <v>0</v>
      </c>
    </row>
    <row r="1276">
      <c r="A1276" s="24">
        <v>18343</v>
      </c>
      <c r="B1276" s="9" t="s">
        <v>1596</v>
      </c>
      <c r="C1276" s="9" t="s">
        <v>141</v>
      </c>
      <c r="D1276" s="9" t="s">
        <v>378</v>
      </c>
      <c r="E1276" s="9" t="s">
        <v>379</v>
      </c>
      <c r="F1276" s="11">
        <v>3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0">
        <v>1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0">
        <v>1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30">
        <v>0</v>
      </c>
    </row>
    <row r="1277">
      <c r="A1277" s="23">
        <v>18348</v>
      </c>
      <c r="B1277" s="4" t="s">
        <v>1597</v>
      </c>
      <c r="C1277" s="4" t="s">
        <v>141</v>
      </c>
      <c r="D1277" s="4" t="s">
        <v>142</v>
      </c>
      <c r="E1277" s="4" t="s">
        <v>689</v>
      </c>
      <c r="F1277" s="6">
        <v>1</v>
      </c>
      <c r="G1277" s="7">
        <v>0</v>
      </c>
      <c r="H1277" s="5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5">
        <v>1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18400</v>
      </c>
      <c r="B1278" s="9" t="s">
        <v>1598</v>
      </c>
      <c r="C1278" s="9" t="s">
        <v>171</v>
      </c>
      <c r="D1278" s="9" t="s">
        <v>451</v>
      </c>
      <c r="E1278" s="9" t="s">
        <v>452</v>
      </c>
      <c r="F1278" s="11">
        <v>3</v>
      </c>
      <c r="G1278" s="10">
        <v>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3</v>
      </c>
      <c r="AL1278" s="10">
        <v>3</v>
      </c>
      <c r="AM1278" s="10">
        <v>3</v>
      </c>
      <c r="AN1278" s="30">
        <v>0</v>
      </c>
    </row>
    <row r="1279">
      <c r="A1279" s="23">
        <v>18402</v>
      </c>
      <c r="B1279" s="4" t="s">
        <v>1599</v>
      </c>
      <c r="C1279" s="4" t="s">
        <v>1600</v>
      </c>
      <c r="D1279" s="4" t="s">
        <v>1601</v>
      </c>
      <c r="E1279" s="4" t="s">
        <v>361</v>
      </c>
      <c r="F1279" s="6">
        <v>1</v>
      </c>
      <c r="G1279" s="7">
        <v>0</v>
      </c>
      <c r="H1279" s="5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5">
        <v>1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1">
        <v>0</v>
      </c>
    </row>
    <row r="1280">
      <c r="A1280" s="24">
        <v>18425</v>
      </c>
      <c r="B1280" s="9" t="s">
        <v>1602</v>
      </c>
      <c r="C1280" s="9" t="s">
        <v>686</v>
      </c>
      <c r="D1280" s="9" t="s">
        <v>919</v>
      </c>
      <c r="E1280" s="9" t="s">
        <v>361</v>
      </c>
      <c r="F1280" s="11">
        <v>5</v>
      </c>
      <c r="G1280" s="10">
        <v>1</v>
      </c>
      <c r="H1280" s="12">
        <v>0</v>
      </c>
      <c r="I1280" s="10">
        <v>2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4</v>
      </c>
      <c r="V1280" s="10">
        <v>1</v>
      </c>
      <c r="W1280" s="12">
        <v>0</v>
      </c>
      <c r="X1280" s="10">
        <v>2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1.25</v>
      </c>
      <c r="AL1280" s="10">
        <v>1</v>
      </c>
      <c r="AM1280" s="10">
        <v>2</v>
      </c>
      <c r="AN1280" s="29">
        <v>0.52</v>
      </c>
    </row>
    <row r="1281">
      <c r="A1281" s="23">
        <v>18460</v>
      </c>
      <c r="B1281" s="4" t="s">
        <v>1603</v>
      </c>
      <c r="C1281" s="4" t="s">
        <v>171</v>
      </c>
      <c r="D1281" s="4" t="s">
        <v>185</v>
      </c>
      <c r="E1281" s="4" t="s">
        <v>186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1">
        <v>0</v>
      </c>
    </row>
    <row r="1282">
      <c r="A1282" s="24">
        <v>18487</v>
      </c>
      <c r="B1282" s="9" t="s">
        <v>1604</v>
      </c>
      <c r="C1282" s="9" t="s">
        <v>171</v>
      </c>
      <c r="D1282" s="9" t="s">
        <v>185</v>
      </c>
      <c r="E1282" s="9" t="s">
        <v>188</v>
      </c>
      <c r="F1282" s="11">
        <v>4</v>
      </c>
      <c r="G1282" s="10">
        <v>2</v>
      </c>
      <c r="H1282" s="12">
        <v>0</v>
      </c>
      <c r="I1282" s="12">
        <v>0</v>
      </c>
      <c r="J1282" s="12">
        <v>0</v>
      </c>
      <c r="K1282" s="10">
        <v>1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0">
        <v>2</v>
      </c>
      <c r="W1282" s="12">
        <v>0</v>
      </c>
      <c r="X1282" s="12">
        <v>0</v>
      </c>
      <c r="Y1282" s="12">
        <v>0</v>
      </c>
      <c r="Z1282" s="10">
        <v>1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30">
        <v>0</v>
      </c>
    </row>
    <row r="1283">
      <c r="A1283" s="23">
        <v>18489</v>
      </c>
      <c r="B1283" s="4" t="s">
        <v>1605</v>
      </c>
      <c r="C1283" s="4" t="s">
        <v>141</v>
      </c>
      <c r="D1283" s="4" t="s">
        <v>1150</v>
      </c>
      <c r="E1283" s="4" t="s">
        <v>1606</v>
      </c>
      <c r="F1283" s="6">
        <v>1</v>
      </c>
      <c r="G1283" s="7">
        <v>0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18527</v>
      </c>
      <c r="B1284" s="9" t="s">
        <v>1607</v>
      </c>
      <c r="C1284" s="9" t="s">
        <v>64</v>
      </c>
      <c r="D1284" s="9" t="s">
        <v>80</v>
      </c>
      <c r="E1284" s="9" t="s">
        <v>429</v>
      </c>
      <c r="F1284" s="11">
        <v>2</v>
      </c>
      <c r="G1284" s="12">
        <v>0</v>
      </c>
      <c r="H1284" s="12">
        <v>0</v>
      </c>
      <c r="I1284" s="10">
        <v>1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2">
        <v>0</v>
      </c>
      <c r="X1284" s="10">
        <v>1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0.5</v>
      </c>
    </row>
    <row r="1285">
      <c r="A1285" s="23">
        <v>18531</v>
      </c>
      <c r="B1285" s="4" t="s">
        <v>1608</v>
      </c>
      <c r="C1285" s="4" t="s">
        <v>141</v>
      </c>
      <c r="D1285" s="4" t="s">
        <v>524</v>
      </c>
      <c r="E1285" s="4" t="s">
        <v>525</v>
      </c>
      <c r="F1285" s="6">
        <v>3</v>
      </c>
      <c r="G1285" s="7">
        <v>0</v>
      </c>
      <c r="H1285" s="7">
        <v>0</v>
      </c>
      <c r="I1285" s="5">
        <v>1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3</v>
      </c>
      <c r="V1285" s="7">
        <v>0</v>
      </c>
      <c r="W1285" s="7">
        <v>0</v>
      </c>
      <c r="X1285" s="5">
        <v>1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28">
        <v>0.25</v>
      </c>
    </row>
    <row r="1286">
      <c r="A1286" s="24">
        <v>18561</v>
      </c>
      <c r="B1286" s="9" t="s">
        <v>1609</v>
      </c>
      <c r="C1286" s="9" t="s">
        <v>64</v>
      </c>
      <c r="D1286" s="9" t="s">
        <v>91</v>
      </c>
      <c r="E1286" s="9" t="s">
        <v>92</v>
      </c>
      <c r="F1286" s="11">
        <v>3</v>
      </c>
      <c r="G1286" s="12">
        <v>0</v>
      </c>
      <c r="H1286" s="12">
        <v>0</v>
      </c>
      <c r="I1286" s="10">
        <v>3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3</v>
      </c>
      <c r="V1286" s="12">
        <v>0</v>
      </c>
      <c r="W1286" s="12">
        <v>0</v>
      </c>
      <c r="X1286" s="10">
        <v>3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0.25</v>
      </c>
    </row>
    <row r="1287">
      <c r="A1287" s="23">
        <v>18607</v>
      </c>
      <c r="B1287" s="4" t="s">
        <v>1610</v>
      </c>
      <c r="C1287" s="4" t="s">
        <v>64</v>
      </c>
      <c r="D1287" s="4" t="s">
        <v>76</v>
      </c>
      <c r="E1287" s="4" t="s">
        <v>77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18700</v>
      </c>
      <c r="B1288" s="9" t="s">
        <v>1611</v>
      </c>
      <c r="C1288" s="9" t="s">
        <v>64</v>
      </c>
      <c r="D1288" s="9" t="s">
        <v>76</v>
      </c>
      <c r="E1288" s="9" t="s">
        <v>77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18731</v>
      </c>
      <c r="B1289" s="4" t="s">
        <v>1612</v>
      </c>
      <c r="C1289" s="4" t="s">
        <v>64</v>
      </c>
      <c r="D1289" s="4" t="s">
        <v>83</v>
      </c>
      <c r="E1289" s="4" t="s">
        <v>98</v>
      </c>
      <c r="F1289" s="6">
        <v>2</v>
      </c>
      <c r="G1289" s="7">
        <v>0</v>
      </c>
      <c r="H1289" s="5">
        <v>1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7">
        <v>0</v>
      </c>
      <c r="W1289" s="5">
        <v>1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18736</v>
      </c>
      <c r="B1290" s="9" t="s">
        <v>1613</v>
      </c>
      <c r="C1290" s="9" t="s">
        <v>622</v>
      </c>
      <c r="D1290" s="9" t="s">
        <v>1102</v>
      </c>
      <c r="E1290" s="9" t="s">
        <v>1614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18753</v>
      </c>
      <c r="B1291" s="4" t="s">
        <v>1615</v>
      </c>
      <c r="C1291" s="4" t="s">
        <v>64</v>
      </c>
      <c r="D1291" s="4" t="s">
        <v>76</v>
      </c>
      <c r="E1291" s="4" t="s">
        <v>878</v>
      </c>
      <c r="F1291" s="6">
        <v>1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5">
        <v>1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5">
        <v>1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1">
        <v>0</v>
      </c>
    </row>
    <row r="1292">
      <c r="A1292" s="24">
        <v>18850</v>
      </c>
      <c r="B1292" s="9" t="s">
        <v>1616</v>
      </c>
      <c r="C1292" s="9" t="s">
        <v>686</v>
      </c>
      <c r="D1292" s="9" t="s">
        <v>1154</v>
      </c>
      <c r="E1292" s="9" t="s">
        <v>361</v>
      </c>
      <c r="F1292" s="11">
        <v>1</v>
      </c>
      <c r="G1292" s="12">
        <v>0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2">
        <v>0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18874</v>
      </c>
      <c r="B1293" s="4" t="s">
        <v>1617</v>
      </c>
      <c r="C1293" s="4" t="s">
        <v>64</v>
      </c>
      <c r="D1293" s="4" t="s">
        <v>80</v>
      </c>
      <c r="E1293" s="4" t="s">
        <v>135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18878</v>
      </c>
      <c r="B1294" s="9" t="s">
        <v>1618</v>
      </c>
      <c r="C1294" s="9" t="s">
        <v>141</v>
      </c>
      <c r="D1294" s="9" t="s">
        <v>378</v>
      </c>
      <c r="E1294" s="9" t="s">
        <v>387</v>
      </c>
      <c r="F1294" s="11">
        <v>2</v>
      </c>
      <c r="G1294" s="12">
        <v>0</v>
      </c>
      <c r="H1294" s="12">
        <v>0</v>
      </c>
      <c r="I1294" s="10">
        <v>1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2">
        <v>0</v>
      </c>
      <c r="W1294" s="12">
        <v>0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0.5</v>
      </c>
    </row>
    <row r="1295">
      <c r="A1295" s="23">
        <v>18882</v>
      </c>
      <c r="B1295" s="4" t="s">
        <v>1619</v>
      </c>
      <c r="C1295" s="4" t="s">
        <v>64</v>
      </c>
      <c r="D1295" s="4" t="s">
        <v>76</v>
      </c>
      <c r="E1295" s="4" t="s">
        <v>166</v>
      </c>
      <c r="F1295" s="6">
        <v>2</v>
      </c>
      <c r="G1295" s="7">
        <v>0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2</v>
      </c>
      <c r="V1295" s="7">
        <v>0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0.5</v>
      </c>
    </row>
    <row r="1296">
      <c r="A1296" s="24">
        <v>18986</v>
      </c>
      <c r="B1296" s="9" t="s">
        <v>1620</v>
      </c>
      <c r="C1296" s="9" t="s">
        <v>64</v>
      </c>
      <c r="D1296" s="9" t="s">
        <v>80</v>
      </c>
      <c r="E1296" s="9" t="s">
        <v>81</v>
      </c>
      <c r="F1296" s="11">
        <v>2</v>
      </c>
      <c r="G1296" s="12">
        <v>0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0.52</v>
      </c>
    </row>
    <row r="1297">
      <c r="A1297" s="23">
        <v>19006</v>
      </c>
      <c r="B1297" s="4" t="s">
        <v>1621</v>
      </c>
      <c r="C1297" s="4" t="s">
        <v>64</v>
      </c>
      <c r="D1297" s="4" t="s">
        <v>83</v>
      </c>
      <c r="E1297" s="4" t="s">
        <v>98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19125</v>
      </c>
      <c r="B1298" s="9" t="s">
        <v>1622</v>
      </c>
      <c r="C1298" s="9" t="s">
        <v>64</v>
      </c>
      <c r="D1298" s="9" t="s">
        <v>76</v>
      </c>
      <c r="E1298" s="9" t="s">
        <v>119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19191</v>
      </c>
      <c r="B1299" s="4" t="s">
        <v>1623</v>
      </c>
      <c r="C1299" s="4" t="s">
        <v>141</v>
      </c>
      <c r="D1299" s="4" t="s">
        <v>597</v>
      </c>
      <c r="E1299" s="4" t="s">
        <v>693</v>
      </c>
      <c r="F1299" s="6">
        <v>2</v>
      </c>
      <c r="G1299" s="5">
        <v>1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1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0.58</v>
      </c>
    </row>
    <row r="1300">
      <c r="A1300" s="24">
        <v>19192</v>
      </c>
      <c r="B1300" s="9" t="s">
        <v>1624</v>
      </c>
      <c r="C1300" s="9" t="s">
        <v>141</v>
      </c>
      <c r="D1300" s="9" t="s">
        <v>412</v>
      </c>
      <c r="E1300" s="9" t="s">
        <v>413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0.24</v>
      </c>
    </row>
    <row r="1301">
      <c r="A1301" s="23">
        <v>19200</v>
      </c>
      <c r="B1301" s="4" t="s">
        <v>1625</v>
      </c>
      <c r="C1301" s="4" t="s">
        <v>64</v>
      </c>
      <c r="D1301" s="4" t="s">
        <v>107</v>
      </c>
      <c r="E1301" s="4" t="s">
        <v>382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19226</v>
      </c>
      <c r="B1302" s="9" t="s">
        <v>1626</v>
      </c>
      <c r="C1302" s="9" t="s">
        <v>64</v>
      </c>
      <c r="D1302" s="9" t="s">
        <v>68</v>
      </c>
      <c r="E1302" s="9" t="s">
        <v>71</v>
      </c>
      <c r="F1302" s="11">
        <v>1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19422</v>
      </c>
      <c r="B1303" s="4" t="s">
        <v>1627</v>
      </c>
      <c r="C1303" s="4" t="s">
        <v>64</v>
      </c>
      <c r="D1303" s="4" t="s">
        <v>129</v>
      </c>
      <c r="E1303" s="4" t="s">
        <v>1037</v>
      </c>
      <c r="F1303" s="6">
        <v>2</v>
      </c>
      <c r="G1303" s="5">
        <v>1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</v>
      </c>
      <c r="V1303" s="5">
        <v>1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</v>
      </c>
    </row>
    <row r="1304">
      <c r="A1304" s="24">
        <v>19424</v>
      </c>
      <c r="B1304" s="9" t="s">
        <v>1628</v>
      </c>
      <c r="C1304" s="9" t="s">
        <v>64</v>
      </c>
      <c r="D1304" s="9" t="s">
        <v>129</v>
      </c>
      <c r="E1304" s="9" t="s">
        <v>1037</v>
      </c>
      <c r="F1304" s="11">
        <v>1</v>
      </c>
      <c r="G1304" s="12">
        <v>0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19427</v>
      </c>
      <c r="B1305" s="4" t="s">
        <v>1629</v>
      </c>
      <c r="C1305" s="4" t="s">
        <v>64</v>
      </c>
      <c r="D1305" s="4" t="s">
        <v>91</v>
      </c>
      <c r="E1305" s="4" t="s">
        <v>92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5">
        <v>19468</v>
      </c>
      <c r="B1306" s="16" t="s">
        <v>1630</v>
      </c>
      <c r="C1306" s="16" t="s">
        <v>613</v>
      </c>
      <c r="D1306" s="16" t="s">
        <v>614</v>
      </c>
      <c r="E1306" s="16" t="s">
        <v>619</v>
      </c>
      <c r="F1306" s="18">
        <v>3</v>
      </c>
      <c r="G1306" s="17">
        <v>2</v>
      </c>
      <c r="H1306" s="19">
        <v>0</v>
      </c>
      <c r="I1306" s="19">
        <v>0</v>
      </c>
      <c r="J1306" s="17">
        <v>1</v>
      </c>
      <c r="K1306" s="19">
        <v>0</v>
      </c>
      <c r="L1306" s="19">
        <v>0</v>
      </c>
      <c r="M1306" s="19">
        <v>0</v>
      </c>
      <c r="N1306" s="19">
        <v>0</v>
      </c>
      <c r="O1306" s="19">
        <v>0</v>
      </c>
      <c r="P1306" s="19">
        <v>0</v>
      </c>
      <c r="Q1306" s="19">
        <v>0</v>
      </c>
      <c r="R1306" s="19">
        <v>0</v>
      </c>
      <c r="S1306" s="19">
        <v>0</v>
      </c>
      <c r="T1306" s="37">
        <v>0</v>
      </c>
      <c r="U1306" s="18">
        <v>3</v>
      </c>
      <c r="V1306" s="17">
        <v>2</v>
      </c>
      <c r="W1306" s="19">
        <v>0</v>
      </c>
      <c r="X1306" s="19">
        <v>0</v>
      </c>
      <c r="Y1306" s="17">
        <v>1</v>
      </c>
      <c r="Z1306" s="19">
        <v>0</v>
      </c>
      <c r="AA1306" s="19">
        <v>0</v>
      </c>
      <c r="AB1306" s="19">
        <v>0</v>
      </c>
      <c r="AC1306" s="19">
        <v>0</v>
      </c>
      <c r="AD1306" s="19">
        <v>0</v>
      </c>
      <c r="AE1306" s="19">
        <v>0</v>
      </c>
      <c r="AF1306" s="19">
        <v>0</v>
      </c>
      <c r="AG1306" s="19">
        <v>0</v>
      </c>
      <c r="AH1306" s="19">
        <v>0</v>
      </c>
      <c r="AI1306" s="19">
        <v>0</v>
      </c>
      <c r="AJ1306" s="17">
        <v>1</v>
      </c>
      <c r="AK1306" s="20">
        <v>1.5</v>
      </c>
      <c r="AL1306" s="17">
        <v>1</v>
      </c>
      <c r="AM1306" s="17">
        <v>2</v>
      </c>
      <c r="AN1306" s="32">
        <v>0.26</v>
      </c>
    </row>
    <row r="1308">
      <c r="A1308" s="44" t="s">
        <v>0</v>
      </c>
      <c r="B1308" s="44" t="s">
        <v>0</v>
      </c>
      <c r="C1308" s="44" t="s">
        <v>0</v>
      </c>
      <c r="D1308" s="44" t="s">
        <v>0</v>
      </c>
      <c r="E1308" s="38" t="s">
        <v>57</v>
      </c>
      <c r="F1308" s="40">
        <f>SUM(F3:F1306)</f>
      </c>
      <c r="G1308" s="39">
        <f>SUM(G3:G1306)</f>
      </c>
      <c r="H1308" s="39">
        <f>SUM(H3:H1306)</f>
      </c>
      <c r="I1308" s="39">
        <f>SUM(I3:I1306)</f>
      </c>
      <c r="J1308" s="39">
        <f>SUM(J3:J1306)</f>
      </c>
      <c r="K1308" s="39">
        <f>SUM(K3:K1306)</f>
      </c>
      <c r="L1308" s="39">
        <f>SUM(L3:L1306)</f>
      </c>
      <c r="M1308" s="39">
        <f>SUM(M3:M1306)</f>
      </c>
      <c r="N1308" s="39">
        <f>SUM(N3:N1306)</f>
      </c>
      <c r="O1308" s="39">
        <f>SUM(O3:O1306)</f>
      </c>
      <c r="P1308" s="39">
        <f>SUM(P3:P1306)</f>
      </c>
      <c r="Q1308" s="39">
        <f>SUM(Q3:Q1306)</f>
      </c>
      <c r="R1308" s="39">
        <f>SUM(R3:R1306)</f>
      </c>
      <c r="S1308" s="39">
        <f>SUM(S3:S1306)</f>
      </c>
      <c r="T1308" s="39">
        <f>SUM(T3:T1306)</f>
      </c>
      <c r="U1308" s="40">
        <f>SUM(U3:U1306)</f>
      </c>
      <c r="V1308" s="39">
        <f>SUM(V3:V1306)</f>
      </c>
      <c r="W1308" s="39">
        <f>SUM(W3:W1306)</f>
      </c>
      <c r="X1308" s="39">
        <f>SUM(X3:X1306)</f>
      </c>
      <c r="Y1308" s="39">
        <f>SUM(Y3:Y1306)</f>
      </c>
      <c r="Z1308" s="39">
        <f>SUM(Z3:Z1306)</f>
      </c>
      <c r="AA1308" s="39">
        <f>SUM(AA3:AA1306)</f>
      </c>
      <c r="AB1308" s="39">
        <f>SUM(AB3:AB1306)</f>
      </c>
      <c r="AC1308" s="39">
        <f>SUM(AC3:AC1306)</f>
      </c>
      <c r="AD1308" s="39">
        <f>SUM(AD3:AD1306)</f>
      </c>
      <c r="AE1308" s="39">
        <f>SUM(AE3:AE1306)</f>
      </c>
      <c r="AF1308" s="39">
        <f>SUM(AF3:AF1306)</f>
      </c>
      <c r="AG1308" s="39">
        <f>SUM(AG3:AG1306)</f>
      </c>
      <c r="AH1308" s="39">
        <f>SUM(AH3:AH1306)</f>
      </c>
      <c r="AI1308" s="39">
        <f>SUM(AI3:AI1306)</f>
      </c>
      <c r="AJ1308" s="39">
        <f>MIN(AJ3:AJ1306)</f>
      </c>
      <c r="AK1308" s="39">
        <f>AVERAGE(AK3:AK1306)</f>
      </c>
      <c r="AL1308" s="39">
        <f>MEDIAN(AL3:AL1306)</f>
      </c>
      <c r="AM1308" s="39">
        <f>Max(AM3:AM1306)</f>
      </c>
      <c r="AN1308" s="41">
        <f>SUM(AN3:AN1306)</f>
      </c>
    </row>
  </sheetData>
  <autoFilter ref="A2:AN1306"/>
  <mergeCells>
    <mergeCell ref="A1:E1"/>
    <mergeCell ref="F1:T1"/>
    <mergeCell ref="U1:AI1"/>
    <mergeCell ref="AJ1:AN1"/>
    <mergeCell ref="A1308:D130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1631</v>
      </c>
      <c r="B1" s="46" t="s">
        <v>1632</v>
      </c>
    </row>
    <row r="2">
      <c r="A2" s="45" t="s">
        <v>1633</v>
      </c>
      <c r="B2" s="46" t="s">
        <v>1634</v>
      </c>
    </row>
    <row r="3">
      <c r="A3" s="1"/>
      <c r="B3" s="1"/>
    </row>
    <row r="4">
      <c r="A4" s="45" t="s">
        <v>1635</v>
      </c>
      <c r="B4" s="46" t="s">
        <v>1636</v>
      </c>
    </row>
    <row r="5">
      <c r="A5" s="45" t="s">
        <v>1637</v>
      </c>
      <c r="B5" s="46" t="s">
        <v>1638</v>
      </c>
    </row>
    <row r="6">
      <c r="A6" s="45" t="s">
        <v>1639</v>
      </c>
      <c r="B6" s="46"/>
    </row>
    <row r="7">
      <c r="A7" s="45" t="s">
        <v>1640</v>
      </c>
      <c r="B7" s="46"/>
    </row>
    <row r="8">
      <c r="A8" s="45" t="s">
        <v>1641</v>
      </c>
      <c r="B8" s="46" t="s">
        <v>1642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1643</v>
      </c>
      <c r="B12" s="46" t="s">
        <v>1644</v>
      </c>
    </row>
    <row r="13">
      <c r="A13" s="45" t="s">
        <v>1645</v>
      </c>
      <c r="B13" s="46" t="s">
        <v>1646</v>
      </c>
    </row>
    <row r="14">
      <c r="A14" s="45" t="s">
        <v>1647</v>
      </c>
      <c r="B14" s="46" t="s">
        <v>1648</v>
      </c>
    </row>
    <row r="15">
      <c r="A15" s="45" t="s">
        <v>1649</v>
      </c>
      <c r="B15" s="46" t="s">
        <v>1650</v>
      </c>
    </row>
    <row r="16">
      <c r="A16" s="45" t="s">
        <v>1651</v>
      </c>
      <c r="B16" s="46" t="s">
        <v>1652</v>
      </c>
    </row>
  </sheetData>
  <headerFooter/>
</worksheet>
</file>