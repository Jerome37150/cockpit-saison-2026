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Global!$A$2:$AM$31</definedName>
    <definedName name="_xlnm._FilterDatabase" localSheetId="2" hidden="1">Establishment!$A$2:$AN$1269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<sst xmlns="http://schemas.openxmlformats.org/spreadsheetml/2006/main" count="1629" uniqueCount="1629">
  <si>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</si>
  <si>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</si>
  <si>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</si>
  <si>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</si>
  <si>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</si>
  <si>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</si>
  <si>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</si>
  <si>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</si>
  <si>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</si>
  <si>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</si>
  <si>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</si>
  <si>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</si>
  <si>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</si>
  <si>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</si>
  <si>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</si>
  <si>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</si>
  <si>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</si>
  <si>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</si>
  <si>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</si>
  <si>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</si>
  <si>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</si>
  <si>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</si>
  <si>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</si>
  <si>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</si>
  <si>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</si>
  <si>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</si>
  <si>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</si>
  <si>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</si>
  <si>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</si>
  <si>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</si>
  <si>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</si>
  <si>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</si>
  <si>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</si>
  <si>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</si>
  <si>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</si>
  <si>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</si>
  <si>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</si>
  <si>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</si>
  <si>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</si>
  <si>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</si>
  <si>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</si>
  <si>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</si>
  <si>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</si>
  <si>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</si>
  <si>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</si>
  <si>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</si>
  <si>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</si>
  <si>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</si>
  <si>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</si>
  <si>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</si>
  <si>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</si>
  <si>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</si>
  <si>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</si>
  <si>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</si>
  <si>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</si>
  <si>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</si>
  <si>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</si>
  <si>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</si>
  <si>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</si>
  <si>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</si>
  <si>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</si>
  <si>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</si>
  <si>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</si>
  <si>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</si>
  <si>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</si>
  <si>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</si>
  <si>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</si>
  <si>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</si>
  <si>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</si>
  <si>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</si>
  <si>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</si>
  <si>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</si>
  <si>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</si>
  <si>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</si>
  <si>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</si>
  <si>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</si>
  <si>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</si>
  <si>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</si>
  <si>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</si>
  <si>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</si>
  <si>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</si>
  <si>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</si>
  <si>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</si>
  <si>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</si>
  <si>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</si>
  <si>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</si>
  <si>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</si>
  <si>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</si>
  <si>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</si>
  <si>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</si>
  <si>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</si>
  <si>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</si>
  <si>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</si>
  <si>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</si>
  <si>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</si>
  <si>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</si>
  <si>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</si>
  <si>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</si>
  <si>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</si>
  <si>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</si>
  <si>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</si>
  <si>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</si>
  <si>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</si>
  <si>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</si>
  <si>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</si>
  <si>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</si>
  <si>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</si>
  <si>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</si>
  <si>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</si>
  <si>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</si>
  <si>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</si>
  <si>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</si>
  <si>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</si>
  <si>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</si>
  <si>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</si>
  <si>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</si>
  <si>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</si>
  <si>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ROMANEE 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</si>
  <si>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</si>
  <si>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</si>
  <si>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</si>
  <si>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</si>
  <si>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</si>
  <si>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</si>
  <si>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</si>
  <si>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</si>
  <si>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</si>
  <si>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Aveyron</t>
  </si>
  <si>
    <t>Camping Naturiste Arnaoutchot</t>
  </si>
  <si>
    <t>YELLOH! VILLAGE - LE BRASILIA</t>
  </si>
  <si>
    <t>Pyrénées-Orientales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</si>
  <si>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</si>
  <si>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</si>
  <si>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</si>
  <si>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</si>
  <si>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</si>
  <si>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</si>
  <si>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</si>
  <si>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</si>
  <si>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</si>
  <si>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</si>
  <si>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</si>
  <si>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</si>
  <si>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</si>
  <si>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</si>
  <si>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Castel Camping Les Bois du Bardelet</t>
  </si>
  <si>
    <t>Loiret</t>
  </si>
  <si>
    <t>Camping Le Val Saint Jean</t>
  </si>
  <si>
    <t>Cantal</t>
  </si>
  <si>
    <t>Camping Le Viginet</t>
  </si>
  <si>
    <t>Puy-de-Dôme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</si>
  <si>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</si>
  <si>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</si>
  <si>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</si>
  <si>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</si>
  <si>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</si>
  <si>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</si>
  <si>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</si>
  <si>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Jura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</si>
  <si>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</si>
  <si>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</si>
  <si>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</si>
  <si>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</si>
  <si>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</si>
  <si>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</si>
  <si>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</si>
  <si>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</si>
  <si>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</si>
  <si>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</si>
  <si>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</si>
  <si>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</si>
  <si>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</si>
  <si>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</si>
  <si>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</si>
  <si>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</si>
  <si>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</si>
  <si>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</si>
  <si>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</si>
  <si>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</si>
  <si>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Espagne</t>
  </si>
  <si>
    <t>Catalogne</t>
  </si>
  <si>
    <t>Gérone</t>
  </si>
  <si>
    <t>Camping Sandaya Blue Bayou</t>
  </si>
  <si>
    <t>Camping Sandaya L'Etoile d'Argens</t>
  </si>
  <si>
    <t>Castel Camping Château de Lez-Eaux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</si>
  <si>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</si>
  <si>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</si>
  <si>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</si>
  <si>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</si>
  <si>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</si>
  <si>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</si>
  <si>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</si>
  <si>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</si>
  <si>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</si>
  <si>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</si>
  <si>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</si>
  <si>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</si>
  <si>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</si>
  <si>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Roche</t>
  </si>
  <si>
    <t>Cadix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</si>
  <si>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</si>
  <si>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</si>
  <si>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</si>
  <si>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</si>
  <si>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</si>
  <si>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</si>
  <si>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</si>
  <si>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</si>
  <si>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</si>
  <si>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</si>
  <si>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</si>
  <si>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</si>
  <si>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</si>
  <si>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</si>
  <si>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</si>
  <si>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</si>
  <si>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</si>
  <si>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</si>
  <si>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</si>
  <si>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</si>
  <si>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</si>
  <si>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 Caussanel</t>
  </si>
  <si>
    <t>Sandaya Le P'tit Bois</t>
  </si>
  <si>
    <t>Ille-et-Vilaine</t>
  </si>
  <si>
    <t>Camping Sandaya Le Col Vert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</si>
  <si>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</si>
  <si>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</si>
  <si>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</si>
  <si>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</si>
  <si>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</si>
  <si>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</si>
  <si>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</si>
  <si>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</si>
  <si>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Camping L'Hirondelle France *****</t>
  </si>
  <si>
    <t>Camping Cros de Mouton</t>
  </si>
  <si>
    <t>Camping Le Paradis</t>
  </si>
  <si>
    <t>Camping le Bourdieu</t>
  </si>
  <si>
    <t>Ariège</t>
  </si>
  <si>
    <t>Camping Sunêlia Le Séquoia</t>
  </si>
  <si>
    <t>SARL Camping le Neptune</t>
  </si>
  <si>
    <t>Côtes-d'Armor</t>
  </si>
  <si>
    <t>Camping LA PRESQU'ILE DE GIENS</t>
  </si>
  <si>
    <t>Clico Chic - La Baie de Douarnenez</t>
  </si>
  <si>
    <t>Finistère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</si>
  <si>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</si>
  <si>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</si>
  <si>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</si>
  <si>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</si>
  <si>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</si>
  <si>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</si>
  <si>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</si>
  <si>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</si>
  <si>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Naturiste Les Aillos</t>
  </si>
  <si>
    <t>Haute-Garonne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</si>
  <si>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</si>
  <si>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</si>
  <si>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</si>
  <si>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</si>
  <si>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</si>
  <si>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</si>
  <si>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</si>
  <si>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</si>
  <si>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</si>
  <si>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Camping Catinaccio Rosengarten</t>
  </si>
  <si>
    <t>Italie</t>
  </si>
  <si>
    <t>Trentin-Haut-Adige</t>
  </si>
  <si>
    <t>Provincia di Trento</t>
  </si>
  <si>
    <t>Castel Camping Château de Poinsouze</t>
  </si>
  <si>
    <t>Camping Au Port Punay</t>
  </si>
  <si>
    <t>Siblu – Domaine de Kerlann</t>
  </si>
  <si>
    <t>Siblu – Le Bois Dormant</t>
  </si>
  <si>
    <t>Vendée</t>
  </si>
  <si>
    <t>Siblu – Les Charmettes</t>
  </si>
  <si>
    <t>Camping Parc Bellevue</t>
  </si>
  <si>
    <t>Camping Le Lac de Thoux</t>
  </si>
  <si>
    <t>Gers</t>
  </si>
  <si>
    <t>Domaine Devèze</t>
  </si>
  <si>
    <t>Le Camp de Florence</t>
  </si>
  <si>
    <t>Flower Camping Le Haut Dick</t>
  </si>
  <si>
    <t>Camping de Mindin - Camping Qualité</t>
  </si>
  <si>
    <t>Camping Au Soir d’Eté</t>
  </si>
  <si>
    <t>Airotel Camping La Roseraie</t>
  </si>
  <si>
    <t>Chadotel Les Ecureuils</t>
  </si>
  <si>
    <t>Camping Homair - Domaine de la Brèche</t>
  </si>
  <si>
    <t>Camping Village de La Guyonnière</t>
  </si>
  <si>
    <t>Camping Aux Coeurs Vendéens</t>
  </si>
  <si>
    <t>Flower Camping Le Petit Paris</t>
  </si>
  <si>
    <t>Camping Les Charmes</t>
  </si>
  <si>
    <t>Flower Camping Au Bois Des Biches</t>
  </si>
  <si>
    <t>Camping Eden Villages Le Caravan'Ile</t>
  </si>
  <si>
    <t>Camping Le Moulin de Mellet</t>
  </si>
  <si>
    <t>Lot-et-Garonne</t>
  </si>
  <si>
    <t>Camping LES CERISIERS</t>
  </si>
  <si>
    <t xml:space="preserve">Camping  SAINT MARTIN</t>
  </si>
  <si>
    <t>Camping Les Erables</t>
  </si>
  <si>
    <t>Camping LE ROC QUI PARLE</t>
  </si>
  <si>
    <t>Camping Canoë Gorges Du Tarn</t>
  </si>
  <si>
    <t>Flower Camping PEYRELADE</t>
  </si>
  <si>
    <t>Camping Beau-Rivage</t>
  </si>
  <si>
    <t>Camping Les Cantarelles</t>
  </si>
  <si>
    <t xml:space="preserve">Camping Domaine de  La SERRE</t>
  </si>
  <si>
    <t>Camping Le Roc del Rey</t>
  </si>
  <si>
    <t>Camping du Lac Mercus</t>
  </si>
  <si>
    <t>Camping Les 4 Saisons</t>
  </si>
  <si>
    <t>Camping PARC DE PALETES</t>
  </si>
  <si>
    <t>Flower Camping LA BEXANELLE</t>
  </si>
  <si>
    <t>Centre naturiste Terme d'Astor</t>
  </si>
  <si>
    <t>Camping la Prade</t>
  </si>
  <si>
    <t>Tarn</t>
  </si>
  <si>
    <t>Camping Des 3 Lacs</t>
  </si>
  <si>
    <t xml:space="preserve">Camping  de Rousieux</t>
  </si>
  <si>
    <t>Sites et Paysages Camping et Gîtes du FAILLAL</t>
  </si>
  <si>
    <t>Tarn-et-Garonne</t>
  </si>
  <si>
    <t>Camping LE CLOS LALANDE</t>
  </si>
  <si>
    <t>Camping écovillage SOLEIL DU PIBESTE</t>
  </si>
  <si>
    <t xml:space="preserve"> AZUN NATURE Chalets-Camping &amp; Spa</t>
  </si>
  <si>
    <t>Camping LE MONLOO</t>
  </si>
  <si>
    <t>Flower Camping Pyrénées Natura</t>
  </si>
  <si>
    <t>Camping Le Pain de Sucre</t>
  </si>
  <si>
    <t>Camping de l'Adour</t>
  </si>
  <si>
    <t>Camping LE RUISSEAU</t>
  </si>
  <si>
    <t>Camping D'ARROUACH Lourdes</t>
  </si>
  <si>
    <t>Camping La Forêt</t>
  </si>
  <si>
    <t>Camping LARBEY</t>
  </si>
  <si>
    <t>Camping LE HOUNTA</t>
  </si>
  <si>
    <t>Camping Pradelongue</t>
  </si>
  <si>
    <t>Camping LE PYRENEEN</t>
  </si>
  <si>
    <t>Camping RIVIERE DE CABESSUT</t>
  </si>
  <si>
    <t>Camping LES CHENES CLAIRS</t>
  </si>
  <si>
    <t>Camping Domaine Le Quercy</t>
  </si>
  <si>
    <t>Camping LA GARRIGUE</t>
  </si>
  <si>
    <t>Sites et Paysages Les Hirondelles</t>
  </si>
  <si>
    <t>Camping du PIGEONNIER</t>
  </si>
  <si>
    <t>Camping LA VERTE RIVE</t>
  </si>
  <si>
    <t>Village Camping LES VIGNES</t>
  </si>
  <si>
    <t>Domaine Papillon</t>
  </si>
  <si>
    <t>Camping PADIMADOUR **** à ROCAMADOUR</t>
  </si>
  <si>
    <t>Camping Le Relais du Campeur</t>
  </si>
  <si>
    <t>Camping LE ROC</t>
  </si>
  <si>
    <t>Domaine Naturiste Le Clos Barrat</t>
  </si>
  <si>
    <t>Flower Camping LA PLAGE à St Cirq Lapopie</t>
  </si>
  <si>
    <t>Camping LES GRAVES</t>
  </si>
  <si>
    <t>Camping Les Borgnes</t>
  </si>
  <si>
    <t>Camping LA CHENERAIE</t>
  </si>
  <si>
    <t>Camping Jardins de Kergal</t>
  </si>
  <si>
    <t>Camping La Pineda de Salou</t>
  </si>
  <si>
    <t>Camping Port'Land</t>
  </si>
  <si>
    <t>Calvados</t>
  </si>
  <si>
    <t>Camping Sandaya Les Vagues</t>
  </si>
  <si>
    <t>YELLOH! VILLAGE - LES PINS</t>
  </si>
  <si>
    <t>Camping Sandaya Le Ranolien</t>
  </si>
  <si>
    <t>Camping Sandaya L'Escale Saint Gilles</t>
  </si>
  <si>
    <t>Siblu – Le Conguel</t>
  </si>
  <si>
    <t>ROMANEE Chatelet</t>
  </si>
  <si>
    <t>Camping de la Plage</t>
  </si>
  <si>
    <t>Glamping Sainte-Suzanne</t>
  </si>
  <si>
    <t>Mayenne</t>
  </si>
  <si>
    <t>Camping Château Le Haget</t>
  </si>
  <si>
    <t>Camping Homair - La Chapelle</t>
  </si>
  <si>
    <t>Camping - Club Mahana</t>
  </si>
  <si>
    <t>Flower Camping Le Pavillon</t>
  </si>
  <si>
    <t>Camping Les Murmures du Lignon</t>
  </si>
  <si>
    <t>Haute-Loire</t>
  </si>
  <si>
    <t>Camping Tikayan La Bergerie Plage</t>
  </si>
  <si>
    <t>Camping Site de Gorge Vent</t>
  </si>
  <si>
    <t>Camping LIZOE</t>
  </si>
  <si>
    <t>Camping Rodas</t>
  </si>
  <si>
    <t>Camping Lloret Blau</t>
  </si>
  <si>
    <t>Auberge &amp; Camping Sabatoux</t>
  </si>
  <si>
    <t>Camping de la Croze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</si>
  <si>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</si>
  <si>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</si>
  <si>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</si>
  <si>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</si>
  <si>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</si>
  <si>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</si>
  <si>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Lacasa</t>
  </si>
  <si>
    <t>Corse-du-Sud</t>
  </si>
  <si>
    <t>Camping le Mas des Roses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</si>
  <si>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</si>
  <si>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</si>
  <si>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</si>
  <si>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</si>
  <si>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</si>
  <si>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</si>
  <si>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</si>
  <si>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</si>
  <si>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</si>
  <si>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Recreatiepark en Jachthaven De Scherpenhof</t>
  </si>
  <si>
    <t>Camping Clair Matin</t>
  </si>
  <si>
    <t>Camping Le Colporteur</t>
  </si>
  <si>
    <t>Camping Le Château de Rochetaillée</t>
  </si>
  <si>
    <t>Camping Le Champ Long</t>
  </si>
  <si>
    <t>Camping Belvédère de l'Obiou</t>
  </si>
  <si>
    <t>Camping D'Herbelon</t>
  </si>
  <si>
    <t>Camping Le Bontemps</t>
  </si>
  <si>
    <t>Camping Le Bois de Cornage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</si>
  <si>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</si>
  <si>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</si>
  <si>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</si>
  <si>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</si>
  <si>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</si>
  <si>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</si>
  <si>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</si>
  <si>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</si>
  <si>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</si>
  <si>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</si>
  <si>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</si>
  <si>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</si>
  <si>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</si>
  <si>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</si>
  <si>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</si>
  <si>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</si>
  <si>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</si>
  <si>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</si>
  <si>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</si>
  <si>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</si>
  <si>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Les Galets</t>
  </si>
  <si>
    <t>Camping Sandaya Les Alicourts</t>
  </si>
  <si>
    <t>Camping Sandaya La Côte de Nacre</t>
  </si>
  <si>
    <t>Sites et Paysages Domaine de l'Ecluse</t>
  </si>
  <si>
    <t>Castel Camping Les Ormes, Domaine &amp; Resort</t>
  </si>
  <si>
    <t>Siblu – Les Viviers</t>
  </si>
  <si>
    <t>Siblu - Mer et Soleil d'Oleron</t>
  </si>
  <si>
    <t xml:space="preserve">Camping Club Le Trianon - MS Vacances </t>
  </si>
  <si>
    <t>Siblu – Domaine de Dugny</t>
  </si>
  <si>
    <t>Camping Etang des Haizes</t>
  </si>
  <si>
    <t>Camping La Nouzarède</t>
  </si>
  <si>
    <t>Flower Camping le FONDESPIERRE</t>
  </si>
  <si>
    <t>Weekend Glamping Resort</t>
  </si>
  <si>
    <t>Lombardie</t>
  </si>
  <si>
    <t>Brescia</t>
  </si>
  <si>
    <t>Camping AR KLEGUER</t>
  </si>
  <si>
    <t>Camping l'Étoile d'Or</t>
  </si>
  <si>
    <t>Camping Le Dauphin</t>
  </si>
  <si>
    <t>Camping Club Le Littoral - MS Vacances</t>
  </si>
  <si>
    <t>Airotel Camping Le Soleil</t>
  </si>
  <si>
    <t>Camping Le Domaine de Champé</t>
  </si>
  <si>
    <t>Camping Europe</t>
  </si>
  <si>
    <t>Camping Les Marsouins - Ciela Village</t>
  </si>
  <si>
    <t>Camping La Sirène</t>
  </si>
  <si>
    <t>Camping Le Rhône</t>
  </si>
  <si>
    <t>Camping LA BELLE ETOILE</t>
  </si>
  <si>
    <t>Seine-et-Marne</t>
  </si>
  <si>
    <t>Camping AU P'TIT BONHEUR</t>
  </si>
  <si>
    <t>Camping Cala Gogo</t>
  </si>
  <si>
    <t>Camping de l'Océan</t>
  </si>
  <si>
    <t>Camping Seasonova Saint Michel</t>
  </si>
  <si>
    <t>International Camping</t>
  </si>
  <si>
    <t>CAMPING LA SOURCE</t>
  </si>
  <si>
    <t>Bouches-du-Rhône</t>
  </si>
  <si>
    <t>Camping Les Nysades</t>
  </si>
  <si>
    <t>Camping Village Cieloverde</t>
  </si>
  <si>
    <t>Toscane</t>
  </si>
  <si>
    <t>Grosseto</t>
  </si>
  <si>
    <t>Camping Village Rocchette</t>
  </si>
  <si>
    <t>Flower Camping La Chataigneraie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</si>
  <si>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</si>
  <si>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</si>
  <si>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</si>
  <si>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</si>
  <si>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</si>
  <si>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</si>
  <si>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</si>
  <si>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</si>
  <si>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</si>
  <si>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</si>
  <si>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</si>
  <si>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Homair - Domaine de Soleil Plage</t>
  </si>
  <si>
    <t>Camping Quercy Vacances ****</t>
  </si>
  <si>
    <t>Alannia Guardamar</t>
  </si>
  <si>
    <t>Communauté Valencienne</t>
  </si>
  <si>
    <t>Alicante</t>
  </si>
  <si>
    <t>Flower Camping l'Epi Bleu</t>
  </si>
  <si>
    <t>Flower Camping Cap Finistère</t>
  </si>
  <si>
    <t>Camping Village Cerquestra</t>
  </si>
  <si>
    <t>Ombrie</t>
  </si>
  <si>
    <t>Perugia</t>
  </si>
  <si>
    <t>Miramare Camping Village</t>
  </si>
  <si>
    <t>Vénétie</t>
  </si>
  <si>
    <t>Venise</t>
  </si>
  <si>
    <t>Wecamp L'Escala Punta Mila</t>
  </si>
  <si>
    <t>Camping L'Atlantys</t>
  </si>
  <si>
    <t>Camping Resort la Forêt</t>
  </si>
  <si>
    <t>YELLOH! VILLAGE - LE FAYOLAN</t>
  </si>
  <si>
    <t>Homair - Mayotte Vacances</t>
  </si>
  <si>
    <t>Camping Sandaya Aloha</t>
  </si>
  <si>
    <t>Château Camping La Grange Fort</t>
  </si>
  <si>
    <t>Camping Parc de Fierbois</t>
  </si>
  <si>
    <t>Camping Le Jardin des Cévennes</t>
  </si>
  <si>
    <t>Camping Le Moulin de Serre</t>
  </si>
  <si>
    <t>Camping Les Coudoulets</t>
  </si>
  <si>
    <t>Camping Domaine Arleblanc</t>
  </si>
  <si>
    <t>Camping Nostradamus</t>
  </si>
  <si>
    <t>Flower Camping Vitamin</t>
  </si>
  <si>
    <t>Seine-Maritime</t>
  </si>
  <si>
    <t>Camping Le Pequelet</t>
  </si>
  <si>
    <t>Camping U Casone</t>
  </si>
  <si>
    <t>Camping Merko Lacarra</t>
  </si>
  <si>
    <t>Pyrénées-Atlantiques</t>
  </si>
  <si>
    <t>Camping AMETZA</t>
  </si>
  <si>
    <t>CAMPING GAVIN</t>
  </si>
  <si>
    <t>Aragon</t>
  </si>
  <si>
    <t>Huesca</t>
  </si>
  <si>
    <t>Camping Barétous-Pyrénées</t>
  </si>
  <si>
    <t>Camping Mas Nou</t>
  </si>
  <si>
    <t>TAIGA Costa Calida</t>
  </si>
  <si>
    <t>Région de Murcie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</si>
  <si>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</si>
  <si>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</si>
  <si>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</si>
  <si>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</si>
  <si>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</si>
  <si>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</si>
  <si>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</si>
  <si>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</si>
  <si>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</si>
  <si>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</si>
  <si>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</si>
  <si>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</si>
  <si>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del Mar</t>
  </si>
  <si>
    <t>Base de Loisirs - Camping du Lac Cormoranche</t>
  </si>
  <si>
    <t>Ain</t>
  </si>
  <si>
    <t>Capfun - Le Boucanet</t>
  </si>
  <si>
    <t>Capfun - Camping Le Sagittaire</t>
  </si>
  <si>
    <t>Village Camping Les Pêcheurs</t>
  </si>
  <si>
    <t>Camping Les Coteaux du Lac</t>
  </si>
  <si>
    <t>Camping Caravaning Playa Tropicana</t>
  </si>
  <si>
    <t>Castellón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</si>
  <si>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</si>
  <si>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</si>
  <si>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</si>
  <si>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</si>
  <si>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</si>
  <si>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</si>
  <si>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</si>
  <si>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</si>
  <si>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</si>
  <si>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</si>
  <si>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</si>
  <si>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Rubina Resort</t>
  </si>
  <si>
    <t>Camping Bravoplaya</t>
  </si>
  <si>
    <t>Camping du Domaine de Senaud</t>
  </si>
  <si>
    <t>CAMPING VILLAGE BADIACCIA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</si>
  <si>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</si>
  <si>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</si>
  <si>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</si>
  <si>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</si>
  <si>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</si>
  <si>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</si>
  <si>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</si>
  <si>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Camping LAS LOMAS</t>
  </si>
  <si>
    <t>Camping les Embruns</t>
  </si>
  <si>
    <t>Camping Sandaya Les Tamaris</t>
  </si>
  <si>
    <t>Camping Eden Villages Les Truffières de Dordogne</t>
  </si>
  <si>
    <t>Castel Camping Domaine de la Ville Huchet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</si>
  <si>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</si>
  <si>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</si>
  <si>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</si>
  <si>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</si>
  <si>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</si>
  <si>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Sandaya Île Des Papes</t>
  </si>
  <si>
    <t>Camping Les Sous Bois du Lac</t>
  </si>
  <si>
    <t>Camping Molino a Fuoco</t>
  </si>
  <si>
    <t>Livorno</t>
  </si>
  <si>
    <t>Campasun Camping Du Soleil</t>
  </si>
  <si>
    <t>Camping Tikayan Le Saint Clair</t>
  </si>
  <si>
    <t>Domaine Chasteuil Verdon Provence</t>
  </si>
  <si>
    <t>Flower Camping de Mars</t>
  </si>
  <si>
    <t>Loire</t>
  </si>
  <si>
    <t>Camping naturiste Verdon Provence</t>
  </si>
  <si>
    <t>Flower Camping La Rivière</t>
  </si>
  <si>
    <t>CAMPING de KERALOUET</t>
  </si>
  <si>
    <t>Flower Camping Les Paludiers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</si>
  <si>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</si>
  <si>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</si>
  <si>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</si>
  <si>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</si>
  <si>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</si>
  <si>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</si>
  <si>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</si>
  <si>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</si>
  <si>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</si>
  <si>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</si>
  <si>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</si>
  <si>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Club Lac du Salagou</t>
  </si>
  <si>
    <t xml:space="preserve">Camping de Belle Hutte </t>
  </si>
  <si>
    <t>Camping Les Sablettes</t>
  </si>
  <si>
    <t>Camping Belle Etoile</t>
  </si>
  <si>
    <t>Camping Les Hauts de Port Blanc</t>
  </si>
  <si>
    <t>Camping Saint Jean</t>
  </si>
  <si>
    <t>Ushuaïa Villages - Camping la Conge ***</t>
  </si>
  <si>
    <t>Camping Rioclar</t>
  </si>
  <si>
    <t>Camping de Graniers</t>
  </si>
  <si>
    <t>Camping de l'Île du Chéran</t>
  </si>
  <si>
    <t>Camping Le Tampico</t>
  </si>
  <si>
    <t>La Rocca Camping</t>
  </si>
  <si>
    <t>Verona</t>
  </si>
  <si>
    <t>CAMPING BELLEVUE MER</t>
  </si>
  <si>
    <t>Bocage du Lac</t>
  </si>
  <si>
    <t>Chadotel La Bolée d'Air</t>
  </si>
  <si>
    <t>Camping Les Nobis d'Anjou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</si>
  <si>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</si>
  <si>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</si>
  <si>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</si>
  <si>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</si>
  <si>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</si>
  <si>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</si>
  <si>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</si>
  <si>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</si>
  <si>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La Cascade</t>
  </si>
  <si>
    <t>Camping COUDERC</t>
  </si>
  <si>
    <t>Papillon Country Resort</t>
  </si>
  <si>
    <t>Overijssel</t>
  </si>
  <si>
    <t>Flower Camping Le Pont du Tarn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</si>
  <si>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</si>
  <si>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</si>
  <si>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</si>
  <si>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</si>
  <si>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</si>
  <si>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</si>
  <si>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</si>
  <si>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</si>
  <si>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</si>
  <si>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</si>
  <si>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Saint Disdille</t>
  </si>
  <si>
    <t>Camping Sandaya Parc La Clusure</t>
  </si>
  <si>
    <t>Luxembourg</t>
  </si>
  <si>
    <t>Camping Trevélez</t>
  </si>
  <si>
    <t>Ferienparadies Natterer See</t>
  </si>
  <si>
    <t>Autriche</t>
  </si>
  <si>
    <t>Tyrol</t>
  </si>
  <si>
    <t>Bezirk Innsbruck-Land</t>
  </si>
  <si>
    <t>Camping Ruisseau du Treil</t>
  </si>
  <si>
    <t>Camping de la Vallée</t>
  </si>
  <si>
    <t>Delftse Hout</t>
  </si>
  <si>
    <t>Camping Homair - Domaine de Chaussy</t>
  </si>
  <si>
    <t>YELLOH! VILLAGE - Camping Plage du Dramont</t>
  </si>
  <si>
    <t>Camping Wedderbergen</t>
  </si>
  <si>
    <t>Groningue</t>
  </si>
  <si>
    <t>Camping de Tournus</t>
  </si>
  <si>
    <t>Saône-et-Loire</t>
  </si>
  <si>
    <t>Flower Camping Le Bel Air</t>
  </si>
  <si>
    <t>Camping Les Mouettes</t>
  </si>
  <si>
    <t>Huttopia Beaulieu sur Dordogne</t>
  </si>
  <si>
    <t>Corrèze</t>
  </si>
  <si>
    <t>Camping des Etangs</t>
  </si>
  <si>
    <t>Cher</t>
  </si>
  <si>
    <t>Flower Camping Le Jardin de Sully</t>
  </si>
  <si>
    <t>Chadotel L'Océano d'Or</t>
  </si>
  <si>
    <t>Camping Kerscolper</t>
  </si>
  <si>
    <t>Camping Touristique De Gien</t>
  </si>
  <si>
    <t>Camping Le Haut Salat</t>
  </si>
  <si>
    <t xml:space="preserve">Domaine Relais du Lac </t>
  </si>
  <si>
    <t>Camping Le Varquez-sur-Mer</t>
  </si>
  <si>
    <t>Camping Scarpiland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</si>
  <si>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</si>
  <si>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</si>
  <si>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</si>
  <si>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</si>
  <si>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</si>
  <si>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</si>
  <si>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</si>
  <si>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</si>
  <si>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Domaine Nuits de Gascogne</t>
  </si>
  <si>
    <t>CAMPING LES SOURCES</t>
  </si>
  <si>
    <t>CAMPING LES GRANGES BAS</t>
  </si>
  <si>
    <t>Camping Eden Villages Cap de Bréhat</t>
  </si>
  <si>
    <t>Camping Le Rocher de la Cave</t>
  </si>
  <si>
    <t>DOMAINE DU HAUT DES BLUCHES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</si>
  <si>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</si>
  <si>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</si>
  <si>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</si>
  <si>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</si>
  <si>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</si>
  <si>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</si>
  <si>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</si>
  <si>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</si>
  <si>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Camping Homair - Les Catalpas de Royan</t>
  </si>
  <si>
    <t>Camping Sunêlia Les Sablons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</si>
  <si>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</si>
  <si>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</si>
  <si>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</si>
  <si>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</si>
  <si>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</si>
  <si>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</si>
  <si>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</si>
  <si>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</si>
  <si>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</si>
  <si>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Camping Le Vaurette</t>
  </si>
  <si>
    <t>Baia Holiday Cavallino</t>
  </si>
  <si>
    <t>Baia Holiday Mare Pineta</t>
  </si>
  <si>
    <t>Frioul-Vénétie julienne</t>
  </si>
  <si>
    <t>Baia Holiday Baia Blu la Tortuga</t>
  </si>
  <si>
    <t>Sardaigne</t>
  </si>
  <si>
    <t>Sassari</t>
  </si>
  <si>
    <t>Baia Holiday Piccola Gardiola</t>
  </si>
  <si>
    <t>Camping Sous Doriat</t>
  </si>
  <si>
    <t>Camping Le Champ de Mars</t>
  </si>
  <si>
    <t>Campingplatz am Useriner See - mit FKK</t>
  </si>
  <si>
    <t>Allemagne</t>
  </si>
  <si>
    <t>Mecklembourg-Poméranie-Occidentale</t>
  </si>
  <si>
    <t>FKK Campingplatz am Rätzsee</t>
  </si>
  <si>
    <t>Campingplatz am Grossen Pälitzsee</t>
  </si>
  <si>
    <t>Campingplatz am Ziernsee</t>
  </si>
  <si>
    <t>Campingplatz am Leppinsee</t>
  </si>
  <si>
    <t>Camping Le Petit Rocher****</t>
  </si>
  <si>
    <t>Camping- und Ferienpark Havelberge</t>
  </si>
  <si>
    <t>Camping La Croix du Bois Sacker</t>
  </si>
  <si>
    <t>Moselle</t>
  </si>
  <si>
    <t>Camping Homair - Le Neptune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</si>
  <si>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</si>
  <si>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</si>
  <si>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</si>
  <si>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</si>
  <si>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</si>
  <si>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</si>
  <si>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</si>
  <si>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</si>
  <si>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</si>
  <si>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</si>
  <si>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</si>
  <si>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</si>
  <si>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Arches</t>
  </si>
  <si>
    <t>Camping Les Chênes Verts</t>
  </si>
  <si>
    <t>CAMPING LE VIEUX VALLON</t>
  </si>
  <si>
    <t>Ushuaïa Villages - Camping Le Viaduc ***</t>
  </si>
  <si>
    <t>CAMPING DU LION</t>
  </si>
  <si>
    <t>Camping Les Lavandes</t>
  </si>
  <si>
    <t>CAMPING LE CHASSEZAC</t>
  </si>
  <si>
    <t>Camping Arc en Ciel</t>
  </si>
  <si>
    <t>Camping Le Barutel</t>
  </si>
  <si>
    <t>Camping Le Clapas</t>
  </si>
  <si>
    <t>Camping le Verger de Jastres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</si>
  <si>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</si>
  <si>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</si>
  <si>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</si>
  <si>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</si>
  <si>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</si>
  <si>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</si>
  <si>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</si>
  <si>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</si>
  <si>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</si>
  <si>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Camping Cevedale</t>
  </si>
  <si>
    <t>Baia Holiday San Nicola</t>
  </si>
  <si>
    <t>Pouilles</t>
  </si>
  <si>
    <t>Foggia</t>
  </si>
  <si>
    <t>Ushuaïa Villages - Camping Les Pins d'Ucel ****</t>
  </si>
  <si>
    <t>Camp des Gorges | Camping Nature ***</t>
  </si>
  <si>
    <t>Camping LE CARPENTY</t>
  </si>
  <si>
    <t>Camping Sandaya La Roubine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</si>
  <si>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</si>
  <si>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</si>
  <si>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</si>
  <si>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</si>
  <si>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</si>
  <si>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Cerisiers du Jaur</t>
  </si>
  <si>
    <t>Camping Park Soline</t>
  </si>
  <si>
    <t>Croatie</t>
  </si>
  <si>
    <t>Comitat de Zadar</t>
  </si>
  <si>
    <t>Camping dei Fiori</t>
  </si>
  <si>
    <t>Flower Camping des Vallées</t>
  </si>
  <si>
    <t>Baia Holiday Isuledda</t>
  </si>
  <si>
    <t>Castelwood</t>
  </si>
  <si>
    <t>le Petit Liou Sites &amp; Paysages</t>
  </si>
  <si>
    <t>Camping Homair - Parc des 7 Fonts</t>
  </si>
  <si>
    <t>Camping Sandaya Lac De Sanguinet</t>
  </si>
  <si>
    <t>Camping Le Village De L'Armorique</t>
  </si>
  <si>
    <t>Flower Camping L'Abri-Côtier</t>
  </si>
  <si>
    <t>SAGONE RESORT</t>
  </si>
  <si>
    <t>Camping Seasonova Le Brabois</t>
  </si>
  <si>
    <t>Meurthe-et-Moselle</t>
  </si>
  <si>
    <t>Camping Sandaya La Nublière</t>
  </si>
  <si>
    <t>Au Clos de la Chaume Sites et Paysages</t>
  </si>
  <si>
    <t>Flower Camping LA STENIOLE</t>
  </si>
  <si>
    <t>Union Lido Camping Lodging Hotel</t>
  </si>
  <si>
    <t>Maistra Camping Porto Sole</t>
  </si>
  <si>
    <t>Comitat d'Istrie</t>
  </si>
  <si>
    <t>Maistra Camping Valkanela</t>
  </si>
  <si>
    <t>Maistra Camping Amarin</t>
  </si>
  <si>
    <t>Camping du Buisson</t>
  </si>
  <si>
    <t>Haute-Marne</t>
  </si>
  <si>
    <t xml:space="preserve">Camping L'Orée de Provence </t>
  </si>
  <si>
    <t>Camping Champ Tillet</t>
  </si>
  <si>
    <t>Siblu – Camping Lauwersoog</t>
  </si>
  <si>
    <t>Riva Nuova Camping Village</t>
  </si>
  <si>
    <t>Camping Les Rives du Lac</t>
  </si>
  <si>
    <t>LE PARC DES SERIGONS</t>
  </si>
  <si>
    <t>Camping Pont d'Ardaix</t>
  </si>
  <si>
    <t>Lérida</t>
  </si>
  <si>
    <t>Camping Sandaya Riviera d'Azur</t>
  </si>
  <si>
    <t>Camp du Domaine</t>
  </si>
  <si>
    <t xml:space="preserve">Camping Sandaya Domaine le  Midi</t>
  </si>
  <si>
    <t>Camping Le Perpetuum</t>
  </si>
  <si>
    <t>Camping La Bouysse</t>
  </si>
  <si>
    <t>Camping Le Garrit</t>
  </si>
  <si>
    <t>Camping Brin d'Amour</t>
  </si>
  <si>
    <t>Le Moulin de Surier - MAEVA Respire</t>
  </si>
  <si>
    <t>Camping Le Port de Limeuil</t>
  </si>
  <si>
    <t xml:space="preserve">Sites et Paysages Domaine de  La Grande Veyière</t>
  </si>
  <si>
    <t>Camping La Ripole</t>
  </si>
  <si>
    <t>Camping Le Pontillou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</si>
  <si>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</si>
  <si>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</si>
  <si>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</si>
  <si>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</si>
  <si>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</si>
  <si>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Alpes Dauphiné</t>
  </si>
  <si>
    <t>Camping UR-ONEA</t>
  </si>
  <si>
    <t>Camping-Caravaneige l'Iscle de Prelles</t>
  </si>
  <si>
    <t>Vakantiepark Bergumermeer</t>
  </si>
  <si>
    <t>Frise</t>
  </si>
  <si>
    <t>Camping Chalets Résidentiels SAINT JAMES LES PINS</t>
  </si>
  <si>
    <t>Camping Les Princes d'Orange</t>
  </si>
  <si>
    <t>Camping Menina</t>
  </si>
  <si>
    <t>Slovénie</t>
  </si>
  <si>
    <t>Camping Les Cascades</t>
  </si>
  <si>
    <t>CAMPING VORAPARC</t>
  </si>
  <si>
    <t xml:space="preserve">Domaine Camping  Les Roches</t>
  </si>
  <si>
    <t>Camping Linda</t>
  </si>
  <si>
    <t>Zélande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</si>
  <si>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</si>
  <si>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</si>
  <si>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</si>
  <si>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</si>
  <si>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</si>
  <si>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Domaine de Corneuil</t>
  </si>
  <si>
    <t>Camping au Bord de l'Aisne</t>
  </si>
  <si>
    <t>Aisne</t>
  </si>
  <si>
    <t>Camping Les Fougères - Le Domaine du Marais</t>
  </si>
  <si>
    <t>Camping Arizona</t>
  </si>
  <si>
    <t>Émilie-Romagne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</si>
  <si>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</si>
  <si>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</si>
  <si>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</si>
  <si>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</si>
  <si>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</si>
  <si>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</si>
  <si>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</si>
  <si>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Port Pothuau</t>
  </si>
  <si>
    <t>Camping Le Parc</t>
  </si>
  <si>
    <t>Camping les Fouguières</t>
  </si>
  <si>
    <t>Camping Santa Maria di Leuca</t>
  </si>
  <si>
    <t>Lecce</t>
  </si>
  <si>
    <t>Camping LA TOUR FONDUE</t>
  </si>
  <si>
    <t>Camping Les Playes</t>
  </si>
  <si>
    <t>Camping Le Clos de Barbey</t>
  </si>
  <si>
    <t>Camping de Zeehoeve</t>
  </si>
  <si>
    <t>Camping des Neiges</t>
  </si>
  <si>
    <t>Camping les Rives du Lac</t>
  </si>
  <si>
    <t>Camping du Col</t>
  </si>
  <si>
    <t>Camping De Krabbeplaat</t>
  </si>
  <si>
    <t>Camping Covelo</t>
  </si>
  <si>
    <t>Camping Le Relais du Léman</t>
  </si>
  <si>
    <t>Camping de Saumont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</si>
  <si>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</si>
  <si>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</si>
  <si>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</si>
  <si>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</si>
  <si>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</si>
  <si>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</si>
  <si>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Camping L'Ile d'Or</t>
  </si>
  <si>
    <t>Il Villaggio di Giuele - Eurocamping Calvisio</t>
  </si>
  <si>
    <t>Camping Le Ventadour</t>
  </si>
  <si>
    <t>Flower Camping La Marette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</si>
  <si>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</si>
  <si>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</si>
  <si>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</si>
  <si>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</si>
  <si>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</si>
  <si>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</si>
  <si>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</si>
  <si>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</si>
  <si>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Camping Le Colombier</t>
  </si>
  <si>
    <t>Campeggio Smeraldo</t>
  </si>
  <si>
    <t>Camping Village Santapomata</t>
  </si>
  <si>
    <t>Camping Village Baia Azzurra</t>
  </si>
  <si>
    <t>Huttopia Senonches</t>
  </si>
  <si>
    <t>Eure-et-Loir</t>
  </si>
  <si>
    <t>Camping Le Château</t>
  </si>
  <si>
    <t>Camping Tunnel International</t>
  </si>
  <si>
    <t>Vallée d'Aoste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</si>
  <si>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</si>
  <si>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</si>
  <si>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</si>
  <si>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</si>
  <si>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</si>
  <si>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</si>
  <si>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Les Tournesols</t>
  </si>
  <si>
    <t>Sarthe</t>
  </si>
  <si>
    <t>Camping 't Weergors</t>
  </si>
  <si>
    <t>Camping MARINA PLAGE</t>
  </si>
  <si>
    <t>Cambrils Park Family Resort ****</t>
  </si>
  <si>
    <t>Camping &amp; Resort Sangulí Salou</t>
  </si>
  <si>
    <t>Domaine des Mimosas</t>
  </si>
  <si>
    <t>Centro Vacanze San Marino</t>
  </si>
  <si>
    <t>Saint-Marin</t>
  </si>
  <si>
    <t>Camping Playa de Poniente</t>
  </si>
  <si>
    <t>Camping Sandaya Ondres Océan</t>
  </si>
  <si>
    <t>Camping den Blanken</t>
  </si>
  <si>
    <t>Camping Sandaya Cypsela Resort</t>
  </si>
  <si>
    <t>RCN Vakantiepark het Grote Bos</t>
  </si>
  <si>
    <t>Utrecht</t>
  </si>
  <si>
    <t>Camping L'Escapade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</si>
  <si>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</si>
  <si>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</si>
  <si>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</si>
  <si>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</si>
  <si>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</si>
  <si>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Camping La Presqu'île de Champaubert</t>
  </si>
  <si>
    <t>Camping Domein de Schuur</t>
  </si>
  <si>
    <t>Anvers</t>
  </si>
  <si>
    <t>Camping Tamaris Plage</t>
  </si>
  <si>
    <t>Camping Aquarius</t>
  </si>
  <si>
    <t>Camping Seasonova Les Mouettes</t>
  </si>
  <si>
    <t>Camping Les Rives du Douet</t>
  </si>
  <si>
    <t>Camping Ramstein-Plage</t>
  </si>
  <si>
    <t>Siblu – Bonne Anse Plage</t>
  </si>
  <si>
    <t>Val de Landrouet</t>
  </si>
  <si>
    <t>Camping Les P'tites Maisons dans la Prairie</t>
  </si>
  <si>
    <t xml:space="preserve">Camping Le Luberon </t>
  </si>
  <si>
    <t>Le Bois Guillaume</t>
  </si>
  <si>
    <t>Yonne</t>
  </si>
  <si>
    <t>Flower Le Domaine du Rompval</t>
  </si>
  <si>
    <t>Flower Camping Le Clos Auroy</t>
  </si>
  <si>
    <t>Flower Camping Le Belvédère - Auvergne - Cantal</t>
  </si>
  <si>
    <t>Camping du Viaduc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</si>
  <si>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</si>
  <si>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</si>
  <si>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</si>
  <si>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</si>
  <si>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</si>
  <si>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Les Ephélides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</si>
  <si>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</si>
  <si>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</si>
  <si>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</si>
  <si>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</si>
  <si>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</si>
  <si>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</si>
  <si>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</si>
  <si>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</si>
  <si>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</si>
  <si>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</si>
  <si>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</si>
  <si>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</si>
  <si>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Saint Gabriel</t>
  </si>
  <si>
    <t>Camping de Ceyreste</t>
  </si>
  <si>
    <t>Camping Au Petit Port de l'Houmeau</t>
  </si>
  <si>
    <t>Camping Les Madières</t>
  </si>
  <si>
    <t>Camping LE CABELLOU PLAGE*****</t>
  </si>
  <si>
    <t>Domaine des Chênes Blancs</t>
  </si>
  <si>
    <t>Camping Baie de Saint Pol</t>
  </si>
  <si>
    <t>Camping La Ferme de Lann Hoedic</t>
  </si>
  <si>
    <t>Le Petit Trianon</t>
  </si>
  <si>
    <t>Camping Club La Côte des Roses - MS Vacances</t>
  </si>
  <si>
    <t>La Dune de Jade - Camping Qualité</t>
  </si>
  <si>
    <t>Camping Le Clos du Blavet</t>
  </si>
  <si>
    <t>Camping Homair - La Pinède</t>
  </si>
  <si>
    <t>Camping Les Roches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</si>
  <si>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</si>
  <si>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</si>
  <si>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</si>
  <si>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</si>
  <si>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</si>
  <si>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COUNTRY PARK TOUQUIN</t>
  </si>
  <si>
    <t>Camping Lou Pantaï</t>
  </si>
  <si>
    <t>Camping Les Baleines</t>
  </si>
  <si>
    <t>Flower Camping l'Ile des Trois Rois</t>
  </si>
  <si>
    <t>Camping Le Village du Port</t>
  </si>
  <si>
    <t>Camping Le Pommier</t>
  </si>
  <si>
    <t>Camping Le Moulin de Cadillac</t>
  </si>
  <si>
    <t>Camping de Thoissey - Val de Saône</t>
  </si>
  <si>
    <t>Camping La Llosa</t>
  </si>
  <si>
    <t>Camping Emeraude - Sea Green by Sunêlia</t>
  </si>
  <si>
    <t>Camping de la Baie de Somme</t>
  </si>
  <si>
    <t>Camping Tikayan La Prairie</t>
  </si>
  <si>
    <t>Camping ERREKA - Sea Green by Sunêlia</t>
  </si>
  <si>
    <t>Camping La Régate</t>
  </si>
  <si>
    <t>Camping Les Portes de l'Anjou</t>
  </si>
  <si>
    <t>Camping Le Parc de Vaux</t>
  </si>
  <si>
    <t>Camping Yelloh! Village Saint Pabu Plage</t>
  </si>
  <si>
    <t>Camping La Tour des Prises Ile de Ré</t>
  </si>
  <si>
    <t>CAMPING LES TRUFFIERES***</t>
  </si>
  <si>
    <t>Camping du Vieux Verger</t>
  </si>
  <si>
    <t xml:space="preserve">Camping Risle et  Seine - Domaine des Etangs</t>
  </si>
  <si>
    <t>Camping La Source</t>
  </si>
  <si>
    <t xml:space="preserve">Camping MONPLAISIR PROVENCE**** </t>
  </si>
  <si>
    <t>Camping Belle Roche</t>
  </si>
  <si>
    <t>Camping la Roseraie d'Omaha</t>
  </si>
  <si>
    <t>Camping La Sierrecilla</t>
  </si>
  <si>
    <t>Camping de Contrexeville</t>
  </si>
  <si>
    <t>Flower Camping La Chênaie</t>
  </si>
  <si>
    <t>Castel Camping Domaine de La Bien-Assise</t>
  </si>
  <si>
    <t>Camping de La Roche Percée</t>
  </si>
  <si>
    <t>Camping Les Castors</t>
  </si>
  <si>
    <t>Camping Sunêlia La Clémentine</t>
  </si>
  <si>
    <t xml:space="preserve">Camping Le Panoramique </t>
  </si>
  <si>
    <t>Camping Le Ranch</t>
  </si>
  <si>
    <t>Chadotel La Dune des Sables</t>
  </si>
  <si>
    <t>CAMPING YELLOH! VILLAGE LA CAPRICIEUSE</t>
  </si>
  <si>
    <t>Camping le Devançon</t>
  </si>
  <si>
    <t>Camping La Ferme de Bouzencourt</t>
  </si>
  <si>
    <t>Camping du Mettey****</t>
  </si>
  <si>
    <t>MIRAMARE Village - Apartments - Camping</t>
  </si>
  <si>
    <t>Camping des Gaves</t>
  </si>
  <si>
    <t>Vakantiepark Witven</t>
  </si>
  <si>
    <t>Brabant-Septentrional</t>
  </si>
  <si>
    <t>Camping Léman Plage</t>
  </si>
  <si>
    <t>Camping La Ferme</t>
  </si>
  <si>
    <t>Campasun Camping Le Clos du Pin</t>
  </si>
  <si>
    <t>Camping Kerabus</t>
  </si>
  <si>
    <t>Camping Cambrils Caban</t>
  </si>
  <si>
    <t>Camping Le Coin Charmant</t>
  </si>
  <si>
    <t>Campasun Camping de l’Aigle</t>
  </si>
  <si>
    <t>Campasun Camping Parc Mogador</t>
  </si>
  <si>
    <t>Camping Au Pigeonnier</t>
  </si>
  <si>
    <t>Flower Camping Le Martinet Rouge</t>
  </si>
  <si>
    <t>Camping La Goule</t>
  </si>
  <si>
    <t>Domaine des BLACHAS</t>
  </si>
  <si>
    <t>Camping Lou Rouchetou</t>
  </si>
  <si>
    <t>Camping La Vignasse</t>
  </si>
  <si>
    <t>Camping L'Ombrage</t>
  </si>
  <si>
    <t>Flower Camping Les Bouleaux</t>
  </si>
  <si>
    <t>Haut-Rhin</t>
  </si>
  <si>
    <t>Le Pascalounet</t>
  </si>
  <si>
    <t>Camping de Montréal</t>
  </si>
  <si>
    <t>Haute-Vienne</t>
  </si>
  <si>
    <t>Clico Chic - Camp du Soleil</t>
  </si>
  <si>
    <t>Camping Goyetchea</t>
  </si>
  <si>
    <t>Recreatieoord Kikmolen</t>
  </si>
  <si>
    <t>Limbourg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</si>
  <si>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</si>
  <si>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</si>
  <si>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</si>
  <si>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</si>
  <si>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</si>
  <si>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</si>
  <si>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Tiliguerta Glamping &amp; Camping Village</t>
  </si>
  <si>
    <t>Sud Sardegna</t>
  </si>
  <si>
    <t>Camping Boschetto di Piemma</t>
  </si>
  <si>
    <t>Siena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</si>
  <si>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</si>
  <si>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</si>
  <si>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</si>
  <si>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</si>
  <si>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</si>
  <si>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</si>
  <si>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</si>
  <si>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Flower Camping Le Conleau</t>
  </si>
  <si>
    <t xml:space="preserve">Camping Seasonova Le Martinet </t>
  </si>
  <si>
    <t>Camping Le Reclus</t>
  </si>
  <si>
    <t>Camping de la Haute Sioule</t>
  </si>
  <si>
    <t>ROMANEE Fort Espagnol</t>
  </si>
  <si>
    <t>Camping L'Hippocampe - Les Chalets de la Mer</t>
  </si>
  <si>
    <t>Camping Valkenburg - Maastricht</t>
  </si>
  <si>
    <t>Siblu - De Lente van Drenthe</t>
  </si>
  <si>
    <t>Drenthe</t>
  </si>
  <si>
    <t>Siblu – Camping De Oase</t>
  </si>
  <si>
    <t>Recreatiepark De Koornmolen</t>
  </si>
  <si>
    <t>Camping De Heldense Bossen</t>
  </si>
  <si>
    <t>Siblu De Tol</t>
  </si>
  <si>
    <t>Recreatiepark De Paalberg</t>
  </si>
  <si>
    <t>Vakantiepark De Zeeuwse Parel</t>
  </si>
  <si>
    <t>Alpencamping Nenzing</t>
  </si>
  <si>
    <t>Vorarlberg</t>
  </si>
  <si>
    <t>Bezirk Bludenz</t>
  </si>
  <si>
    <t>Camping-Mobilheimpark Am Mühlenteich</t>
  </si>
  <si>
    <t>Rhénanie-Palatinat</t>
  </si>
  <si>
    <t>Boeslunde camping</t>
  </si>
  <si>
    <t>Danemark</t>
  </si>
  <si>
    <t>Region Sjælland</t>
  </si>
  <si>
    <t>Slagelse Kommune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</si>
  <si>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</si>
  <si>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</si>
  <si>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</si>
  <si>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</si>
  <si>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</si>
  <si>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</si>
  <si>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Flower Camping Le Vorlen</t>
  </si>
  <si>
    <t>Camping L'Arbre d'Or</t>
  </si>
  <si>
    <t>Camping Moulin de Chaules</t>
  </si>
  <si>
    <t>Camping Seiser Alm</t>
  </si>
  <si>
    <t>Haut-Adige</t>
  </si>
  <si>
    <t>Camping Village Tahiti</t>
  </si>
  <si>
    <t>Ferrara</t>
  </si>
  <si>
    <t>Camping Kleinenzhof</t>
  </si>
  <si>
    <t>Bade-Wurtemberg</t>
  </si>
  <si>
    <t>Ferienpark Terrassencamping Süd-See</t>
  </si>
  <si>
    <t>Camping Seespitz</t>
  </si>
  <si>
    <t>Finca L'Air Marin</t>
  </si>
  <si>
    <t>Campasun Camping International Aups</t>
  </si>
  <si>
    <t>Camping Le Val d'Hérault</t>
  </si>
  <si>
    <t>Camping de L'Arche</t>
  </si>
  <si>
    <t>Domaine du Pra de Mars</t>
  </si>
  <si>
    <t>Camping Bellsol</t>
  </si>
  <si>
    <t>Camping Mas de la Cam</t>
  </si>
  <si>
    <t>Camping Vall d'Or</t>
  </si>
  <si>
    <t>Camping Le Chamois</t>
  </si>
  <si>
    <t>Camping Le Céou</t>
  </si>
  <si>
    <t>Flower Camping Le Saint Michelet</t>
  </si>
  <si>
    <t>Wecamp Pirineos</t>
  </si>
  <si>
    <t>Campasun Camping Les Lauriers Roses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</si>
  <si>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</si>
  <si>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</si>
  <si>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</si>
  <si>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</si>
  <si>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</si>
  <si>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</si>
  <si>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</si>
  <si>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</si>
  <si>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</si>
  <si>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</si>
  <si>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</si>
  <si>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</si>
  <si>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</si>
  <si>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</si>
  <si>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</si>
  <si>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</si>
  <si>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</si>
  <si>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Flower Camping L'Armorique</t>
  </si>
  <si>
    <t>Campingpark Eifel</t>
  </si>
  <si>
    <t>Camping Les Ombrages</t>
  </si>
  <si>
    <t>Camping The Quiet Site</t>
  </si>
  <si>
    <t>Angleterre</t>
  </si>
  <si>
    <t>Cumbria</t>
  </si>
  <si>
    <t>Camping APV L'Anse des Pins</t>
  </si>
  <si>
    <t>Camping**** et Base de Loisirs La Plaine Tonique</t>
  </si>
  <si>
    <t>Grand Paris</t>
  </si>
  <si>
    <t>Val-d'Oise</t>
  </si>
  <si>
    <t>Les Ilots d'Or</t>
  </si>
  <si>
    <t>Ostseecampingplatz Familie Heide</t>
  </si>
  <si>
    <t>Camping Lido</t>
  </si>
  <si>
    <t>Centro Vacanze Villaggio San Francesco</t>
  </si>
  <si>
    <t>Hvalpsund Familie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</si>
  <si>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</si>
  <si>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</si>
  <si>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</si>
  <si>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</si>
  <si>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</si>
  <si>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</si>
  <si>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</si>
  <si>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</si>
  <si>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</si>
  <si>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</si>
  <si>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>Huttopia Ars-en-Ré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</si>
  <si>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</si>
  <si>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</si>
  <si>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</si>
  <si>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</si>
  <si>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</si>
  <si>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</si>
  <si>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Basse-Saxe</t>
  </si>
  <si>
    <t>Camping L'Étang du Pays Blanc</t>
  </si>
  <si>
    <t xml:space="preserve">Camping Villaggio Atlanta  Mediterraneo</t>
  </si>
  <si>
    <t>Camping L'Espérance</t>
  </si>
  <si>
    <t>Sandaya Europa Village</t>
  </si>
  <si>
    <t>Camping Seasonova Les Portes d'Alsace</t>
  </si>
  <si>
    <t>Camping La Grappe Fleurie</t>
  </si>
  <si>
    <t>Rhône</t>
  </si>
  <si>
    <t>Camping Les Casteillets</t>
  </si>
  <si>
    <t>Camping Des 2 Rives</t>
  </si>
  <si>
    <t>Camping Eden Villages Bela Basque</t>
  </si>
  <si>
    <t>Camping La Sapinette</t>
  </si>
  <si>
    <t>Flower Camping Des 2 Rivières</t>
  </si>
  <si>
    <t>Camping Les Peupliers</t>
  </si>
  <si>
    <t>Camping Le Palais de la Mer</t>
  </si>
  <si>
    <t>Nysted Camping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</si>
  <si>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</si>
  <si>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</si>
  <si>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</si>
  <si>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</si>
  <si>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</si>
  <si>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</si>
  <si>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La Garenne à Saint-Laurent-du-Pape / ARDECHE</t>
  </si>
  <si>
    <t>Camping Village Lago Arsiè***</t>
  </si>
  <si>
    <t>Camping Les Mouettes devient Camping L'écrin de la baie</t>
  </si>
  <si>
    <t>Camping La Touesse</t>
  </si>
  <si>
    <t>Camping Playa de Oyambre</t>
  </si>
  <si>
    <t>Camping Le Balcon de la Baie</t>
  </si>
  <si>
    <t>Camping L'orée des Caps</t>
  </si>
  <si>
    <t>Natur Camping Usedom</t>
  </si>
  <si>
    <t>Camping Barco Reale</t>
  </si>
  <si>
    <t>Pistoia</t>
  </si>
  <si>
    <t xml:space="preserve">CAMPING LA CERISE </t>
  </si>
  <si>
    <t>Camping Ettelbruck</t>
  </si>
  <si>
    <t>Canton Diekirch</t>
  </si>
  <si>
    <t>Camping Le Puech des Ouilhes</t>
  </si>
  <si>
    <t>Camping Saintes Grandes Rives</t>
  </si>
  <si>
    <t>Camping Vert Auxois</t>
  </si>
  <si>
    <t>Côte-d'Or</t>
  </si>
  <si>
    <t>Camping La Trillonnière</t>
  </si>
  <si>
    <t>Camping Le Schlossberg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</si>
  <si>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</si>
  <si>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</si>
  <si>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</si>
  <si>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</si>
  <si>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</si>
  <si>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</si>
  <si>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Moselcamping Kröver Berg</t>
  </si>
  <si>
    <t>Wecamp Cudillero</t>
  </si>
  <si>
    <t>Asturies</t>
  </si>
  <si>
    <t>Camping La Clairière</t>
  </si>
  <si>
    <t>Camping La Ferme du Bord de Mer</t>
  </si>
  <si>
    <t>Camping LANDES AZUR</t>
  </si>
  <si>
    <t>Camping Nature Le Valenty</t>
  </si>
  <si>
    <t>Camping La Crémade</t>
  </si>
  <si>
    <t>Camping Cuenca</t>
  </si>
  <si>
    <t>Castille-La Manche</t>
  </si>
  <si>
    <t>Cuenca</t>
  </si>
  <si>
    <t>Camping Le Bardou</t>
  </si>
  <si>
    <t>Camping Le Moulin à Vent</t>
  </si>
  <si>
    <t>Camping Au Paradis des Campeurs</t>
  </si>
  <si>
    <t>Camping Aan Noordzee</t>
  </si>
  <si>
    <t>Hollande-Septentrionale</t>
  </si>
  <si>
    <t>Faaborg Camping</t>
  </si>
  <si>
    <t>Danemark-du-Sud</t>
  </si>
  <si>
    <t>Camping Porte des Vosges</t>
  </si>
  <si>
    <t>Camping Robersum</t>
  </si>
  <si>
    <t>Camping Le Picard</t>
  </si>
  <si>
    <t>Camping Mas Llinas</t>
  </si>
  <si>
    <t>Camping Qualité l'Eden de la Vanoise</t>
  </si>
  <si>
    <t>Camping Le Bivouac</t>
  </si>
  <si>
    <t>Camping Le Plô Aveyron</t>
  </si>
  <si>
    <t>TAIGA Almeria Playa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</si>
  <si>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</si>
  <si>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</si>
  <si>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</si>
  <si>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</si>
  <si>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</si>
  <si>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</si>
  <si>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</si>
  <si>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</si>
  <si>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Camping Les 2 Plages</t>
  </si>
  <si>
    <t>Camping L'Arquet - La Côte Bleue</t>
  </si>
  <si>
    <t>Camping La Grange Neuve - Face à La Réserve Africaine de Sigean</t>
  </si>
  <si>
    <t>Camping Atlantica</t>
  </si>
  <si>
    <t>Camping de l'Aber</t>
  </si>
  <si>
    <t>Camping Du Colombier</t>
  </si>
  <si>
    <t>RCN Camping Laacher See</t>
  </si>
  <si>
    <t>Kompas Camping Westende</t>
  </si>
  <si>
    <t>Slow Village | La Roque sur Cèze</t>
  </si>
  <si>
    <t>Camping Pueblo Blanco</t>
  </si>
  <si>
    <t>Ballum Camping</t>
  </si>
  <si>
    <t>Tønder Kommune</t>
  </si>
  <si>
    <t>Erlebniscamping Lausitz</t>
  </si>
  <si>
    <t>Brandebourg</t>
  </si>
  <si>
    <t>Camping du Brec</t>
  </si>
  <si>
    <t>YELLOH! VILLAGE - LES BALEARES SON BOU</t>
  </si>
  <si>
    <t>Camping Lentemaheerd</t>
  </si>
  <si>
    <t>Camping De Watertoren</t>
  </si>
  <si>
    <t>Camping Joncar Mar</t>
  </si>
  <si>
    <t>Flower Camping La Beaume</t>
  </si>
  <si>
    <t>Camping ABC am Großensee/Hamburg</t>
  </si>
  <si>
    <t>Waldbad Isny GmbH &amp; Co. KG</t>
  </si>
  <si>
    <t>Camping Arquin</t>
  </si>
  <si>
    <t>Flower Camping Le Bois d'Amour</t>
  </si>
  <si>
    <t>Camping Fargogne</t>
  </si>
  <si>
    <t>Camping Terme Ptuj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</si>
  <si>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</si>
  <si>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</si>
  <si>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</si>
  <si>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</si>
  <si>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</si>
  <si>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Camping Les Hortensias</t>
  </si>
  <si>
    <t xml:space="preserve">Sandaya Etruria </t>
  </si>
  <si>
    <t>Camping Surabaja-La Playa</t>
  </si>
  <si>
    <t>Isola dei Gabbiani - Land of water</t>
  </si>
  <si>
    <t>Domaine de la Cigalière</t>
  </si>
  <si>
    <t>Village Vacances Seasonova Les Demeures du Lac</t>
  </si>
  <si>
    <t>Camping d'Autun</t>
  </si>
  <si>
    <t>Campingpark Gartow</t>
  </si>
  <si>
    <t>Campingplatz Eulenburg</t>
  </si>
  <si>
    <t>Camping Pré Vologne</t>
  </si>
  <si>
    <t>Camping La Masseria</t>
  </si>
  <si>
    <t>Camping La Grande Vallée</t>
  </si>
  <si>
    <t>CAMPING MENDI AZPIAN</t>
  </si>
  <si>
    <t>Camping Les Chapelains</t>
  </si>
  <si>
    <t>Camping De Grienduil</t>
  </si>
  <si>
    <t>YELLOH! VILLAGE - LA ROCHE POSAY VACANCES</t>
  </si>
  <si>
    <t>Camping La Vallée Heureuse</t>
  </si>
  <si>
    <t>Camping du Bord de Mer</t>
  </si>
  <si>
    <t>Alannia Costa Blanca</t>
  </si>
  <si>
    <t xml:space="preserve">Flower Camping  Village Platin-Redoute</t>
  </si>
  <si>
    <t xml:space="preserve">Camping Club Médoc Plage - MS Vacances </t>
  </si>
  <si>
    <t>Kompas Camping Nieuwpoort</t>
  </si>
  <si>
    <t>Camping de Brouel ***</t>
  </si>
  <si>
    <t>Camping Homair - Atlantic Club Montalivet</t>
  </si>
  <si>
    <t>Camping Le Rey</t>
  </si>
  <si>
    <t>Camping Paradis DOMAINE DE BELLEVUE</t>
  </si>
  <si>
    <t>Camping la Ribière</t>
  </si>
  <si>
    <t>Camping Sandaya L'Estanquet</t>
  </si>
  <si>
    <t>Camping Le Val de Cesse</t>
  </si>
  <si>
    <t>Camping Homair - Le Soleil de la Méditerranée</t>
  </si>
  <si>
    <t>Camping du Roz</t>
  </si>
  <si>
    <t>Camping du BOIS VERT</t>
  </si>
  <si>
    <t>Flower Aloha Camping Club</t>
  </si>
  <si>
    <t>Camping La Simioune Vaucluse et Drome Provencale</t>
  </si>
  <si>
    <t>CAMPING LES ECRINS</t>
  </si>
  <si>
    <t>Camping Lac de Villefort</t>
  </si>
  <si>
    <t>Camping Entre Terre et Mer</t>
  </si>
  <si>
    <t>CAMPING LA FALOISE</t>
  </si>
  <si>
    <t>La Forêt Stella-Plage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</si>
  <si>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</si>
  <si>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</si>
  <si>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</si>
  <si>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</si>
  <si>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</si>
  <si>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</si>
  <si>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</si>
  <si>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</si>
  <si>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</si>
  <si>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&amp; Bungalows Estanyet</t>
  </si>
  <si>
    <t>Camping River</t>
  </si>
  <si>
    <t>Camping Royal</t>
  </si>
  <si>
    <t>Piémont</t>
  </si>
  <si>
    <t>Novare</t>
  </si>
  <si>
    <t>Camping Paradies Franken</t>
  </si>
  <si>
    <t>Nationalpark Camping Kals</t>
  </si>
  <si>
    <t>Bezirk Lienz</t>
  </si>
  <si>
    <t>CAMPING DE LA MOTTE</t>
  </si>
  <si>
    <t>Elbadoc Camping Village</t>
  </si>
  <si>
    <t>Camping Du Perche</t>
  </si>
  <si>
    <t>Camping Pino Mare</t>
  </si>
  <si>
    <t>Vital CAMP Bayerbach</t>
  </si>
  <si>
    <t>Butterfly Camping Village</t>
  </si>
  <si>
    <t>Camping A'Vouga</t>
  </si>
  <si>
    <t>Freizeitpark Am Emsdeich</t>
  </si>
  <si>
    <t>Camping Bor</t>
  </si>
  <si>
    <t>Comitat de Primorje-Gorski Kotar</t>
  </si>
  <si>
    <t>Agricamper Torre Sabea</t>
  </si>
  <si>
    <t>La Ferme de l'Autruche Drômoise</t>
  </si>
  <si>
    <t>Camping Les Prairies de L'Etang</t>
  </si>
  <si>
    <t>Camping BOIS DE LA CHASSE</t>
  </si>
  <si>
    <t>Camping Résidentiel La Pinède</t>
  </si>
  <si>
    <t>Camping du moulin de Thoard</t>
  </si>
  <si>
    <t>Camping Stein am Simssee</t>
  </si>
  <si>
    <t>Village Nature Zen</t>
  </si>
  <si>
    <t>Camping L'Etang de Sologne</t>
  </si>
  <si>
    <t>Domaine des Pins</t>
  </si>
  <si>
    <t>Camping Le Mont Joli Bois</t>
  </si>
  <si>
    <t>Camping Les Vignes</t>
  </si>
  <si>
    <t>Camping de La Falaise</t>
  </si>
  <si>
    <t>CAMPING TORRACCIA</t>
  </si>
  <si>
    <t>Camping Le Verdier</t>
  </si>
  <si>
    <t>Camping l'Océan</t>
  </si>
  <si>
    <t>Camping de la Plage - Alpes, Vercors et Trièves</t>
  </si>
  <si>
    <t>Camping - Base de Loisirs La Tuilerie</t>
  </si>
  <si>
    <t>Aigüestortes Camping Resort</t>
  </si>
  <si>
    <t>Camping Sandaya Belle Plage</t>
  </si>
  <si>
    <t>Camping Le Chêne du Lac</t>
  </si>
  <si>
    <t xml:space="preserve">Camping CAP LEUCATE  MSS</t>
  </si>
  <si>
    <t>LieuDieu, Domaine de Campagne</t>
  </si>
  <si>
    <t>Camping Le Rivage</t>
  </si>
  <si>
    <t>Camping des Barolles</t>
  </si>
  <si>
    <t>Métropole de Lyon</t>
  </si>
  <si>
    <t>Camping Marie France</t>
  </si>
  <si>
    <t>Flower Camping Les Cadenières</t>
  </si>
  <si>
    <t>Camping Sandaya Maguide</t>
  </si>
  <si>
    <t>Camping Seasonova Etennemare</t>
  </si>
  <si>
    <t>Les Ventoulines Village &amp; Spa</t>
  </si>
  <si>
    <t>Sandaya Domaine la Franqui</t>
  </si>
  <si>
    <t>Iron Gate Marina 3B</t>
  </si>
  <si>
    <t>Camping Eden Villages Palmyre Loisirs</t>
  </si>
  <si>
    <t>Camping Le Mas des Sédariès</t>
  </si>
  <si>
    <t>Camping de la Moselle</t>
  </si>
  <si>
    <t>Slow Village | Belle-Île-en-Mer</t>
  </si>
  <si>
    <t>Camping TY NENEZ</t>
  </si>
  <si>
    <t>Camping LE VARLEN</t>
  </si>
  <si>
    <t xml:space="preserve">Camping du Lac au Duc </t>
  </si>
  <si>
    <t xml:space="preserve">Camping  LES GOELANDS</t>
  </si>
  <si>
    <t>Camping Le Dolmen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</si>
  <si>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</si>
  <si>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</si>
  <si>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</si>
  <si>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</si>
  <si>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</si>
  <si>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</si>
  <si>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</si>
  <si>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</si>
  <si>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</si>
  <si>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</si>
  <si>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</si>
  <si>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</si>
  <si>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Les Alizés</t>
  </si>
  <si>
    <t>Camping La Padrelle</t>
  </si>
  <si>
    <t>Camping L'Ambois</t>
  </si>
  <si>
    <t>Camping Les Ajoncs d'Or</t>
  </si>
  <si>
    <t>Camping Sandaya Les Grenettes</t>
  </si>
  <si>
    <t>Camping Gîte Au Songe du Valier</t>
  </si>
  <si>
    <t>Siblu - Mimizan Le Lac</t>
  </si>
  <si>
    <t>Les Chamberts camping et lodges</t>
  </si>
  <si>
    <t>Les Cabanes de Cornillon</t>
  </si>
  <si>
    <t>Camping de la Colline</t>
  </si>
  <si>
    <t>Flower Camping Provence Vallée</t>
  </si>
  <si>
    <t>Camping le Damier</t>
  </si>
  <si>
    <t>Camping Maupassant</t>
  </si>
  <si>
    <t>Camping Fuentes Carrionas</t>
  </si>
  <si>
    <t>Palencia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</si>
  <si>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</si>
  <si>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</si>
  <si>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</si>
  <si>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</si>
  <si>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</si>
  <si>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</si>
  <si>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</si>
  <si>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</si>
  <si>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</si>
  <si>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</si>
  <si>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Domaine des Grands Pins</t>
  </si>
  <si>
    <t>Camping Bleu Marine</t>
  </si>
  <si>
    <t>Camping du Lac</t>
  </si>
  <si>
    <t>Camping &amp; Bungalows Zumaia</t>
  </si>
  <si>
    <t>Camping le Picardy</t>
  </si>
  <si>
    <t>International Camping Village</t>
  </si>
  <si>
    <t>Cosenza</t>
  </si>
  <si>
    <t>Camping Château de Bouafles</t>
  </si>
  <si>
    <t>Domaine du Mas de Saboth</t>
  </si>
  <si>
    <t>Camping Campo dei Fiori</t>
  </si>
  <si>
    <t>Camping Seasonova Les 7 Iles</t>
  </si>
  <si>
    <t>Camping Clara</t>
  </si>
  <si>
    <t>Tigullio Camping Resort</t>
  </si>
  <si>
    <t>Resort de Otterberg</t>
  </si>
  <si>
    <t>Campingplatz Platzermühle</t>
  </si>
  <si>
    <t>Camping Homair - L'Oasis Palavasienne</t>
  </si>
  <si>
    <t>Flower Camping Val Vert en Berry</t>
  </si>
  <si>
    <t>Lilybeo Village Camping &amp; Residence</t>
  </si>
  <si>
    <t>Trapani</t>
  </si>
  <si>
    <t xml:space="preserve">Camping Seasonova Barberousse </t>
  </si>
  <si>
    <t>Camping des Chavannes</t>
  </si>
  <si>
    <t>Baia Holiday Roma Capitol</t>
  </si>
  <si>
    <t>Camping Homair - Riva Bella</t>
  </si>
  <si>
    <t>Camping Park Mara</t>
  </si>
  <si>
    <t>Camping Ardèche Domaine de Gil</t>
  </si>
  <si>
    <t>Camping Le Bois des Ecureuils</t>
  </si>
  <si>
    <t>Camping Foxycamp</t>
  </si>
  <si>
    <t>Meuse</t>
  </si>
  <si>
    <t>Lodges de Blois-Chambord</t>
  </si>
  <si>
    <t>Camping La Pinède</t>
  </si>
  <si>
    <t>Siblu – Les Rives de Condrieu</t>
  </si>
  <si>
    <t>Camping Les Cent Chênes</t>
  </si>
  <si>
    <t>Domaine la Résinière</t>
  </si>
  <si>
    <t>Camping Bleu Mer</t>
  </si>
  <si>
    <t>Camping La Roussie</t>
  </si>
  <si>
    <t xml:space="preserve">Residence Onda Blu </t>
  </si>
  <si>
    <t>Saxida Wine &amp; Camping Resort</t>
  </si>
  <si>
    <t>Domaine de la Forge - Sea Green by Sunêlia</t>
  </si>
  <si>
    <t>Paradies-Camp</t>
  </si>
  <si>
    <t>Village Vacances Chanteduc</t>
  </si>
  <si>
    <t>Camping Park Baita Dolomiti Village</t>
  </si>
  <si>
    <t>Camping de Regenboog</t>
  </si>
  <si>
    <t>Tchéquie</t>
  </si>
  <si>
    <t>Ústecký kraj</t>
  </si>
  <si>
    <t>Camping la Ferme des 4 Chênes</t>
  </si>
  <si>
    <t>Camping Les Pommiers</t>
  </si>
  <si>
    <t>Campingplatz Landidyll</t>
  </si>
  <si>
    <t>Saxe</t>
  </si>
  <si>
    <t>Appart'Hotel le Splendid - Terres de France</t>
  </si>
  <si>
    <t>Appart'Hotel la Roche-Posay - Terres de France</t>
  </si>
  <si>
    <t>Camping Du Lac Terre d'Auge, Pont-L'Evêque</t>
  </si>
  <si>
    <t>Camping Abijune</t>
  </si>
  <si>
    <t>Flower Camping Les Loges</t>
  </si>
  <si>
    <t>Camping Village Spiaggia Lunga</t>
  </si>
  <si>
    <t>Campingpark im Bergischen Land</t>
  </si>
  <si>
    <t>Rhénanie-du-Nord-Westphalie</t>
  </si>
  <si>
    <t>Forest Camping Mozirje</t>
  </si>
  <si>
    <t>Mozirje</t>
  </si>
  <si>
    <t>Flower Camping Monplaisir</t>
  </si>
  <si>
    <t>Camping Trin</t>
  </si>
  <si>
    <t>Grisons</t>
  </si>
  <si>
    <t>Imboden</t>
  </si>
  <si>
    <t>Figari Corsica Collection</t>
  </si>
  <si>
    <t>Camping Jullouville les Pins</t>
  </si>
  <si>
    <t>Camping Milella</t>
  </si>
  <si>
    <t>Camping Kevano Plage</t>
  </si>
  <si>
    <t>Ushuaïa Villages - Camping Domaine du Blanc Pignon **</t>
  </si>
  <si>
    <t>Camping Cantabria</t>
  </si>
  <si>
    <t>Camping Ugljan Resort</t>
  </si>
  <si>
    <t>Camping Le Cians</t>
  </si>
  <si>
    <t>Camping de L'Eden</t>
  </si>
  <si>
    <t>Camping les Vals</t>
  </si>
  <si>
    <t>Camping Les Portes du Canigou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</si>
  <si>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</si>
  <si>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</si>
  <si>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</si>
  <si>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</si>
  <si>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</si>
  <si>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</si>
  <si>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Camping La Croix du Sud</t>
  </si>
  <si>
    <t>Camping Bergamini</t>
  </si>
  <si>
    <t>Camping Park Garda</t>
  </si>
  <si>
    <t>Camping Toscolano</t>
  </si>
  <si>
    <t>Campasun Camping de l’Etang de La Bonde</t>
  </si>
  <si>
    <t>Lago Idro Glamping Boutique</t>
  </si>
  <si>
    <t>Camping Veli Joze</t>
  </si>
  <si>
    <t>Camper Park Playas de Luz</t>
  </si>
  <si>
    <t>Huelva</t>
  </si>
  <si>
    <t>MCM Beach &amp; Camping</t>
  </si>
  <si>
    <t>Monténégro</t>
  </si>
  <si>
    <t>Ulcinj</t>
  </si>
  <si>
    <t>Flower Camping InNature</t>
  </si>
  <si>
    <t>Pielachtal Camping</t>
  </si>
  <si>
    <t>Bezirk St. Pölten</t>
  </si>
  <si>
    <t>Camping Tikayan Beauséjour</t>
  </si>
  <si>
    <t>Écodomaine "La Rêverie"</t>
  </si>
  <si>
    <t>Domaine du Palais - Terres de France</t>
  </si>
  <si>
    <t>TAIGA Conil</t>
  </si>
  <si>
    <t xml:space="preserve">Village Vacances Sandaya Cap Sud </t>
  </si>
  <si>
    <t>La Forêt Enchantée</t>
  </si>
  <si>
    <t>Camping Landrezac Plage</t>
  </si>
  <si>
    <t>Domaine des Vans - Terres de France</t>
  </si>
  <si>
    <t>Camping-Village Sole di Sari</t>
  </si>
  <si>
    <t>Camping Aux portes de Paimpol</t>
  </si>
  <si>
    <t>Huttopia Forêt des Vosges</t>
  </si>
  <si>
    <t>Agricampeggio La Stadera</t>
  </si>
  <si>
    <t>Forlì-Cesena</t>
  </si>
  <si>
    <t>Domaine de la Grenatière</t>
  </si>
  <si>
    <t>Domaine du Téno</t>
  </si>
  <si>
    <t>Domaine les Cottages de la Baule</t>
  </si>
  <si>
    <t>Les Cottages du lac de Jouarres</t>
  </si>
  <si>
    <t>Camping Montorfano</t>
  </si>
  <si>
    <t>Côme</t>
  </si>
  <si>
    <t xml:space="preserve">Moselcampingplatz Alf </t>
  </si>
  <si>
    <t>Camping l’Eglantier</t>
  </si>
  <si>
    <t>Camping Municipal de l'Étang</t>
  </si>
  <si>
    <t xml:space="preserve"> Domaine Saint-Amand </t>
  </si>
  <si>
    <t>camping Le Petit Canada</t>
  </si>
  <si>
    <t>Slow Village | Saint-Cybranet</t>
  </si>
  <si>
    <t>Agricampeggio Abbruzzetti</t>
  </si>
  <si>
    <t>Fermo</t>
  </si>
  <si>
    <t>Campeggio Bocca di Cecina</t>
  </si>
  <si>
    <t>Camping Alfacs</t>
  </si>
  <si>
    <t xml:space="preserve">Talaia Plaza Ecoresort </t>
  </si>
  <si>
    <t>Camping la Maïade ***</t>
  </si>
  <si>
    <t>Les Clos de Gascogne</t>
  </si>
  <si>
    <t xml:space="preserve">Wecamp Cadaqués </t>
  </si>
  <si>
    <t>Wecamp Cala Montgó</t>
  </si>
  <si>
    <t>Siblu - Camping in de Bongerd</t>
  </si>
  <si>
    <t>Camping de l'Arnel</t>
  </si>
  <si>
    <t>U Pinarellu</t>
  </si>
  <si>
    <t xml:space="preserve"> Camping Untxin Socoa </t>
  </si>
  <si>
    <t>MeerReise Camping</t>
  </si>
  <si>
    <t>Camping Sandaya Le Carbonnier</t>
  </si>
  <si>
    <t xml:space="preserve"> Camping Le Clos de Savoye </t>
  </si>
  <si>
    <t>Camping La Vallée</t>
  </si>
  <si>
    <t xml:space="preserve"> Camping les Voiles </t>
  </si>
  <si>
    <t>Camping Village Nature d'O</t>
  </si>
  <si>
    <t>Domaine Seasonova Saâne et Mer</t>
  </si>
  <si>
    <t>Camping Costabella</t>
  </si>
  <si>
    <t>Camping und Pension Bergheimat</t>
  </si>
  <si>
    <t>Résidence les Hauts du Maquis - Terres de France</t>
  </si>
  <si>
    <t>Papillon Kinrooi</t>
  </si>
  <si>
    <t>Camping Sandaya Valencia</t>
  </si>
  <si>
    <t>Valence</t>
  </si>
  <si>
    <t>Camping Sandaya Val André</t>
  </si>
  <si>
    <t>Camping Du Grand Pré</t>
  </si>
  <si>
    <t>IdeaLazise Camping and Village</t>
  </si>
  <si>
    <t>Basecamps</t>
  </si>
  <si>
    <t>Camping Essenza Alpina</t>
  </si>
  <si>
    <t>Camping Au Cœur Des Vignes</t>
  </si>
  <si>
    <t>Camping du Lac de Fontclaire</t>
  </si>
  <si>
    <t>Camping Los Arenales</t>
  </si>
  <si>
    <t>Ciudad Real</t>
  </si>
  <si>
    <t xml:space="preserve">Flower Camping Les Iles </t>
  </si>
  <si>
    <t xml:space="preserve">Prima Camping Resort Ostsee-Boddenblick </t>
  </si>
  <si>
    <t>Camping Framura</t>
  </si>
  <si>
    <t>Campings Liberté - Landrellec</t>
  </si>
  <si>
    <t xml:space="preserve">Dune Agriturismo </t>
  </si>
  <si>
    <t>Solcio Village</t>
  </si>
  <si>
    <t>Camping Denntal</t>
  </si>
  <si>
    <t>Glamping Le Camp</t>
  </si>
  <si>
    <t xml:space="preserve">Camping Bedura Park </t>
  </si>
  <si>
    <t>TAIGA Tarifa Valdevaqueros</t>
  </si>
  <si>
    <t xml:space="preserve">Camping Costa del Sol Glamping Village </t>
  </si>
  <si>
    <t>Domaine de la Baie - Terres De France</t>
  </si>
  <si>
    <t>Camping Reno</t>
  </si>
  <si>
    <t>Ravenna</t>
  </si>
  <si>
    <t>Camping La Papelutte</t>
  </si>
  <si>
    <t xml:space="preserve"> Camping Le Côte d'Opale </t>
  </si>
  <si>
    <t>Camping Le Petit Dauphin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</si>
  <si>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</si>
  <si>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</si>
  <si>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</si>
  <si>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</si>
  <si>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</si>
  <si>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Haute-Autriche</t>
  </si>
  <si>
    <t>Bezirk Kirchdorf</t>
  </si>
  <si>
    <t>Campings Liberté - Lacanau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</si>
  <si>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</si>
  <si>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</si>
  <si>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</si>
  <si>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</si>
  <si>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</si>
  <si>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Campingplatz Dümmersee</t>
  </si>
  <si>
    <t>Camping Homair - Domaine de la Marina</t>
  </si>
  <si>
    <t>Villaggio Turistico La Cecinella</t>
  </si>
  <si>
    <t>Camping Le Lac Amance</t>
  </si>
  <si>
    <t>Baia Holiday La Gallura</t>
  </si>
  <si>
    <t>Camping Homair - Sol à Gogo</t>
  </si>
  <si>
    <t>Camping Le Chaponnet</t>
  </si>
  <si>
    <t xml:space="preserve">Camping El Toro Azul </t>
  </si>
  <si>
    <t>Camping Hanau Plage</t>
  </si>
  <si>
    <t>Camping Homair - Les Pommiers du Mont Saint Michel</t>
  </si>
  <si>
    <t>Camping Homair - Le Parc de la Fecht</t>
  </si>
  <si>
    <t>Camping Homair - Château de Galaure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</si>
  <si>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</si>
  <si>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</si>
  <si>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</si>
  <si>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</si>
  <si>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</si>
  <si>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</si>
  <si>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20/10/2026 11:44:08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</si>
  <si>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</si>
  <si>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</si>
  <si>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</si>
  <si>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</si>
  <si>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</si>
  <si>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</si>
  <si>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</si>
  <si>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19/10/2026 00h00 - 19/10/2026 23h59</t>
  </si>
  <si>
    <t>Database PsLineIn</t>
  </si>
  <si>
    <t>3014</t>
  </si>
  <si>
    <t>Database PsLineOut</t>
  </si>
  <si>
    <t>1895</t>
  </si>
  <si>
    <t>Database Extraction Duration</t>
  </si>
  <si>
    <t>1,078 seconds</t>
  </si>
  <si>
    <t>C# Calcul Duration</t>
  </si>
  <si>
    <t>0,05 seconds</t>
  </si>
  <si>
    <t>C# ExcelFormating Duration</t>
  </si>
  <si>
    <t>1,984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</si>
</sst>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3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727</v>
      </c>
      <c r="D3" s="5">
        <v>109</v>
      </c>
      <c r="E3" s="6">
        <v>1292</v>
      </c>
      <c r="F3" s="5">
        <v>710</v>
      </c>
      <c r="G3" s="5">
        <v>67</v>
      </c>
      <c r="H3" s="5">
        <v>246</v>
      </c>
      <c r="I3" s="5">
        <v>144</v>
      </c>
      <c r="J3" s="5">
        <v>54</v>
      </c>
      <c r="K3" s="5">
        <v>51</v>
      </c>
      <c r="L3" s="7">
        <v>0</v>
      </c>
      <c r="M3" s="5">
        <v>20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1213</v>
      </c>
      <c r="U3" s="5">
        <v>666</v>
      </c>
      <c r="V3" s="5">
        <v>64</v>
      </c>
      <c r="W3" s="5">
        <v>230</v>
      </c>
      <c r="X3" s="5">
        <v>133</v>
      </c>
      <c r="Y3" s="5">
        <v>52</v>
      </c>
      <c r="Z3" s="5">
        <v>48</v>
      </c>
      <c r="AA3" s="7">
        <v>0</v>
      </c>
      <c r="AB3" s="5">
        <v>20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1.43</v>
      </c>
      <c r="AK3" s="5">
        <v>1</v>
      </c>
      <c r="AL3" s="5">
        <v>10</v>
      </c>
      <c r="AM3" s="28">
        <v>43.8</v>
      </c>
    </row>
    <row r="4">
      <c r="A4" s="24">
        <v>850</v>
      </c>
      <c r="B4" s="9" t="s">
        <v>28</v>
      </c>
      <c r="C4" s="10">
        <v>15</v>
      </c>
      <c r="D4" s="10">
        <v>14</v>
      </c>
      <c r="E4" s="11">
        <v>20</v>
      </c>
      <c r="F4" s="10">
        <v>20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17</v>
      </c>
      <c r="U4" s="10">
        <v>17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1.33</v>
      </c>
      <c r="AK4" s="10">
        <v>1</v>
      </c>
      <c r="AL4" s="10">
        <v>3</v>
      </c>
      <c r="AM4" s="29">
        <v>5.73</v>
      </c>
    </row>
    <row r="5">
      <c r="A5" s="23">
        <v>892</v>
      </c>
      <c r="B5" s="4" t="s">
        <v>29</v>
      </c>
      <c r="C5" s="5">
        <v>37</v>
      </c>
      <c r="D5" s="5">
        <v>37</v>
      </c>
      <c r="E5" s="6">
        <v>46</v>
      </c>
      <c r="F5" s="5">
        <v>46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37</v>
      </c>
      <c r="U5" s="5">
        <v>37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1.24</v>
      </c>
      <c r="AK5" s="5">
        <v>1</v>
      </c>
      <c r="AL5" s="5">
        <v>4</v>
      </c>
      <c r="AM5" s="28">
        <v>11.35</v>
      </c>
    </row>
    <row r="6">
      <c r="A6" s="24">
        <v>1104</v>
      </c>
      <c r="B6" s="9" t="s">
        <v>30</v>
      </c>
      <c r="C6" s="10">
        <v>24</v>
      </c>
      <c r="D6" s="10">
        <v>1</v>
      </c>
      <c r="E6" s="11">
        <v>28</v>
      </c>
      <c r="F6" s="10">
        <v>16</v>
      </c>
      <c r="G6" s="10">
        <v>4</v>
      </c>
      <c r="H6" s="10">
        <v>3</v>
      </c>
      <c r="I6" s="10">
        <v>3</v>
      </c>
      <c r="J6" s="12">
        <v>0</v>
      </c>
      <c r="K6" s="10">
        <v>2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28</v>
      </c>
      <c r="U6" s="10">
        <v>16</v>
      </c>
      <c r="V6" s="10">
        <v>4</v>
      </c>
      <c r="W6" s="10">
        <v>3</v>
      </c>
      <c r="X6" s="10">
        <v>3</v>
      </c>
      <c r="Y6" s="12">
        <v>0</v>
      </c>
      <c r="Z6" s="10">
        <v>2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1.17</v>
      </c>
      <c r="AK6" s="10">
        <v>1</v>
      </c>
      <c r="AL6" s="10">
        <v>2</v>
      </c>
      <c r="AM6" s="29">
        <v>0.26</v>
      </c>
    </row>
    <row r="7">
      <c r="A7" s="23">
        <v>1139</v>
      </c>
      <c r="B7" s="4" t="s">
        <v>31</v>
      </c>
      <c r="C7" s="5">
        <v>46</v>
      </c>
      <c r="D7" s="5">
        <v>45</v>
      </c>
      <c r="E7" s="6">
        <v>71</v>
      </c>
      <c r="F7" s="7">
        <v>0</v>
      </c>
      <c r="G7" s="7">
        <v>0</v>
      </c>
      <c r="H7" s="7">
        <v>0</v>
      </c>
      <c r="I7" s="5">
        <v>71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66</v>
      </c>
      <c r="U7" s="7">
        <v>0</v>
      </c>
      <c r="V7" s="7">
        <v>0</v>
      </c>
      <c r="W7" s="7">
        <v>0</v>
      </c>
      <c r="X7" s="5">
        <v>66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1.54</v>
      </c>
      <c r="AK7" s="5">
        <v>1</v>
      </c>
      <c r="AL7" s="5">
        <v>5</v>
      </c>
      <c r="AM7" s="28">
        <v>16.25</v>
      </c>
    </row>
    <row r="8">
      <c r="A8" s="24">
        <v>1141</v>
      </c>
      <c r="B8" s="9" t="s">
        <v>32</v>
      </c>
      <c r="C8" s="10">
        <v>2</v>
      </c>
      <c r="D8" s="10">
        <v>2</v>
      </c>
      <c r="E8" s="11">
        <v>2</v>
      </c>
      <c r="F8" s="12">
        <v>0</v>
      </c>
      <c r="G8" s="12">
        <v>0</v>
      </c>
      <c r="H8" s="12">
        <v>0</v>
      </c>
      <c r="I8" s="10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2</v>
      </c>
      <c r="U8" s="12">
        <v>0</v>
      </c>
      <c r="V8" s="12">
        <v>0</v>
      </c>
      <c r="W8" s="12">
        <v>0</v>
      </c>
      <c r="X8" s="10">
        <v>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0.7</v>
      </c>
    </row>
    <row r="9">
      <c r="A9" s="23">
        <v>1172</v>
      </c>
      <c r="B9" s="4" t="s">
        <v>33</v>
      </c>
      <c r="C9" s="5">
        <v>33</v>
      </c>
      <c r="D9" s="5">
        <v>6</v>
      </c>
      <c r="E9" s="6">
        <v>37</v>
      </c>
      <c r="F9" s="5">
        <v>36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35</v>
      </c>
      <c r="U9" s="5">
        <v>34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1.12</v>
      </c>
      <c r="AK9" s="5">
        <v>1</v>
      </c>
      <c r="AL9" s="5">
        <v>3</v>
      </c>
      <c r="AM9" s="28">
        <v>1.52</v>
      </c>
    </row>
    <row r="10">
      <c r="A10" s="24">
        <v>1199</v>
      </c>
      <c r="B10" s="9" t="s">
        <v>34</v>
      </c>
      <c r="C10" s="10">
        <v>81</v>
      </c>
      <c r="D10" s="10">
        <v>81</v>
      </c>
      <c r="E10" s="11">
        <v>93</v>
      </c>
      <c r="F10" s="12">
        <v>0</v>
      </c>
      <c r="G10" s="12">
        <v>0</v>
      </c>
      <c r="H10" s="10">
        <v>93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93</v>
      </c>
      <c r="U10" s="12">
        <v>0</v>
      </c>
      <c r="V10" s="12">
        <v>0</v>
      </c>
      <c r="W10" s="10">
        <v>93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1.15</v>
      </c>
      <c r="AK10" s="10">
        <v>1</v>
      </c>
      <c r="AL10" s="10">
        <v>3</v>
      </c>
      <c r="AM10" s="29">
        <v>22.43</v>
      </c>
    </row>
    <row r="11">
      <c r="A11" s="23">
        <v>1213</v>
      </c>
      <c r="B11" s="4" t="s">
        <v>35</v>
      </c>
      <c r="C11" s="5">
        <v>142</v>
      </c>
      <c r="D11" s="5">
        <v>139</v>
      </c>
      <c r="E11" s="6">
        <v>320</v>
      </c>
      <c r="F11" s="7">
        <v>0</v>
      </c>
      <c r="G11" s="7">
        <v>0</v>
      </c>
      <c r="H11" s="7">
        <v>0</v>
      </c>
      <c r="I11" s="5">
        <v>320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290</v>
      </c>
      <c r="U11" s="7">
        <v>0</v>
      </c>
      <c r="V11" s="7">
        <v>0</v>
      </c>
      <c r="W11" s="7">
        <v>0</v>
      </c>
      <c r="X11" s="5">
        <v>290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2.25</v>
      </c>
      <c r="AK11" s="5">
        <v>1</v>
      </c>
      <c r="AL11" s="5">
        <v>35</v>
      </c>
      <c r="AM11" s="28">
        <v>62.06</v>
      </c>
    </row>
    <row r="12">
      <c r="A12" s="24">
        <v>1221</v>
      </c>
      <c r="B12" s="9" t="s">
        <v>36</v>
      </c>
      <c r="C12" s="10">
        <v>56</v>
      </c>
      <c r="D12" s="10">
        <v>56</v>
      </c>
      <c r="E12" s="11">
        <v>66</v>
      </c>
      <c r="F12" s="10">
        <v>3</v>
      </c>
      <c r="G12" s="10">
        <v>3</v>
      </c>
      <c r="H12" s="10">
        <v>2</v>
      </c>
      <c r="I12" s="10">
        <v>58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63</v>
      </c>
      <c r="U12" s="10">
        <v>3</v>
      </c>
      <c r="V12" s="10">
        <v>3</v>
      </c>
      <c r="W12" s="10">
        <v>2</v>
      </c>
      <c r="X12" s="10">
        <v>55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</v>
      </c>
      <c r="AK12" s="10">
        <v>1</v>
      </c>
      <c r="AL12" s="10">
        <v>3</v>
      </c>
      <c r="AM12" s="29">
        <v>15.84</v>
      </c>
    </row>
    <row r="13">
      <c r="A13" s="23">
        <v>1222</v>
      </c>
      <c r="B13" s="4" t="s">
        <v>37</v>
      </c>
      <c r="C13" s="5">
        <v>42</v>
      </c>
      <c r="D13" s="5">
        <v>38</v>
      </c>
      <c r="E13" s="6">
        <v>73</v>
      </c>
      <c r="F13" s="5">
        <v>73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73</v>
      </c>
      <c r="U13" s="5">
        <v>73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1.74</v>
      </c>
      <c r="AK13" s="5">
        <v>2</v>
      </c>
      <c r="AL13" s="5">
        <v>3</v>
      </c>
      <c r="AM13" s="28">
        <v>23.78</v>
      </c>
    </row>
    <row r="14">
      <c r="A14" s="24">
        <v>1254</v>
      </c>
      <c r="B14" s="9" t="s">
        <v>38</v>
      </c>
      <c r="C14" s="10">
        <v>20</v>
      </c>
      <c r="D14" s="10">
        <v>20</v>
      </c>
      <c r="E14" s="11">
        <v>26</v>
      </c>
      <c r="F14" s="12">
        <v>0</v>
      </c>
      <c r="G14" s="12">
        <v>0</v>
      </c>
      <c r="H14" s="12">
        <v>0</v>
      </c>
      <c r="I14" s="10">
        <v>26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25</v>
      </c>
      <c r="U14" s="12">
        <v>0</v>
      </c>
      <c r="V14" s="12">
        <v>0</v>
      </c>
      <c r="W14" s="12">
        <v>0</v>
      </c>
      <c r="X14" s="10">
        <v>25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</v>
      </c>
      <c r="AK14" s="10">
        <v>1</v>
      </c>
      <c r="AL14" s="10">
        <v>3</v>
      </c>
      <c r="AM14" s="29">
        <v>6.12</v>
      </c>
    </row>
    <row r="15">
      <c r="A15" s="23">
        <v>1379</v>
      </c>
      <c r="B15" s="4" t="s">
        <v>39</v>
      </c>
      <c r="C15" s="5">
        <v>164</v>
      </c>
      <c r="D15" s="5">
        <v>160</v>
      </c>
      <c r="E15" s="6">
        <v>379</v>
      </c>
      <c r="F15" s="7">
        <v>0</v>
      </c>
      <c r="G15" s="7">
        <v>0</v>
      </c>
      <c r="H15" s="7">
        <v>0</v>
      </c>
      <c r="I15" s="5">
        <v>379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349</v>
      </c>
      <c r="U15" s="7">
        <v>0</v>
      </c>
      <c r="V15" s="7">
        <v>0</v>
      </c>
      <c r="W15" s="7">
        <v>0</v>
      </c>
      <c r="X15" s="5">
        <v>349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2.31</v>
      </c>
      <c r="AK15" s="5">
        <v>1</v>
      </c>
      <c r="AL15" s="5">
        <v>52</v>
      </c>
      <c r="AM15" s="28">
        <v>86.6</v>
      </c>
    </row>
    <row r="16">
      <c r="A16" s="24">
        <v>1422</v>
      </c>
      <c r="B16" s="9" t="s">
        <v>40</v>
      </c>
      <c r="C16" s="10">
        <v>1</v>
      </c>
      <c r="D16" s="10">
        <v>1</v>
      </c>
      <c r="E16" s="11">
        <v>4</v>
      </c>
      <c r="F16" s="12">
        <v>0</v>
      </c>
      <c r="G16" s="12">
        <v>0</v>
      </c>
      <c r="H16" s="12">
        <v>0</v>
      </c>
      <c r="I16" s="10">
        <v>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4</v>
      </c>
      <c r="AJ16" s="13">
        <v>4</v>
      </c>
      <c r="AK16" s="10">
        <v>4</v>
      </c>
      <c r="AL16" s="10">
        <v>4</v>
      </c>
      <c r="AM16" s="29">
        <v>0.25</v>
      </c>
    </row>
    <row r="17">
      <c r="A17" s="23">
        <v>1423</v>
      </c>
      <c r="B17" s="4" t="s">
        <v>41</v>
      </c>
      <c r="C17" s="5">
        <v>26</v>
      </c>
      <c r="D17" s="5">
        <v>26</v>
      </c>
      <c r="E17" s="6">
        <v>53</v>
      </c>
      <c r="F17" s="7">
        <v>0</v>
      </c>
      <c r="G17" s="7">
        <v>0</v>
      </c>
      <c r="H17" s="7">
        <v>0</v>
      </c>
      <c r="I17" s="5">
        <v>53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53</v>
      </c>
      <c r="U17" s="7">
        <v>0</v>
      </c>
      <c r="V17" s="7">
        <v>0</v>
      </c>
      <c r="W17" s="7">
        <v>0</v>
      </c>
      <c r="X17" s="5">
        <v>53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2.04</v>
      </c>
      <c r="AK17" s="5">
        <v>1</v>
      </c>
      <c r="AL17" s="5">
        <v>28</v>
      </c>
      <c r="AM17" s="28">
        <v>13.24</v>
      </c>
    </row>
    <row r="18">
      <c r="A18" s="24">
        <v>1445</v>
      </c>
      <c r="B18" s="9" t="s">
        <v>42</v>
      </c>
      <c r="C18" s="10">
        <v>10</v>
      </c>
      <c r="D18" s="10">
        <v>1</v>
      </c>
      <c r="E18" s="11">
        <v>12</v>
      </c>
      <c r="F18" s="10">
        <v>1</v>
      </c>
      <c r="G18" s="12">
        <v>0</v>
      </c>
      <c r="H18" s="12">
        <v>0</v>
      </c>
      <c r="I18" s="12">
        <v>0</v>
      </c>
      <c r="J18" s="10">
        <v>11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11</v>
      </c>
      <c r="U18" s="10">
        <v>1</v>
      </c>
      <c r="V18" s="12">
        <v>0</v>
      </c>
      <c r="W18" s="12">
        <v>0</v>
      </c>
      <c r="X18" s="12">
        <v>0</v>
      </c>
      <c r="Y18" s="10">
        <v>10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1.09</v>
      </c>
      <c r="AK18" s="10">
        <v>1</v>
      </c>
      <c r="AL18" s="10">
        <v>2</v>
      </c>
      <c r="AM18" s="29">
        <v>0.35</v>
      </c>
    </row>
    <row r="19">
      <c r="A19" s="23">
        <v>1538</v>
      </c>
      <c r="B19" s="4" t="s">
        <v>43</v>
      </c>
      <c r="C19" s="5">
        <v>28</v>
      </c>
      <c r="D19" s="5">
        <v>28</v>
      </c>
      <c r="E19" s="6">
        <v>41</v>
      </c>
      <c r="F19" s="7">
        <v>0</v>
      </c>
      <c r="G19" s="7">
        <v>0</v>
      </c>
      <c r="H19" s="7">
        <v>0</v>
      </c>
      <c r="I19" s="5">
        <v>41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37</v>
      </c>
      <c r="U19" s="7">
        <v>0</v>
      </c>
      <c r="V19" s="7">
        <v>0</v>
      </c>
      <c r="W19" s="7">
        <v>0</v>
      </c>
      <c r="X19" s="5">
        <v>37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1.46</v>
      </c>
      <c r="AK19" s="5">
        <v>1</v>
      </c>
      <c r="AL19" s="5">
        <v>8</v>
      </c>
      <c r="AM19" s="28">
        <v>9.29</v>
      </c>
    </row>
    <row r="20">
      <c r="A20" s="24">
        <v>1539</v>
      </c>
      <c r="B20" s="9" t="s">
        <v>44</v>
      </c>
      <c r="C20" s="10">
        <v>6</v>
      </c>
      <c r="D20" s="10">
        <v>4</v>
      </c>
      <c r="E20" s="11">
        <v>6</v>
      </c>
      <c r="F20" s="12">
        <v>0</v>
      </c>
      <c r="G20" s="12">
        <v>0</v>
      </c>
      <c r="H20" s="10">
        <v>6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6</v>
      </c>
      <c r="U20" s="12">
        <v>0</v>
      </c>
      <c r="V20" s="12">
        <v>0</v>
      </c>
      <c r="W20" s="10">
        <v>6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1</v>
      </c>
    </row>
    <row r="21">
      <c r="A21" s="23">
        <v>1552</v>
      </c>
      <c r="B21" s="4" t="s">
        <v>45</v>
      </c>
      <c r="C21" s="5">
        <v>23</v>
      </c>
      <c r="D21" s="5">
        <v>2</v>
      </c>
      <c r="E21" s="6">
        <v>25</v>
      </c>
      <c r="F21" s="5">
        <v>3</v>
      </c>
      <c r="G21" s="7">
        <v>0</v>
      </c>
      <c r="H21" s="5">
        <v>22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24</v>
      </c>
      <c r="U21" s="5">
        <v>3</v>
      </c>
      <c r="V21" s="7">
        <v>0</v>
      </c>
      <c r="W21" s="5">
        <v>21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1.09</v>
      </c>
      <c r="AK21" s="5">
        <v>1</v>
      </c>
      <c r="AL21" s="5">
        <v>2</v>
      </c>
      <c r="AM21" s="28">
        <v>0.59</v>
      </c>
    </row>
    <row r="22">
      <c r="A22" s="24">
        <v>1559</v>
      </c>
      <c r="B22" s="9" t="s">
        <v>46</v>
      </c>
      <c r="C22" s="10">
        <v>50</v>
      </c>
      <c r="D22" s="10">
        <v>50</v>
      </c>
      <c r="E22" s="11">
        <v>70</v>
      </c>
      <c r="F22" s="12">
        <v>0</v>
      </c>
      <c r="G22" s="12">
        <v>0</v>
      </c>
      <c r="H22" s="12">
        <v>0</v>
      </c>
      <c r="I22" s="10">
        <v>70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63</v>
      </c>
      <c r="U22" s="12">
        <v>0</v>
      </c>
      <c r="V22" s="12">
        <v>0</v>
      </c>
      <c r="W22" s="12">
        <v>0</v>
      </c>
      <c r="X22" s="10">
        <v>63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1.4</v>
      </c>
      <c r="AK22" s="10">
        <v>1</v>
      </c>
      <c r="AL22" s="10">
        <v>4</v>
      </c>
      <c r="AM22" s="29">
        <v>15.96</v>
      </c>
    </row>
    <row r="23">
      <c r="A23" s="23">
        <v>1603</v>
      </c>
      <c r="B23" s="4" t="s">
        <v>47</v>
      </c>
      <c r="C23" s="5">
        <v>2</v>
      </c>
      <c r="D23" s="7">
        <v>0</v>
      </c>
      <c r="E23" s="6">
        <v>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2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2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30">
        <v>0</v>
      </c>
    </row>
    <row r="24">
      <c r="A24" s="24">
        <v>1750</v>
      </c>
      <c r="B24" s="9" t="s">
        <v>48</v>
      </c>
      <c r="C24" s="10">
        <v>2</v>
      </c>
      <c r="D24" s="10">
        <v>2</v>
      </c>
      <c r="E24" s="11">
        <v>2</v>
      </c>
      <c r="F24" s="12">
        <v>0</v>
      </c>
      <c r="G24" s="10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</v>
      </c>
      <c r="U24" s="12">
        <v>0</v>
      </c>
      <c r="V24" s="10">
        <v>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0.51</v>
      </c>
    </row>
    <row r="25">
      <c r="A25" s="23">
        <v>1761</v>
      </c>
      <c r="B25" s="4" t="s">
        <v>49</v>
      </c>
      <c r="C25" s="5">
        <v>4</v>
      </c>
      <c r="D25" s="5">
        <v>4</v>
      </c>
      <c r="E25" s="6">
        <v>6</v>
      </c>
      <c r="F25" s="7">
        <v>0</v>
      </c>
      <c r="G25" s="7">
        <v>0</v>
      </c>
      <c r="H25" s="7">
        <v>0</v>
      </c>
      <c r="I25" s="5">
        <v>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</v>
      </c>
      <c r="U25" s="7">
        <v>0</v>
      </c>
      <c r="V25" s="7">
        <v>0</v>
      </c>
      <c r="W25" s="7">
        <v>0</v>
      </c>
      <c r="X25" s="5">
        <v>4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1.5</v>
      </c>
      <c r="AK25" s="5">
        <v>1</v>
      </c>
      <c r="AL25" s="5">
        <v>2</v>
      </c>
      <c r="AM25" s="28">
        <v>1.02</v>
      </c>
    </row>
    <row r="26">
      <c r="A26" s="24">
        <v>1779</v>
      </c>
      <c r="B26" s="9" t="s">
        <v>50</v>
      </c>
      <c r="C26" s="10">
        <v>21</v>
      </c>
      <c r="D26" s="10">
        <v>20</v>
      </c>
      <c r="E26" s="11">
        <v>94</v>
      </c>
      <c r="F26" s="12">
        <v>0</v>
      </c>
      <c r="G26" s="12">
        <v>0</v>
      </c>
      <c r="H26" s="12">
        <v>0</v>
      </c>
      <c r="I26" s="10">
        <v>94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87</v>
      </c>
      <c r="U26" s="12">
        <v>0</v>
      </c>
      <c r="V26" s="12">
        <v>0</v>
      </c>
      <c r="W26" s="12">
        <v>0</v>
      </c>
      <c r="X26" s="10">
        <v>87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4.48</v>
      </c>
      <c r="AK26" s="10">
        <v>1</v>
      </c>
      <c r="AL26" s="10">
        <v>55</v>
      </c>
      <c r="AM26" s="29">
        <v>20.35</v>
      </c>
    </row>
    <row r="27">
      <c r="A27" s="23">
        <v>1937</v>
      </c>
      <c r="B27" s="4" t="s">
        <v>51</v>
      </c>
      <c r="C27" s="5">
        <v>5</v>
      </c>
      <c r="D27" s="5">
        <v>5</v>
      </c>
      <c r="E27" s="6">
        <v>12</v>
      </c>
      <c r="F27" s="5">
        <v>12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7</v>
      </c>
      <c r="U27" s="5">
        <v>7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2.4</v>
      </c>
      <c r="AK27" s="5">
        <v>2</v>
      </c>
      <c r="AL27" s="5">
        <v>4</v>
      </c>
      <c r="AM27" s="28">
        <v>1.75</v>
      </c>
    </row>
    <row r="28">
      <c r="A28" s="24">
        <v>1985</v>
      </c>
      <c r="B28" s="9" t="s">
        <v>52</v>
      </c>
      <c r="C28" s="10">
        <v>21</v>
      </c>
      <c r="D28" s="10">
        <v>19</v>
      </c>
      <c r="E28" s="11">
        <v>23</v>
      </c>
      <c r="F28" s="10">
        <v>23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23</v>
      </c>
      <c r="U28" s="10">
        <v>23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</v>
      </c>
      <c r="AK28" s="10">
        <v>1</v>
      </c>
      <c r="AL28" s="10">
        <v>2</v>
      </c>
      <c r="AM28" s="29">
        <v>5.2</v>
      </c>
    </row>
    <row r="29">
      <c r="A29" s="23">
        <v>1988</v>
      </c>
      <c r="B29" s="4" t="s">
        <v>53</v>
      </c>
      <c r="C29" s="5">
        <v>42</v>
      </c>
      <c r="D29" s="5">
        <v>40</v>
      </c>
      <c r="E29" s="6">
        <v>58</v>
      </c>
      <c r="F29" s="7">
        <v>0</v>
      </c>
      <c r="G29" s="5">
        <v>58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46</v>
      </c>
      <c r="U29" s="7">
        <v>0</v>
      </c>
      <c r="V29" s="5">
        <v>46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1.38</v>
      </c>
      <c r="AK29" s="5">
        <v>1</v>
      </c>
      <c r="AL29" s="5">
        <v>4</v>
      </c>
      <c r="AM29" s="28">
        <v>12.54</v>
      </c>
    </row>
    <row r="30">
      <c r="A30" s="24">
        <v>2063</v>
      </c>
      <c r="B30" s="9" t="s">
        <v>54</v>
      </c>
      <c r="C30" s="10">
        <v>2</v>
      </c>
      <c r="D30" s="10">
        <v>2</v>
      </c>
      <c r="E30" s="11">
        <v>4</v>
      </c>
      <c r="F30" s="12">
        <v>0</v>
      </c>
      <c r="G30" s="12">
        <v>0</v>
      </c>
      <c r="H30" s="12">
        <v>0</v>
      </c>
      <c r="I30" s="10">
        <v>4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4</v>
      </c>
      <c r="U30" s="12">
        <v>0</v>
      </c>
      <c r="V30" s="12">
        <v>0</v>
      </c>
      <c r="W30" s="12">
        <v>0</v>
      </c>
      <c r="X30" s="10">
        <v>4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</v>
      </c>
      <c r="AK30" s="10">
        <v>2</v>
      </c>
      <c r="AL30" s="10">
        <v>3</v>
      </c>
      <c r="AM30" s="29">
        <v>1.03</v>
      </c>
    </row>
    <row r="31">
      <c r="A31" s="25">
        <v>2072</v>
      </c>
      <c r="B31" s="16" t="s">
        <v>55</v>
      </c>
      <c r="C31" s="17">
        <v>82</v>
      </c>
      <c r="D31" s="17">
        <v>82</v>
      </c>
      <c r="E31" s="18">
        <v>149</v>
      </c>
      <c r="F31" s="19">
        <v>0</v>
      </c>
      <c r="G31" s="17">
        <v>149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36">
        <v>0</v>
      </c>
      <c r="T31" s="18">
        <v>147</v>
      </c>
      <c r="U31" s="19">
        <v>0</v>
      </c>
      <c r="V31" s="17">
        <v>147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7">
        <v>1</v>
      </c>
      <c r="AJ31" s="20">
        <v>1.82</v>
      </c>
      <c r="AK31" s="17">
        <v>2</v>
      </c>
      <c r="AL31" s="17">
        <v>5</v>
      </c>
      <c r="AM31" s="31">
        <v>36.25</v>
      </c>
    </row>
    <row r="33">
      <c r="A33" s="0" t="s">
        <v>0</v>
      </c>
      <c r="B33" s="37" t="s">
        <v>56</v>
      </c>
      <c r="C33" s="38">
        <f>SUM(C3:C31)</f>
      </c>
      <c r="D33" s="38">
        <f>SUM(D3:D31)</f>
      </c>
      <c r="E33" s="39">
        <f>SUM(E3:E31)</f>
      </c>
      <c r="F33" s="38">
        <f>SUM(F3:F31)</f>
      </c>
      <c r="G33" s="38">
        <f>SUM(G3:G31)</f>
      </c>
      <c r="H33" s="38">
        <f>SUM(H3:H31)</f>
      </c>
      <c r="I33" s="38">
        <f>SUM(I3:I31)</f>
      </c>
      <c r="J33" s="38">
        <f>SUM(J3:J31)</f>
      </c>
      <c r="K33" s="38">
        <f>SUM(K3:K31)</f>
      </c>
      <c r="L33" s="38">
        <f>SUM(L3:L31)</f>
      </c>
      <c r="M33" s="38">
        <f>SUM(M3:M31)</f>
      </c>
      <c r="N33" s="38">
        <f>SUM(N3:N31)</f>
      </c>
      <c r="O33" s="38">
        <f>SUM(O3:O31)</f>
      </c>
      <c r="P33" s="38">
        <f>SUM(P3:P31)</f>
      </c>
      <c r="Q33" s="38">
        <f>SUM(Q3:Q31)</f>
      </c>
      <c r="R33" s="38">
        <f>SUM(R3:R31)</f>
      </c>
      <c r="S33" s="38">
        <f>SUM(S3:S31)</f>
      </c>
      <c r="T33" s="39">
        <f>SUM(T3:T31)</f>
      </c>
      <c r="U33" s="38">
        <f>SUM(U3:U31)</f>
      </c>
      <c r="V33" s="38">
        <f>SUM(V3:V31)</f>
      </c>
      <c r="W33" s="38">
        <f>SUM(W3:W31)</f>
      </c>
      <c r="X33" s="38">
        <f>SUM(X3:X31)</f>
      </c>
      <c r="Y33" s="38">
        <f>SUM(Y3:Y31)</f>
      </c>
      <c r="Z33" s="38">
        <f>SUM(Z3:Z31)</f>
      </c>
      <c r="AA33" s="38">
        <f>SUM(AA3:AA31)</f>
      </c>
      <c r="AB33" s="38">
        <f>SUM(AB3:AB31)</f>
      </c>
      <c r="AC33" s="38">
        <f>SUM(AC3:AC31)</f>
      </c>
      <c r="AD33" s="38">
        <f>SUM(AD3:AD31)</f>
      </c>
      <c r="AE33" s="38">
        <f>SUM(AE3:AE31)</f>
      </c>
      <c r="AF33" s="38">
        <f>SUM(AF3:AF31)</f>
      </c>
      <c r="AG33" s="38">
        <f>SUM(AG3:AG31)</f>
      </c>
      <c r="AH33" s="38">
        <f>SUM(AH3:AH31)</f>
      </c>
      <c r="AI33" s="38">
        <f>MIN(AI3:AI31)</f>
      </c>
      <c r="AJ33" s="38">
        <f>AVERAGE(AJ3:AJ31)</f>
      </c>
      <c r="AK33" s="38">
        <f>MEDIAN(AK3:AK31)</f>
      </c>
      <c r="AL33" s="38">
        <f>Max(AL3:AL31)</f>
      </c>
      <c r="AM33" s="40">
        <f>SUM(AM3:AM31)</f>
      </c>
    </row>
  </sheetData>
  <autoFilter ref="A2:AM31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27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62</v>
      </c>
      <c r="C3" s="4" t="s">
        <v>63</v>
      </c>
      <c r="D3" s="4" t="s">
        <v>64</v>
      </c>
      <c r="E3" s="4" t="s">
        <v>65</v>
      </c>
      <c r="F3" s="6">
        <v>4</v>
      </c>
      <c r="G3" s="5">
        <v>4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3</v>
      </c>
      <c r="V3" s="5">
        <v>3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2</v>
      </c>
      <c r="AK3" s="8">
        <v>2</v>
      </c>
      <c r="AL3" s="5">
        <v>2</v>
      </c>
      <c r="AM3" s="5">
        <v>2</v>
      </c>
      <c r="AN3" s="28">
        <v>0.95</v>
      </c>
    </row>
    <row r="4">
      <c r="A4" s="24">
        <v>56</v>
      </c>
      <c r="B4" s="9" t="s">
        <v>66</v>
      </c>
      <c r="C4" s="9" t="s">
        <v>63</v>
      </c>
      <c r="D4" s="9" t="s">
        <v>67</v>
      </c>
      <c r="E4" s="9" t="s">
        <v>68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0.35</v>
      </c>
    </row>
    <row r="5">
      <c r="A5" s="23">
        <v>58</v>
      </c>
      <c r="B5" s="4" t="s">
        <v>69</v>
      </c>
      <c r="C5" s="4" t="s">
        <v>63</v>
      </c>
      <c r="D5" s="4" t="s">
        <v>70</v>
      </c>
      <c r="E5" s="4" t="s">
        <v>71</v>
      </c>
      <c r="F5" s="6">
        <v>3</v>
      </c>
      <c r="G5" s="7">
        <v>0</v>
      </c>
      <c r="H5" s="5">
        <v>1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7">
        <v>0</v>
      </c>
      <c r="W5" s="5">
        <v>1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28">
        <v>0.75</v>
      </c>
    </row>
    <row r="6">
      <c r="A6" s="24">
        <v>111</v>
      </c>
      <c r="B6" s="9" t="s">
        <v>72</v>
      </c>
      <c r="C6" s="9" t="s">
        <v>63</v>
      </c>
      <c r="D6" s="9" t="s">
        <v>73</v>
      </c>
      <c r="E6" s="9" t="s">
        <v>74</v>
      </c>
      <c r="F6" s="11">
        <v>4</v>
      </c>
      <c r="G6" s="10">
        <v>2</v>
      </c>
      <c r="H6" s="12">
        <v>0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4</v>
      </c>
      <c r="V6" s="10">
        <v>2</v>
      </c>
      <c r="W6" s="12">
        <v>0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0.5</v>
      </c>
    </row>
    <row r="7">
      <c r="A7" s="23">
        <v>112</v>
      </c>
      <c r="B7" s="4" t="s">
        <v>75</v>
      </c>
      <c r="C7" s="4" t="s">
        <v>63</v>
      </c>
      <c r="D7" s="4" t="s">
        <v>73</v>
      </c>
      <c r="E7" s="4" t="s">
        <v>74</v>
      </c>
      <c r="F7" s="6">
        <v>2</v>
      </c>
      <c r="G7" s="5">
        <v>1</v>
      </c>
      <c r="H7" s="7">
        <v>0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</v>
      </c>
      <c r="V7" s="5">
        <v>1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30">
        <v>0</v>
      </c>
    </row>
    <row r="8">
      <c r="A8" s="24">
        <v>130</v>
      </c>
      <c r="B8" s="9" t="s">
        <v>76</v>
      </c>
      <c r="C8" s="9" t="s">
        <v>63</v>
      </c>
      <c r="D8" s="9" t="s">
        <v>77</v>
      </c>
      <c r="E8" s="9" t="s">
        <v>78</v>
      </c>
      <c r="F8" s="11">
        <v>2</v>
      </c>
      <c r="G8" s="12">
        <v>0</v>
      </c>
      <c r="H8" s="12">
        <v>0</v>
      </c>
      <c r="I8" s="12">
        <v>0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</v>
      </c>
      <c r="V8" s="12">
        <v>0</v>
      </c>
      <c r="W8" s="12">
        <v>0</v>
      </c>
      <c r="X8" s="12">
        <v>0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0.52</v>
      </c>
    </row>
    <row r="9">
      <c r="A9" s="23">
        <v>142</v>
      </c>
      <c r="B9" s="4" t="s">
        <v>79</v>
      </c>
      <c r="C9" s="4" t="s">
        <v>63</v>
      </c>
      <c r="D9" s="4" t="s">
        <v>77</v>
      </c>
      <c r="E9" s="4" t="s">
        <v>80</v>
      </c>
      <c r="F9" s="6">
        <v>4</v>
      </c>
      <c r="G9" s="5">
        <v>1</v>
      </c>
      <c r="H9" s="7">
        <v>0</v>
      </c>
      <c r="I9" s="7">
        <v>0</v>
      </c>
      <c r="J9" s="5">
        <v>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4</v>
      </c>
      <c r="V9" s="5">
        <v>1</v>
      </c>
      <c r="W9" s="7">
        <v>0</v>
      </c>
      <c r="X9" s="7">
        <v>0</v>
      </c>
      <c r="Y9" s="5">
        <v>3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2</v>
      </c>
      <c r="AM9" s="5">
        <v>3</v>
      </c>
      <c r="AN9" s="28">
        <v>0.75</v>
      </c>
    </row>
    <row r="10">
      <c r="A10" s="24">
        <v>146</v>
      </c>
      <c r="B10" s="9" t="s">
        <v>81</v>
      </c>
      <c r="C10" s="9" t="s">
        <v>63</v>
      </c>
      <c r="D10" s="9" t="s">
        <v>73</v>
      </c>
      <c r="E10" s="9" t="s">
        <v>82</v>
      </c>
      <c r="F10" s="11">
        <v>1</v>
      </c>
      <c r="G10" s="12">
        <v>0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2">
        <v>0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3">
        <v>0</v>
      </c>
    </row>
    <row r="11">
      <c r="A11" s="23">
        <v>152</v>
      </c>
      <c r="B11" s="4" t="s">
        <v>83</v>
      </c>
      <c r="C11" s="4" t="s">
        <v>63</v>
      </c>
      <c r="D11" s="4" t="s">
        <v>84</v>
      </c>
      <c r="E11" s="4" t="s">
        <v>85</v>
      </c>
      <c r="F11" s="6">
        <v>7</v>
      </c>
      <c r="G11" s="7">
        <v>0</v>
      </c>
      <c r="H11" s="7">
        <v>0</v>
      </c>
      <c r="I11" s="7">
        <v>0</v>
      </c>
      <c r="J11" s="5">
        <v>7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7</v>
      </c>
      <c r="V11" s="7">
        <v>0</v>
      </c>
      <c r="W11" s="7">
        <v>0</v>
      </c>
      <c r="X11" s="7">
        <v>0</v>
      </c>
      <c r="Y11" s="5">
        <v>7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3.5</v>
      </c>
      <c r="AL11" s="5">
        <v>3</v>
      </c>
      <c r="AM11" s="5">
        <v>5</v>
      </c>
      <c r="AN11" s="28">
        <v>1.75</v>
      </c>
    </row>
    <row r="12">
      <c r="A12" s="24">
        <v>154</v>
      </c>
      <c r="B12" s="9" t="s">
        <v>86</v>
      </c>
      <c r="C12" s="9" t="s">
        <v>63</v>
      </c>
      <c r="D12" s="9" t="s">
        <v>77</v>
      </c>
      <c r="E12" s="9" t="s">
        <v>87</v>
      </c>
      <c r="F12" s="11">
        <v>2</v>
      </c>
      <c r="G12" s="12">
        <v>0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2">
        <v>0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2</v>
      </c>
      <c r="AL12" s="10">
        <v>2</v>
      </c>
      <c r="AM12" s="10">
        <v>2</v>
      </c>
      <c r="AN12" s="29">
        <v>0.48</v>
      </c>
    </row>
    <row r="13">
      <c r="A13" s="23">
        <v>159</v>
      </c>
      <c r="B13" s="4" t="s">
        <v>88</v>
      </c>
      <c r="C13" s="4" t="s">
        <v>63</v>
      </c>
      <c r="D13" s="4" t="s">
        <v>89</v>
      </c>
      <c r="E13" s="4" t="s">
        <v>90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161</v>
      </c>
      <c r="B14" s="9" t="s">
        <v>91</v>
      </c>
      <c r="C14" s="9" t="s">
        <v>63</v>
      </c>
      <c r="D14" s="9" t="s">
        <v>77</v>
      </c>
      <c r="E14" s="9" t="s">
        <v>92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162</v>
      </c>
      <c r="B15" s="4" t="s">
        <v>93</v>
      </c>
      <c r="C15" s="4" t="s">
        <v>63</v>
      </c>
      <c r="D15" s="4" t="s">
        <v>70</v>
      </c>
      <c r="E15" s="4" t="s">
        <v>94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164</v>
      </c>
      <c r="B16" s="9" t="s">
        <v>95</v>
      </c>
      <c r="C16" s="9" t="s">
        <v>63</v>
      </c>
      <c r="D16" s="9" t="s">
        <v>84</v>
      </c>
      <c r="E16" s="9" t="s">
        <v>96</v>
      </c>
      <c r="F16" s="11">
        <v>4</v>
      </c>
      <c r="G16" s="12">
        <v>0</v>
      </c>
      <c r="H16" s="12">
        <v>0</v>
      </c>
      <c r="I16" s="12">
        <v>0</v>
      </c>
      <c r="J16" s="10">
        <v>4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4</v>
      </c>
      <c r="V16" s="12">
        <v>0</v>
      </c>
      <c r="W16" s="12">
        <v>0</v>
      </c>
      <c r="X16" s="12">
        <v>0</v>
      </c>
      <c r="Y16" s="10">
        <v>4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0.75</v>
      </c>
    </row>
    <row r="17">
      <c r="A17" s="23">
        <v>168</v>
      </c>
      <c r="B17" s="4" t="s">
        <v>97</v>
      </c>
      <c r="C17" s="4" t="s">
        <v>63</v>
      </c>
      <c r="D17" s="4" t="s">
        <v>84</v>
      </c>
      <c r="E17" s="4" t="s">
        <v>96</v>
      </c>
      <c r="F17" s="6">
        <v>3</v>
      </c>
      <c r="G17" s="7">
        <v>0</v>
      </c>
      <c r="H17" s="5">
        <v>1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3</v>
      </c>
      <c r="V17" s="7">
        <v>0</v>
      </c>
      <c r="W17" s="5">
        <v>1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1.5</v>
      </c>
      <c r="AL17" s="5">
        <v>1</v>
      </c>
      <c r="AM17" s="5">
        <v>2</v>
      </c>
      <c r="AN17" s="28">
        <v>0.5</v>
      </c>
    </row>
    <row r="18">
      <c r="A18" s="24">
        <v>171</v>
      </c>
      <c r="B18" s="9" t="s">
        <v>98</v>
      </c>
      <c r="C18" s="9" t="s">
        <v>63</v>
      </c>
      <c r="D18" s="9" t="s">
        <v>70</v>
      </c>
      <c r="E18" s="9" t="s">
        <v>71</v>
      </c>
      <c r="F18" s="11">
        <v>2</v>
      </c>
      <c r="G18" s="10">
        <v>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0">
        <v>2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2</v>
      </c>
      <c r="AK18" s="13">
        <v>2</v>
      </c>
      <c r="AL18" s="10">
        <v>2</v>
      </c>
      <c r="AM18" s="10">
        <v>2</v>
      </c>
      <c r="AN18" s="43">
        <v>0</v>
      </c>
    </row>
    <row r="19">
      <c r="A19" s="23">
        <v>172</v>
      </c>
      <c r="B19" s="4" t="s">
        <v>99</v>
      </c>
      <c r="C19" s="4" t="s">
        <v>63</v>
      </c>
      <c r="D19" s="4" t="s">
        <v>73</v>
      </c>
      <c r="E19" s="4" t="s">
        <v>100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0">
        <v>0</v>
      </c>
    </row>
    <row r="20">
      <c r="A20" s="24">
        <v>175</v>
      </c>
      <c r="B20" s="9" t="s">
        <v>101</v>
      </c>
      <c r="C20" s="9" t="s">
        <v>63</v>
      </c>
      <c r="D20" s="9" t="s">
        <v>102</v>
      </c>
      <c r="E20" s="9" t="s">
        <v>103</v>
      </c>
      <c r="F20" s="11">
        <v>3</v>
      </c>
      <c r="G20" s="12">
        <v>0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2">
        <v>0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3</v>
      </c>
      <c r="AK20" s="13">
        <v>3</v>
      </c>
      <c r="AL20" s="10">
        <v>3</v>
      </c>
      <c r="AM20" s="10">
        <v>3</v>
      </c>
      <c r="AN20" s="29">
        <v>0.5</v>
      </c>
    </row>
    <row r="21">
      <c r="A21" s="23">
        <v>178</v>
      </c>
      <c r="B21" s="4" t="s">
        <v>104</v>
      </c>
      <c r="C21" s="4" t="s">
        <v>63</v>
      </c>
      <c r="D21" s="4" t="s">
        <v>77</v>
      </c>
      <c r="E21" s="4" t="s">
        <v>78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0.35</v>
      </c>
    </row>
    <row r="22">
      <c r="A22" s="24">
        <v>179</v>
      </c>
      <c r="B22" s="9" t="s">
        <v>105</v>
      </c>
      <c r="C22" s="9" t="s">
        <v>63</v>
      </c>
      <c r="D22" s="9" t="s">
        <v>84</v>
      </c>
      <c r="E22" s="9" t="s">
        <v>106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186</v>
      </c>
      <c r="B23" s="4" t="s">
        <v>107</v>
      </c>
      <c r="C23" s="4" t="s">
        <v>63</v>
      </c>
      <c r="D23" s="4" t="s">
        <v>108</v>
      </c>
      <c r="E23" s="4" t="s">
        <v>109</v>
      </c>
      <c r="F23" s="6">
        <v>3</v>
      </c>
      <c r="G23" s="7">
        <v>0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7">
        <v>0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3</v>
      </c>
      <c r="AK23" s="8">
        <v>3</v>
      </c>
      <c r="AL23" s="5">
        <v>3</v>
      </c>
      <c r="AM23" s="5">
        <v>3</v>
      </c>
      <c r="AN23" s="28">
        <v>0.5</v>
      </c>
    </row>
    <row r="24">
      <c r="A24" s="24">
        <v>187</v>
      </c>
      <c r="B24" s="9" t="s">
        <v>110</v>
      </c>
      <c r="C24" s="9" t="s">
        <v>63</v>
      </c>
      <c r="D24" s="9" t="s">
        <v>111</v>
      </c>
      <c r="E24" s="9" t="s">
        <v>112</v>
      </c>
      <c r="F24" s="11">
        <v>3</v>
      </c>
      <c r="G24" s="10">
        <v>3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2</v>
      </c>
      <c r="V24" s="10">
        <v>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2</v>
      </c>
      <c r="AN24" s="29">
        <v>0.22</v>
      </c>
    </row>
    <row r="25">
      <c r="A25" s="23">
        <v>188</v>
      </c>
      <c r="B25" s="4" t="s">
        <v>113</v>
      </c>
      <c r="C25" s="4" t="s">
        <v>63</v>
      </c>
      <c r="D25" s="4" t="s">
        <v>67</v>
      </c>
      <c r="E25" s="4" t="s">
        <v>68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190</v>
      </c>
      <c r="B26" s="9" t="s">
        <v>114</v>
      </c>
      <c r="C26" s="9" t="s">
        <v>63</v>
      </c>
      <c r="D26" s="9" t="s">
        <v>115</v>
      </c>
      <c r="E26" s="9" t="s">
        <v>116</v>
      </c>
      <c r="F26" s="11">
        <v>2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29">
        <v>0.5</v>
      </c>
    </row>
    <row r="27">
      <c r="A27" s="23">
        <v>191</v>
      </c>
      <c r="B27" s="4" t="s">
        <v>117</v>
      </c>
      <c r="C27" s="4" t="s">
        <v>63</v>
      </c>
      <c r="D27" s="4" t="s">
        <v>115</v>
      </c>
      <c r="E27" s="4" t="s">
        <v>118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28">
        <v>0.25</v>
      </c>
    </row>
    <row r="28">
      <c r="A28" s="24">
        <v>192</v>
      </c>
      <c r="B28" s="9" t="s">
        <v>119</v>
      </c>
      <c r="C28" s="9" t="s">
        <v>63</v>
      </c>
      <c r="D28" s="9" t="s">
        <v>120</v>
      </c>
      <c r="E28" s="9" t="s">
        <v>121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43">
        <v>0</v>
      </c>
    </row>
    <row r="29">
      <c r="A29" s="23">
        <v>193</v>
      </c>
      <c r="B29" s="4" t="s">
        <v>122</v>
      </c>
      <c r="C29" s="4" t="s">
        <v>63</v>
      </c>
      <c r="D29" s="4" t="s">
        <v>120</v>
      </c>
      <c r="E29" s="4" t="s">
        <v>123</v>
      </c>
      <c r="F29" s="6">
        <v>1</v>
      </c>
      <c r="G29" s="7">
        <v>0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7">
        <v>0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200</v>
      </c>
      <c r="B30" s="9" t="s">
        <v>124</v>
      </c>
      <c r="C30" s="9" t="s">
        <v>63</v>
      </c>
      <c r="D30" s="9" t="s">
        <v>115</v>
      </c>
      <c r="E30" s="9" t="s">
        <v>116</v>
      </c>
      <c r="F30" s="11">
        <v>6</v>
      </c>
      <c r="G30" s="10">
        <v>5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6</v>
      </c>
      <c r="V30" s="10">
        <v>5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2</v>
      </c>
      <c r="AM30" s="10">
        <v>3</v>
      </c>
      <c r="AN30" s="29">
        <v>0.75</v>
      </c>
    </row>
    <row r="31">
      <c r="A31" s="23">
        <v>202</v>
      </c>
      <c r="B31" s="4" t="s">
        <v>125</v>
      </c>
      <c r="C31" s="4" t="s">
        <v>63</v>
      </c>
      <c r="D31" s="4" t="s">
        <v>77</v>
      </c>
      <c r="E31" s="4" t="s">
        <v>92</v>
      </c>
      <c r="F31" s="6">
        <v>1</v>
      </c>
      <c r="G31" s="7">
        <v>0</v>
      </c>
      <c r="H31" s="5">
        <v>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7">
        <v>0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30">
        <v>0</v>
      </c>
    </row>
    <row r="32">
      <c r="A32" s="24">
        <v>203</v>
      </c>
      <c r="B32" s="9" t="s">
        <v>126</v>
      </c>
      <c r="C32" s="9" t="s">
        <v>63</v>
      </c>
      <c r="D32" s="9" t="s">
        <v>73</v>
      </c>
      <c r="E32" s="9" t="s">
        <v>127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43">
        <v>0</v>
      </c>
    </row>
    <row r="33">
      <c r="A33" s="23">
        <v>208</v>
      </c>
      <c r="B33" s="4" t="s">
        <v>128</v>
      </c>
      <c r="C33" s="4" t="s">
        <v>63</v>
      </c>
      <c r="D33" s="4" t="s">
        <v>120</v>
      </c>
      <c r="E33" s="4" t="s">
        <v>123</v>
      </c>
      <c r="F33" s="6">
        <v>6</v>
      </c>
      <c r="G33" s="5">
        <v>1</v>
      </c>
      <c r="H33" s="5">
        <v>1</v>
      </c>
      <c r="I33" s="7">
        <v>0</v>
      </c>
      <c r="J33" s="5">
        <v>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5</v>
      </c>
      <c r="V33" s="5">
        <v>1</v>
      </c>
      <c r="W33" s="5">
        <v>1</v>
      </c>
      <c r="X33" s="7">
        <v>0</v>
      </c>
      <c r="Y33" s="5">
        <v>3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1</v>
      </c>
      <c r="AM33" s="5">
        <v>4</v>
      </c>
      <c r="AN33" s="28">
        <v>0.75</v>
      </c>
    </row>
    <row r="34">
      <c r="A34" s="24">
        <v>214</v>
      </c>
      <c r="B34" s="9" t="s">
        <v>129</v>
      </c>
      <c r="C34" s="9" t="s">
        <v>63</v>
      </c>
      <c r="D34" s="9" t="s">
        <v>73</v>
      </c>
      <c r="E34" s="9" t="s">
        <v>130</v>
      </c>
      <c r="F34" s="11">
        <v>2</v>
      </c>
      <c r="G34" s="12">
        <v>0</v>
      </c>
      <c r="H34" s="12">
        <v>0</v>
      </c>
      <c r="I34" s="12">
        <v>0</v>
      </c>
      <c r="J34" s="10">
        <v>2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2</v>
      </c>
      <c r="AK34" s="13">
        <v>2</v>
      </c>
      <c r="AL34" s="10">
        <v>2</v>
      </c>
      <c r="AM34" s="10">
        <v>2</v>
      </c>
      <c r="AN34" s="43">
        <v>0</v>
      </c>
    </row>
    <row r="35">
      <c r="A35" s="23">
        <v>217</v>
      </c>
      <c r="B35" s="4" t="s">
        <v>131</v>
      </c>
      <c r="C35" s="4" t="s">
        <v>63</v>
      </c>
      <c r="D35" s="4" t="s">
        <v>120</v>
      </c>
      <c r="E35" s="4" t="s">
        <v>132</v>
      </c>
      <c r="F35" s="6">
        <v>1</v>
      </c>
      <c r="G35" s="7">
        <v>0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7">
        <v>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218</v>
      </c>
      <c r="B36" s="9" t="s">
        <v>133</v>
      </c>
      <c r="C36" s="9" t="s">
        <v>63</v>
      </c>
      <c r="D36" s="9" t="s">
        <v>77</v>
      </c>
      <c r="E36" s="9" t="s">
        <v>92</v>
      </c>
      <c r="F36" s="11">
        <v>2</v>
      </c>
      <c r="G36" s="12">
        <v>0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2">
        <v>0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0.5</v>
      </c>
    </row>
    <row r="37">
      <c r="A37" s="23">
        <v>221</v>
      </c>
      <c r="B37" s="4" t="s">
        <v>134</v>
      </c>
      <c r="C37" s="4" t="s">
        <v>63</v>
      </c>
      <c r="D37" s="4" t="s">
        <v>135</v>
      </c>
      <c r="E37" s="4" t="s">
        <v>136</v>
      </c>
      <c r="F37" s="6">
        <v>5</v>
      </c>
      <c r="G37" s="5">
        <v>1</v>
      </c>
      <c r="H37" s="7">
        <v>0</v>
      </c>
      <c r="I37" s="5">
        <v>1</v>
      </c>
      <c r="J37" s="5">
        <v>2</v>
      </c>
      <c r="K37" s="7">
        <v>0</v>
      </c>
      <c r="L37" s="5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5</v>
      </c>
      <c r="V37" s="5">
        <v>1</v>
      </c>
      <c r="W37" s="7">
        <v>0</v>
      </c>
      <c r="X37" s="5">
        <v>1</v>
      </c>
      <c r="Y37" s="5">
        <v>2</v>
      </c>
      <c r="Z37" s="7">
        <v>0</v>
      </c>
      <c r="AA37" s="5">
        <v>1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0.5</v>
      </c>
    </row>
    <row r="38">
      <c r="A38" s="24">
        <v>222</v>
      </c>
      <c r="B38" s="9" t="s">
        <v>137</v>
      </c>
      <c r="C38" s="9" t="s">
        <v>63</v>
      </c>
      <c r="D38" s="9" t="s">
        <v>73</v>
      </c>
      <c r="E38" s="9" t="s">
        <v>138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3">
        <v>0</v>
      </c>
    </row>
    <row r="39">
      <c r="A39" s="23">
        <v>225</v>
      </c>
      <c r="B39" s="4" t="s">
        <v>139</v>
      </c>
      <c r="C39" s="4" t="s">
        <v>63</v>
      </c>
      <c r="D39" s="4" t="s">
        <v>73</v>
      </c>
      <c r="E39" s="4" t="s">
        <v>140</v>
      </c>
      <c r="F39" s="6">
        <v>1</v>
      </c>
      <c r="G39" s="7">
        <v>0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7">
        <v>0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226</v>
      </c>
      <c r="B40" s="9" t="s">
        <v>141</v>
      </c>
      <c r="C40" s="9" t="s">
        <v>63</v>
      </c>
      <c r="D40" s="9" t="s">
        <v>120</v>
      </c>
      <c r="E40" s="9" t="s">
        <v>142</v>
      </c>
      <c r="F40" s="11">
        <v>2</v>
      </c>
      <c r="G40" s="12">
        <v>0</v>
      </c>
      <c r="H40" s="12">
        <v>0</v>
      </c>
      <c r="I40" s="12">
        <v>0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2</v>
      </c>
      <c r="AK40" s="13">
        <v>2</v>
      </c>
      <c r="AL40" s="10">
        <v>2</v>
      </c>
      <c r="AM40" s="10">
        <v>2</v>
      </c>
      <c r="AN40" s="43">
        <v>0</v>
      </c>
    </row>
    <row r="41">
      <c r="A41" s="23">
        <v>227</v>
      </c>
      <c r="B41" s="4" t="s">
        <v>143</v>
      </c>
      <c r="C41" s="4" t="s">
        <v>63</v>
      </c>
      <c r="D41" s="4" t="s">
        <v>102</v>
      </c>
      <c r="E41" s="4" t="s">
        <v>144</v>
      </c>
      <c r="F41" s="6">
        <v>4</v>
      </c>
      <c r="G41" s="5">
        <v>2</v>
      </c>
      <c r="H41" s="5">
        <v>2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4</v>
      </c>
      <c r="V41" s="5">
        <v>2</v>
      </c>
      <c r="W41" s="5">
        <v>2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1.33</v>
      </c>
      <c r="AL41" s="5">
        <v>1</v>
      </c>
      <c r="AM41" s="5">
        <v>2</v>
      </c>
      <c r="AN41" s="28">
        <v>0.25</v>
      </c>
    </row>
    <row r="42">
      <c r="A42" s="24">
        <v>231</v>
      </c>
      <c r="B42" s="9" t="s">
        <v>145</v>
      </c>
      <c r="C42" s="9" t="s">
        <v>63</v>
      </c>
      <c r="D42" s="9" t="s">
        <v>115</v>
      </c>
      <c r="E42" s="9" t="s">
        <v>146</v>
      </c>
      <c r="F42" s="11">
        <v>2</v>
      </c>
      <c r="G42" s="10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2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3">
        <v>0</v>
      </c>
    </row>
    <row r="43">
      <c r="A43" s="23">
        <v>236</v>
      </c>
      <c r="B43" s="4" t="s">
        <v>147</v>
      </c>
      <c r="C43" s="4" t="s">
        <v>63</v>
      </c>
      <c r="D43" s="4" t="s">
        <v>84</v>
      </c>
      <c r="E43" s="4" t="s">
        <v>148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240</v>
      </c>
      <c r="B44" s="9" t="s">
        <v>149</v>
      </c>
      <c r="C44" s="9" t="s">
        <v>63</v>
      </c>
      <c r="D44" s="9" t="s">
        <v>84</v>
      </c>
      <c r="E44" s="9" t="s">
        <v>150</v>
      </c>
      <c r="F44" s="11">
        <v>3</v>
      </c>
      <c r="G44" s="10">
        <v>2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2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0.99</v>
      </c>
    </row>
    <row r="45">
      <c r="A45" s="23">
        <v>250</v>
      </c>
      <c r="B45" s="4" t="s">
        <v>151</v>
      </c>
      <c r="C45" s="4" t="s">
        <v>63</v>
      </c>
      <c r="D45" s="4" t="s">
        <v>84</v>
      </c>
      <c r="E45" s="4" t="s">
        <v>152</v>
      </c>
      <c r="F45" s="6">
        <v>3</v>
      </c>
      <c r="G45" s="5">
        <v>1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5">
        <v>1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28">
        <v>0.25</v>
      </c>
    </row>
    <row r="46">
      <c r="A46" s="24">
        <v>255</v>
      </c>
      <c r="B46" s="9" t="s">
        <v>153</v>
      </c>
      <c r="C46" s="9" t="s">
        <v>63</v>
      </c>
      <c r="D46" s="9" t="s">
        <v>77</v>
      </c>
      <c r="E46" s="9" t="s">
        <v>92</v>
      </c>
      <c r="F46" s="11">
        <v>2</v>
      </c>
      <c r="G46" s="12">
        <v>0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2">
        <v>0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2</v>
      </c>
      <c r="AK46" s="13">
        <v>2</v>
      </c>
      <c r="AL46" s="10">
        <v>2</v>
      </c>
      <c r="AM46" s="10">
        <v>2</v>
      </c>
      <c r="AN46" s="29">
        <v>0.5</v>
      </c>
    </row>
    <row r="47">
      <c r="A47" s="23">
        <v>257</v>
      </c>
      <c r="B47" s="4" t="s">
        <v>154</v>
      </c>
      <c r="C47" s="4" t="s">
        <v>63</v>
      </c>
      <c r="D47" s="4" t="s">
        <v>77</v>
      </c>
      <c r="E47" s="4" t="s">
        <v>78</v>
      </c>
      <c r="F47" s="6">
        <v>4</v>
      </c>
      <c r="G47" s="5">
        <v>3</v>
      </c>
      <c r="H47" s="7">
        <v>0</v>
      </c>
      <c r="I47" s="7">
        <v>0</v>
      </c>
      <c r="J47" s="7">
        <v>0</v>
      </c>
      <c r="K47" s="7">
        <v>0</v>
      </c>
      <c r="L47" s="5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4</v>
      </c>
      <c r="V47" s="5">
        <v>3</v>
      </c>
      <c r="W47" s="7">
        <v>0</v>
      </c>
      <c r="X47" s="7">
        <v>0</v>
      </c>
      <c r="Y47" s="7">
        <v>0</v>
      </c>
      <c r="Z47" s="7">
        <v>0</v>
      </c>
      <c r="AA47" s="5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</v>
      </c>
      <c r="AL47" s="5">
        <v>2</v>
      </c>
      <c r="AM47" s="5">
        <v>3</v>
      </c>
      <c r="AN47" s="30">
        <v>0</v>
      </c>
    </row>
    <row r="48">
      <c r="A48" s="24">
        <v>258</v>
      </c>
      <c r="B48" s="9" t="s">
        <v>155</v>
      </c>
      <c r="C48" s="9" t="s">
        <v>63</v>
      </c>
      <c r="D48" s="9" t="s">
        <v>120</v>
      </c>
      <c r="E48" s="9" t="s">
        <v>121</v>
      </c>
      <c r="F48" s="11">
        <v>2</v>
      </c>
      <c r="G48" s="12">
        <v>0</v>
      </c>
      <c r="H48" s="12">
        <v>0</v>
      </c>
      <c r="I48" s="10">
        <v>2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2">
        <v>0</v>
      </c>
      <c r="W48" s="12">
        <v>0</v>
      </c>
      <c r="X48" s="10">
        <v>2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2</v>
      </c>
      <c r="AK48" s="13">
        <v>2</v>
      </c>
      <c r="AL48" s="10">
        <v>2</v>
      </c>
      <c r="AM48" s="10">
        <v>2</v>
      </c>
      <c r="AN48" s="29">
        <v>0.5</v>
      </c>
    </row>
    <row r="49">
      <c r="A49" s="23">
        <v>259</v>
      </c>
      <c r="B49" s="4" t="s">
        <v>156</v>
      </c>
      <c r="C49" s="4" t="s">
        <v>63</v>
      </c>
      <c r="D49" s="4" t="s">
        <v>120</v>
      </c>
      <c r="E49" s="4" t="s">
        <v>132</v>
      </c>
      <c r="F49" s="6">
        <v>5</v>
      </c>
      <c r="G49" s="7">
        <v>0</v>
      </c>
      <c r="H49" s="7">
        <v>0</v>
      </c>
      <c r="I49" s="7">
        <v>0</v>
      </c>
      <c r="J49" s="5">
        <v>5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7">
        <v>0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2.5</v>
      </c>
      <c r="AL49" s="5">
        <v>2</v>
      </c>
      <c r="AM49" s="5">
        <v>4</v>
      </c>
      <c r="AN49" s="28">
        <v>0.26</v>
      </c>
    </row>
    <row r="50">
      <c r="A50" s="24">
        <v>264</v>
      </c>
      <c r="B50" s="9" t="s">
        <v>157</v>
      </c>
      <c r="C50" s="9" t="s">
        <v>63</v>
      </c>
      <c r="D50" s="9" t="s">
        <v>108</v>
      </c>
      <c r="E50" s="9" t="s">
        <v>158</v>
      </c>
      <c r="F50" s="11">
        <v>2</v>
      </c>
      <c r="G50" s="10">
        <v>2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2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2</v>
      </c>
      <c r="AK50" s="13">
        <v>2</v>
      </c>
      <c r="AL50" s="10">
        <v>2</v>
      </c>
      <c r="AM50" s="10">
        <v>2</v>
      </c>
      <c r="AN50" s="29">
        <v>0.74</v>
      </c>
    </row>
    <row r="51">
      <c r="A51" s="23">
        <v>265</v>
      </c>
      <c r="B51" s="4" t="s">
        <v>159</v>
      </c>
      <c r="C51" s="4" t="s">
        <v>63</v>
      </c>
      <c r="D51" s="4" t="s">
        <v>84</v>
      </c>
      <c r="E51" s="4" t="s">
        <v>152</v>
      </c>
      <c r="F51" s="6">
        <v>3</v>
      </c>
      <c r="G51" s="5">
        <v>3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3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0.87</v>
      </c>
    </row>
    <row r="52">
      <c r="A52" s="24">
        <v>267</v>
      </c>
      <c r="B52" s="9" t="s">
        <v>160</v>
      </c>
      <c r="C52" s="9" t="s">
        <v>63</v>
      </c>
      <c r="D52" s="9" t="s">
        <v>89</v>
      </c>
      <c r="E52" s="9" t="s">
        <v>161</v>
      </c>
      <c r="F52" s="11">
        <v>3</v>
      </c>
      <c r="G52" s="10">
        <v>2</v>
      </c>
      <c r="H52" s="10">
        <v>1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</v>
      </c>
      <c r="V52" s="10">
        <v>2</v>
      </c>
      <c r="W52" s="10">
        <v>1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2</v>
      </c>
      <c r="AN52" s="43">
        <v>0</v>
      </c>
    </row>
    <row r="53">
      <c r="A53" s="23">
        <v>268</v>
      </c>
      <c r="B53" s="4" t="s">
        <v>162</v>
      </c>
      <c r="C53" s="4" t="s">
        <v>63</v>
      </c>
      <c r="D53" s="4" t="s">
        <v>89</v>
      </c>
      <c r="E53" s="4" t="s">
        <v>161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30">
        <v>0</v>
      </c>
    </row>
    <row r="54">
      <c r="A54" s="24">
        <v>269</v>
      </c>
      <c r="B54" s="9" t="s">
        <v>163</v>
      </c>
      <c r="C54" s="9" t="s">
        <v>63</v>
      </c>
      <c r="D54" s="9" t="s">
        <v>135</v>
      </c>
      <c r="E54" s="9" t="s">
        <v>136</v>
      </c>
      <c r="F54" s="11">
        <v>2</v>
      </c>
      <c r="G54" s="12">
        <v>0</v>
      </c>
      <c r="H54" s="12">
        <v>0</v>
      </c>
      <c r="I54" s="10">
        <v>1</v>
      </c>
      <c r="J54" s="12">
        <v>0</v>
      </c>
      <c r="K54" s="10">
        <v>1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2">
        <v>0</v>
      </c>
      <c r="W54" s="12">
        <v>0</v>
      </c>
      <c r="X54" s="10">
        <v>1</v>
      </c>
      <c r="Y54" s="12">
        <v>0</v>
      </c>
      <c r="Z54" s="10">
        <v>1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3">
        <v>0</v>
      </c>
    </row>
    <row r="55">
      <c r="A55" s="23">
        <v>274</v>
      </c>
      <c r="B55" s="4" t="s">
        <v>164</v>
      </c>
      <c r="C55" s="4" t="s">
        <v>63</v>
      </c>
      <c r="D55" s="4" t="s">
        <v>120</v>
      </c>
      <c r="E55" s="4" t="s">
        <v>165</v>
      </c>
      <c r="F55" s="6">
        <v>5</v>
      </c>
      <c r="G55" s="7">
        <v>0</v>
      </c>
      <c r="H55" s="7">
        <v>0</v>
      </c>
      <c r="I55" s="7">
        <v>0</v>
      </c>
      <c r="J55" s="5">
        <v>5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4</v>
      </c>
      <c r="V55" s="7">
        <v>0</v>
      </c>
      <c r="W55" s="7">
        <v>0</v>
      </c>
      <c r="X55" s="7">
        <v>0</v>
      </c>
      <c r="Y55" s="5">
        <v>4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5</v>
      </c>
      <c r="AK55" s="8">
        <v>5</v>
      </c>
      <c r="AL55" s="5">
        <v>5</v>
      </c>
      <c r="AM55" s="5">
        <v>5</v>
      </c>
      <c r="AN55" s="28">
        <v>1</v>
      </c>
    </row>
    <row r="56">
      <c r="A56" s="24">
        <v>282</v>
      </c>
      <c r="B56" s="9" t="s">
        <v>166</v>
      </c>
      <c r="C56" s="9" t="s">
        <v>63</v>
      </c>
      <c r="D56" s="9" t="s">
        <v>120</v>
      </c>
      <c r="E56" s="9" t="s">
        <v>121</v>
      </c>
      <c r="F56" s="11">
        <v>1</v>
      </c>
      <c r="G56" s="12">
        <v>0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2">
        <v>0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286</v>
      </c>
      <c r="B57" s="4" t="s">
        <v>167</v>
      </c>
      <c r="C57" s="4" t="s">
        <v>63</v>
      </c>
      <c r="D57" s="4" t="s">
        <v>67</v>
      </c>
      <c r="E57" s="4" t="s">
        <v>168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288</v>
      </c>
      <c r="B58" s="9" t="s">
        <v>169</v>
      </c>
      <c r="C58" s="9" t="s">
        <v>63</v>
      </c>
      <c r="D58" s="9" t="s">
        <v>120</v>
      </c>
      <c r="E58" s="9" t="s">
        <v>165</v>
      </c>
      <c r="F58" s="11">
        <v>3</v>
      </c>
      <c r="G58" s="12">
        <v>0</v>
      </c>
      <c r="H58" s="12">
        <v>0</v>
      </c>
      <c r="I58" s="12">
        <v>0</v>
      </c>
      <c r="J58" s="10">
        <v>3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3</v>
      </c>
      <c r="V58" s="12">
        <v>0</v>
      </c>
      <c r="W58" s="12">
        <v>0</v>
      </c>
      <c r="X58" s="12">
        <v>0</v>
      </c>
      <c r="Y58" s="10">
        <v>3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0.5</v>
      </c>
    </row>
    <row r="59">
      <c r="A59" s="23">
        <v>290</v>
      </c>
      <c r="B59" s="4" t="s">
        <v>170</v>
      </c>
      <c r="C59" s="4" t="s">
        <v>63</v>
      </c>
      <c r="D59" s="4" t="s">
        <v>73</v>
      </c>
      <c r="E59" s="4" t="s">
        <v>171</v>
      </c>
      <c r="F59" s="6">
        <v>4</v>
      </c>
      <c r="G59" s="7">
        <v>0</v>
      </c>
      <c r="H59" s="7">
        <v>0</v>
      </c>
      <c r="I59" s="7">
        <v>0</v>
      </c>
      <c r="J59" s="5">
        <v>4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</v>
      </c>
      <c r="V59" s="7">
        <v>0</v>
      </c>
      <c r="W59" s="7">
        <v>0</v>
      </c>
      <c r="X59" s="7">
        <v>0</v>
      </c>
      <c r="Y59" s="5">
        <v>3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4</v>
      </c>
      <c r="AK59" s="8">
        <v>4</v>
      </c>
      <c r="AL59" s="5">
        <v>4</v>
      </c>
      <c r="AM59" s="5">
        <v>4</v>
      </c>
      <c r="AN59" s="28">
        <v>0.75</v>
      </c>
    </row>
    <row r="60">
      <c r="A60" s="24">
        <v>293</v>
      </c>
      <c r="B60" s="9" t="s">
        <v>172</v>
      </c>
      <c r="C60" s="9" t="s">
        <v>63</v>
      </c>
      <c r="D60" s="9" t="s">
        <v>77</v>
      </c>
      <c r="E60" s="9" t="s">
        <v>87</v>
      </c>
      <c r="F60" s="11">
        <v>1</v>
      </c>
      <c r="G60" s="12">
        <v>0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295</v>
      </c>
      <c r="B61" s="4" t="s">
        <v>173</v>
      </c>
      <c r="C61" s="4" t="s">
        <v>63</v>
      </c>
      <c r="D61" s="4" t="s">
        <v>73</v>
      </c>
      <c r="E61" s="4" t="s">
        <v>127</v>
      </c>
      <c r="F61" s="6">
        <v>1</v>
      </c>
      <c r="G61" s="7">
        <v>0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7">
        <v>0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297</v>
      </c>
      <c r="B62" s="9" t="s">
        <v>174</v>
      </c>
      <c r="C62" s="9" t="s">
        <v>63</v>
      </c>
      <c r="D62" s="9" t="s">
        <v>108</v>
      </c>
      <c r="E62" s="9" t="s">
        <v>175</v>
      </c>
      <c r="F62" s="11">
        <v>3</v>
      </c>
      <c r="G62" s="12">
        <v>0</v>
      </c>
      <c r="H62" s="10">
        <v>2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2">
        <v>0</v>
      </c>
      <c r="W62" s="10">
        <v>1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29">
        <v>0.5</v>
      </c>
    </row>
    <row r="63">
      <c r="A63" s="23">
        <v>299</v>
      </c>
      <c r="B63" s="4" t="s">
        <v>176</v>
      </c>
      <c r="C63" s="4" t="s">
        <v>63</v>
      </c>
      <c r="D63" s="4" t="s">
        <v>84</v>
      </c>
      <c r="E63" s="4" t="s">
        <v>85</v>
      </c>
      <c r="F63" s="6">
        <v>7</v>
      </c>
      <c r="G63" s="5">
        <v>7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6</v>
      </c>
      <c r="V63" s="5">
        <v>6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7</v>
      </c>
      <c r="AK63" s="8">
        <v>7</v>
      </c>
      <c r="AL63" s="5">
        <v>7</v>
      </c>
      <c r="AM63" s="5">
        <v>7</v>
      </c>
      <c r="AN63" s="28">
        <v>1.7</v>
      </c>
    </row>
    <row r="64">
      <c r="A64" s="24">
        <v>303</v>
      </c>
      <c r="B64" s="9" t="s">
        <v>177</v>
      </c>
      <c r="C64" s="9" t="s">
        <v>63</v>
      </c>
      <c r="D64" s="9" t="s">
        <v>73</v>
      </c>
      <c r="E64" s="9" t="s">
        <v>100</v>
      </c>
      <c r="F64" s="11">
        <v>5</v>
      </c>
      <c r="G64" s="12">
        <v>0</v>
      </c>
      <c r="H64" s="12">
        <v>0</v>
      </c>
      <c r="I64" s="12">
        <v>0</v>
      </c>
      <c r="J64" s="10">
        <v>5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5</v>
      </c>
      <c r="V64" s="12">
        <v>0</v>
      </c>
      <c r="W64" s="12">
        <v>0</v>
      </c>
      <c r="X64" s="12">
        <v>0</v>
      </c>
      <c r="Y64" s="10">
        <v>5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5</v>
      </c>
      <c r="AK64" s="13">
        <v>5</v>
      </c>
      <c r="AL64" s="10">
        <v>5</v>
      </c>
      <c r="AM64" s="10">
        <v>5</v>
      </c>
      <c r="AN64" s="29">
        <v>1.25</v>
      </c>
    </row>
    <row r="65">
      <c r="A65" s="23">
        <v>309</v>
      </c>
      <c r="B65" s="4" t="s">
        <v>178</v>
      </c>
      <c r="C65" s="4" t="s">
        <v>179</v>
      </c>
      <c r="D65" s="4" t="s">
        <v>180</v>
      </c>
      <c r="E65" s="4" t="s">
        <v>181</v>
      </c>
      <c r="F65" s="6">
        <v>2</v>
      </c>
      <c r="G65" s="7">
        <v>0</v>
      </c>
      <c r="H65" s="7">
        <v>0</v>
      </c>
      <c r="I65" s="7">
        <v>0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7">
        <v>0</v>
      </c>
      <c r="W65" s="7">
        <v>0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2</v>
      </c>
      <c r="AK65" s="8">
        <v>2</v>
      </c>
      <c r="AL65" s="5">
        <v>2</v>
      </c>
      <c r="AM65" s="5">
        <v>2</v>
      </c>
      <c r="AN65" s="30">
        <v>0</v>
      </c>
    </row>
    <row r="66">
      <c r="A66" s="24">
        <v>310</v>
      </c>
      <c r="B66" s="9" t="s">
        <v>182</v>
      </c>
      <c r="C66" s="9" t="s">
        <v>63</v>
      </c>
      <c r="D66" s="9" t="s">
        <v>73</v>
      </c>
      <c r="E66" s="9" t="s">
        <v>74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312</v>
      </c>
      <c r="B67" s="4" t="s">
        <v>183</v>
      </c>
      <c r="C67" s="4" t="s">
        <v>63</v>
      </c>
      <c r="D67" s="4" t="s">
        <v>77</v>
      </c>
      <c r="E67" s="4" t="s">
        <v>78</v>
      </c>
      <c r="F67" s="6">
        <v>5</v>
      </c>
      <c r="G67" s="5">
        <v>3</v>
      </c>
      <c r="H67" s="7">
        <v>0</v>
      </c>
      <c r="I67" s="7">
        <v>0</v>
      </c>
      <c r="J67" s="5">
        <v>2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5</v>
      </c>
      <c r="V67" s="5">
        <v>3</v>
      </c>
      <c r="W67" s="7">
        <v>0</v>
      </c>
      <c r="X67" s="7">
        <v>0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1.67</v>
      </c>
      <c r="AL67" s="5">
        <v>1</v>
      </c>
      <c r="AM67" s="5">
        <v>3</v>
      </c>
      <c r="AN67" s="28">
        <v>1.35</v>
      </c>
    </row>
    <row r="68">
      <c r="A68" s="24">
        <v>321</v>
      </c>
      <c r="B68" s="9" t="s">
        <v>184</v>
      </c>
      <c r="C68" s="9" t="s">
        <v>63</v>
      </c>
      <c r="D68" s="9" t="s">
        <v>70</v>
      </c>
      <c r="E68" s="9" t="s">
        <v>71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3">
        <v>0</v>
      </c>
    </row>
    <row r="69">
      <c r="A69" s="23">
        <v>324</v>
      </c>
      <c r="B69" s="4" t="s">
        <v>185</v>
      </c>
      <c r="C69" s="4" t="s">
        <v>63</v>
      </c>
      <c r="D69" s="4" t="s">
        <v>70</v>
      </c>
      <c r="E69" s="4" t="s">
        <v>71</v>
      </c>
      <c r="F69" s="6">
        <v>10</v>
      </c>
      <c r="G69" s="5">
        <v>5</v>
      </c>
      <c r="H69" s="7">
        <v>0</v>
      </c>
      <c r="I69" s="7">
        <v>0</v>
      </c>
      <c r="J69" s="5">
        <v>5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9</v>
      </c>
      <c r="V69" s="5">
        <v>5</v>
      </c>
      <c r="W69" s="7">
        <v>0</v>
      </c>
      <c r="X69" s="7">
        <v>0</v>
      </c>
      <c r="Y69" s="5">
        <v>4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2.5</v>
      </c>
      <c r="AL69" s="5">
        <v>2</v>
      </c>
      <c r="AM69" s="5">
        <v>4</v>
      </c>
      <c r="AN69" s="28">
        <v>2.55</v>
      </c>
    </row>
    <row r="70">
      <c r="A70" s="24">
        <v>325</v>
      </c>
      <c r="B70" s="9" t="s">
        <v>186</v>
      </c>
      <c r="C70" s="9" t="s">
        <v>63</v>
      </c>
      <c r="D70" s="9" t="s">
        <v>70</v>
      </c>
      <c r="E70" s="9" t="s">
        <v>71</v>
      </c>
      <c r="F70" s="11">
        <v>4</v>
      </c>
      <c r="G70" s="10">
        <v>4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4</v>
      </c>
      <c r="V70" s="10">
        <v>4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4</v>
      </c>
      <c r="AK70" s="13">
        <v>4</v>
      </c>
      <c r="AL70" s="10">
        <v>4</v>
      </c>
      <c r="AM70" s="10">
        <v>4</v>
      </c>
      <c r="AN70" s="43">
        <v>0</v>
      </c>
    </row>
    <row r="71">
      <c r="A71" s="23">
        <v>326</v>
      </c>
      <c r="B71" s="4" t="s">
        <v>187</v>
      </c>
      <c r="C71" s="4" t="s">
        <v>63</v>
      </c>
      <c r="D71" s="4" t="s">
        <v>70</v>
      </c>
      <c r="E71" s="4" t="s">
        <v>71</v>
      </c>
      <c r="F71" s="6">
        <v>3</v>
      </c>
      <c r="G71" s="5">
        <v>3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3</v>
      </c>
      <c r="V71" s="5">
        <v>3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3</v>
      </c>
      <c r="AK71" s="8">
        <v>3</v>
      </c>
      <c r="AL71" s="5">
        <v>3</v>
      </c>
      <c r="AM71" s="5">
        <v>3</v>
      </c>
      <c r="AN71" s="30">
        <v>0</v>
      </c>
    </row>
    <row r="72">
      <c r="A72" s="24">
        <v>328</v>
      </c>
      <c r="B72" s="9" t="s">
        <v>188</v>
      </c>
      <c r="C72" s="9" t="s">
        <v>179</v>
      </c>
      <c r="D72" s="9" t="s">
        <v>180</v>
      </c>
      <c r="E72" s="9" t="s">
        <v>189</v>
      </c>
      <c r="F72" s="11">
        <v>4</v>
      </c>
      <c r="G72" s="10">
        <v>1</v>
      </c>
      <c r="H72" s="12">
        <v>0</v>
      </c>
      <c r="I72" s="10">
        <v>1</v>
      </c>
      <c r="J72" s="12">
        <v>0</v>
      </c>
      <c r="K72" s="10">
        <v>1</v>
      </c>
      <c r="L72" s="12">
        <v>0</v>
      </c>
      <c r="M72" s="12">
        <v>0</v>
      </c>
      <c r="N72" s="10">
        <v>1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1</v>
      </c>
      <c r="W72" s="12">
        <v>0</v>
      </c>
      <c r="X72" s="10">
        <v>1</v>
      </c>
      <c r="Y72" s="12">
        <v>0</v>
      </c>
      <c r="Z72" s="12">
        <v>0</v>
      </c>
      <c r="AA72" s="12">
        <v>0</v>
      </c>
      <c r="AB72" s="12">
        <v>0</v>
      </c>
      <c r="AC72" s="10">
        <v>1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3">
        <v>0</v>
      </c>
    </row>
    <row r="73">
      <c r="A73" s="23">
        <v>329</v>
      </c>
      <c r="B73" s="4" t="s">
        <v>190</v>
      </c>
      <c r="C73" s="4" t="s">
        <v>179</v>
      </c>
      <c r="D73" s="4" t="s">
        <v>180</v>
      </c>
      <c r="E73" s="4" t="s">
        <v>191</v>
      </c>
      <c r="F73" s="6">
        <v>2</v>
      </c>
      <c r="G73" s="5">
        <v>2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5">
        <v>2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2</v>
      </c>
      <c r="AK73" s="8">
        <v>2</v>
      </c>
      <c r="AL73" s="5">
        <v>2</v>
      </c>
      <c r="AM73" s="5">
        <v>2</v>
      </c>
      <c r="AN73" s="30">
        <v>0</v>
      </c>
    </row>
    <row r="74">
      <c r="A74" s="24">
        <v>331</v>
      </c>
      <c r="B74" s="9" t="s">
        <v>192</v>
      </c>
      <c r="C74" s="9" t="s">
        <v>179</v>
      </c>
      <c r="D74" s="9" t="s">
        <v>193</v>
      </c>
      <c r="E74" s="9" t="s">
        <v>194</v>
      </c>
      <c r="F74" s="11">
        <v>1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3">
        <v>0</v>
      </c>
    </row>
    <row r="75">
      <c r="A75" s="23">
        <v>333</v>
      </c>
      <c r="B75" s="4" t="s">
        <v>195</v>
      </c>
      <c r="C75" s="4" t="s">
        <v>179</v>
      </c>
      <c r="D75" s="4" t="s">
        <v>196</v>
      </c>
      <c r="E75" s="4" t="s">
        <v>197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336</v>
      </c>
      <c r="B76" s="9" t="s">
        <v>198</v>
      </c>
      <c r="C76" s="9" t="s">
        <v>179</v>
      </c>
      <c r="D76" s="9" t="s">
        <v>196</v>
      </c>
      <c r="E76" s="9" t="s">
        <v>199</v>
      </c>
      <c r="F76" s="11">
        <v>7</v>
      </c>
      <c r="G76" s="12">
        <v>0</v>
      </c>
      <c r="H76" s="12">
        <v>0</v>
      </c>
      <c r="I76" s="12">
        <v>0</v>
      </c>
      <c r="J76" s="12">
        <v>0</v>
      </c>
      <c r="K76" s="10">
        <v>7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6</v>
      </c>
      <c r="V76" s="12">
        <v>0</v>
      </c>
      <c r="W76" s="12">
        <v>0</v>
      </c>
      <c r="X76" s="12">
        <v>0</v>
      </c>
      <c r="Y76" s="12">
        <v>0</v>
      </c>
      <c r="Z76" s="10">
        <v>6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3.5</v>
      </c>
      <c r="AL76" s="10">
        <v>3</v>
      </c>
      <c r="AM76" s="10">
        <v>6</v>
      </c>
      <c r="AN76" s="43">
        <v>0</v>
      </c>
    </row>
    <row r="77">
      <c r="A77" s="23">
        <v>339</v>
      </c>
      <c r="B77" s="4" t="s">
        <v>200</v>
      </c>
      <c r="C77" s="4" t="s">
        <v>179</v>
      </c>
      <c r="D77" s="4" t="s">
        <v>201</v>
      </c>
      <c r="E77" s="4" t="s">
        <v>202</v>
      </c>
      <c r="F77" s="6">
        <v>2</v>
      </c>
      <c r="G77" s="7">
        <v>0</v>
      </c>
      <c r="H77" s="5">
        <v>1</v>
      </c>
      <c r="I77" s="7">
        <v>0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</v>
      </c>
      <c r="V77" s="7">
        <v>0</v>
      </c>
      <c r="W77" s="5">
        <v>1</v>
      </c>
      <c r="X77" s="7">
        <v>0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344</v>
      </c>
      <c r="B78" s="9" t="s">
        <v>203</v>
      </c>
      <c r="C78" s="9" t="s">
        <v>179</v>
      </c>
      <c r="D78" s="9" t="s">
        <v>196</v>
      </c>
      <c r="E78" s="9" t="s">
        <v>204</v>
      </c>
      <c r="F78" s="11">
        <v>4</v>
      </c>
      <c r="G78" s="10">
        <v>1</v>
      </c>
      <c r="H78" s="10">
        <v>1</v>
      </c>
      <c r="I78" s="12">
        <v>0</v>
      </c>
      <c r="J78" s="10">
        <v>1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</v>
      </c>
      <c r="V78" s="10">
        <v>1</v>
      </c>
      <c r="W78" s="10">
        <v>1</v>
      </c>
      <c r="X78" s="12">
        <v>0</v>
      </c>
      <c r="Y78" s="10">
        <v>1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0.24</v>
      </c>
    </row>
    <row r="79">
      <c r="A79" s="23">
        <v>345</v>
      </c>
      <c r="B79" s="4" t="s">
        <v>205</v>
      </c>
      <c r="C79" s="4" t="s">
        <v>179</v>
      </c>
      <c r="D79" s="4" t="s">
        <v>206</v>
      </c>
      <c r="E79" s="4" t="s">
        <v>207</v>
      </c>
      <c r="F79" s="6">
        <v>1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5">
        <v>1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5">
        <v>1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347</v>
      </c>
      <c r="B80" s="9" t="s">
        <v>208</v>
      </c>
      <c r="C80" s="9" t="s">
        <v>179</v>
      </c>
      <c r="D80" s="9" t="s">
        <v>206</v>
      </c>
      <c r="E80" s="9" t="s">
        <v>207</v>
      </c>
      <c r="F80" s="11">
        <v>1</v>
      </c>
      <c r="G80" s="12">
        <v>0</v>
      </c>
      <c r="H80" s="10">
        <v>1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2">
        <v>0</v>
      </c>
      <c r="W80" s="10">
        <v>1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0.24</v>
      </c>
    </row>
    <row r="81">
      <c r="A81" s="23">
        <v>351</v>
      </c>
      <c r="B81" s="4" t="s">
        <v>209</v>
      </c>
      <c r="C81" s="4" t="s">
        <v>63</v>
      </c>
      <c r="D81" s="4" t="s">
        <v>77</v>
      </c>
      <c r="E81" s="4" t="s">
        <v>210</v>
      </c>
      <c r="F81" s="6">
        <v>1</v>
      </c>
      <c r="G81" s="7">
        <v>0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355</v>
      </c>
      <c r="B82" s="9" t="s">
        <v>211</v>
      </c>
      <c r="C82" s="9" t="s">
        <v>179</v>
      </c>
      <c r="D82" s="9" t="s">
        <v>196</v>
      </c>
      <c r="E82" s="9" t="s">
        <v>204</v>
      </c>
      <c r="F82" s="11">
        <v>7</v>
      </c>
      <c r="G82" s="10">
        <v>5</v>
      </c>
      <c r="H82" s="12">
        <v>0</v>
      </c>
      <c r="I82" s="10">
        <v>1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5</v>
      </c>
      <c r="V82" s="10">
        <v>3</v>
      </c>
      <c r="W82" s="12">
        <v>0</v>
      </c>
      <c r="X82" s="10">
        <v>1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2.33</v>
      </c>
      <c r="AL82" s="10">
        <v>1</v>
      </c>
      <c r="AM82" s="10">
        <v>5</v>
      </c>
      <c r="AN82" s="43">
        <v>0</v>
      </c>
    </row>
    <row r="83">
      <c r="A83" s="23">
        <v>358</v>
      </c>
      <c r="B83" s="4" t="s">
        <v>212</v>
      </c>
      <c r="C83" s="4" t="s">
        <v>179</v>
      </c>
      <c r="D83" s="4" t="s">
        <v>180</v>
      </c>
      <c r="E83" s="4" t="s">
        <v>181</v>
      </c>
      <c r="F83" s="6">
        <v>1</v>
      </c>
      <c r="G83" s="7">
        <v>0</v>
      </c>
      <c r="H83" s="7">
        <v>0</v>
      </c>
      <c r="I83" s="7">
        <v>0</v>
      </c>
      <c r="J83" s="7">
        <v>0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7">
        <v>0</v>
      </c>
      <c r="Y83" s="7">
        <v>0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363</v>
      </c>
      <c r="B84" s="9" t="s">
        <v>213</v>
      </c>
      <c r="C84" s="9" t="s">
        <v>179</v>
      </c>
      <c r="D84" s="9" t="s">
        <v>196</v>
      </c>
      <c r="E84" s="9" t="s">
        <v>214</v>
      </c>
      <c r="F84" s="11">
        <v>3</v>
      </c>
      <c r="G84" s="10">
        <v>1</v>
      </c>
      <c r="H84" s="10">
        <v>2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3</v>
      </c>
      <c r="V84" s="10">
        <v>1</v>
      </c>
      <c r="W84" s="10">
        <v>2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43">
        <v>0</v>
      </c>
    </row>
    <row r="85">
      <c r="A85" s="23">
        <v>364</v>
      </c>
      <c r="B85" s="4" t="s">
        <v>215</v>
      </c>
      <c r="C85" s="4" t="s">
        <v>179</v>
      </c>
      <c r="D85" s="4" t="s">
        <v>196</v>
      </c>
      <c r="E85" s="4" t="s">
        <v>204</v>
      </c>
      <c r="F85" s="6">
        <v>7</v>
      </c>
      <c r="G85" s="5">
        <v>2</v>
      </c>
      <c r="H85" s="7">
        <v>0</v>
      </c>
      <c r="I85" s="5">
        <v>4</v>
      </c>
      <c r="J85" s="7">
        <v>0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7</v>
      </c>
      <c r="V85" s="5">
        <v>2</v>
      </c>
      <c r="W85" s="7">
        <v>0</v>
      </c>
      <c r="X85" s="5">
        <v>4</v>
      </c>
      <c r="Y85" s="7">
        <v>0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1.75</v>
      </c>
      <c r="AL85" s="5">
        <v>1</v>
      </c>
      <c r="AM85" s="5">
        <v>3</v>
      </c>
      <c r="AN85" s="30">
        <v>0</v>
      </c>
    </row>
    <row r="86">
      <c r="A86" s="24">
        <v>365</v>
      </c>
      <c r="B86" s="9" t="s">
        <v>216</v>
      </c>
      <c r="C86" s="9" t="s">
        <v>63</v>
      </c>
      <c r="D86" s="9" t="s">
        <v>84</v>
      </c>
      <c r="E86" s="9" t="s">
        <v>217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3">
        <v>0</v>
      </c>
    </row>
    <row r="87">
      <c r="A87" s="23">
        <v>367</v>
      </c>
      <c r="B87" s="4" t="s">
        <v>218</v>
      </c>
      <c r="C87" s="4" t="s">
        <v>63</v>
      </c>
      <c r="D87" s="4" t="s">
        <v>120</v>
      </c>
      <c r="E87" s="4" t="s">
        <v>123</v>
      </c>
      <c r="F87" s="6">
        <v>6</v>
      </c>
      <c r="G87" s="7">
        <v>0</v>
      </c>
      <c r="H87" s="7">
        <v>0</v>
      </c>
      <c r="I87" s="7">
        <v>0</v>
      </c>
      <c r="J87" s="5">
        <v>6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7">
        <v>0</v>
      </c>
      <c r="W87" s="7">
        <v>0</v>
      </c>
      <c r="X87" s="7">
        <v>0</v>
      </c>
      <c r="Y87" s="5">
        <v>4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3</v>
      </c>
      <c r="AL87" s="5">
        <v>3</v>
      </c>
      <c r="AM87" s="5">
        <v>4</v>
      </c>
      <c r="AN87" s="28">
        <v>1</v>
      </c>
    </row>
    <row r="88">
      <c r="A88" s="24">
        <v>397</v>
      </c>
      <c r="B88" s="9" t="s">
        <v>219</v>
      </c>
      <c r="C88" s="9" t="s">
        <v>63</v>
      </c>
      <c r="D88" s="9" t="s">
        <v>102</v>
      </c>
      <c r="E88" s="9" t="s">
        <v>220</v>
      </c>
      <c r="F88" s="11">
        <v>2</v>
      </c>
      <c r="G88" s="10">
        <v>1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1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0.5</v>
      </c>
    </row>
    <row r="89">
      <c r="A89" s="23">
        <v>405</v>
      </c>
      <c r="B89" s="4" t="s">
        <v>221</v>
      </c>
      <c r="C89" s="4" t="s">
        <v>63</v>
      </c>
      <c r="D89" s="4" t="s">
        <v>73</v>
      </c>
      <c r="E89" s="4" t="s">
        <v>127</v>
      </c>
      <c r="F89" s="6">
        <v>2</v>
      </c>
      <c r="G89" s="5">
        <v>1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5">
        <v>1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0.26</v>
      </c>
    </row>
    <row r="90">
      <c r="A90" s="24">
        <v>408</v>
      </c>
      <c r="B90" s="9" t="s">
        <v>222</v>
      </c>
      <c r="C90" s="9" t="s">
        <v>63</v>
      </c>
      <c r="D90" s="9" t="s">
        <v>111</v>
      </c>
      <c r="E90" s="9" t="s">
        <v>223</v>
      </c>
      <c r="F90" s="11">
        <v>2</v>
      </c>
      <c r="G90" s="10">
        <v>2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0">
        <v>2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2</v>
      </c>
      <c r="AL90" s="10">
        <v>2</v>
      </c>
      <c r="AM90" s="10">
        <v>2</v>
      </c>
      <c r="AN90" s="29">
        <v>0.5</v>
      </c>
    </row>
    <row r="91">
      <c r="A91" s="23">
        <v>413</v>
      </c>
      <c r="B91" s="4" t="s">
        <v>224</v>
      </c>
      <c r="C91" s="4" t="s">
        <v>63</v>
      </c>
      <c r="D91" s="4" t="s">
        <v>120</v>
      </c>
      <c r="E91" s="4" t="s">
        <v>123</v>
      </c>
      <c r="F91" s="6">
        <v>2</v>
      </c>
      <c r="G91" s="5">
        <v>1</v>
      </c>
      <c r="H91" s="7">
        <v>0</v>
      </c>
      <c r="I91" s="7">
        <v>0</v>
      </c>
      <c r="J91" s="7">
        <v>0</v>
      </c>
      <c r="K91" s="5">
        <v>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1</v>
      </c>
      <c r="W91" s="7">
        <v>0</v>
      </c>
      <c r="X91" s="7">
        <v>0</v>
      </c>
      <c r="Y91" s="7">
        <v>0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0.6</v>
      </c>
    </row>
    <row r="92">
      <c r="A92" s="24">
        <v>415</v>
      </c>
      <c r="B92" s="9" t="s">
        <v>225</v>
      </c>
      <c r="C92" s="9" t="s">
        <v>63</v>
      </c>
      <c r="D92" s="9" t="s">
        <v>73</v>
      </c>
      <c r="E92" s="9" t="s">
        <v>130</v>
      </c>
      <c r="F92" s="11">
        <v>3</v>
      </c>
      <c r="G92" s="10">
        <v>2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3</v>
      </c>
      <c r="V92" s="10">
        <v>2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0.75</v>
      </c>
    </row>
    <row r="93">
      <c r="A93" s="23">
        <v>417</v>
      </c>
      <c r="B93" s="4" t="s">
        <v>226</v>
      </c>
      <c r="C93" s="4" t="s">
        <v>63</v>
      </c>
      <c r="D93" s="4" t="s">
        <v>77</v>
      </c>
      <c r="E93" s="4" t="s">
        <v>78</v>
      </c>
      <c r="F93" s="6">
        <v>6</v>
      </c>
      <c r="G93" s="5">
        <v>3</v>
      </c>
      <c r="H93" s="7">
        <v>0</v>
      </c>
      <c r="I93" s="7">
        <v>0</v>
      </c>
      <c r="J93" s="5">
        <v>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5</v>
      </c>
      <c r="V93" s="5">
        <v>3</v>
      </c>
      <c r="W93" s="7">
        <v>0</v>
      </c>
      <c r="X93" s="7">
        <v>0</v>
      </c>
      <c r="Y93" s="5">
        <v>2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1.5</v>
      </c>
      <c r="AL93" s="5">
        <v>1</v>
      </c>
      <c r="AM93" s="5">
        <v>2</v>
      </c>
      <c r="AN93" s="28">
        <v>1.45</v>
      </c>
    </row>
    <row r="94">
      <c r="A94" s="24">
        <v>419</v>
      </c>
      <c r="B94" s="9" t="s">
        <v>227</v>
      </c>
      <c r="C94" s="9" t="s">
        <v>63</v>
      </c>
      <c r="D94" s="9" t="s">
        <v>120</v>
      </c>
      <c r="E94" s="9" t="s">
        <v>121</v>
      </c>
      <c r="F94" s="11">
        <v>1</v>
      </c>
      <c r="G94" s="12">
        <v>0</v>
      </c>
      <c r="H94" s="12">
        <v>0</v>
      </c>
      <c r="I94" s="10">
        <v>1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0">
        <v>1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0.22</v>
      </c>
    </row>
    <row r="95">
      <c r="A95" s="23">
        <v>420</v>
      </c>
      <c r="B95" s="4" t="s">
        <v>228</v>
      </c>
      <c r="C95" s="4" t="s">
        <v>63</v>
      </c>
      <c r="D95" s="4" t="s">
        <v>120</v>
      </c>
      <c r="E95" s="4" t="s">
        <v>229</v>
      </c>
      <c r="F95" s="6">
        <v>1</v>
      </c>
      <c r="G95" s="7">
        <v>0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7">
        <v>0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0.26</v>
      </c>
    </row>
    <row r="96">
      <c r="A96" s="24">
        <v>424</v>
      </c>
      <c r="B96" s="9" t="s">
        <v>230</v>
      </c>
      <c r="C96" s="9" t="s">
        <v>63</v>
      </c>
      <c r="D96" s="9" t="s">
        <v>73</v>
      </c>
      <c r="E96" s="9" t="s">
        <v>130</v>
      </c>
      <c r="F96" s="11">
        <v>2</v>
      </c>
      <c r="G96" s="10">
        <v>1</v>
      </c>
      <c r="H96" s="10">
        <v>1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</v>
      </c>
      <c r="V96" s="10">
        <v>1</v>
      </c>
      <c r="W96" s="10">
        <v>1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3">
        <v>0</v>
      </c>
    </row>
    <row r="97">
      <c r="A97" s="23">
        <v>425</v>
      </c>
      <c r="B97" s="4" t="s">
        <v>231</v>
      </c>
      <c r="C97" s="4" t="s">
        <v>63</v>
      </c>
      <c r="D97" s="4" t="s">
        <v>120</v>
      </c>
      <c r="E97" s="4" t="s">
        <v>232</v>
      </c>
      <c r="F97" s="6">
        <v>2</v>
      </c>
      <c r="G97" s="5">
        <v>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5">
        <v>2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</v>
      </c>
      <c r="AL97" s="5">
        <v>2</v>
      </c>
      <c r="AM97" s="5">
        <v>2</v>
      </c>
      <c r="AN97" s="28">
        <v>0.48</v>
      </c>
    </row>
    <row r="98">
      <c r="A98" s="24">
        <v>428</v>
      </c>
      <c r="B98" s="9" t="s">
        <v>233</v>
      </c>
      <c r="C98" s="9" t="s">
        <v>63</v>
      </c>
      <c r="D98" s="9" t="s">
        <v>84</v>
      </c>
      <c r="E98" s="9" t="s">
        <v>217</v>
      </c>
      <c r="F98" s="11">
        <v>6</v>
      </c>
      <c r="G98" s="12">
        <v>0</v>
      </c>
      <c r="H98" s="12">
        <v>0</v>
      </c>
      <c r="I98" s="12">
        <v>0</v>
      </c>
      <c r="J98" s="10">
        <v>6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6</v>
      </c>
      <c r="V98" s="12">
        <v>0</v>
      </c>
      <c r="W98" s="12">
        <v>0</v>
      </c>
      <c r="X98" s="12">
        <v>0</v>
      </c>
      <c r="Y98" s="10">
        <v>6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1</v>
      </c>
      <c r="AM98" s="10">
        <v>4</v>
      </c>
      <c r="AN98" s="29">
        <v>1.56</v>
      </c>
    </row>
    <row r="99">
      <c r="A99" s="23">
        <v>430</v>
      </c>
      <c r="B99" s="4" t="s">
        <v>234</v>
      </c>
      <c r="C99" s="4" t="s">
        <v>63</v>
      </c>
      <c r="D99" s="4" t="s">
        <v>77</v>
      </c>
      <c r="E99" s="4" t="s">
        <v>78</v>
      </c>
      <c r="F99" s="6">
        <v>3</v>
      </c>
      <c r="G99" s="7">
        <v>0</v>
      </c>
      <c r="H99" s="7">
        <v>0</v>
      </c>
      <c r="I99" s="7">
        <v>0</v>
      </c>
      <c r="J99" s="5">
        <v>1</v>
      </c>
      <c r="K99" s="5">
        <v>2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3</v>
      </c>
      <c r="V99" s="7">
        <v>0</v>
      </c>
      <c r="W99" s="7">
        <v>0</v>
      </c>
      <c r="X99" s="7">
        <v>0</v>
      </c>
      <c r="Y99" s="5">
        <v>1</v>
      </c>
      <c r="Z99" s="5">
        <v>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1.5</v>
      </c>
      <c r="AL99" s="5">
        <v>1</v>
      </c>
      <c r="AM99" s="5">
        <v>2</v>
      </c>
      <c r="AN99" s="30">
        <v>0</v>
      </c>
    </row>
    <row r="100">
      <c r="A100" s="24">
        <v>435</v>
      </c>
      <c r="B100" s="9" t="s">
        <v>235</v>
      </c>
      <c r="C100" s="9" t="s">
        <v>63</v>
      </c>
      <c r="D100" s="9" t="s">
        <v>120</v>
      </c>
      <c r="E100" s="9" t="s">
        <v>132</v>
      </c>
      <c r="F100" s="11">
        <v>5</v>
      </c>
      <c r="G100" s="10">
        <v>2</v>
      </c>
      <c r="H100" s="12">
        <v>0</v>
      </c>
      <c r="I100" s="12">
        <v>0</v>
      </c>
      <c r="J100" s="10">
        <v>3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4</v>
      </c>
      <c r="V100" s="10">
        <v>2</v>
      </c>
      <c r="W100" s="12">
        <v>0</v>
      </c>
      <c r="X100" s="12">
        <v>0</v>
      </c>
      <c r="Y100" s="10">
        <v>2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2.5</v>
      </c>
      <c r="AL100" s="10">
        <v>2</v>
      </c>
      <c r="AM100" s="10">
        <v>3</v>
      </c>
      <c r="AN100" s="29">
        <v>1.24</v>
      </c>
    </row>
    <row r="101">
      <c r="A101" s="23">
        <v>436</v>
      </c>
      <c r="B101" s="4" t="s">
        <v>236</v>
      </c>
      <c r="C101" s="4" t="s">
        <v>63</v>
      </c>
      <c r="D101" s="4" t="s">
        <v>73</v>
      </c>
      <c r="E101" s="4" t="s">
        <v>237</v>
      </c>
      <c r="F101" s="6">
        <v>3</v>
      </c>
      <c r="G101" s="7">
        <v>0</v>
      </c>
      <c r="H101" s="5">
        <v>2</v>
      </c>
      <c r="I101" s="7">
        <v>0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3</v>
      </c>
      <c r="V101" s="7">
        <v>0</v>
      </c>
      <c r="W101" s="5">
        <v>2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1.5</v>
      </c>
      <c r="AL101" s="5">
        <v>1</v>
      </c>
      <c r="AM101" s="5">
        <v>2</v>
      </c>
      <c r="AN101" s="28">
        <v>0.48</v>
      </c>
    </row>
    <row r="102">
      <c r="A102" s="24">
        <v>437</v>
      </c>
      <c r="B102" s="9" t="s">
        <v>238</v>
      </c>
      <c r="C102" s="9" t="s">
        <v>63</v>
      </c>
      <c r="D102" s="9" t="s">
        <v>73</v>
      </c>
      <c r="E102" s="9" t="s">
        <v>140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3">
        <v>0</v>
      </c>
    </row>
    <row r="103">
      <c r="A103" s="23">
        <v>441</v>
      </c>
      <c r="B103" s="4" t="s">
        <v>239</v>
      </c>
      <c r="C103" s="4" t="s">
        <v>63</v>
      </c>
      <c r="D103" s="4" t="s">
        <v>111</v>
      </c>
      <c r="E103" s="4" t="s">
        <v>240</v>
      </c>
      <c r="F103" s="6">
        <v>1</v>
      </c>
      <c r="G103" s="7">
        <v>0</v>
      </c>
      <c r="H103" s="7">
        <v>0</v>
      </c>
      <c r="I103" s="5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7">
        <v>0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0.22</v>
      </c>
    </row>
    <row r="104">
      <c r="A104" s="24">
        <v>445</v>
      </c>
      <c r="B104" s="9" t="s">
        <v>241</v>
      </c>
      <c r="C104" s="9" t="s">
        <v>63</v>
      </c>
      <c r="D104" s="9" t="s">
        <v>77</v>
      </c>
      <c r="E104" s="9" t="s">
        <v>78</v>
      </c>
      <c r="F104" s="11">
        <v>2</v>
      </c>
      <c r="G104" s="12">
        <v>0</v>
      </c>
      <c r="H104" s="12">
        <v>0</v>
      </c>
      <c r="I104" s="10">
        <v>1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2">
        <v>0</v>
      </c>
      <c r="W104" s="12">
        <v>0</v>
      </c>
      <c r="X104" s="10">
        <v>1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3">
        <v>0</v>
      </c>
    </row>
    <row r="105">
      <c r="A105" s="23">
        <v>446</v>
      </c>
      <c r="B105" s="4" t="s">
        <v>242</v>
      </c>
      <c r="C105" s="4" t="s">
        <v>63</v>
      </c>
      <c r="D105" s="4" t="s">
        <v>111</v>
      </c>
      <c r="E105" s="4" t="s">
        <v>243</v>
      </c>
      <c r="F105" s="6">
        <v>1</v>
      </c>
      <c r="G105" s="7">
        <v>0</v>
      </c>
      <c r="H105" s="7">
        <v>0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7">
        <v>0</v>
      </c>
      <c r="W105" s="7">
        <v>0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0.22</v>
      </c>
    </row>
    <row r="106">
      <c r="A106" s="24">
        <v>448</v>
      </c>
      <c r="B106" s="9" t="s">
        <v>244</v>
      </c>
      <c r="C106" s="9" t="s">
        <v>63</v>
      </c>
      <c r="D106" s="9" t="s">
        <v>84</v>
      </c>
      <c r="E106" s="9" t="s">
        <v>217</v>
      </c>
      <c r="F106" s="11">
        <v>3</v>
      </c>
      <c r="G106" s="12">
        <v>0</v>
      </c>
      <c r="H106" s="12">
        <v>0</v>
      </c>
      <c r="I106" s="12">
        <v>0</v>
      </c>
      <c r="J106" s="10">
        <v>3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2">
        <v>0</v>
      </c>
      <c r="W106" s="12">
        <v>0</v>
      </c>
      <c r="X106" s="12">
        <v>0</v>
      </c>
      <c r="Y106" s="10">
        <v>2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29">
        <v>0.5</v>
      </c>
    </row>
    <row r="107">
      <c r="A107" s="23">
        <v>449</v>
      </c>
      <c r="B107" s="4" t="s">
        <v>245</v>
      </c>
      <c r="C107" s="4" t="s">
        <v>63</v>
      </c>
      <c r="D107" s="4" t="s">
        <v>77</v>
      </c>
      <c r="E107" s="4" t="s">
        <v>78</v>
      </c>
      <c r="F107" s="6">
        <v>7</v>
      </c>
      <c r="G107" s="5">
        <v>2</v>
      </c>
      <c r="H107" s="7">
        <v>0</v>
      </c>
      <c r="I107" s="7">
        <v>0</v>
      </c>
      <c r="J107" s="5">
        <v>5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6</v>
      </c>
      <c r="V107" s="5">
        <v>2</v>
      </c>
      <c r="W107" s="7">
        <v>0</v>
      </c>
      <c r="X107" s="7">
        <v>0</v>
      </c>
      <c r="Y107" s="5">
        <v>4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1.75</v>
      </c>
      <c r="AL107" s="5">
        <v>2</v>
      </c>
      <c r="AM107" s="5">
        <v>2</v>
      </c>
      <c r="AN107" s="28">
        <v>1.5</v>
      </c>
    </row>
    <row r="108">
      <c r="A108" s="24">
        <v>450</v>
      </c>
      <c r="B108" s="9" t="s">
        <v>246</v>
      </c>
      <c r="C108" s="9" t="s">
        <v>63</v>
      </c>
      <c r="D108" s="9" t="s">
        <v>77</v>
      </c>
      <c r="E108" s="9" t="s">
        <v>78</v>
      </c>
      <c r="F108" s="11">
        <v>5</v>
      </c>
      <c r="G108" s="10">
        <v>3</v>
      </c>
      <c r="H108" s="12">
        <v>0</v>
      </c>
      <c r="I108" s="12">
        <v>0</v>
      </c>
      <c r="J108" s="12">
        <v>0</v>
      </c>
      <c r="K108" s="12">
        <v>0</v>
      </c>
      <c r="L108" s="10">
        <v>2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5</v>
      </c>
      <c r="V108" s="10">
        <v>3</v>
      </c>
      <c r="W108" s="12">
        <v>0</v>
      </c>
      <c r="X108" s="12">
        <v>0</v>
      </c>
      <c r="Y108" s="12">
        <v>0</v>
      </c>
      <c r="Z108" s="12">
        <v>0</v>
      </c>
      <c r="AA108" s="10">
        <v>2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2.5</v>
      </c>
      <c r="AL108" s="10">
        <v>2</v>
      </c>
      <c r="AM108" s="10">
        <v>3</v>
      </c>
      <c r="AN108" s="43">
        <v>0</v>
      </c>
    </row>
    <row r="109">
      <c r="A109" s="23">
        <v>457</v>
      </c>
      <c r="B109" s="4" t="s">
        <v>247</v>
      </c>
      <c r="C109" s="4" t="s">
        <v>248</v>
      </c>
      <c r="D109" s="4" t="s">
        <v>249</v>
      </c>
      <c r="E109" s="4" t="s">
        <v>250</v>
      </c>
      <c r="F109" s="6">
        <v>2</v>
      </c>
      <c r="G109" s="7">
        <v>0</v>
      </c>
      <c r="H109" s="5">
        <v>2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7">
        <v>0</v>
      </c>
      <c r="W109" s="5">
        <v>2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28">
        <v>0.48</v>
      </c>
    </row>
    <row r="110">
      <c r="A110" s="24">
        <v>458</v>
      </c>
      <c r="B110" s="9" t="s">
        <v>251</v>
      </c>
      <c r="C110" s="9" t="s">
        <v>63</v>
      </c>
      <c r="D110" s="9" t="s">
        <v>120</v>
      </c>
      <c r="E110" s="9" t="s">
        <v>165</v>
      </c>
      <c r="F110" s="11">
        <v>2</v>
      </c>
      <c r="G110" s="12">
        <v>0</v>
      </c>
      <c r="H110" s="12">
        <v>0</v>
      </c>
      <c r="I110" s="12">
        <v>0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29">
        <v>0.25</v>
      </c>
    </row>
    <row r="111">
      <c r="A111" s="23">
        <v>470</v>
      </c>
      <c r="B111" s="4" t="s">
        <v>252</v>
      </c>
      <c r="C111" s="4" t="s">
        <v>63</v>
      </c>
      <c r="D111" s="4" t="s">
        <v>73</v>
      </c>
      <c r="E111" s="4" t="s">
        <v>253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471</v>
      </c>
      <c r="B112" s="9" t="s">
        <v>254</v>
      </c>
      <c r="C112" s="9" t="s">
        <v>63</v>
      </c>
      <c r="D112" s="9" t="s">
        <v>73</v>
      </c>
      <c r="E112" s="9" t="s">
        <v>171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473</v>
      </c>
      <c r="B113" s="4" t="s">
        <v>255</v>
      </c>
      <c r="C113" s="4" t="s">
        <v>179</v>
      </c>
      <c r="D113" s="4" t="s">
        <v>206</v>
      </c>
      <c r="E113" s="4" t="s">
        <v>207</v>
      </c>
      <c r="F113" s="6">
        <v>3</v>
      </c>
      <c r="G113" s="7">
        <v>0</v>
      </c>
      <c r="H113" s="5">
        <v>2</v>
      </c>
      <c r="I113" s="7">
        <v>0</v>
      </c>
      <c r="J113" s="7">
        <v>0</v>
      </c>
      <c r="K113" s="5">
        <v>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</v>
      </c>
      <c r="V113" s="7">
        <v>0</v>
      </c>
      <c r="W113" s="5">
        <v>1</v>
      </c>
      <c r="X113" s="7">
        <v>0</v>
      </c>
      <c r="Y113" s="7">
        <v>0</v>
      </c>
      <c r="Z113" s="5">
        <v>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30">
        <v>0</v>
      </c>
    </row>
    <row r="114">
      <c r="A114" s="24">
        <v>478</v>
      </c>
      <c r="B114" s="9" t="s">
        <v>256</v>
      </c>
      <c r="C114" s="9" t="s">
        <v>63</v>
      </c>
      <c r="D114" s="9" t="s">
        <v>120</v>
      </c>
      <c r="E114" s="9" t="s">
        <v>132</v>
      </c>
      <c r="F114" s="11">
        <v>1</v>
      </c>
      <c r="G114" s="12">
        <v>0</v>
      </c>
      <c r="H114" s="12">
        <v>0</v>
      </c>
      <c r="I114" s="12">
        <v>0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482</v>
      </c>
      <c r="B115" s="4" t="s">
        <v>257</v>
      </c>
      <c r="C115" s="4" t="s">
        <v>63</v>
      </c>
      <c r="D115" s="4" t="s">
        <v>120</v>
      </c>
      <c r="E115" s="4" t="s">
        <v>258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486</v>
      </c>
      <c r="B116" s="9" t="s">
        <v>259</v>
      </c>
      <c r="C116" s="9" t="s">
        <v>63</v>
      </c>
      <c r="D116" s="9" t="s">
        <v>77</v>
      </c>
      <c r="E116" s="9" t="s">
        <v>78</v>
      </c>
      <c r="F116" s="11">
        <v>2</v>
      </c>
      <c r="G116" s="10">
        <v>2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0">
        <v>2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43">
        <v>0</v>
      </c>
    </row>
    <row r="117">
      <c r="A117" s="23">
        <v>489</v>
      </c>
      <c r="B117" s="4" t="s">
        <v>260</v>
      </c>
      <c r="C117" s="4" t="s">
        <v>179</v>
      </c>
      <c r="D117" s="4" t="s">
        <v>180</v>
      </c>
      <c r="E117" s="4" t="s">
        <v>181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490</v>
      </c>
      <c r="B118" s="9" t="s">
        <v>261</v>
      </c>
      <c r="C118" s="9" t="s">
        <v>63</v>
      </c>
      <c r="D118" s="9" t="s">
        <v>77</v>
      </c>
      <c r="E118" s="9" t="s">
        <v>78</v>
      </c>
      <c r="F118" s="11">
        <v>8</v>
      </c>
      <c r="G118" s="10">
        <v>4</v>
      </c>
      <c r="H118" s="12">
        <v>0</v>
      </c>
      <c r="I118" s="10">
        <v>1</v>
      </c>
      <c r="J118" s="10">
        <v>2</v>
      </c>
      <c r="K118" s="12">
        <v>0</v>
      </c>
      <c r="L118" s="10">
        <v>1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8</v>
      </c>
      <c r="V118" s="10">
        <v>4</v>
      </c>
      <c r="W118" s="12">
        <v>0</v>
      </c>
      <c r="X118" s="10">
        <v>1</v>
      </c>
      <c r="Y118" s="10">
        <v>2</v>
      </c>
      <c r="Z118" s="12">
        <v>0</v>
      </c>
      <c r="AA118" s="10">
        <v>1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1.33</v>
      </c>
      <c r="AL118" s="10">
        <v>1</v>
      </c>
      <c r="AM118" s="10">
        <v>3</v>
      </c>
      <c r="AN118" s="29">
        <v>0.89</v>
      </c>
    </row>
    <row r="119">
      <c r="A119" s="23">
        <v>493</v>
      </c>
      <c r="B119" s="4" t="s">
        <v>262</v>
      </c>
      <c r="C119" s="4" t="s">
        <v>63</v>
      </c>
      <c r="D119" s="4" t="s">
        <v>111</v>
      </c>
      <c r="E119" s="4" t="s">
        <v>112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30">
        <v>0</v>
      </c>
    </row>
    <row r="120">
      <c r="A120" s="24">
        <v>500</v>
      </c>
      <c r="B120" s="9" t="s">
        <v>263</v>
      </c>
      <c r="C120" s="9" t="s">
        <v>264</v>
      </c>
      <c r="D120" s="9" t="s">
        <v>265</v>
      </c>
      <c r="E120" s="9" t="s">
        <v>266</v>
      </c>
      <c r="F120" s="11">
        <v>4</v>
      </c>
      <c r="G120" s="12">
        <v>0</v>
      </c>
      <c r="H120" s="10">
        <v>1</v>
      </c>
      <c r="I120" s="12">
        <v>0</v>
      </c>
      <c r="J120" s="10">
        <v>3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2">
        <v>0</v>
      </c>
      <c r="W120" s="10">
        <v>1</v>
      </c>
      <c r="X120" s="12">
        <v>0</v>
      </c>
      <c r="Y120" s="10">
        <v>3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1.33</v>
      </c>
      <c r="AL120" s="10">
        <v>1</v>
      </c>
      <c r="AM120" s="10">
        <v>2</v>
      </c>
      <c r="AN120" s="29">
        <v>1.04</v>
      </c>
    </row>
    <row r="121">
      <c r="A121" s="23">
        <v>508</v>
      </c>
      <c r="B121" s="4" t="s">
        <v>267</v>
      </c>
      <c r="C121" s="4" t="s">
        <v>63</v>
      </c>
      <c r="D121" s="4" t="s">
        <v>120</v>
      </c>
      <c r="E121" s="4" t="s">
        <v>142</v>
      </c>
      <c r="F121" s="6">
        <v>2</v>
      </c>
      <c r="G121" s="5">
        <v>1</v>
      </c>
      <c r="H121" s="5">
        <v>1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1</v>
      </c>
      <c r="W121" s="5">
        <v>1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0.26</v>
      </c>
    </row>
    <row r="122">
      <c r="A122" s="24">
        <v>512</v>
      </c>
      <c r="B122" s="9" t="s">
        <v>268</v>
      </c>
      <c r="C122" s="9" t="s">
        <v>63</v>
      </c>
      <c r="D122" s="9" t="s">
        <v>120</v>
      </c>
      <c r="E122" s="9" t="s">
        <v>121</v>
      </c>
      <c r="F122" s="11">
        <v>3</v>
      </c>
      <c r="G122" s="10">
        <v>2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0">
        <v>2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1.5</v>
      </c>
      <c r="AL122" s="10">
        <v>1</v>
      </c>
      <c r="AM122" s="10">
        <v>2</v>
      </c>
      <c r="AN122" s="29">
        <v>0.99</v>
      </c>
    </row>
    <row r="123">
      <c r="A123" s="23">
        <v>520</v>
      </c>
      <c r="B123" s="4" t="s">
        <v>269</v>
      </c>
      <c r="C123" s="4" t="s">
        <v>63</v>
      </c>
      <c r="D123" s="4" t="s">
        <v>111</v>
      </c>
      <c r="E123" s="4" t="s">
        <v>243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0.26</v>
      </c>
    </row>
    <row r="124">
      <c r="A124" s="24">
        <v>521</v>
      </c>
      <c r="B124" s="9" t="s">
        <v>270</v>
      </c>
      <c r="C124" s="9" t="s">
        <v>63</v>
      </c>
      <c r="D124" s="9" t="s">
        <v>67</v>
      </c>
      <c r="E124" s="9" t="s">
        <v>271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0.26</v>
      </c>
    </row>
    <row r="125">
      <c r="A125" s="23">
        <v>522</v>
      </c>
      <c r="B125" s="4" t="s">
        <v>272</v>
      </c>
      <c r="C125" s="4" t="s">
        <v>63</v>
      </c>
      <c r="D125" s="4" t="s">
        <v>120</v>
      </c>
      <c r="E125" s="4" t="s">
        <v>121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0.26</v>
      </c>
    </row>
    <row r="126">
      <c r="A126" s="24">
        <v>529</v>
      </c>
      <c r="B126" s="9" t="s">
        <v>273</v>
      </c>
      <c r="C126" s="9" t="s">
        <v>63</v>
      </c>
      <c r="D126" s="9" t="s">
        <v>77</v>
      </c>
      <c r="E126" s="9" t="s">
        <v>87</v>
      </c>
      <c r="F126" s="11">
        <v>1</v>
      </c>
      <c r="G126" s="12">
        <v>0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2">
        <v>0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3">
        <v>0</v>
      </c>
    </row>
    <row r="127">
      <c r="A127" s="23">
        <v>537</v>
      </c>
      <c r="B127" s="4" t="s">
        <v>274</v>
      </c>
      <c r="C127" s="4" t="s">
        <v>63</v>
      </c>
      <c r="D127" s="4" t="s">
        <v>73</v>
      </c>
      <c r="E127" s="4" t="s">
        <v>275</v>
      </c>
      <c r="F127" s="6">
        <v>2</v>
      </c>
      <c r="G127" s="5">
        <v>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2</v>
      </c>
      <c r="AL127" s="5">
        <v>2</v>
      </c>
      <c r="AM127" s="5">
        <v>2</v>
      </c>
      <c r="AN127" s="28">
        <v>0.74</v>
      </c>
    </row>
    <row r="128">
      <c r="A128" s="24">
        <v>542</v>
      </c>
      <c r="B128" s="9" t="s">
        <v>276</v>
      </c>
      <c r="C128" s="9" t="s">
        <v>63</v>
      </c>
      <c r="D128" s="9" t="s">
        <v>73</v>
      </c>
      <c r="E128" s="9" t="s">
        <v>275</v>
      </c>
      <c r="F128" s="11">
        <v>5</v>
      </c>
      <c r="G128" s="10">
        <v>4</v>
      </c>
      <c r="H128" s="10">
        <v>1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1</v>
      </c>
      <c r="W128" s="10">
        <v>1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2.5</v>
      </c>
      <c r="AL128" s="10">
        <v>2</v>
      </c>
      <c r="AM128" s="10">
        <v>4</v>
      </c>
      <c r="AN128" s="29">
        <v>0.5</v>
      </c>
    </row>
    <row r="129">
      <c r="A129" s="23">
        <v>543</v>
      </c>
      <c r="B129" s="4" t="s">
        <v>277</v>
      </c>
      <c r="C129" s="4" t="s">
        <v>63</v>
      </c>
      <c r="D129" s="4" t="s">
        <v>73</v>
      </c>
      <c r="E129" s="4" t="s">
        <v>275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559</v>
      </c>
      <c r="B130" s="9" t="s">
        <v>278</v>
      </c>
      <c r="C130" s="9" t="s">
        <v>63</v>
      </c>
      <c r="D130" s="9" t="s">
        <v>70</v>
      </c>
      <c r="E130" s="9" t="s">
        <v>71</v>
      </c>
      <c r="F130" s="11">
        <v>4</v>
      </c>
      <c r="G130" s="10">
        <v>3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</v>
      </c>
      <c r="V130" s="10">
        <v>3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</v>
      </c>
      <c r="AL130" s="10">
        <v>2</v>
      </c>
      <c r="AM130" s="10">
        <v>3</v>
      </c>
      <c r="AN130" s="29">
        <v>0.25</v>
      </c>
    </row>
    <row r="131">
      <c r="A131" s="23">
        <v>567</v>
      </c>
      <c r="B131" s="4" t="s">
        <v>279</v>
      </c>
      <c r="C131" s="4" t="s">
        <v>63</v>
      </c>
      <c r="D131" s="4" t="s">
        <v>67</v>
      </c>
      <c r="E131" s="4" t="s">
        <v>168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574</v>
      </c>
      <c r="B132" s="9" t="s">
        <v>280</v>
      </c>
      <c r="C132" s="9" t="s">
        <v>63</v>
      </c>
      <c r="D132" s="9" t="s">
        <v>67</v>
      </c>
      <c r="E132" s="9" t="s">
        <v>168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43">
        <v>0</v>
      </c>
    </row>
    <row r="133">
      <c r="A133" s="23">
        <v>578</v>
      </c>
      <c r="B133" s="4" t="s">
        <v>281</v>
      </c>
      <c r="C133" s="4" t="s">
        <v>63</v>
      </c>
      <c r="D133" s="4" t="s">
        <v>67</v>
      </c>
      <c r="E133" s="4" t="s">
        <v>168</v>
      </c>
      <c r="F133" s="6">
        <v>1</v>
      </c>
      <c r="G133" s="7">
        <v>0</v>
      </c>
      <c r="H133" s="5">
        <v>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7">
        <v>0</v>
      </c>
      <c r="W133" s="5">
        <v>1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579</v>
      </c>
      <c r="B134" s="9" t="s">
        <v>282</v>
      </c>
      <c r="C134" s="9" t="s">
        <v>63</v>
      </c>
      <c r="D134" s="9" t="s">
        <v>67</v>
      </c>
      <c r="E134" s="9" t="s">
        <v>168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587</v>
      </c>
      <c r="B135" s="4" t="s">
        <v>283</v>
      </c>
      <c r="C135" s="4" t="s">
        <v>63</v>
      </c>
      <c r="D135" s="4" t="s">
        <v>67</v>
      </c>
      <c r="E135" s="4" t="s">
        <v>68</v>
      </c>
      <c r="F135" s="6">
        <v>2</v>
      </c>
      <c r="G135" s="7">
        <v>0</v>
      </c>
      <c r="H135" s="5">
        <v>2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7">
        <v>0</v>
      </c>
      <c r="W135" s="5">
        <v>2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28">
        <v>0.5</v>
      </c>
    </row>
    <row r="136">
      <c r="A136" s="24">
        <v>591</v>
      </c>
      <c r="B136" s="9" t="s">
        <v>284</v>
      </c>
      <c r="C136" s="9" t="s">
        <v>63</v>
      </c>
      <c r="D136" s="9" t="s">
        <v>67</v>
      </c>
      <c r="E136" s="9" t="s">
        <v>271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593</v>
      </c>
      <c r="B137" s="4" t="s">
        <v>285</v>
      </c>
      <c r="C137" s="4" t="s">
        <v>63</v>
      </c>
      <c r="D137" s="4" t="s">
        <v>67</v>
      </c>
      <c r="E137" s="4" t="s">
        <v>271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597</v>
      </c>
      <c r="B138" s="9" t="s">
        <v>286</v>
      </c>
      <c r="C138" s="9" t="s">
        <v>63</v>
      </c>
      <c r="D138" s="9" t="s">
        <v>67</v>
      </c>
      <c r="E138" s="9" t="s">
        <v>271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599</v>
      </c>
      <c r="B139" s="4" t="s">
        <v>287</v>
      </c>
      <c r="C139" s="4" t="s">
        <v>63</v>
      </c>
      <c r="D139" s="4" t="s">
        <v>67</v>
      </c>
      <c r="E139" s="4" t="s">
        <v>271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601</v>
      </c>
      <c r="B140" s="9" t="s">
        <v>288</v>
      </c>
      <c r="C140" s="9" t="s">
        <v>63</v>
      </c>
      <c r="D140" s="9" t="s">
        <v>67</v>
      </c>
      <c r="E140" s="9" t="s">
        <v>271</v>
      </c>
      <c r="F140" s="11">
        <v>3</v>
      </c>
      <c r="G140" s="10">
        <v>3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3</v>
      </c>
      <c r="V140" s="10">
        <v>3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3</v>
      </c>
      <c r="AK140" s="13">
        <v>3</v>
      </c>
      <c r="AL140" s="10">
        <v>3</v>
      </c>
      <c r="AM140" s="10">
        <v>3</v>
      </c>
      <c r="AN140" s="43">
        <v>0</v>
      </c>
    </row>
    <row r="141">
      <c r="A141" s="23">
        <v>613</v>
      </c>
      <c r="B141" s="4" t="s">
        <v>289</v>
      </c>
      <c r="C141" s="4" t="s">
        <v>63</v>
      </c>
      <c r="D141" s="4" t="s">
        <v>67</v>
      </c>
      <c r="E141" s="4" t="s">
        <v>271</v>
      </c>
      <c r="F141" s="6">
        <v>5</v>
      </c>
      <c r="G141" s="5">
        <v>4</v>
      </c>
      <c r="H141" s="7">
        <v>0</v>
      </c>
      <c r="I141" s="5">
        <v>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3</v>
      </c>
      <c r="W141" s="7">
        <v>0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1.67</v>
      </c>
      <c r="AL141" s="5">
        <v>1</v>
      </c>
      <c r="AM141" s="5">
        <v>3</v>
      </c>
      <c r="AN141" s="28">
        <v>0.5</v>
      </c>
    </row>
    <row r="142">
      <c r="A142" s="24">
        <v>623</v>
      </c>
      <c r="B142" s="9" t="s">
        <v>290</v>
      </c>
      <c r="C142" s="9" t="s">
        <v>63</v>
      </c>
      <c r="D142" s="9" t="s">
        <v>120</v>
      </c>
      <c r="E142" s="9" t="s">
        <v>291</v>
      </c>
      <c r="F142" s="11">
        <v>5</v>
      </c>
      <c r="G142" s="10">
        <v>2</v>
      </c>
      <c r="H142" s="10">
        <v>2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4</v>
      </c>
      <c r="V142" s="10">
        <v>2</v>
      </c>
      <c r="W142" s="10">
        <v>1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1.67</v>
      </c>
      <c r="AL142" s="10">
        <v>2</v>
      </c>
      <c r="AM142" s="10">
        <v>2</v>
      </c>
      <c r="AN142" s="29">
        <v>0.5</v>
      </c>
    </row>
    <row r="143">
      <c r="A143" s="23">
        <v>659</v>
      </c>
      <c r="B143" s="4" t="s">
        <v>292</v>
      </c>
      <c r="C143" s="4" t="s">
        <v>63</v>
      </c>
      <c r="D143" s="4" t="s">
        <v>73</v>
      </c>
      <c r="E143" s="4" t="s">
        <v>127</v>
      </c>
      <c r="F143" s="6">
        <v>4</v>
      </c>
      <c r="G143" s="5">
        <v>1</v>
      </c>
      <c r="H143" s="5">
        <v>2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4</v>
      </c>
      <c r="V143" s="5">
        <v>1</v>
      </c>
      <c r="W143" s="5">
        <v>2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1.33</v>
      </c>
      <c r="AL143" s="5">
        <v>1</v>
      </c>
      <c r="AM143" s="5">
        <v>2</v>
      </c>
      <c r="AN143" s="28">
        <v>0.75</v>
      </c>
    </row>
    <row r="144">
      <c r="A144" s="24">
        <v>661</v>
      </c>
      <c r="B144" s="9" t="s">
        <v>293</v>
      </c>
      <c r="C144" s="9" t="s">
        <v>63</v>
      </c>
      <c r="D144" s="9" t="s">
        <v>73</v>
      </c>
      <c r="E144" s="9" t="s">
        <v>127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0.22</v>
      </c>
    </row>
    <row r="145">
      <c r="A145" s="23">
        <v>673</v>
      </c>
      <c r="B145" s="4" t="s">
        <v>294</v>
      </c>
      <c r="C145" s="4" t="s">
        <v>63</v>
      </c>
      <c r="D145" s="4" t="s">
        <v>73</v>
      </c>
      <c r="E145" s="4" t="s">
        <v>127</v>
      </c>
      <c r="F145" s="6">
        <v>1</v>
      </c>
      <c r="G145" s="7">
        <v>0</v>
      </c>
      <c r="H145" s="5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5">
        <v>1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682</v>
      </c>
      <c r="B146" s="9" t="s">
        <v>295</v>
      </c>
      <c r="C146" s="9" t="s">
        <v>63</v>
      </c>
      <c r="D146" s="9" t="s">
        <v>73</v>
      </c>
      <c r="E146" s="9" t="s">
        <v>127</v>
      </c>
      <c r="F146" s="11">
        <v>1</v>
      </c>
      <c r="G146" s="12">
        <v>0</v>
      </c>
      <c r="H146" s="10">
        <v>1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0">
        <v>1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688</v>
      </c>
      <c r="B147" s="4" t="s">
        <v>296</v>
      </c>
      <c r="C147" s="4" t="s">
        <v>63</v>
      </c>
      <c r="D147" s="4" t="s">
        <v>73</v>
      </c>
      <c r="E147" s="4" t="s">
        <v>127</v>
      </c>
      <c r="F147" s="6">
        <v>7</v>
      </c>
      <c r="G147" s="7">
        <v>0</v>
      </c>
      <c r="H147" s="5">
        <v>1</v>
      </c>
      <c r="I147" s="7">
        <v>0</v>
      </c>
      <c r="J147" s="5">
        <v>6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7</v>
      </c>
      <c r="V147" s="7">
        <v>0</v>
      </c>
      <c r="W147" s="5">
        <v>1</v>
      </c>
      <c r="X147" s="7">
        <v>0</v>
      </c>
      <c r="Y147" s="5">
        <v>6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3.5</v>
      </c>
      <c r="AL147" s="5">
        <v>3</v>
      </c>
      <c r="AM147" s="5">
        <v>6</v>
      </c>
      <c r="AN147" s="30">
        <v>0</v>
      </c>
    </row>
    <row r="148">
      <c r="A148" s="24">
        <v>689</v>
      </c>
      <c r="B148" s="9" t="s">
        <v>297</v>
      </c>
      <c r="C148" s="9" t="s">
        <v>63</v>
      </c>
      <c r="D148" s="9" t="s">
        <v>73</v>
      </c>
      <c r="E148" s="9" t="s">
        <v>127</v>
      </c>
      <c r="F148" s="11">
        <v>2</v>
      </c>
      <c r="G148" s="12">
        <v>0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2">
        <v>0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29">
        <v>0.5</v>
      </c>
    </row>
    <row r="149">
      <c r="A149" s="23">
        <v>690</v>
      </c>
      <c r="B149" s="4" t="s">
        <v>298</v>
      </c>
      <c r="C149" s="4" t="s">
        <v>63</v>
      </c>
      <c r="D149" s="4" t="s">
        <v>73</v>
      </c>
      <c r="E149" s="4" t="s">
        <v>127</v>
      </c>
      <c r="F149" s="6">
        <v>3</v>
      </c>
      <c r="G149" s="5">
        <v>1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1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28">
        <v>0.5</v>
      </c>
    </row>
    <row r="150">
      <c r="A150" s="24">
        <v>704</v>
      </c>
      <c r="B150" s="9" t="s">
        <v>299</v>
      </c>
      <c r="C150" s="9" t="s">
        <v>63</v>
      </c>
      <c r="D150" s="9" t="s">
        <v>73</v>
      </c>
      <c r="E150" s="9" t="s">
        <v>127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0.34</v>
      </c>
    </row>
    <row r="151">
      <c r="A151" s="23">
        <v>707</v>
      </c>
      <c r="B151" s="4" t="s">
        <v>300</v>
      </c>
      <c r="C151" s="4" t="s">
        <v>63</v>
      </c>
      <c r="D151" s="4" t="s">
        <v>73</v>
      </c>
      <c r="E151" s="4" t="s">
        <v>237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713</v>
      </c>
      <c r="B152" s="9" t="s">
        <v>301</v>
      </c>
      <c r="C152" s="9" t="s">
        <v>63</v>
      </c>
      <c r="D152" s="9" t="s">
        <v>73</v>
      </c>
      <c r="E152" s="9" t="s">
        <v>237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0.26</v>
      </c>
    </row>
    <row r="153">
      <c r="A153" s="23">
        <v>724</v>
      </c>
      <c r="B153" s="4" t="s">
        <v>302</v>
      </c>
      <c r="C153" s="4" t="s">
        <v>63</v>
      </c>
      <c r="D153" s="4" t="s">
        <v>73</v>
      </c>
      <c r="E153" s="4" t="s">
        <v>237</v>
      </c>
      <c r="F153" s="6">
        <v>2</v>
      </c>
      <c r="G153" s="7">
        <v>0</v>
      </c>
      <c r="H153" s="5">
        <v>1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7">
        <v>0</v>
      </c>
      <c r="W153" s="5">
        <v>1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0.5</v>
      </c>
    </row>
    <row r="154">
      <c r="A154" s="24">
        <v>727</v>
      </c>
      <c r="B154" s="9" t="s">
        <v>303</v>
      </c>
      <c r="C154" s="9" t="s">
        <v>63</v>
      </c>
      <c r="D154" s="9" t="s">
        <v>73</v>
      </c>
      <c r="E154" s="9" t="s">
        <v>237</v>
      </c>
      <c r="F154" s="11">
        <v>1</v>
      </c>
      <c r="G154" s="12">
        <v>0</v>
      </c>
      <c r="H154" s="12">
        <v>0</v>
      </c>
      <c r="I154" s="10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0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3">
        <v>0</v>
      </c>
    </row>
    <row r="155">
      <c r="A155" s="23">
        <v>731</v>
      </c>
      <c r="B155" s="4" t="s">
        <v>304</v>
      </c>
      <c r="C155" s="4" t="s">
        <v>63</v>
      </c>
      <c r="D155" s="4" t="s">
        <v>73</v>
      </c>
      <c r="E155" s="4" t="s">
        <v>237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738</v>
      </c>
      <c r="B156" s="9" t="s">
        <v>305</v>
      </c>
      <c r="C156" s="9" t="s">
        <v>63</v>
      </c>
      <c r="D156" s="9" t="s">
        <v>73</v>
      </c>
      <c r="E156" s="9" t="s">
        <v>237</v>
      </c>
      <c r="F156" s="11">
        <v>2</v>
      </c>
      <c r="G156" s="10">
        <v>1</v>
      </c>
      <c r="H156" s="10">
        <v>1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1</v>
      </c>
      <c r="W156" s="10">
        <v>1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0.35</v>
      </c>
    </row>
    <row r="157">
      <c r="A157" s="23">
        <v>762</v>
      </c>
      <c r="B157" s="4" t="s">
        <v>306</v>
      </c>
      <c r="C157" s="4" t="s">
        <v>63</v>
      </c>
      <c r="D157" s="4" t="s">
        <v>120</v>
      </c>
      <c r="E157" s="4" t="s">
        <v>132</v>
      </c>
      <c r="F157" s="6">
        <v>2</v>
      </c>
      <c r="G157" s="7">
        <v>0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7">
        <v>0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0.5</v>
      </c>
    </row>
    <row r="158">
      <c r="A158" s="24">
        <v>763</v>
      </c>
      <c r="B158" s="9" t="s">
        <v>307</v>
      </c>
      <c r="C158" s="9" t="s">
        <v>63</v>
      </c>
      <c r="D158" s="9" t="s">
        <v>73</v>
      </c>
      <c r="E158" s="9" t="s">
        <v>308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765</v>
      </c>
      <c r="B159" s="4" t="s">
        <v>309</v>
      </c>
      <c r="C159" s="4" t="s">
        <v>63</v>
      </c>
      <c r="D159" s="4" t="s">
        <v>84</v>
      </c>
      <c r="E159" s="4" t="s">
        <v>106</v>
      </c>
      <c r="F159" s="6">
        <v>4</v>
      </c>
      <c r="G159" s="5">
        <v>3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</v>
      </c>
      <c r="V159" s="5">
        <v>2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1.33</v>
      </c>
      <c r="AL159" s="5">
        <v>1</v>
      </c>
      <c r="AM159" s="5">
        <v>2</v>
      </c>
      <c r="AN159" s="28">
        <v>0.5</v>
      </c>
    </row>
    <row r="160">
      <c r="A160" s="24">
        <v>804</v>
      </c>
      <c r="B160" s="9" t="s">
        <v>310</v>
      </c>
      <c r="C160" s="9" t="s">
        <v>63</v>
      </c>
      <c r="D160" s="9" t="s">
        <v>73</v>
      </c>
      <c r="E160" s="9" t="s">
        <v>308</v>
      </c>
      <c r="F160" s="11">
        <v>2</v>
      </c>
      <c r="G160" s="12">
        <v>0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29">
        <v>0.24</v>
      </c>
    </row>
    <row r="161">
      <c r="A161" s="23">
        <v>820</v>
      </c>
      <c r="B161" s="4" t="s">
        <v>311</v>
      </c>
      <c r="C161" s="4" t="s">
        <v>63</v>
      </c>
      <c r="D161" s="4" t="s">
        <v>73</v>
      </c>
      <c r="E161" s="4" t="s">
        <v>312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821</v>
      </c>
      <c r="B162" s="9" t="s">
        <v>313</v>
      </c>
      <c r="C162" s="9" t="s">
        <v>63</v>
      </c>
      <c r="D162" s="9" t="s">
        <v>73</v>
      </c>
      <c r="E162" s="9" t="s">
        <v>312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0.22</v>
      </c>
    </row>
    <row r="163">
      <c r="A163" s="23">
        <v>832</v>
      </c>
      <c r="B163" s="4" t="s">
        <v>314</v>
      </c>
      <c r="C163" s="4" t="s">
        <v>63</v>
      </c>
      <c r="D163" s="4" t="s">
        <v>73</v>
      </c>
      <c r="E163" s="4" t="s">
        <v>100</v>
      </c>
      <c r="F163" s="6">
        <v>3</v>
      </c>
      <c r="G163" s="5">
        <v>3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3</v>
      </c>
      <c r="V163" s="5">
        <v>3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3</v>
      </c>
      <c r="AK163" s="8">
        <v>3</v>
      </c>
      <c r="AL163" s="5">
        <v>3</v>
      </c>
      <c r="AM163" s="5">
        <v>3</v>
      </c>
      <c r="AN163" s="30">
        <v>0</v>
      </c>
    </row>
    <row r="164">
      <c r="A164" s="24">
        <v>848</v>
      </c>
      <c r="B164" s="9" t="s">
        <v>315</v>
      </c>
      <c r="C164" s="9" t="s">
        <v>63</v>
      </c>
      <c r="D164" s="9" t="s">
        <v>73</v>
      </c>
      <c r="E164" s="9" t="s">
        <v>100</v>
      </c>
      <c r="F164" s="11">
        <v>3</v>
      </c>
      <c r="G164" s="10">
        <v>1</v>
      </c>
      <c r="H164" s="12">
        <v>0</v>
      </c>
      <c r="I164" s="10">
        <v>1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0">
        <v>1</v>
      </c>
      <c r="W164" s="12">
        <v>0</v>
      </c>
      <c r="X164" s="10">
        <v>1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0.52</v>
      </c>
    </row>
    <row r="165">
      <c r="A165" s="23">
        <v>854</v>
      </c>
      <c r="B165" s="4" t="s">
        <v>316</v>
      </c>
      <c r="C165" s="4" t="s">
        <v>63</v>
      </c>
      <c r="D165" s="4" t="s">
        <v>73</v>
      </c>
      <c r="E165" s="4" t="s">
        <v>100</v>
      </c>
      <c r="F165" s="6">
        <v>5</v>
      </c>
      <c r="G165" s="5">
        <v>1</v>
      </c>
      <c r="H165" s="7">
        <v>0</v>
      </c>
      <c r="I165" s="7">
        <v>0</v>
      </c>
      <c r="J165" s="5">
        <v>4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5</v>
      </c>
      <c r="V165" s="5">
        <v>1</v>
      </c>
      <c r="W165" s="7">
        <v>0</v>
      </c>
      <c r="X165" s="7">
        <v>0</v>
      </c>
      <c r="Y165" s="5">
        <v>4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2.5</v>
      </c>
      <c r="AL165" s="5">
        <v>2</v>
      </c>
      <c r="AM165" s="5">
        <v>4</v>
      </c>
      <c r="AN165" s="28">
        <v>1</v>
      </c>
    </row>
    <row r="166">
      <c r="A166" s="24">
        <v>886</v>
      </c>
      <c r="B166" s="9" t="s">
        <v>317</v>
      </c>
      <c r="C166" s="9" t="s">
        <v>63</v>
      </c>
      <c r="D166" s="9" t="s">
        <v>73</v>
      </c>
      <c r="E166" s="9" t="s">
        <v>100</v>
      </c>
      <c r="F166" s="11">
        <v>7</v>
      </c>
      <c r="G166" s="10">
        <v>1</v>
      </c>
      <c r="H166" s="12">
        <v>0</v>
      </c>
      <c r="I166" s="12">
        <v>0</v>
      </c>
      <c r="J166" s="10">
        <v>6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6</v>
      </c>
      <c r="V166" s="10">
        <v>1</v>
      </c>
      <c r="W166" s="12">
        <v>0</v>
      </c>
      <c r="X166" s="12">
        <v>0</v>
      </c>
      <c r="Y166" s="10">
        <v>5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2.33</v>
      </c>
      <c r="AL166" s="10">
        <v>1</v>
      </c>
      <c r="AM166" s="10">
        <v>5</v>
      </c>
      <c r="AN166" s="29">
        <v>1.6</v>
      </c>
    </row>
    <row r="167">
      <c r="A167" s="23">
        <v>889</v>
      </c>
      <c r="B167" s="4" t="s">
        <v>318</v>
      </c>
      <c r="C167" s="4" t="s">
        <v>63</v>
      </c>
      <c r="D167" s="4" t="s">
        <v>73</v>
      </c>
      <c r="E167" s="4" t="s">
        <v>100</v>
      </c>
      <c r="F167" s="6">
        <v>2</v>
      </c>
      <c r="G167" s="7">
        <v>0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30">
        <v>0</v>
      </c>
    </row>
    <row r="168">
      <c r="A168" s="24">
        <v>892</v>
      </c>
      <c r="B168" s="9" t="s">
        <v>319</v>
      </c>
      <c r="C168" s="9" t="s">
        <v>63</v>
      </c>
      <c r="D168" s="9" t="s">
        <v>73</v>
      </c>
      <c r="E168" s="9" t="s">
        <v>100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894</v>
      </c>
      <c r="B169" s="4" t="s">
        <v>320</v>
      </c>
      <c r="C169" s="4" t="s">
        <v>63</v>
      </c>
      <c r="D169" s="4" t="s">
        <v>73</v>
      </c>
      <c r="E169" s="4" t="s">
        <v>100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900</v>
      </c>
      <c r="B170" s="9" t="s">
        <v>321</v>
      </c>
      <c r="C170" s="9" t="s">
        <v>63</v>
      </c>
      <c r="D170" s="9" t="s">
        <v>73</v>
      </c>
      <c r="E170" s="9" t="s">
        <v>100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0.38</v>
      </c>
    </row>
    <row r="171">
      <c r="A171" s="23">
        <v>904</v>
      </c>
      <c r="B171" s="4" t="s">
        <v>322</v>
      </c>
      <c r="C171" s="4" t="s">
        <v>63</v>
      </c>
      <c r="D171" s="4" t="s">
        <v>73</v>
      </c>
      <c r="E171" s="4" t="s">
        <v>100</v>
      </c>
      <c r="F171" s="6">
        <v>2</v>
      </c>
      <c r="G171" s="5">
        <v>1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1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0.39</v>
      </c>
    </row>
    <row r="172">
      <c r="A172" s="24">
        <v>920</v>
      </c>
      <c r="B172" s="9" t="s">
        <v>323</v>
      </c>
      <c r="C172" s="9" t="s">
        <v>63</v>
      </c>
      <c r="D172" s="9" t="s">
        <v>73</v>
      </c>
      <c r="E172" s="9" t="s">
        <v>100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43">
        <v>0</v>
      </c>
    </row>
    <row r="173">
      <c r="A173" s="23">
        <v>927</v>
      </c>
      <c r="B173" s="4" t="s">
        <v>324</v>
      </c>
      <c r="C173" s="4" t="s">
        <v>63</v>
      </c>
      <c r="D173" s="4" t="s">
        <v>73</v>
      </c>
      <c r="E173" s="4" t="s">
        <v>100</v>
      </c>
      <c r="F173" s="6">
        <v>2</v>
      </c>
      <c r="G173" s="7">
        <v>0</v>
      </c>
      <c r="H173" s="5">
        <v>2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5">
        <v>1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28">
        <v>0.25</v>
      </c>
    </row>
    <row r="174">
      <c r="A174" s="24">
        <v>943</v>
      </c>
      <c r="B174" s="9" t="s">
        <v>325</v>
      </c>
      <c r="C174" s="9" t="s">
        <v>63</v>
      </c>
      <c r="D174" s="9" t="s">
        <v>73</v>
      </c>
      <c r="E174" s="9" t="s">
        <v>253</v>
      </c>
      <c r="F174" s="11">
        <v>3</v>
      </c>
      <c r="G174" s="12">
        <v>0</v>
      </c>
      <c r="H174" s="12">
        <v>0</v>
      </c>
      <c r="I174" s="12">
        <v>0</v>
      </c>
      <c r="J174" s="10">
        <v>2</v>
      </c>
      <c r="K174" s="10">
        <v>1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3</v>
      </c>
      <c r="V174" s="12">
        <v>0</v>
      </c>
      <c r="W174" s="12">
        <v>0</v>
      </c>
      <c r="X174" s="12">
        <v>0</v>
      </c>
      <c r="Y174" s="10">
        <v>2</v>
      </c>
      <c r="Z174" s="10">
        <v>1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0.5</v>
      </c>
    </row>
    <row r="175">
      <c r="A175" s="23">
        <v>951</v>
      </c>
      <c r="B175" s="4" t="s">
        <v>326</v>
      </c>
      <c r="C175" s="4" t="s">
        <v>63</v>
      </c>
      <c r="D175" s="4" t="s">
        <v>73</v>
      </c>
      <c r="E175" s="4" t="s">
        <v>253</v>
      </c>
      <c r="F175" s="6">
        <v>2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5">
        <v>1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5">
        <v>1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960</v>
      </c>
      <c r="B176" s="9" t="s">
        <v>327</v>
      </c>
      <c r="C176" s="9" t="s">
        <v>63</v>
      </c>
      <c r="D176" s="9" t="s">
        <v>73</v>
      </c>
      <c r="E176" s="9" t="s">
        <v>140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3">
        <v>0</v>
      </c>
    </row>
    <row r="177">
      <c r="A177" s="23">
        <v>969</v>
      </c>
      <c r="B177" s="4" t="s">
        <v>328</v>
      </c>
      <c r="C177" s="4" t="s">
        <v>63</v>
      </c>
      <c r="D177" s="4" t="s">
        <v>73</v>
      </c>
      <c r="E177" s="4" t="s">
        <v>140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0.22</v>
      </c>
    </row>
    <row r="178">
      <c r="A178" s="24">
        <v>975</v>
      </c>
      <c r="B178" s="9" t="s">
        <v>329</v>
      </c>
      <c r="C178" s="9" t="s">
        <v>63</v>
      </c>
      <c r="D178" s="9" t="s">
        <v>73</v>
      </c>
      <c r="E178" s="9" t="s">
        <v>140</v>
      </c>
      <c r="F178" s="11">
        <v>1</v>
      </c>
      <c r="G178" s="12">
        <v>0</v>
      </c>
      <c r="H178" s="10">
        <v>1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2">
        <v>0</v>
      </c>
      <c r="W178" s="10">
        <v>1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0.22</v>
      </c>
    </row>
    <row r="179">
      <c r="A179" s="23">
        <v>982</v>
      </c>
      <c r="B179" s="4" t="s">
        <v>330</v>
      </c>
      <c r="C179" s="4" t="s">
        <v>63</v>
      </c>
      <c r="D179" s="4" t="s">
        <v>73</v>
      </c>
      <c r="E179" s="4" t="s">
        <v>140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983</v>
      </c>
      <c r="B180" s="9" t="s">
        <v>331</v>
      </c>
      <c r="C180" s="9" t="s">
        <v>63</v>
      </c>
      <c r="D180" s="9" t="s">
        <v>73</v>
      </c>
      <c r="E180" s="9" t="s">
        <v>140</v>
      </c>
      <c r="F180" s="11">
        <v>3</v>
      </c>
      <c r="G180" s="10">
        <v>2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3</v>
      </c>
      <c r="V180" s="10">
        <v>2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1.5</v>
      </c>
      <c r="AL180" s="10">
        <v>1</v>
      </c>
      <c r="AM180" s="10">
        <v>2</v>
      </c>
      <c r="AN180" s="29">
        <v>1.01</v>
      </c>
    </row>
    <row r="181">
      <c r="A181" s="23">
        <v>989</v>
      </c>
      <c r="B181" s="4" t="s">
        <v>332</v>
      </c>
      <c r="C181" s="4" t="s">
        <v>63</v>
      </c>
      <c r="D181" s="4" t="s">
        <v>73</v>
      </c>
      <c r="E181" s="4" t="s">
        <v>140</v>
      </c>
      <c r="F181" s="6">
        <v>2</v>
      </c>
      <c r="G181" s="7">
        <v>0</v>
      </c>
      <c r="H181" s="5">
        <v>2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7">
        <v>0</v>
      </c>
      <c r="W181" s="5">
        <v>2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0.5</v>
      </c>
    </row>
    <row r="182">
      <c r="A182" s="24">
        <v>993</v>
      </c>
      <c r="B182" s="9" t="s">
        <v>333</v>
      </c>
      <c r="C182" s="9" t="s">
        <v>63</v>
      </c>
      <c r="D182" s="9" t="s">
        <v>73</v>
      </c>
      <c r="E182" s="9" t="s">
        <v>140</v>
      </c>
      <c r="F182" s="11">
        <v>1</v>
      </c>
      <c r="G182" s="12">
        <v>0</v>
      </c>
      <c r="H182" s="12">
        <v>0</v>
      </c>
      <c r="I182" s="10">
        <v>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0">
        <v>1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43">
        <v>0</v>
      </c>
    </row>
    <row r="183">
      <c r="A183" s="23">
        <v>994</v>
      </c>
      <c r="B183" s="4" t="s">
        <v>334</v>
      </c>
      <c r="C183" s="4" t="s">
        <v>63</v>
      </c>
      <c r="D183" s="4" t="s">
        <v>73</v>
      </c>
      <c r="E183" s="4" t="s">
        <v>140</v>
      </c>
      <c r="F183" s="6">
        <v>3</v>
      </c>
      <c r="G183" s="5">
        <v>2</v>
      </c>
      <c r="H183" s="5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2</v>
      </c>
      <c r="W183" s="5">
        <v>1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1.5</v>
      </c>
      <c r="AL183" s="5">
        <v>1</v>
      </c>
      <c r="AM183" s="5">
        <v>2</v>
      </c>
      <c r="AN183" s="30">
        <v>0</v>
      </c>
    </row>
    <row r="184">
      <c r="A184" s="24">
        <v>996</v>
      </c>
      <c r="B184" s="9" t="s">
        <v>335</v>
      </c>
      <c r="C184" s="9" t="s">
        <v>63</v>
      </c>
      <c r="D184" s="9" t="s">
        <v>73</v>
      </c>
      <c r="E184" s="9" t="s">
        <v>140</v>
      </c>
      <c r="F184" s="11">
        <v>4</v>
      </c>
      <c r="G184" s="12">
        <v>0</v>
      </c>
      <c r="H184" s="12">
        <v>0</v>
      </c>
      <c r="I184" s="12">
        <v>0</v>
      </c>
      <c r="J184" s="10">
        <v>4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2">
        <v>0</v>
      </c>
      <c r="W184" s="12">
        <v>0</v>
      </c>
      <c r="X184" s="12">
        <v>0</v>
      </c>
      <c r="Y184" s="10">
        <v>4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0.96</v>
      </c>
    </row>
    <row r="185">
      <c r="A185" s="23">
        <v>997</v>
      </c>
      <c r="B185" s="4" t="s">
        <v>336</v>
      </c>
      <c r="C185" s="4" t="s">
        <v>63</v>
      </c>
      <c r="D185" s="4" t="s">
        <v>73</v>
      </c>
      <c r="E185" s="4" t="s">
        <v>140</v>
      </c>
      <c r="F185" s="6">
        <v>1</v>
      </c>
      <c r="G185" s="7">
        <v>0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0.24</v>
      </c>
    </row>
    <row r="186">
      <c r="A186" s="24">
        <v>998</v>
      </c>
      <c r="B186" s="9" t="s">
        <v>337</v>
      </c>
      <c r="C186" s="9" t="s">
        <v>63</v>
      </c>
      <c r="D186" s="9" t="s">
        <v>73</v>
      </c>
      <c r="E186" s="9" t="s">
        <v>140</v>
      </c>
      <c r="F186" s="11">
        <v>1</v>
      </c>
      <c r="G186" s="12">
        <v>0</v>
      </c>
      <c r="H186" s="12">
        <v>0</v>
      </c>
      <c r="I186" s="10">
        <v>1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0">
        <v>1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43">
        <v>0</v>
      </c>
    </row>
    <row r="187">
      <c r="A187" s="23">
        <v>999</v>
      </c>
      <c r="B187" s="4" t="s">
        <v>338</v>
      </c>
      <c r="C187" s="4" t="s">
        <v>63</v>
      </c>
      <c r="D187" s="4" t="s">
        <v>73</v>
      </c>
      <c r="E187" s="4" t="s">
        <v>140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1004</v>
      </c>
      <c r="B188" s="9" t="s">
        <v>339</v>
      </c>
      <c r="C188" s="9" t="s">
        <v>63</v>
      </c>
      <c r="D188" s="9" t="s">
        <v>73</v>
      </c>
      <c r="E188" s="9" t="s">
        <v>140</v>
      </c>
      <c r="F188" s="11">
        <v>2</v>
      </c>
      <c r="G188" s="12">
        <v>0</v>
      </c>
      <c r="H188" s="12">
        <v>0</v>
      </c>
      <c r="I188" s="12">
        <v>0</v>
      </c>
      <c r="J188" s="10">
        <v>2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2">
        <v>0</v>
      </c>
      <c r="W188" s="12">
        <v>0</v>
      </c>
      <c r="X188" s="12">
        <v>0</v>
      </c>
      <c r="Y188" s="10">
        <v>2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2</v>
      </c>
      <c r="AK188" s="13">
        <v>2</v>
      </c>
      <c r="AL188" s="10">
        <v>2</v>
      </c>
      <c r="AM188" s="10">
        <v>2</v>
      </c>
      <c r="AN188" s="29">
        <v>0.5</v>
      </c>
    </row>
    <row r="189">
      <c r="A189" s="23">
        <v>1007</v>
      </c>
      <c r="B189" s="4" t="s">
        <v>340</v>
      </c>
      <c r="C189" s="4" t="s">
        <v>63</v>
      </c>
      <c r="D189" s="4" t="s">
        <v>73</v>
      </c>
      <c r="E189" s="4" t="s">
        <v>140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1010</v>
      </c>
      <c r="B190" s="9" t="s">
        <v>341</v>
      </c>
      <c r="C190" s="9" t="s">
        <v>63</v>
      </c>
      <c r="D190" s="9" t="s">
        <v>73</v>
      </c>
      <c r="E190" s="9" t="s">
        <v>140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0.24</v>
      </c>
    </row>
    <row r="191">
      <c r="A191" s="23">
        <v>1011</v>
      </c>
      <c r="B191" s="4" t="s">
        <v>342</v>
      </c>
      <c r="C191" s="4" t="s">
        <v>63</v>
      </c>
      <c r="D191" s="4" t="s">
        <v>73</v>
      </c>
      <c r="E191" s="4" t="s">
        <v>140</v>
      </c>
      <c r="F191" s="6">
        <v>2</v>
      </c>
      <c r="G191" s="7">
        <v>0</v>
      </c>
      <c r="H191" s="7">
        <v>0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7">
        <v>0</v>
      </c>
      <c r="W191" s="7">
        <v>0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28">
        <v>0.44</v>
      </c>
    </row>
    <row r="192">
      <c r="A192" s="24">
        <v>1015</v>
      </c>
      <c r="B192" s="9" t="s">
        <v>343</v>
      </c>
      <c r="C192" s="9" t="s">
        <v>63</v>
      </c>
      <c r="D192" s="9" t="s">
        <v>73</v>
      </c>
      <c r="E192" s="9" t="s">
        <v>140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3">
        <v>0</v>
      </c>
    </row>
    <row r="193">
      <c r="A193" s="23">
        <v>1030</v>
      </c>
      <c r="B193" s="4" t="s">
        <v>344</v>
      </c>
      <c r="C193" s="4" t="s">
        <v>63</v>
      </c>
      <c r="D193" s="4" t="s">
        <v>111</v>
      </c>
      <c r="E193" s="4" t="s">
        <v>112</v>
      </c>
      <c r="F193" s="6">
        <v>4</v>
      </c>
      <c r="G193" s="5">
        <v>4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3</v>
      </c>
      <c r="V193" s="5">
        <v>3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28">
        <v>0.7</v>
      </c>
    </row>
    <row r="194">
      <c r="A194" s="24">
        <v>1045</v>
      </c>
      <c r="B194" s="9" t="s">
        <v>345</v>
      </c>
      <c r="C194" s="9" t="s">
        <v>179</v>
      </c>
      <c r="D194" s="9" t="s">
        <v>180</v>
      </c>
      <c r="E194" s="9" t="s">
        <v>191</v>
      </c>
      <c r="F194" s="11">
        <v>3</v>
      </c>
      <c r="G194" s="12">
        <v>0</v>
      </c>
      <c r="H194" s="10">
        <v>3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2">
        <v>0</v>
      </c>
      <c r="W194" s="10">
        <v>2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3</v>
      </c>
      <c r="AK194" s="13">
        <v>3</v>
      </c>
      <c r="AL194" s="10">
        <v>3</v>
      </c>
      <c r="AM194" s="10">
        <v>3</v>
      </c>
      <c r="AN194" s="29">
        <v>0.5</v>
      </c>
    </row>
    <row r="195">
      <c r="A195" s="23">
        <v>1059</v>
      </c>
      <c r="B195" s="4" t="s">
        <v>346</v>
      </c>
      <c r="C195" s="4" t="s">
        <v>63</v>
      </c>
      <c r="D195" s="4" t="s">
        <v>70</v>
      </c>
      <c r="E195" s="4" t="s">
        <v>347</v>
      </c>
      <c r="F195" s="6">
        <v>4</v>
      </c>
      <c r="G195" s="5">
        <v>4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4</v>
      </c>
      <c r="V195" s="5">
        <v>4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4</v>
      </c>
      <c r="AK195" s="8">
        <v>4</v>
      </c>
      <c r="AL195" s="5">
        <v>4</v>
      </c>
      <c r="AM195" s="5">
        <v>4</v>
      </c>
      <c r="AN195" s="30">
        <v>0</v>
      </c>
    </row>
    <row r="196">
      <c r="A196" s="24">
        <v>1064</v>
      </c>
      <c r="B196" s="9" t="s">
        <v>348</v>
      </c>
      <c r="C196" s="9" t="s">
        <v>63</v>
      </c>
      <c r="D196" s="9" t="s">
        <v>73</v>
      </c>
      <c r="E196" s="9" t="s">
        <v>74</v>
      </c>
      <c r="F196" s="11">
        <v>10</v>
      </c>
      <c r="G196" s="10">
        <v>7</v>
      </c>
      <c r="H196" s="12">
        <v>0</v>
      </c>
      <c r="I196" s="10">
        <v>1</v>
      </c>
      <c r="J196" s="10">
        <v>1</v>
      </c>
      <c r="K196" s="12">
        <v>0</v>
      </c>
      <c r="L196" s="10">
        <v>1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10</v>
      </c>
      <c r="V196" s="10">
        <v>7</v>
      </c>
      <c r="W196" s="12">
        <v>0</v>
      </c>
      <c r="X196" s="10">
        <v>1</v>
      </c>
      <c r="Y196" s="10">
        <v>1</v>
      </c>
      <c r="Z196" s="12">
        <v>0</v>
      </c>
      <c r="AA196" s="10">
        <v>1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</v>
      </c>
      <c r="AL196" s="10">
        <v>1</v>
      </c>
      <c r="AM196" s="10">
        <v>6</v>
      </c>
      <c r="AN196" s="29">
        <v>2.6</v>
      </c>
    </row>
    <row r="197">
      <c r="A197" s="23">
        <v>1066</v>
      </c>
      <c r="B197" s="4" t="s">
        <v>349</v>
      </c>
      <c r="C197" s="4" t="s">
        <v>63</v>
      </c>
      <c r="D197" s="4" t="s">
        <v>111</v>
      </c>
      <c r="E197" s="4" t="s">
        <v>240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30">
        <v>0</v>
      </c>
    </row>
    <row r="198">
      <c r="A198" s="24">
        <v>1067</v>
      </c>
      <c r="B198" s="9" t="s">
        <v>350</v>
      </c>
      <c r="C198" s="9" t="s">
        <v>63</v>
      </c>
      <c r="D198" s="9" t="s">
        <v>111</v>
      </c>
      <c r="E198" s="9" t="s">
        <v>240</v>
      </c>
      <c r="F198" s="11">
        <v>3</v>
      </c>
      <c r="G198" s="10">
        <v>1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1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0.5</v>
      </c>
    </row>
    <row r="199">
      <c r="A199" s="23">
        <v>1072</v>
      </c>
      <c r="B199" s="4" t="s">
        <v>351</v>
      </c>
      <c r="C199" s="4" t="s">
        <v>63</v>
      </c>
      <c r="D199" s="4" t="s">
        <v>111</v>
      </c>
      <c r="E199" s="4" t="s">
        <v>243</v>
      </c>
      <c r="F199" s="6">
        <v>5</v>
      </c>
      <c r="G199" s="5">
        <v>3</v>
      </c>
      <c r="H199" s="7">
        <v>0</v>
      </c>
      <c r="I199" s="7">
        <v>0</v>
      </c>
      <c r="J199" s="5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4</v>
      </c>
      <c r="V199" s="5">
        <v>3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1.67</v>
      </c>
      <c r="AL199" s="5">
        <v>2</v>
      </c>
      <c r="AM199" s="5">
        <v>2</v>
      </c>
      <c r="AN199" s="28">
        <v>1.2</v>
      </c>
    </row>
    <row r="200">
      <c r="A200" s="24">
        <v>1074</v>
      </c>
      <c r="B200" s="9" t="s">
        <v>352</v>
      </c>
      <c r="C200" s="9" t="s">
        <v>63</v>
      </c>
      <c r="D200" s="9" t="s">
        <v>111</v>
      </c>
      <c r="E200" s="9" t="s">
        <v>112</v>
      </c>
      <c r="F200" s="11">
        <v>1</v>
      </c>
      <c r="G200" s="12">
        <v>0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0.26</v>
      </c>
    </row>
    <row r="201">
      <c r="A201" s="23">
        <v>1083</v>
      </c>
      <c r="B201" s="4" t="s">
        <v>353</v>
      </c>
      <c r="C201" s="4" t="s">
        <v>63</v>
      </c>
      <c r="D201" s="4" t="s">
        <v>111</v>
      </c>
      <c r="E201" s="4" t="s">
        <v>240</v>
      </c>
      <c r="F201" s="6">
        <v>3</v>
      </c>
      <c r="G201" s="5">
        <v>3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3</v>
      </c>
      <c r="V201" s="5">
        <v>3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1.5</v>
      </c>
      <c r="AL201" s="5">
        <v>1</v>
      </c>
      <c r="AM201" s="5">
        <v>2</v>
      </c>
      <c r="AN201" s="30">
        <v>0</v>
      </c>
    </row>
    <row r="202">
      <c r="A202" s="24">
        <v>1090</v>
      </c>
      <c r="B202" s="9" t="s">
        <v>354</v>
      </c>
      <c r="C202" s="9" t="s">
        <v>63</v>
      </c>
      <c r="D202" s="9" t="s">
        <v>111</v>
      </c>
      <c r="E202" s="9" t="s">
        <v>112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1105</v>
      </c>
      <c r="B203" s="4" t="s">
        <v>355</v>
      </c>
      <c r="C203" s="4" t="s">
        <v>63</v>
      </c>
      <c r="D203" s="4" t="s">
        <v>67</v>
      </c>
      <c r="E203" s="4" t="s">
        <v>356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1125</v>
      </c>
      <c r="B204" s="9" t="s">
        <v>357</v>
      </c>
      <c r="C204" s="9" t="s">
        <v>63</v>
      </c>
      <c r="D204" s="9" t="s">
        <v>73</v>
      </c>
      <c r="E204" s="9" t="s">
        <v>275</v>
      </c>
      <c r="F204" s="11">
        <v>1</v>
      </c>
      <c r="G204" s="12">
        <v>0</v>
      </c>
      <c r="H204" s="10">
        <v>1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0">
        <v>1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0.22</v>
      </c>
    </row>
    <row r="205">
      <c r="A205" s="23">
        <v>1188</v>
      </c>
      <c r="B205" s="4" t="s">
        <v>358</v>
      </c>
      <c r="C205" s="4" t="s">
        <v>63</v>
      </c>
      <c r="D205" s="4" t="s">
        <v>73</v>
      </c>
      <c r="E205" s="4" t="s">
        <v>130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1195</v>
      </c>
      <c r="B206" s="9" t="s">
        <v>359</v>
      </c>
      <c r="C206" s="9" t="s">
        <v>63</v>
      </c>
      <c r="D206" s="9" t="s">
        <v>67</v>
      </c>
      <c r="E206" s="9" t="s">
        <v>271</v>
      </c>
      <c r="F206" s="11">
        <v>2</v>
      </c>
      <c r="G206" s="10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29">
        <v>0.72</v>
      </c>
    </row>
    <row r="207">
      <c r="A207" s="23">
        <v>1199</v>
      </c>
      <c r="B207" s="4" t="s">
        <v>360</v>
      </c>
      <c r="C207" s="4" t="s">
        <v>63</v>
      </c>
      <c r="D207" s="4" t="s">
        <v>67</v>
      </c>
      <c r="E207" s="4" t="s">
        <v>271</v>
      </c>
      <c r="F207" s="6">
        <v>3</v>
      </c>
      <c r="G207" s="5">
        <v>2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2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28">
        <v>0.95</v>
      </c>
    </row>
    <row r="208">
      <c r="A208" s="24">
        <v>1221</v>
      </c>
      <c r="B208" s="9" t="s">
        <v>361</v>
      </c>
      <c r="C208" s="9" t="s">
        <v>63</v>
      </c>
      <c r="D208" s="9" t="s">
        <v>84</v>
      </c>
      <c r="E208" s="9" t="s">
        <v>362</v>
      </c>
      <c r="F208" s="11">
        <v>2</v>
      </c>
      <c r="G208" s="10">
        <v>1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3">
        <v>0</v>
      </c>
    </row>
    <row r="209">
      <c r="A209" s="23">
        <v>1241</v>
      </c>
      <c r="B209" s="4" t="s">
        <v>363</v>
      </c>
      <c r="C209" s="4" t="s">
        <v>63</v>
      </c>
      <c r="D209" s="4" t="s">
        <v>77</v>
      </c>
      <c r="E209" s="4" t="s">
        <v>78</v>
      </c>
      <c r="F209" s="6">
        <v>3</v>
      </c>
      <c r="G209" s="5">
        <v>3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3</v>
      </c>
      <c r="AK209" s="8">
        <v>3</v>
      </c>
      <c r="AL209" s="5">
        <v>3</v>
      </c>
      <c r="AM209" s="5">
        <v>3</v>
      </c>
      <c r="AN209" s="28">
        <v>0.35</v>
      </c>
    </row>
    <row r="210">
      <c r="A210" s="24">
        <v>1245</v>
      </c>
      <c r="B210" s="9" t="s">
        <v>364</v>
      </c>
      <c r="C210" s="9" t="s">
        <v>63</v>
      </c>
      <c r="D210" s="9" t="s">
        <v>77</v>
      </c>
      <c r="E210" s="9" t="s">
        <v>78</v>
      </c>
      <c r="F210" s="11">
        <v>2</v>
      </c>
      <c r="G210" s="10">
        <v>1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1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3">
        <v>0</v>
      </c>
    </row>
    <row r="211">
      <c r="A211" s="23">
        <v>1267</v>
      </c>
      <c r="B211" s="4" t="s">
        <v>365</v>
      </c>
      <c r="C211" s="4" t="s">
        <v>63</v>
      </c>
      <c r="D211" s="4" t="s">
        <v>111</v>
      </c>
      <c r="E211" s="4" t="s">
        <v>243</v>
      </c>
      <c r="F211" s="6">
        <v>1</v>
      </c>
      <c r="G211" s="7">
        <v>0</v>
      </c>
      <c r="H211" s="7">
        <v>0</v>
      </c>
      <c r="I211" s="5">
        <v>1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7">
        <v>0</v>
      </c>
      <c r="W211" s="7">
        <v>0</v>
      </c>
      <c r="X211" s="5">
        <v>1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1274</v>
      </c>
      <c r="B212" s="9" t="s">
        <v>366</v>
      </c>
      <c r="C212" s="9" t="s">
        <v>179</v>
      </c>
      <c r="D212" s="9" t="s">
        <v>180</v>
      </c>
      <c r="E212" s="9" t="s">
        <v>181</v>
      </c>
      <c r="F212" s="11">
        <v>3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0">
        <v>3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0">
        <v>2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3</v>
      </c>
      <c r="AL212" s="10">
        <v>3</v>
      </c>
      <c r="AM212" s="10">
        <v>3</v>
      </c>
      <c r="AN212" s="43">
        <v>0</v>
      </c>
    </row>
    <row r="213">
      <c r="A213" s="23">
        <v>1275</v>
      </c>
      <c r="B213" s="4" t="s">
        <v>367</v>
      </c>
      <c r="C213" s="4" t="s">
        <v>179</v>
      </c>
      <c r="D213" s="4" t="s">
        <v>180</v>
      </c>
      <c r="E213" s="4" t="s">
        <v>181</v>
      </c>
      <c r="F213" s="6">
        <v>10</v>
      </c>
      <c r="G213" s="5">
        <v>1</v>
      </c>
      <c r="H213" s="5">
        <v>1</v>
      </c>
      <c r="I213" s="5">
        <v>7</v>
      </c>
      <c r="J213" s="7">
        <v>0</v>
      </c>
      <c r="K213" s="7">
        <v>0</v>
      </c>
      <c r="L213" s="5">
        <v>1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9</v>
      </c>
      <c r="V213" s="5">
        <v>1</v>
      </c>
      <c r="W213" s="5">
        <v>1</v>
      </c>
      <c r="X213" s="5">
        <v>6</v>
      </c>
      <c r="Y213" s="7">
        <v>0</v>
      </c>
      <c r="Z213" s="7">
        <v>0</v>
      </c>
      <c r="AA213" s="5">
        <v>1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2.5</v>
      </c>
      <c r="AL213" s="5">
        <v>1</v>
      </c>
      <c r="AM213" s="5">
        <v>7</v>
      </c>
      <c r="AN213" s="28">
        <v>0.36</v>
      </c>
    </row>
    <row r="214">
      <c r="A214" s="24">
        <v>1331</v>
      </c>
      <c r="B214" s="9" t="s">
        <v>368</v>
      </c>
      <c r="C214" s="9" t="s">
        <v>63</v>
      </c>
      <c r="D214" s="9" t="s">
        <v>84</v>
      </c>
      <c r="E214" s="9" t="s">
        <v>362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1341</v>
      </c>
      <c r="B215" s="4" t="s">
        <v>369</v>
      </c>
      <c r="C215" s="4" t="s">
        <v>63</v>
      </c>
      <c r="D215" s="4" t="s">
        <v>84</v>
      </c>
      <c r="E215" s="4" t="s">
        <v>150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3</v>
      </c>
      <c r="AK215" s="8">
        <v>3</v>
      </c>
      <c r="AL215" s="5">
        <v>3</v>
      </c>
      <c r="AM215" s="5">
        <v>3</v>
      </c>
      <c r="AN215" s="28">
        <v>0.38</v>
      </c>
    </row>
    <row r="216">
      <c r="A216" s="24">
        <v>1416</v>
      </c>
      <c r="B216" s="9" t="s">
        <v>370</v>
      </c>
      <c r="C216" s="9" t="s">
        <v>63</v>
      </c>
      <c r="D216" s="9" t="s">
        <v>77</v>
      </c>
      <c r="E216" s="9" t="s">
        <v>210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1418</v>
      </c>
      <c r="B217" s="4" t="s">
        <v>371</v>
      </c>
      <c r="C217" s="4" t="s">
        <v>372</v>
      </c>
      <c r="D217" s="4" t="s">
        <v>373</v>
      </c>
      <c r="E217" s="4" t="s">
        <v>374</v>
      </c>
      <c r="F217" s="6">
        <v>1</v>
      </c>
      <c r="G217" s="7">
        <v>0</v>
      </c>
      <c r="H217" s="7">
        <v>0</v>
      </c>
      <c r="I217" s="5">
        <v>1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5">
        <v>1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1438</v>
      </c>
      <c r="B218" s="9" t="s">
        <v>375</v>
      </c>
      <c r="C218" s="9" t="s">
        <v>63</v>
      </c>
      <c r="D218" s="9" t="s">
        <v>73</v>
      </c>
      <c r="E218" s="9" t="s">
        <v>130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0.36</v>
      </c>
    </row>
    <row r="219">
      <c r="A219" s="23">
        <v>1561</v>
      </c>
      <c r="B219" s="4" t="s">
        <v>376</v>
      </c>
      <c r="C219" s="4" t="s">
        <v>63</v>
      </c>
      <c r="D219" s="4" t="s">
        <v>135</v>
      </c>
      <c r="E219" s="4" t="s">
        <v>377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0.22</v>
      </c>
    </row>
    <row r="220">
      <c r="A220" s="24">
        <v>1587</v>
      </c>
      <c r="B220" s="9" t="s">
        <v>378</v>
      </c>
      <c r="C220" s="9" t="s">
        <v>63</v>
      </c>
      <c r="D220" s="9" t="s">
        <v>73</v>
      </c>
      <c r="E220" s="9" t="s">
        <v>74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1600</v>
      </c>
      <c r="B221" s="4" t="s">
        <v>379</v>
      </c>
      <c r="C221" s="4" t="s">
        <v>63</v>
      </c>
      <c r="D221" s="4" t="s">
        <v>120</v>
      </c>
      <c r="E221" s="4" t="s">
        <v>121</v>
      </c>
      <c r="F221" s="6">
        <v>1</v>
      </c>
      <c r="G221" s="7">
        <v>0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1606</v>
      </c>
      <c r="B222" s="9" t="s">
        <v>380</v>
      </c>
      <c r="C222" s="9" t="s">
        <v>63</v>
      </c>
      <c r="D222" s="9" t="s">
        <v>111</v>
      </c>
      <c r="E222" s="9" t="s">
        <v>243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3">
        <v>0</v>
      </c>
    </row>
    <row r="223">
      <c r="A223" s="23">
        <v>1614</v>
      </c>
      <c r="B223" s="4" t="s">
        <v>381</v>
      </c>
      <c r="C223" s="4" t="s">
        <v>63</v>
      </c>
      <c r="D223" s="4" t="s">
        <v>73</v>
      </c>
      <c r="E223" s="4" t="s">
        <v>140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1616</v>
      </c>
      <c r="B224" s="9" t="s">
        <v>382</v>
      </c>
      <c r="C224" s="9" t="s">
        <v>264</v>
      </c>
      <c r="D224" s="9" t="s">
        <v>383</v>
      </c>
      <c r="E224" s="9" t="s">
        <v>384</v>
      </c>
      <c r="F224" s="11">
        <v>3</v>
      </c>
      <c r="G224" s="12">
        <v>0</v>
      </c>
      <c r="H224" s="10">
        <v>1</v>
      </c>
      <c r="I224" s="10">
        <v>1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2">
        <v>0</v>
      </c>
      <c r="W224" s="10">
        <v>1</v>
      </c>
      <c r="X224" s="10">
        <v>1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0.72</v>
      </c>
    </row>
    <row r="225">
      <c r="A225" s="23">
        <v>1619</v>
      </c>
      <c r="B225" s="4" t="s">
        <v>354</v>
      </c>
      <c r="C225" s="4" t="s">
        <v>63</v>
      </c>
      <c r="D225" s="4" t="s">
        <v>135</v>
      </c>
      <c r="E225" s="4" t="s">
        <v>136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1629</v>
      </c>
      <c r="B226" s="9" t="s">
        <v>385</v>
      </c>
      <c r="C226" s="9" t="s">
        <v>63</v>
      </c>
      <c r="D226" s="9" t="s">
        <v>120</v>
      </c>
      <c r="E226" s="9" t="s">
        <v>165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3">
        <v>0</v>
      </c>
    </row>
    <row r="227">
      <c r="A227" s="23">
        <v>1631</v>
      </c>
      <c r="B227" s="4" t="s">
        <v>386</v>
      </c>
      <c r="C227" s="4" t="s">
        <v>63</v>
      </c>
      <c r="D227" s="4" t="s">
        <v>67</v>
      </c>
      <c r="E227" s="4" t="s">
        <v>168</v>
      </c>
      <c r="F227" s="6">
        <v>2</v>
      </c>
      <c r="G227" s="7">
        <v>0</v>
      </c>
      <c r="H227" s="5">
        <v>1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7">
        <v>0</v>
      </c>
      <c r="W227" s="5">
        <v>1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0.5</v>
      </c>
    </row>
    <row r="228">
      <c r="A228" s="24">
        <v>1653</v>
      </c>
      <c r="B228" s="9" t="s">
        <v>387</v>
      </c>
      <c r="C228" s="9" t="s">
        <v>63</v>
      </c>
      <c r="D228" s="9" t="s">
        <v>89</v>
      </c>
      <c r="E228" s="9" t="s">
        <v>161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1659</v>
      </c>
      <c r="B229" s="4" t="s">
        <v>388</v>
      </c>
      <c r="C229" s="4" t="s">
        <v>372</v>
      </c>
      <c r="D229" s="4" t="s">
        <v>373</v>
      </c>
      <c r="E229" s="4" t="s">
        <v>374</v>
      </c>
      <c r="F229" s="6">
        <v>2</v>
      </c>
      <c r="G229" s="5">
        <v>1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1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0.52</v>
      </c>
    </row>
    <row r="230">
      <c r="A230" s="24">
        <v>1715</v>
      </c>
      <c r="B230" s="9" t="s">
        <v>389</v>
      </c>
      <c r="C230" s="9" t="s">
        <v>63</v>
      </c>
      <c r="D230" s="9" t="s">
        <v>84</v>
      </c>
      <c r="E230" s="9" t="s">
        <v>96</v>
      </c>
      <c r="F230" s="11">
        <v>3</v>
      </c>
      <c r="G230" s="10">
        <v>1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0">
        <v>1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0.44</v>
      </c>
    </row>
    <row r="231">
      <c r="A231" s="23">
        <v>1722</v>
      </c>
      <c r="B231" s="4" t="s">
        <v>390</v>
      </c>
      <c r="C231" s="4" t="s">
        <v>63</v>
      </c>
      <c r="D231" s="4" t="s">
        <v>84</v>
      </c>
      <c r="E231" s="4" t="s">
        <v>96</v>
      </c>
      <c r="F231" s="6">
        <v>4</v>
      </c>
      <c r="G231" s="5">
        <v>2</v>
      </c>
      <c r="H231" s="7">
        <v>0</v>
      </c>
      <c r="I231" s="5">
        <v>1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4</v>
      </c>
      <c r="V231" s="5">
        <v>2</v>
      </c>
      <c r="W231" s="7">
        <v>0</v>
      </c>
      <c r="X231" s="5">
        <v>1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1.33</v>
      </c>
      <c r="AL231" s="5">
        <v>1</v>
      </c>
      <c r="AM231" s="5">
        <v>2</v>
      </c>
      <c r="AN231" s="28">
        <v>1.02</v>
      </c>
    </row>
    <row r="232">
      <c r="A232" s="24">
        <v>1723</v>
      </c>
      <c r="B232" s="9" t="s">
        <v>391</v>
      </c>
      <c r="C232" s="9" t="s">
        <v>63</v>
      </c>
      <c r="D232" s="9" t="s">
        <v>84</v>
      </c>
      <c r="E232" s="9" t="s">
        <v>96</v>
      </c>
      <c r="F232" s="11">
        <v>4</v>
      </c>
      <c r="G232" s="12">
        <v>0</v>
      </c>
      <c r="H232" s="12">
        <v>0</v>
      </c>
      <c r="I232" s="10">
        <v>1</v>
      </c>
      <c r="J232" s="10">
        <v>3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3</v>
      </c>
      <c r="V232" s="12">
        <v>0</v>
      </c>
      <c r="W232" s="12">
        <v>0</v>
      </c>
      <c r="X232" s="10">
        <v>1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2</v>
      </c>
      <c r="AL232" s="10">
        <v>2</v>
      </c>
      <c r="AM232" s="10">
        <v>3</v>
      </c>
      <c r="AN232" s="29">
        <v>0.5</v>
      </c>
    </row>
    <row r="233">
      <c r="A233" s="23">
        <v>1735</v>
      </c>
      <c r="B233" s="4" t="s">
        <v>392</v>
      </c>
      <c r="C233" s="4" t="s">
        <v>63</v>
      </c>
      <c r="D233" s="4" t="s">
        <v>84</v>
      </c>
      <c r="E233" s="4" t="s">
        <v>96</v>
      </c>
      <c r="F233" s="6">
        <v>1</v>
      </c>
      <c r="G233" s="7">
        <v>0</v>
      </c>
      <c r="H233" s="5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5">
        <v>1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0.24</v>
      </c>
    </row>
    <row r="234">
      <c r="A234" s="24">
        <v>1760</v>
      </c>
      <c r="B234" s="9" t="s">
        <v>393</v>
      </c>
      <c r="C234" s="9" t="s">
        <v>63</v>
      </c>
      <c r="D234" s="9" t="s">
        <v>84</v>
      </c>
      <c r="E234" s="9" t="s">
        <v>96</v>
      </c>
      <c r="F234" s="11">
        <v>2</v>
      </c>
      <c r="G234" s="12">
        <v>0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2">
        <v>0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29">
        <v>0.5</v>
      </c>
    </row>
    <row r="235">
      <c r="A235" s="23">
        <v>1769</v>
      </c>
      <c r="B235" s="4" t="s">
        <v>394</v>
      </c>
      <c r="C235" s="4" t="s">
        <v>63</v>
      </c>
      <c r="D235" s="4" t="s">
        <v>84</v>
      </c>
      <c r="E235" s="4" t="s">
        <v>96</v>
      </c>
      <c r="F235" s="6">
        <v>3</v>
      </c>
      <c r="G235" s="7">
        <v>0</v>
      </c>
      <c r="H235" s="7">
        <v>0</v>
      </c>
      <c r="I235" s="7">
        <v>0</v>
      </c>
      <c r="J235" s="5">
        <v>3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7">
        <v>0</v>
      </c>
      <c r="W235" s="7">
        <v>0</v>
      </c>
      <c r="X235" s="7">
        <v>0</v>
      </c>
      <c r="Y235" s="5">
        <v>3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28">
        <v>0.78</v>
      </c>
    </row>
    <row r="236">
      <c r="A236" s="24">
        <v>1772</v>
      </c>
      <c r="B236" s="9" t="s">
        <v>395</v>
      </c>
      <c r="C236" s="9" t="s">
        <v>63</v>
      </c>
      <c r="D236" s="9" t="s">
        <v>84</v>
      </c>
      <c r="E236" s="9" t="s">
        <v>96</v>
      </c>
      <c r="F236" s="11">
        <v>3</v>
      </c>
      <c r="G236" s="12">
        <v>0</v>
      </c>
      <c r="H236" s="10">
        <v>3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3</v>
      </c>
      <c r="V236" s="12">
        <v>0</v>
      </c>
      <c r="W236" s="10">
        <v>3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3</v>
      </c>
      <c r="AK236" s="13">
        <v>3</v>
      </c>
      <c r="AL236" s="10">
        <v>3</v>
      </c>
      <c r="AM236" s="10">
        <v>3</v>
      </c>
      <c r="AN236" s="29">
        <v>0.75</v>
      </c>
    </row>
    <row r="237">
      <c r="A237" s="23">
        <v>1775</v>
      </c>
      <c r="B237" s="4" t="s">
        <v>396</v>
      </c>
      <c r="C237" s="4" t="s">
        <v>63</v>
      </c>
      <c r="D237" s="4" t="s">
        <v>84</v>
      </c>
      <c r="E237" s="4" t="s">
        <v>96</v>
      </c>
      <c r="F237" s="6">
        <v>2</v>
      </c>
      <c r="G237" s="7">
        <v>0</v>
      </c>
      <c r="H237" s="7">
        <v>0</v>
      </c>
      <c r="I237" s="5">
        <v>2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7">
        <v>0</v>
      </c>
      <c r="W237" s="7">
        <v>0</v>
      </c>
      <c r="X237" s="5">
        <v>2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30">
        <v>0</v>
      </c>
    </row>
    <row r="238">
      <c r="A238" s="24">
        <v>1779</v>
      </c>
      <c r="B238" s="9" t="s">
        <v>397</v>
      </c>
      <c r="C238" s="9" t="s">
        <v>264</v>
      </c>
      <c r="D238" s="9" t="s">
        <v>398</v>
      </c>
      <c r="E238" s="9" t="s">
        <v>399</v>
      </c>
      <c r="F238" s="11">
        <v>3</v>
      </c>
      <c r="G238" s="12">
        <v>0</v>
      </c>
      <c r="H238" s="12">
        <v>0</v>
      </c>
      <c r="I238" s="10">
        <v>2</v>
      </c>
      <c r="J238" s="12">
        <v>0</v>
      </c>
      <c r="K238" s="12">
        <v>0</v>
      </c>
      <c r="L238" s="10">
        <v>1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2">
        <v>0</v>
      </c>
      <c r="W238" s="12">
        <v>0</v>
      </c>
      <c r="X238" s="10">
        <v>2</v>
      </c>
      <c r="Y238" s="12">
        <v>0</v>
      </c>
      <c r="Z238" s="12">
        <v>0</v>
      </c>
      <c r="AA238" s="10">
        <v>1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1.5</v>
      </c>
      <c r="AL238" s="10">
        <v>1</v>
      </c>
      <c r="AM238" s="10">
        <v>2</v>
      </c>
      <c r="AN238" s="43">
        <v>0</v>
      </c>
    </row>
    <row r="239">
      <c r="A239" s="23">
        <v>1806</v>
      </c>
      <c r="B239" s="4" t="s">
        <v>400</v>
      </c>
      <c r="C239" s="4" t="s">
        <v>63</v>
      </c>
      <c r="D239" s="4" t="s">
        <v>89</v>
      </c>
      <c r="E239" s="4" t="s">
        <v>161</v>
      </c>
      <c r="F239" s="6">
        <v>2</v>
      </c>
      <c r="G239" s="5">
        <v>1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1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0.24</v>
      </c>
    </row>
    <row r="240">
      <c r="A240" s="24">
        <v>1807</v>
      </c>
      <c r="B240" s="9" t="s">
        <v>401</v>
      </c>
      <c r="C240" s="9" t="s">
        <v>63</v>
      </c>
      <c r="D240" s="9" t="s">
        <v>84</v>
      </c>
      <c r="E240" s="9" t="s">
        <v>85</v>
      </c>
      <c r="F240" s="11">
        <v>5</v>
      </c>
      <c r="G240" s="10">
        <v>1</v>
      </c>
      <c r="H240" s="12">
        <v>0</v>
      </c>
      <c r="I240" s="12">
        <v>0</v>
      </c>
      <c r="J240" s="10">
        <v>4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5</v>
      </c>
      <c r="V240" s="10">
        <v>1</v>
      </c>
      <c r="W240" s="12">
        <v>0</v>
      </c>
      <c r="X240" s="12">
        <v>0</v>
      </c>
      <c r="Y240" s="10">
        <v>4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1.25</v>
      </c>
      <c r="AL240" s="10">
        <v>1</v>
      </c>
      <c r="AM240" s="10">
        <v>2</v>
      </c>
      <c r="AN240" s="29">
        <v>1</v>
      </c>
    </row>
    <row r="241">
      <c r="A241" s="23">
        <v>1808</v>
      </c>
      <c r="B241" s="4" t="s">
        <v>402</v>
      </c>
      <c r="C241" s="4" t="s">
        <v>63</v>
      </c>
      <c r="D241" s="4" t="s">
        <v>84</v>
      </c>
      <c r="E241" s="4" t="s">
        <v>85</v>
      </c>
      <c r="F241" s="6">
        <v>3</v>
      </c>
      <c r="G241" s="5">
        <v>2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</v>
      </c>
      <c r="V241" s="5">
        <v>2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1.5</v>
      </c>
      <c r="AL241" s="5">
        <v>1</v>
      </c>
      <c r="AM241" s="5">
        <v>2</v>
      </c>
      <c r="AN241" s="28">
        <v>0.95</v>
      </c>
    </row>
    <row r="242">
      <c r="A242" s="24">
        <v>1812</v>
      </c>
      <c r="B242" s="9" t="s">
        <v>403</v>
      </c>
      <c r="C242" s="9" t="s">
        <v>63</v>
      </c>
      <c r="D242" s="9" t="s">
        <v>115</v>
      </c>
      <c r="E242" s="9" t="s">
        <v>404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1813</v>
      </c>
      <c r="B243" s="4" t="s">
        <v>405</v>
      </c>
      <c r="C243" s="4" t="s">
        <v>63</v>
      </c>
      <c r="D243" s="4" t="s">
        <v>67</v>
      </c>
      <c r="E243" s="4" t="s">
        <v>271</v>
      </c>
      <c r="F243" s="6">
        <v>5</v>
      </c>
      <c r="G243" s="5">
        <v>2</v>
      </c>
      <c r="H243" s="7">
        <v>0</v>
      </c>
      <c r="I243" s="7">
        <v>0</v>
      </c>
      <c r="J243" s="5">
        <v>3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5</v>
      </c>
      <c r="V243" s="5">
        <v>2</v>
      </c>
      <c r="W243" s="7">
        <v>0</v>
      </c>
      <c r="X243" s="7">
        <v>0</v>
      </c>
      <c r="Y243" s="5">
        <v>3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2.5</v>
      </c>
      <c r="AL243" s="5">
        <v>2</v>
      </c>
      <c r="AM243" s="5">
        <v>3</v>
      </c>
      <c r="AN243" s="28">
        <v>0.78</v>
      </c>
    </row>
    <row r="244">
      <c r="A244" s="24">
        <v>1815</v>
      </c>
      <c r="B244" s="9" t="s">
        <v>406</v>
      </c>
      <c r="C244" s="9" t="s">
        <v>63</v>
      </c>
      <c r="D244" s="9" t="s">
        <v>120</v>
      </c>
      <c r="E244" s="9" t="s">
        <v>121</v>
      </c>
      <c r="F244" s="11">
        <v>2</v>
      </c>
      <c r="G244" s="12">
        <v>0</v>
      </c>
      <c r="H244" s="12">
        <v>0</v>
      </c>
      <c r="I244" s="12">
        <v>0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2">
        <v>0</v>
      </c>
      <c r="W244" s="12">
        <v>0</v>
      </c>
      <c r="X244" s="12">
        <v>0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0.5</v>
      </c>
    </row>
    <row r="245">
      <c r="A245" s="23">
        <v>1816</v>
      </c>
      <c r="B245" s="4" t="s">
        <v>407</v>
      </c>
      <c r="C245" s="4" t="s">
        <v>264</v>
      </c>
      <c r="D245" s="4" t="s">
        <v>398</v>
      </c>
      <c r="E245" s="4" t="s">
        <v>408</v>
      </c>
      <c r="F245" s="6">
        <v>4</v>
      </c>
      <c r="G245" s="7">
        <v>0</v>
      </c>
      <c r="H245" s="7">
        <v>0</v>
      </c>
      <c r="I245" s="5">
        <v>2</v>
      </c>
      <c r="J245" s="7">
        <v>0</v>
      </c>
      <c r="K245" s="7">
        <v>0</v>
      </c>
      <c r="L245" s="5">
        <v>2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4</v>
      </c>
      <c r="V245" s="7">
        <v>0</v>
      </c>
      <c r="W245" s="7">
        <v>0</v>
      </c>
      <c r="X245" s="5">
        <v>2</v>
      </c>
      <c r="Y245" s="7">
        <v>0</v>
      </c>
      <c r="Z245" s="7">
        <v>0</v>
      </c>
      <c r="AA245" s="5">
        <v>2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1.33</v>
      </c>
      <c r="AL245" s="5">
        <v>1</v>
      </c>
      <c r="AM245" s="5">
        <v>2</v>
      </c>
      <c r="AN245" s="28">
        <v>0.24</v>
      </c>
    </row>
    <row r="246">
      <c r="A246" s="24">
        <v>1817</v>
      </c>
      <c r="B246" s="9" t="s">
        <v>409</v>
      </c>
      <c r="C246" s="9" t="s">
        <v>264</v>
      </c>
      <c r="D246" s="9" t="s">
        <v>398</v>
      </c>
      <c r="E246" s="9" t="s">
        <v>410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1819</v>
      </c>
      <c r="B247" s="4" t="s">
        <v>411</v>
      </c>
      <c r="C247" s="4" t="s">
        <v>63</v>
      </c>
      <c r="D247" s="4" t="s">
        <v>84</v>
      </c>
      <c r="E247" s="4" t="s">
        <v>85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30">
        <v>0</v>
      </c>
    </row>
    <row r="248">
      <c r="A248" s="24">
        <v>1821</v>
      </c>
      <c r="B248" s="9" t="s">
        <v>412</v>
      </c>
      <c r="C248" s="9" t="s">
        <v>179</v>
      </c>
      <c r="D248" s="9" t="s">
        <v>413</v>
      </c>
      <c r="E248" s="9" t="s">
        <v>374</v>
      </c>
      <c r="F248" s="11">
        <v>4</v>
      </c>
      <c r="G248" s="10">
        <v>3</v>
      </c>
      <c r="H248" s="12">
        <v>0</v>
      </c>
      <c r="I248" s="12">
        <v>0</v>
      </c>
      <c r="J248" s="12">
        <v>0</v>
      </c>
      <c r="K248" s="12">
        <v>0</v>
      </c>
      <c r="L248" s="10">
        <v>1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0">
        <v>3</v>
      </c>
      <c r="W248" s="12">
        <v>0</v>
      </c>
      <c r="X248" s="12">
        <v>0</v>
      </c>
      <c r="Y248" s="12">
        <v>0</v>
      </c>
      <c r="Z248" s="12">
        <v>0</v>
      </c>
      <c r="AA248" s="10">
        <v>1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</v>
      </c>
      <c r="AL248" s="10">
        <v>2</v>
      </c>
      <c r="AM248" s="10">
        <v>3</v>
      </c>
      <c r="AN248" s="43">
        <v>0</v>
      </c>
    </row>
    <row r="249">
      <c r="A249" s="23">
        <v>1824</v>
      </c>
      <c r="B249" s="4" t="s">
        <v>414</v>
      </c>
      <c r="C249" s="4" t="s">
        <v>264</v>
      </c>
      <c r="D249" s="4" t="s">
        <v>398</v>
      </c>
      <c r="E249" s="4" t="s">
        <v>408</v>
      </c>
      <c r="F249" s="6">
        <v>5</v>
      </c>
      <c r="G249" s="5">
        <v>1</v>
      </c>
      <c r="H249" s="7">
        <v>0</v>
      </c>
      <c r="I249" s="5">
        <v>4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5</v>
      </c>
      <c r="V249" s="5">
        <v>1</v>
      </c>
      <c r="W249" s="7">
        <v>0</v>
      </c>
      <c r="X249" s="5">
        <v>4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2.5</v>
      </c>
      <c r="AL249" s="5">
        <v>2</v>
      </c>
      <c r="AM249" s="5">
        <v>4</v>
      </c>
      <c r="AN249" s="30">
        <v>0</v>
      </c>
    </row>
    <row r="250">
      <c r="A250" s="24">
        <v>1825</v>
      </c>
      <c r="B250" s="9" t="s">
        <v>415</v>
      </c>
      <c r="C250" s="9" t="s">
        <v>264</v>
      </c>
      <c r="D250" s="9" t="s">
        <v>398</v>
      </c>
      <c r="E250" s="9" t="s">
        <v>410</v>
      </c>
      <c r="F250" s="11">
        <v>3</v>
      </c>
      <c r="G250" s="12">
        <v>0</v>
      </c>
      <c r="H250" s="12">
        <v>0</v>
      </c>
      <c r="I250" s="10">
        <v>2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2">
        <v>0</v>
      </c>
      <c r="W250" s="12">
        <v>0</v>
      </c>
      <c r="X250" s="10">
        <v>2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29">
        <v>0.48</v>
      </c>
    </row>
    <row r="251">
      <c r="A251" s="23">
        <v>1827</v>
      </c>
      <c r="B251" s="4" t="s">
        <v>416</v>
      </c>
      <c r="C251" s="4" t="s">
        <v>264</v>
      </c>
      <c r="D251" s="4" t="s">
        <v>398</v>
      </c>
      <c r="E251" s="4" t="s">
        <v>410</v>
      </c>
      <c r="F251" s="6">
        <v>2</v>
      </c>
      <c r="G251" s="7">
        <v>0</v>
      </c>
      <c r="H251" s="5">
        <v>1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7">
        <v>0</v>
      </c>
      <c r="W251" s="5">
        <v>1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0.25</v>
      </c>
    </row>
    <row r="252">
      <c r="A252" s="24">
        <v>1839</v>
      </c>
      <c r="B252" s="9" t="s">
        <v>417</v>
      </c>
      <c r="C252" s="9" t="s">
        <v>63</v>
      </c>
      <c r="D252" s="9" t="s">
        <v>73</v>
      </c>
      <c r="E252" s="9" t="s">
        <v>130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1840</v>
      </c>
      <c r="B253" s="4" t="s">
        <v>418</v>
      </c>
      <c r="C253" s="4" t="s">
        <v>63</v>
      </c>
      <c r="D253" s="4" t="s">
        <v>115</v>
      </c>
      <c r="E253" s="4" t="s">
        <v>116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1841</v>
      </c>
      <c r="B254" s="9" t="s">
        <v>419</v>
      </c>
      <c r="C254" s="9" t="s">
        <v>63</v>
      </c>
      <c r="D254" s="9" t="s">
        <v>70</v>
      </c>
      <c r="E254" s="9" t="s">
        <v>347</v>
      </c>
      <c r="F254" s="11">
        <v>4</v>
      </c>
      <c r="G254" s="10">
        <v>3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3</v>
      </c>
      <c r="V254" s="10">
        <v>2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</v>
      </c>
      <c r="AL254" s="10">
        <v>2</v>
      </c>
      <c r="AM254" s="10">
        <v>3</v>
      </c>
      <c r="AN254" s="29">
        <v>0.75</v>
      </c>
    </row>
    <row r="255">
      <c r="A255" s="23">
        <v>1842</v>
      </c>
      <c r="B255" s="4" t="s">
        <v>420</v>
      </c>
      <c r="C255" s="4" t="s">
        <v>63</v>
      </c>
      <c r="D255" s="4" t="s">
        <v>84</v>
      </c>
      <c r="E255" s="4" t="s">
        <v>217</v>
      </c>
      <c r="F255" s="6">
        <v>2</v>
      </c>
      <c r="G255" s="7">
        <v>0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28">
        <v>0.25</v>
      </c>
    </row>
    <row r="256">
      <c r="A256" s="24">
        <v>1844</v>
      </c>
      <c r="B256" s="9" t="s">
        <v>421</v>
      </c>
      <c r="C256" s="9" t="s">
        <v>63</v>
      </c>
      <c r="D256" s="9" t="s">
        <v>111</v>
      </c>
      <c r="E256" s="9" t="s">
        <v>223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3">
        <v>0</v>
      </c>
    </row>
    <row r="257">
      <c r="A257" s="23">
        <v>1866</v>
      </c>
      <c r="B257" s="4" t="s">
        <v>422</v>
      </c>
      <c r="C257" s="4" t="s">
        <v>63</v>
      </c>
      <c r="D257" s="4" t="s">
        <v>120</v>
      </c>
      <c r="E257" s="4" t="s">
        <v>165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0.26</v>
      </c>
    </row>
    <row r="258">
      <c r="A258" s="24">
        <v>1870</v>
      </c>
      <c r="B258" s="9" t="s">
        <v>423</v>
      </c>
      <c r="C258" s="9" t="s">
        <v>63</v>
      </c>
      <c r="D258" s="9" t="s">
        <v>120</v>
      </c>
      <c r="E258" s="9" t="s">
        <v>121</v>
      </c>
      <c r="F258" s="11">
        <v>3</v>
      </c>
      <c r="G258" s="10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3</v>
      </c>
      <c r="V258" s="10">
        <v>3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29">
        <v>0.98</v>
      </c>
    </row>
    <row r="259">
      <c r="A259" s="23">
        <v>1876</v>
      </c>
      <c r="B259" s="4" t="s">
        <v>424</v>
      </c>
      <c r="C259" s="4" t="s">
        <v>63</v>
      </c>
      <c r="D259" s="4" t="s">
        <v>67</v>
      </c>
      <c r="E259" s="4" t="s">
        <v>271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0.72</v>
      </c>
    </row>
    <row r="260">
      <c r="A260" s="24">
        <v>1878</v>
      </c>
      <c r="B260" s="9" t="s">
        <v>425</v>
      </c>
      <c r="C260" s="9" t="s">
        <v>63</v>
      </c>
      <c r="D260" s="9" t="s">
        <v>115</v>
      </c>
      <c r="E260" s="9" t="s">
        <v>116</v>
      </c>
      <c r="F260" s="11">
        <v>4</v>
      </c>
      <c r="G260" s="10">
        <v>1</v>
      </c>
      <c r="H260" s="10">
        <v>3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4</v>
      </c>
      <c r="V260" s="10">
        <v>1</v>
      </c>
      <c r="W260" s="10">
        <v>3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</v>
      </c>
      <c r="AL260" s="10">
        <v>2</v>
      </c>
      <c r="AM260" s="10">
        <v>3</v>
      </c>
      <c r="AN260" s="29">
        <v>1.04</v>
      </c>
    </row>
    <row r="261">
      <c r="A261" s="23">
        <v>1881</v>
      </c>
      <c r="B261" s="4" t="s">
        <v>426</v>
      </c>
      <c r="C261" s="4" t="s">
        <v>63</v>
      </c>
      <c r="D261" s="4" t="s">
        <v>70</v>
      </c>
      <c r="E261" s="4" t="s">
        <v>71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30">
        <v>0</v>
      </c>
    </row>
    <row r="262">
      <c r="A262" s="24">
        <v>1887</v>
      </c>
      <c r="B262" s="9" t="s">
        <v>427</v>
      </c>
      <c r="C262" s="9" t="s">
        <v>63</v>
      </c>
      <c r="D262" s="9" t="s">
        <v>84</v>
      </c>
      <c r="E262" s="9" t="s">
        <v>85</v>
      </c>
      <c r="F262" s="11">
        <v>1</v>
      </c>
      <c r="G262" s="12">
        <v>0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3">
        <v>0</v>
      </c>
    </row>
    <row r="263">
      <c r="A263" s="23">
        <v>1892</v>
      </c>
      <c r="B263" s="4" t="s">
        <v>428</v>
      </c>
      <c r="C263" s="4" t="s">
        <v>63</v>
      </c>
      <c r="D263" s="4" t="s">
        <v>73</v>
      </c>
      <c r="E263" s="4" t="s">
        <v>74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1900</v>
      </c>
      <c r="B264" s="9" t="s">
        <v>429</v>
      </c>
      <c r="C264" s="9" t="s">
        <v>264</v>
      </c>
      <c r="D264" s="9" t="s">
        <v>430</v>
      </c>
      <c r="E264" s="9" t="s">
        <v>431</v>
      </c>
      <c r="F264" s="11">
        <v>2</v>
      </c>
      <c r="G264" s="12">
        <v>0</v>
      </c>
      <c r="H264" s="12">
        <v>0</v>
      </c>
      <c r="I264" s="10">
        <v>1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2">
        <v>0</v>
      </c>
      <c r="W264" s="12">
        <v>0</v>
      </c>
      <c r="X264" s="10">
        <v>1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0.48</v>
      </c>
    </row>
    <row r="265">
      <c r="A265" s="23">
        <v>1906</v>
      </c>
      <c r="B265" s="4" t="s">
        <v>432</v>
      </c>
      <c r="C265" s="4" t="s">
        <v>63</v>
      </c>
      <c r="D265" s="4" t="s">
        <v>111</v>
      </c>
      <c r="E265" s="4" t="s">
        <v>243</v>
      </c>
      <c r="F265" s="6">
        <v>3</v>
      </c>
      <c r="G265" s="7">
        <v>0</v>
      </c>
      <c r="H265" s="7">
        <v>0</v>
      </c>
      <c r="I265" s="7">
        <v>0</v>
      </c>
      <c r="J265" s="5">
        <v>3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7">
        <v>0</v>
      </c>
      <c r="W265" s="7">
        <v>0</v>
      </c>
      <c r="X265" s="7">
        <v>0</v>
      </c>
      <c r="Y265" s="5">
        <v>3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28">
        <v>0.75</v>
      </c>
    </row>
    <row r="266">
      <c r="A266" s="24">
        <v>1912</v>
      </c>
      <c r="B266" s="9" t="s">
        <v>433</v>
      </c>
      <c r="C266" s="9" t="s">
        <v>63</v>
      </c>
      <c r="D266" s="9" t="s">
        <v>73</v>
      </c>
      <c r="E266" s="9" t="s">
        <v>130</v>
      </c>
      <c r="F266" s="11">
        <v>3</v>
      </c>
      <c r="G266" s="10">
        <v>3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3</v>
      </c>
      <c r="AL266" s="10">
        <v>3</v>
      </c>
      <c r="AM266" s="10">
        <v>3</v>
      </c>
      <c r="AN266" s="43">
        <v>0</v>
      </c>
    </row>
    <row r="267">
      <c r="A267" s="23">
        <v>1931</v>
      </c>
      <c r="B267" s="4" t="s">
        <v>434</v>
      </c>
      <c r="C267" s="4" t="s">
        <v>63</v>
      </c>
      <c r="D267" s="4" t="s">
        <v>73</v>
      </c>
      <c r="E267" s="4" t="s">
        <v>130</v>
      </c>
      <c r="F267" s="6">
        <v>2</v>
      </c>
      <c r="G267" s="5">
        <v>1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1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1941</v>
      </c>
      <c r="B268" s="9" t="s">
        <v>435</v>
      </c>
      <c r="C268" s="9" t="s">
        <v>63</v>
      </c>
      <c r="D268" s="9" t="s">
        <v>73</v>
      </c>
      <c r="E268" s="9" t="s">
        <v>130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0.26</v>
      </c>
    </row>
    <row r="269">
      <c r="A269" s="23">
        <v>1959</v>
      </c>
      <c r="B269" s="4" t="s">
        <v>436</v>
      </c>
      <c r="C269" s="4" t="s">
        <v>63</v>
      </c>
      <c r="D269" s="4" t="s">
        <v>73</v>
      </c>
      <c r="E269" s="4" t="s">
        <v>130</v>
      </c>
      <c r="F269" s="6">
        <v>2</v>
      </c>
      <c r="G269" s="5">
        <v>1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1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0.5</v>
      </c>
    </row>
    <row r="270">
      <c r="A270" s="24">
        <v>2006</v>
      </c>
      <c r="B270" s="9" t="s">
        <v>437</v>
      </c>
      <c r="C270" s="9" t="s">
        <v>63</v>
      </c>
      <c r="D270" s="9" t="s">
        <v>102</v>
      </c>
      <c r="E270" s="9" t="s">
        <v>144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3">
        <v>0</v>
      </c>
    </row>
    <row r="271">
      <c r="A271" s="23">
        <v>2087</v>
      </c>
      <c r="B271" s="4" t="s">
        <v>438</v>
      </c>
      <c r="C271" s="4" t="s">
        <v>63</v>
      </c>
      <c r="D271" s="4" t="s">
        <v>73</v>
      </c>
      <c r="E271" s="4" t="s">
        <v>130</v>
      </c>
      <c r="F271" s="6">
        <v>4</v>
      </c>
      <c r="G271" s="5">
        <v>4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3</v>
      </c>
      <c r="V271" s="5">
        <v>3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4</v>
      </c>
      <c r="AK271" s="8">
        <v>4</v>
      </c>
      <c r="AL271" s="5">
        <v>4</v>
      </c>
      <c r="AM271" s="5">
        <v>4</v>
      </c>
      <c r="AN271" s="30">
        <v>0</v>
      </c>
    </row>
    <row r="272">
      <c r="A272" s="24">
        <v>2095</v>
      </c>
      <c r="B272" s="9" t="s">
        <v>439</v>
      </c>
      <c r="C272" s="9" t="s">
        <v>63</v>
      </c>
      <c r="D272" s="9" t="s">
        <v>73</v>
      </c>
      <c r="E272" s="9" t="s">
        <v>130</v>
      </c>
      <c r="F272" s="11">
        <v>5</v>
      </c>
      <c r="G272" s="10">
        <v>4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3</v>
      </c>
      <c r="V272" s="10">
        <v>2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1.67</v>
      </c>
      <c r="AL272" s="10">
        <v>1</v>
      </c>
      <c r="AM272" s="10">
        <v>3</v>
      </c>
      <c r="AN272" s="29">
        <v>0.26</v>
      </c>
    </row>
    <row r="273">
      <c r="A273" s="23">
        <v>2108</v>
      </c>
      <c r="B273" s="4" t="s">
        <v>440</v>
      </c>
      <c r="C273" s="4" t="s">
        <v>63</v>
      </c>
      <c r="D273" s="4" t="s">
        <v>73</v>
      </c>
      <c r="E273" s="4" t="s">
        <v>130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28">
        <v>0.37</v>
      </c>
    </row>
    <row r="274">
      <c r="A274" s="24">
        <v>2201</v>
      </c>
      <c r="B274" s="9" t="s">
        <v>441</v>
      </c>
      <c r="C274" s="9" t="s">
        <v>63</v>
      </c>
      <c r="D274" s="9" t="s">
        <v>84</v>
      </c>
      <c r="E274" s="9" t="s">
        <v>85</v>
      </c>
      <c r="F274" s="11">
        <v>2</v>
      </c>
      <c r="G274" s="12">
        <v>0</v>
      </c>
      <c r="H274" s="12">
        <v>0</v>
      </c>
      <c r="I274" s="12">
        <v>0</v>
      </c>
      <c r="J274" s="10">
        <v>2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2">
        <v>0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29">
        <v>0.26</v>
      </c>
    </row>
    <row r="275">
      <c r="A275" s="23">
        <v>2212</v>
      </c>
      <c r="B275" s="4" t="s">
        <v>442</v>
      </c>
      <c r="C275" s="4" t="s">
        <v>63</v>
      </c>
      <c r="D275" s="4" t="s">
        <v>64</v>
      </c>
      <c r="E275" s="4" t="s">
        <v>443</v>
      </c>
      <c r="F275" s="6">
        <v>2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5">
        <v>1</v>
      </c>
      <c r="M275" s="7">
        <v>0</v>
      </c>
      <c r="N275" s="5">
        <v>1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5">
        <v>1</v>
      </c>
      <c r="AB275" s="7">
        <v>0</v>
      </c>
      <c r="AC275" s="5">
        <v>1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2217</v>
      </c>
      <c r="B276" s="9" t="s">
        <v>444</v>
      </c>
      <c r="C276" s="9" t="s">
        <v>63</v>
      </c>
      <c r="D276" s="9" t="s">
        <v>120</v>
      </c>
      <c r="E276" s="9" t="s">
        <v>132</v>
      </c>
      <c r="F276" s="11">
        <v>1</v>
      </c>
      <c r="G276" s="12">
        <v>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2224</v>
      </c>
      <c r="B277" s="4" t="s">
        <v>445</v>
      </c>
      <c r="C277" s="4" t="s">
        <v>63</v>
      </c>
      <c r="D277" s="4" t="s">
        <v>73</v>
      </c>
      <c r="E277" s="4" t="s">
        <v>130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0.24</v>
      </c>
    </row>
    <row r="278">
      <c r="A278" s="24">
        <v>2225</v>
      </c>
      <c r="B278" s="9" t="s">
        <v>446</v>
      </c>
      <c r="C278" s="9" t="s">
        <v>63</v>
      </c>
      <c r="D278" s="9" t="s">
        <v>111</v>
      </c>
      <c r="E278" s="9" t="s">
        <v>112</v>
      </c>
      <c r="F278" s="11">
        <v>1</v>
      </c>
      <c r="G278" s="12">
        <v>0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0.24</v>
      </c>
    </row>
    <row r="279">
      <c r="A279" s="23">
        <v>2227</v>
      </c>
      <c r="B279" s="4" t="s">
        <v>447</v>
      </c>
      <c r="C279" s="4" t="s">
        <v>63</v>
      </c>
      <c r="D279" s="4" t="s">
        <v>70</v>
      </c>
      <c r="E279" s="4" t="s">
        <v>71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0.26</v>
      </c>
    </row>
    <row r="280">
      <c r="A280" s="24">
        <v>2272</v>
      </c>
      <c r="B280" s="9" t="s">
        <v>448</v>
      </c>
      <c r="C280" s="9" t="s">
        <v>63</v>
      </c>
      <c r="D280" s="9" t="s">
        <v>84</v>
      </c>
      <c r="E280" s="9" t="s">
        <v>85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3">
        <v>0</v>
      </c>
    </row>
    <row r="281">
      <c r="A281" s="23">
        <v>2301</v>
      </c>
      <c r="B281" s="4" t="s">
        <v>449</v>
      </c>
      <c r="C281" s="4" t="s">
        <v>63</v>
      </c>
      <c r="D281" s="4" t="s">
        <v>77</v>
      </c>
      <c r="E281" s="4" t="s">
        <v>450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2305</v>
      </c>
      <c r="B282" s="9" t="s">
        <v>451</v>
      </c>
      <c r="C282" s="9" t="s">
        <v>63</v>
      </c>
      <c r="D282" s="9" t="s">
        <v>73</v>
      </c>
      <c r="E282" s="9" t="s">
        <v>237</v>
      </c>
      <c r="F282" s="11">
        <v>1</v>
      </c>
      <c r="G282" s="12">
        <v>0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0.24</v>
      </c>
    </row>
    <row r="283">
      <c r="A283" s="23">
        <v>2309</v>
      </c>
      <c r="B283" s="4" t="s">
        <v>452</v>
      </c>
      <c r="C283" s="4" t="s">
        <v>264</v>
      </c>
      <c r="D283" s="4" t="s">
        <v>453</v>
      </c>
      <c r="E283" s="4" t="s">
        <v>454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2310</v>
      </c>
      <c r="B284" s="9" t="s">
        <v>455</v>
      </c>
      <c r="C284" s="9" t="s">
        <v>264</v>
      </c>
      <c r="D284" s="9" t="s">
        <v>453</v>
      </c>
      <c r="E284" s="9" t="s">
        <v>454</v>
      </c>
      <c r="F284" s="11">
        <v>2</v>
      </c>
      <c r="G284" s="10">
        <v>1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1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0.22</v>
      </c>
    </row>
    <row r="285">
      <c r="A285" s="23">
        <v>2313</v>
      </c>
      <c r="B285" s="4" t="s">
        <v>456</v>
      </c>
      <c r="C285" s="4" t="s">
        <v>63</v>
      </c>
      <c r="D285" s="4" t="s">
        <v>84</v>
      </c>
      <c r="E285" s="4" t="s">
        <v>217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2320</v>
      </c>
      <c r="B286" s="9" t="s">
        <v>457</v>
      </c>
      <c r="C286" s="9" t="s">
        <v>264</v>
      </c>
      <c r="D286" s="9" t="s">
        <v>453</v>
      </c>
      <c r="E286" s="9" t="s">
        <v>454</v>
      </c>
      <c r="F286" s="11">
        <v>1</v>
      </c>
      <c r="G286" s="12">
        <v>0</v>
      </c>
      <c r="H286" s="10">
        <v>1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0">
        <v>1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3">
        <v>0</v>
      </c>
    </row>
    <row r="287">
      <c r="A287" s="23">
        <v>2326</v>
      </c>
      <c r="B287" s="4" t="s">
        <v>458</v>
      </c>
      <c r="C287" s="4" t="s">
        <v>264</v>
      </c>
      <c r="D287" s="4" t="s">
        <v>453</v>
      </c>
      <c r="E287" s="4" t="s">
        <v>459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0.22</v>
      </c>
    </row>
    <row r="288">
      <c r="A288" s="24">
        <v>2327</v>
      </c>
      <c r="B288" s="9" t="s">
        <v>460</v>
      </c>
      <c r="C288" s="9" t="s">
        <v>63</v>
      </c>
      <c r="D288" s="9" t="s">
        <v>84</v>
      </c>
      <c r="E288" s="9" t="s">
        <v>217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3">
        <v>0</v>
      </c>
    </row>
    <row r="289">
      <c r="A289" s="23">
        <v>2332</v>
      </c>
      <c r="B289" s="4" t="s">
        <v>461</v>
      </c>
      <c r="C289" s="4" t="s">
        <v>264</v>
      </c>
      <c r="D289" s="4" t="s">
        <v>462</v>
      </c>
      <c r="E289" s="4" t="s">
        <v>463</v>
      </c>
      <c r="F289" s="6">
        <v>4</v>
      </c>
      <c r="G289" s="7">
        <v>0</v>
      </c>
      <c r="H289" s="7">
        <v>0</v>
      </c>
      <c r="I289" s="7">
        <v>0</v>
      </c>
      <c r="J289" s="5">
        <v>4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3</v>
      </c>
      <c r="V289" s="7">
        <v>0</v>
      </c>
      <c r="W289" s="7">
        <v>0</v>
      </c>
      <c r="X289" s="7">
        <v>0</v>
      </c>
      <c r="Y289" s="5">
        <v>3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</v>
      </c>
      <c r="AL289" s="5">
        <v>2</v>
      </c>
      <c r="AM289" s="5">
        <v>3</v>
      </c>
      <c r="AN289" s="28">
        <v>0.5</v>
      </c>
    </row>
    <row r="290">
      <c r="A290" s="24">
        <v>2333</v>
      </c>
      <c r="B290" s="9" t="s">
        <v>464</v>
      </c>
      <c r="C290" s="9" t="s">
        <v>63</v>
      </c>
      <c r="D290" s="9" t="s">
        <v>84</v>
      </c>
      <c r="E290" s="9" t="s">
        <v>150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2</v>
      </c>
      <c r="AK290" s="13">
        <v>2</v>
      </c>
      <c r="AL290" s="10">
        <v>2</v>
      </c>
      <c r="AM290" s="10">
        <v>2</v>
      </c>
      <c r="AN290" s="29">
        <v>0.7</v>
      </c>
    </row>
    <row r="291">
      <c r="A291" s="23">
        <v>2334</v>
      </c>
      <c r="B291" s="4" t="s">
        <v>465</v>
      </c>
      <c r="C291" s="4" t="s">
        <v>63</v>
      </c>
      <c r="D291" s="4" t="s">
        <v>89</v>
      </c>
      <c r="E291" s="4" t="s">
        <v>161</v>
      </c>
      <c r="F291" s="6">
        <v>1</v>
      </c>
      <c r="G291" s="7">
        <v>0</v>
      </c>
      <c r="H291" s="7">
        <v>0</v>
      </c>
      <c r="I291" s="5">
        <v>1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5">
        <v>1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2335</v>
      </c>
      <c r="B292" s="9" t="s">
        <v>466</v>
      </c>
      <c r="C292" s="9" t="s">
        <v>63</v>
      </c>
      <c r="D292" s="9" t="s">
        <v>77</v>
      </c>
      <c r="E292" s="9" t="s">
        <v>78</v>
      </c>
      <c r="F292" s="11">
        <v>5</v>
      </c>
      <c r="G292" s="12">
        <v>0</v>
      </c>
      <c r="H292" s="12">
        <v>0</v>
      </c>
      <c r="I292" s="12">
        <v>0</v>
      </c>
      <c r="J292" s="10">
        <v>5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2">
        <v>0</v>
      </c>
      <c r="W292" s="12">
        <v>0</v>
      </c>
      <c r="X292" s="12">
        <v>0</v>
      </c>
      <c r="Y292" s="10">
        <v>2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2.5</v>
      </c>
      <c r="AL292" s="10">
        <v>2</v>
      </c>
      <c r="AM292" s="10">
        <v>4</v>
      </c>
      <c r="AN292" s="29">
        <v>0.25</v>
      </c>
    </row>
    <row r="293">
      <c r="A293" s="23">
        <v>2336</v>
      </c>
      <c r="B293" s="4" t="s">
        <v>467</v>
      </c>
      <c r="C293" s="4" t="s">
        <v>179</v>
      </c>
      <c r="D293" s="4" t="s">
        <v>180</v>
      </c>
      <c r="E293" s="4" t="s">
        <v>191</v>
      </c>
      <c r="F293" s="6">
        <v>2</v>
      </c>
      <c r="G293" s="7">
        <v>0</v>
      </c>
      <c r="H293" s="5">
        <v>2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7">
        <v>0</v>
      </c>
      <c r="W293" s="5">
        <v>2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28">
        <v>0.48</v>
      </c>
    </row>
    <row r="294">
      <c r="A294" s="24">
        <v>2339</v>
      </c>
      <c r="B294" s="9" t="s">
        <v>468</v>
      </c>
      <c r="C294" s="9" t="s">
        <v>63</v>
      </c>
      <c r="D294" s="9" t="s">
        <v>120</v>
      </c>
      <c r="E294" s="9" t="s">
        <v>132</v>
      </c>
      <c r="F294" s="11">
        <v>5</v>
      </c>
      <c r="G294" s="12">
        <v>0</v>
      </c>
      <c r="H294" s="10">
        <v>1</v>
      </c>
      <c r="I294" s="10">
        <v>2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5</v>
      </c>
      <c r="V294" s="12">
        <v>0</v>
      </c>
      <c r="W294" s="10">
        <v>1</v>
      </c>
      <c r="X294" s="10">
        <v>2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1.67</v>
      </c>
      <c r="AL294" s="10">
        <v>2</v>
      </c>
      <c r="AM294" s="10">
        <v>2</v>
      </c>
      <c r="AN294" s="29">
        <v>0.85</v>
      </c>
    </row>
    <row r="295">
      <c r="A295" s="23">
        <v>2350</v>
      </c>
      <c r="B295" s="4" t="s">
        <v>469</v>
      </c>
      <c r="C295" s="4" t="s">
        <v>63</v>
      </c>
      <c r="D295" s="4" t="s">
        <v>73</v>
      </c>
      <c r="E295" s="4" t="s">
        <v>140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2353</v>
      </c>
      <c r="B296" s="9" t="s">
        <v>470</v>
      </c>
      <c r="C296" s="9" t="s">
        <v>179</v>
      </c>
      <c r="D296" s="9" t="s">
        <v>471</v>
      </c>
      <c r="E296" s="9" t="s">
        <v>472</v>
      </c>
      <c r="F296" s="11">
        <v>2</v>
      </c>
      <c r="G296" s="10">
        <v>1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1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3">
        <v>0</v>
      </c>
    </row>
    <row r="297">
      <c r="A297" s="23">
        <v>2357</v>
      </c>
      <c r="B297" s="4" t="s">
        <v>473</v>
      </c>
      <c r="C297" s="4" t="s">
        <v>63</v>
      </c>
      <c r="D297" s="4" t="s">
        <v>77</v>
      </c>
      <c r="E297" s="4" t="s">
        <v>92</v>
      </c>
      <c r="F297" s="6">
        <v>1</v>
      </c>
      <c r="G297" s="7">
        <v>0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7">
        <v>0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2365</v>
      </c>
      <c r="B298" s="9" t="s">
        <v>474</v>
      </c>
      <c r="C298" s="9" t="s">
        <v>63</v>
      </c>
      <c r="D298" s="9" t="s">
        <v>111</v>
      </c>
      <c r="E298" s="9" t="s">
        <v>243</v>
      </c>
      <c r="F298" s="11">
        <v>2</v>
      </c>
      <c r="G298" s="12">
        <v>0</v>
      </c>
      <c r="H298" s="12">
        <v>0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2">
        <v>0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0.5</v>
      </c>
    </row>
    <row r="299">
      <c r="A299" s="23">
        <v>2375</v>
      </c>
      <c r="B299" s="4" t="s">
        <v>475</v>
      </c>
      <c r="C299" s="4" t="s">
        <v>264</v>
      </c>
      <c r="D299" s="4" t="s">
        <v>476</v>
      </c>
      <c r="E299" s="4" t="s">
        <v>477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30">
        <v>0</v>
      </c>
    </row>
    <row r="300">
      <c r="A300" s="24">
        <v>2376</v>
      </c>
      <c r="B300" s="9" t="s">
        <v>478</v>
      </c>
      <c r="C300" s="9" t="s">
        <v>264</v>
      </c>
      <c r="D300" s="9" t="s">
        <v>479</v>
      </c>
      <c r="E300" s="9" t="s">
        <v>480</v>
      </c>
      <c r="F300" s="11">
        <v>1</v>
      </c>
      <c r="G300" s="12">
        <v>0</v>
      </c>
      <c r="H300" s="12">
        <v>0</v>
      </c>
      <c r="I300" s="10">
        <v>1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2">
        <v>0</v>
      </c>
      <c r="W300" s="12">
        <v>0</v>
      </c>
      <c r="X300" s="10">
        <v>1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0.22</v>
      </c>
    </row>
    <row r="301">
      <c r="A301" s="23">
        <v>2387</v>
      </c>
      <c r="B301" s="4" t="s">
        <v>481</v>
      </c>
      <c r="C301" s="4" t="s">
        <v>179</v>
      </c>
      <c r="D301" s="4" t="s">
        <v>180</v>
      </c>
      <c r="E301" s="4" t="s">
        <v>181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2390</v>
      </c>
      <c r="B302" s="9" t="s">
        <v>482</v>
      </c>
      <c r="C302" s="9" t="s">
        <v>63</v>
      </c>
      <c r="D302" s="9" t="s">
        <v>111</v>
      </c>
      <c r="E302" s="9" t="s">
        <v>112</v>
      </c>
      <c r="F302" s="11">
        <v>1</v>
      </c>
      <c r="G302" s="12">
        <v>0</v>
      </c>
      <c r="H302" s="12">
        <v>0</v>
      </c>
      <c r="I302" s="10">
        <v>1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0">
        <v>1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0.22</v>
      </c>
    </row>
    <row r="303">
      <c r="A303" s="23">
        <v>2396</v>
      </c>
      <c r="B303" s="4" t="s">
        <v>483</v>
      </c>
      <c r="C303" s="4" t="s">
        <v>63</v>
      </c>
      <c r="D303" s="4" t="s">
        <v>67</v>
      </c>
      <c r="E303" s="4" t="s">
        <v>271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0.24</v>
      </c>
    </row>
    <row r="304">
      <c r="A304" s="24">
        <v>2401</v>
      </c>
      <c r="B304" s="9" t="s">
        <v>484</v>
      </c>
      <c r="C304" s="9" t="s">
        <v>63</v>
      </c>
      <c r="D304" s="9" t="s">
        <v>108</v>
      </c>
      <c r="E304" s="9" t="s">
        <v>158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3">
        <v>0</v>
      </c>
    </row>
    <row r="305">
      <c r="A305" s="23">
        <v>2403</v>
      </c>
      <c r="B305" s="4" t="s">
        <v>485</v>
      </c>
      <c r="C305" s="4" t="s">
        <v>63</v>
      </c>
      <c r="D305" s="4" t="s">
        <v>120</v>
      </c>
      <c r="E305" s="4" t="s">
        <v>123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0.25</v>
      </c>
    </row>
    <row r="306">
      <c r="A306" s="24">
        <v>2406</v>
      </c>
      <c r="B306" s="9" t="s">
        <v>486</v>
      </c>
      <c r="C306" s="9" t="s">
        <v>63</v>
      </c>
      <c r="D306" s="9" t="s">
        <v>73</v>
      </c>
      <c r="E306" s="9" t="s">
        <v>74</v>
      </c>
      <c r="F306" s="11">
        <v>3</v>
      </c>
      <c r="G306" s="10">
        <v>3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3</v>
      </c>
      <c r="V306" s="10">
        <v>3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0.85</v>
      </c>
    </row>
    <row r="307">
      <c r="A307" s="23">
        <v>2413</v>
      </c>
      <c r="B307" s="4" t="s">
        <v>487</v>
      </c>
      <c r="C307" s="4" t="s">
        <v>63</v>
      </c>
      <c r="D307" s="4" t="s">
        <v>84</v>
      </c>
      <c r="E307" s="4" t="s">
        <v>150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2416</v>
      </c>
      <c r="B308" s="9" t="s">
        <v>488</v>
      </c>
      <c r="C308" s="9" t="s">
        <v>63</v>
      </c>
      <c r="D308" s="9" t="s">
        <v>115</v>
      </c>
      <c r="E308" s="9" t="s">
        <v>118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3">
        <v>0</v>
      </c>
    </row>
    <row r="309">
      <c r="A309" s="23">
        <v>2419</v>
      </c>
      <c r="B309" s="4" t="s">
        <v>489</v>
      </c>
      <c r="C309" s="4" t="s">
        <v>63</v>
      </c>
      <c r="D309" s="4" t="s">
        <v>73</v>
      </c>
      <c r="E309" s="4" t="s">
        <v>82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0.37</v>
      </c>
    </row>
    <row r="310">
      <c r="A310" s="24">
        <v>2430</v>
      </c>
      <c r="B310" s="9" t="s">
        <v>490</v>
      </c>
      <c r="C310" s="9" t="s">
        <v>63</v>
      </c>
      <c r="D310" s="9" t="s">
        <v>84</v>
      </c>
      <c r="E310" s="9" t="s">
        <v>150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2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29">
        <v>0.74</v>
      </c>
    </row>
    <row r="311">
      <c r="A311" s="23">
        <v>2432</v>
      </c>
      <c r="B311" s="4" t="s">
        <v>491</v>
      </c>
      <c r="C311" s="4" t="s">
        <v>63</v>
      </c>
      <c r="D311" s="4" t="s">
        <v>84</v>
      </c>
      <c r="E311" s="4" t="s">
        <v>85</v>
      </c>
      <c r="F311" s="6">
        <v>2</v>
      </c>
      <c r="G311" s="5">
        <v>1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1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2433</v>
      </c>
      <c r="B312" s="9" t="s">
        <v>492</v>
      </c>
      <c r="C312" s="9" t="s">
        <v>63</v>
      </c>
      <c r="D312" s="9" t="s">
        <v>84</v>
      </c>
      <c r="E312" s="9" t="s">
        <v>85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0.26</v>
      </c>
    </row>
    <row r="313">
      <c r="A313" s="23">
        <v>2435</v>
      </c>
      <c r="B313" s="4" t="s">
        <v>493</v>
      </c>
      <c r="C313" s="4" t="s">
        <v>63</v>
      </c>
      <c r="D313" s="4" t="s">
        <v>77</v>
      </c>
      <c r="E313" s="4" t="s">
        <v>450</v>
      </c>
      <c r="F313" s="6">
        <v>2</v>
      </c>
      <c r="G313" s="7">
        <v>0</v>
      </c>
      <c r="H313" s="7">
        <v>0</v>
      </c>
      <c r="I313" s="5">
        <v>2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7">
        <v>0</v>
      </c>
      <c r="W313" s="7">
        <v>0</v>
      </c>
      <c r="X313" s="5">
        <v>1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</v>
      </c>
      <c r="AL313" s="5">
        <v>2</v>
      </c>
      <c r="AM313" s="5">
        <v>2</v>
      </c>
      <c r="AN313" s="30">
        <v>0</v>
      </c>
    </row>
    <row r="314">
      <c r="A314" s="24">
        <v>2436</v>
      </c>
      <c r="B314" s="9" t="s">
        <v>494</v>
      </c>
      <c r="C314" s="9" t="s">
        <v>63</v>
      </c>
      <c r="D314" s="9" t="s">
        <v>70</v>
      </c>
      <c r="E314" s="9" t="s">
        <v>495</v>
      </c>
      <c r="F314" s="11">
        <v>4</v>
      </c>
      <c r="G314" s="10">
        <v>4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4</v>
      </c>
      <c r="V314" s="10">
        <v>4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</v>
      </c>
      <c r="AL314" s="10">
        <v>2</v>
      </c>
      <c r="AM314" s="10">
        <v>3</v>
      </c>
      <c r="AN314" s="43">
        <v>0</v>
      </c>
    </row>
    <row r="315">
      <c r="A315" s="23">
        <v>2440</v>
      </c>
      <c r="B315" s="4" t="s">
        <v>496</v>
      </c>
      <c r="C315" s="4" t="s">
        <v>63</v>
      </c>
      <c r="D315" s="4" t="s">
        <v>84</v>
      </c>
      <c r="E315" s="4" t="s">
        <v>85</v>
      </c>
      <c r="F315" s="6">
        <v>5</v>
      </c>
      <c r="G315" s="7">
        <v>0</v>
      </c>
      <c r="H315" s="7">
        <v>0</v>
      </c>
      <c r="I315" s="7">
        <v>0</v>
      </c>
      <c r="J315" s="5">
        <v>5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4</v>
      </c>
      <c r="V315" s="7">
        <v>0</v>
      </c>
      <c r="W315" s="7">
        <v>0</v>
      </c>
      <c r="X315" s="7">
        <v>0</v>
      </c>
      <c r="Y315" s="5">
        <v>4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5</v>
      </c>
      <c r="AK315" s="8">
        <v>5</v>
      </c>
      <c r="AL315" s="5">
        <v>5</v>
      </c>
      <c r="AM315" s="5">
        <v>5</v>
      </c>
      <c r="AN315" s="28">
        <v>1</v>
      </c>
    </row>
    <row r="316">
      <c r="A316" s="24">
        <v>2442</v>
      </c>
      <c r="B316" s="9" t="s">
        <v>497</v>
      </c>
      <c r="C316" s="9" t="s">
        <v>63</v>
      </c>
      <c r="D316" s="9" t="s">
        <v>135</v>
      </c>
      <c r="E316" s="9" t="s">
        <v>136</v>
      </c>
      <c r="F316" s="11">
        <v>1</v>
      </c>
      <c r="G316" s="12">
        <v>0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0.25</v>
      </c>
    </row>
    <row r="317">
      <c r="A317" s="23">
        <v>2445</v>
      </c>
      <c r="B317" s="4" t="s">
        <v>498</v>
      </c>
      <c r="C317" s="4" t="s">
        <v>63</v>
      </c>
      <c r="D317" s="4" t="s">
        <v>120</v>
      </c>
      <c r="E317" s="4" t="s">
        <v>499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2459</v>
      </c>
      <c r="B318" s="9" t="s">
        <v>500</v>
      </c>
      <c r="C318" s="9" t="s">
        <v>63</v>
      </c>
      <c r="D318" s="9" t="s">
        <v>120</v>
      </c>
      <c r="E318" s="9" t="s">
        <v>499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43">
        <v>0</v>
      </c>
    </row>
    <row r="319">
      <c r="A319" s="23">
        <v>2480</v>
      </c>
      <c r="B319" s="4" t="s">
        <v>501</v>
      </c>
      <c r="C319" s="4" t="s">
        <v>179</v>
      </c>
      <c r="D319" s="4" t="s">
        <v>502</v>
      </c>
      <c r="E319" s="4" t="s">
        <v>503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2481</v>
      </c>
      <c r="B320" s="9" t="s">
        <v>504</v>
      </c>
      <c r="C320" s="9" t="s">
        <v>63</v>
      </c>
      <c r="D320" s="9" t="s">
        <v>120</v>
      </c>
      <c r="E320" s="9" t="s">
        <v>499</v>
      </c>
      <c r="F320" s="11">
        <v>2</v>
      </c>
      <c r="G320" s="12">
        <v>0</v>
      </c>
      <c r="H320" s="12">
        <v>0</v>
      </c>
      <c r="I320" s="12">
        <v>0</v>
      </c>
      <c r="J320" s="10">
        <v>2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29">
        <v>0.25</v>
      </c>
    </row>
    <row r="321">
      <c r="A321" s="23">
        <v>2486</v>
      </c>
      <c r="B321" s="4" t="s">
        <v>505</v>
      </c>
      <c r="C321" s="4" t="s">
        <v>179</v>
      </c>
      <c r="D321" s="4" t="s">
        <v>180</v>
      </c>
      <c r="E321" s="4" t="s">
        <v>181</v>
      </c>
      <c r="F321" s="6">
        <v>6</v>
      </c>
      <c r="G321" s="5">
        <v>3</v>
      </c>
      <c r="H321" s="5">
        <v>1</v>
      </c>
      <c r="I321" s="7">
        <v>0</v>
      </c>
      <c r="J321" s="5">
        <v>1</v>
      </c>
      <c r="K321" s="5">
        <v>1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6</v>
      </c>
      <c r="V321" s="5">
        <v>3</v>
      </c>
      <c r="W321" s="5">
        <v>1</v>
      </c>
      <c r="X321" s="7">
        <v>0</v>
      </c>
      <c r="Y321" s="5">
        <v>1</v>
      </c>
      <c r="Z321" s="5">
        <v>1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3</v>
      </c>
      <c r="AN321" s="28">
        <v>0.25</v>
      </c>
    </row>
    <row r="322">
      <c r="A322" s="24">
        <v>2489</v>
      </c>
      <c r="B322" s="9" t="s">
        <v>506</v>
      </c>
      <c r="C322" s="9" t="s">
        <v>179</v>
      </c>
      <c r="D322" s="9" t="s">
        <v>507</v>
      </c>
      <c r="E322" s="9" t="s">
        <v>507</v>
      </c>
      <c r="F322" s="11">
        <v>2</v>
      </c>
      <c r="G322" s="12">
        <v>0</v>
      </c>
      <c r="H322" s="10">
        <v>1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2">
        <v>0</v>
      </c>
      <c r="W322" s="10">
        <v>1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2495</v>
      </c>
      <c r="B323" s="4" t="s">
        <v>508</v>
      </c>
      <c r="C323" s="4" t="s">
        <v>63</v>
      </c>
      <c r="D323" s="4" t="s">
        <v>84</v>
      </c>
      <c r="E323" s="4" t="s">
        <v>152</v>
      </c>
      <c r="F323" s="6">
        <v>2</v>
      </c>
      <c r="G323" s="7">
        <v>0</v>
      </c>
      <c r="H323" s="5">
        <v>1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7">
        <v>0</v>
      </c>
      <c r="W323" s="5">
        <v>1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0.24</v>
      </c>
    </row>
    <row r="324">
      <c r="A324" s="24">
        <v>2496</v>
      </c>
      <c r="B324" s="9" t="s">
        <v>509</v>
      </c>
      <c r="C324" s="9" t="s">
        <v>264</v>
      </c>
      <c r="D324" s="9" t="s">
        <v>453</v>
      </c>
      <c r="E324" s="9" t="s">
        <v>510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0.24</v>
      </c>
    </row>
    <row r="325">
      <c r="A325" s="23">
        <v>2498</v>
      </c>
      <c r="B325" s="4" t="s">
        <v>511</v>
      </c>
      <c r="C325" s="4" t="s">
        <v>264</v>
      </c>
      <c r="D325" s="4" t="s">
        <v>453</v>
      </c>
      <c r="E325" s="4" t="s">
        <v>510</v>
      </c>
      <c r="F325" s="6">
        <v>2</v>
      </c>
      <c r="G325" s="5">
        <v>1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1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0.25</v>
      </c>
    </row>
    <row r="326">
      <c r="A326" s="24">
        <v>2501</v>
      </c>
      <c r="B326" s="9" t="s">
        <v>512</v>
      </c>
      <c r="C326" s="9" t="s">
        <v>63</v>
      </c>
      <c r="D326" s="9" t="s">
        <v>89</v>
      </c>
      <c r="E326" s="9" t="s">
        <v>513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2502</v>
      </c>
      <c r="B327" s="4" t="s">
        <v>514</v>
      </c>
      <c r="C327" s="4" t="s">
        <v>63</v>
      </c>
      <c r="D327" s="4" t="s">
        <v>77</v>
      </c>
      <c r="E327" s="4" t="s">
        <v>80</v>
      </c>
      <c r="F327" s="6">
        <v>3</v>
      </c>
      <c r="G327" s="7">
        <v>0</v>
      </c>
      <c r="H327" s="5">
        <v>1</v>
      </c>
      <c r="I327" s="5">
        <v>1</v>
      </c>
      <c r="J327" s="7">
        <v>0</v>
      </c>
      <c r="K327" s="7">
        <v>0</v>
      </c>
      <c r="L327" s="5">
        <v>1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7">
        <v>0</v>
      </c>
      <c r="W327" s="5">
        <v>1</v>
      </c>
      <c r="X327" s="5">
        <v>1</v>
      </c>
      <c r="Y327" s="7">
        <v>0</v>
      </c>
      <c r="Z327" s="7">
        <v>0</v>
      </c>
      <c r="AA327" s="5">
        <v>1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2516</v>
      </c>
      <c r="B328" s="9" t="s">
        <v>515</v>
      </c>
      <c r="C328" s="9" t="s">
        <v>63</v>
      </c>
      <c r="D328" s="9" t="s">
        <v>120</v>
      </c>
      <c r="E328" s="9" t="s">
        <v>165</v>
      </c>
      <c r="F328" s="11">
        <v>1</v>
      </c>
      <c r="G328" s="12">
        <v>0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2">
        <v>0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2517</v>
      </c>
      <c r="B329" s="4" t="s">
        <v>516</v>
      </c>
      <c r="C329" s="4" t="s">
        <v>63</v>
      </c>
      <c r="D329" s="4" t="s">
        <v>84</v>
      </c>
      <c r="E329" s="4" t="s">
        <v>85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0.38</v>
      </c>
    </row>
    <row r="330">
      <c r="A330" s="24">
        <v>2519</v>
      </c>
      <c r="B330" s="9" t="s">
        <v>517</v>
      </c>
      <c r="C330" s="9" t="s">
        <v>63</v>
      </c>
      <c r="D330" s="9" t="s">
        <v>84</v>
      </c>
      <c r="E330" s="9" t="s">
        <v>85</v>
      </c>
      <c r="F330" s="11">
        <v>2</v>
      </c>
      <c r="G330" s="10">
        <v>1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1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0.52</v>
      </c>
    </row>
    <row r="331">
      <c r="A331" s="23">
        <v>2521</v>
      </c>
      <c r="B331" s="4" t="s">
        <v>518</v>
      </c>
      <c r="C331" s="4" t="s">
        <v>63</v>
      </c>
      <c r="D331" s="4" t="s">
        <v>115</v>
      </c>
      <c r="E331" s="4" t="s">
        <v>118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2524</v>
      </c>
      <c r="B332" s="9" t="s">
        <v>519</v>
      </c>
      <c r="C332" s="9" t="s">
        <v>63</v>
      </c>
      <c r="D332" s="9" t="s">
        <v>77</v>
      </c>
      <c r="E332" s="9" t="s">
        <v>92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2526</v>
      </c>
      <c r="B333" s="4" t="s">
        <v>520</v>
      </c>
      <c r="C333" s="4" t="s">
        <v>179</v>
      </c>
      <c r="D333" s="4" t="s">
        <v>180</v>
      </c>
      <c r="E333" s="4" t="s">
        <v>189</v>
      </c>
      <c r="F333" s="6">
        <v>1</v>
      </c>
      <c r="G333" s="7">
        <v>0</v>
      </c>
      <c r="H333" s="5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5">
        <v>1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2529</v>
      </c>
      <c r="B334" s="9" t="s">
        <v>521</v>
      </c>
      <c r="C334" s="9" t="s">
        <v>63</v>
      </c>
      <c r="D334" s="9" t="s">
        <v>84</v>
      </c>
      <c r="E334" s="9" t="s">
        <v>522</v>
      </c>
      <c r="F334" s="11">
        <v>2</v>
      </c>
      <c r="G334" s="12">
        <v>0</v>
      </c>
      <c r="H334" s="10">
        <v>1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2">
        <v>0</v>
      </c>
      <c r="W334" s="10">
        <v>1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3">
        <v>0</v>
      </c>
    </row>
    <row r="335">
      <c r="A335" s="23">
        <v>2530</v>
      </c>
      <c r="B335" s="4" t="s">
        <v>523</v>
      </c>
      <c r="C335" s="4" t="s">
        <v>63</v>
      </c>
      <c r="D335" s="4" t="s">
        <v>73</v>
      </c>
      <c r="E335" s="4" t="s">
        <v>171</v>
      </c>
      <c r="F335" s="6">
        <v>1</v>
      </c>
      <c r="G335" s="7">
        <v>0</v>
      </c>
      <c r="H335" s="7">
        <v>0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7">
        <v>0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2533</v>
      </c>
      <c r="B336" s="9" t="s">
        <v>524</v>
      </c>
      <c r="C336" s="9" t="s">
        <v>63</v>
      </c>
      <c r="D336" s="9" t="s">
        <v>84</v>
      </c>
      <c r="E336" s="9" t="s">
        <v>217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3">
        <v>0</v>
      </c>
    </row>
    <row r="337">
      <c r="A337" s="23">
        <v>2539</v>
      </c>
      <c r="B337" s="4" t="s">
        <v>525</v>
      </c>
      <c r="C337" s="4" t="s">
        <v>63</v>
      </c>
      <c r="D337" s="4" t="s">
        <v>77</v>
      </c>
      <c r="E337" s="4" t="s">
        <v>78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0.36</v>
      </c>
    </row>
    <row r="338">
      <c r="A338" s="24">
        <v>2540</v>
      </c>
      <c r="B338" s="9" t="s">
        <v>526</v>
      </c>
      <c r="C338" s="9" t="s">
        <v>63</v>
      </c>
      <c r="D338" s="9" t="s">
        <v>115</v>
      </c>
      <c r="E338" s="9" t="s">
        <v>118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0.38</v>
      </c>
    </row>
    <row r="339">
      <c r="A339" s="23">
        <v>2544</v>
      </c>
      <c r="B339" s="4" t="s">
        <v>527</v>
      </c>
      <c r="C339" s="4" t="s">
        <v>179</v>
      </c>
      <c r="D339" s="4" t="s">
        <v>471</v>
      </c>
      <c r="E339" s="4" t="s">
        <v>528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2546</v>
      </c>
      <c r="B340" s="9" t="s">
        <v>529</v>
      </c>
      <c r="C340" s="9" t="s">
        <v>63</v>
      </c>
      <c r="D340" s="9" t="s">
        <v>120</v>
      </c>
      <c r="E340" s="9" t="s">
        <v>132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2547</v>
      </c>
      <c r="B341" s="4" t="s">
        <v>530</v>
      </c>
      <c r="C341" s="4" t="s">
        <v>63</v>
      </c>
      <c r="D341" s="4" t="s">
        <v>77</v>
      </c>
      <c r="E341" s="4" t="s">
        <v>87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2552</v>
      </c>
      <c r="B342" s="9" t="s">
        <v>531</v>
      </c>
      <c r="C342" s="9" t="s">
        <v>63</v>
      </c>
      <c r="D342" s="9" t="s">
        <v>84</v>
      </c>
      <c r="E342" s="9" t="s">
        <v>85</v>
      </c>
      <c r="F342" s="11">
        <v>11</v>
      </c>
      <c r="G342" s="10">
        <v>4</v>
      </c>
      <c r="H342" s="12">
        <v>0</v>
      </c>
      <c r="I342" s="12">
        <v>0</v>
      </c>
      <c r="J342" s="10">
        <v>7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10</v>
      </c>
      <c r="V342" s="10">
        <v>4</v>
      </c>
      <c r="W342" s="12">
        <v>0</v>
      </c>
      <c r="X342" s="12">
        <v>0</v>
      </c>
      <c r="Y342" s="10">
        <v>6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3.67</v>
      </c>
      <c r="AL342" s="10">
        <v>4</v>
      </c>
      <c r="AM342" s="10">
        <v>6</v>
      </c>
      <c r="AN342" s="29">
        <v>1.56</v>
      </c>
    </row>
    <row r="343">
      <c r="A343" s="23">
        <v>2554</v>
      </c>
      <c r="B343" s="4" t="s">
        <v>532</v>
      </c>
      <c r="C343" s="4" t="s">
        <v>63</v>
      </c>
      <c r="D343" s="4" t="s">
        <v>84</v>
      </c>
      <c r="E343" s="4" t="s">
        <v>217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0.22</v>
      </c>
    </row>
    <row r="344">
      <c r="A344" s="24">
        <v>2555</v>
      </c>
      <c r="B344" s="9" t="s">
        <v>533</v>
      </c>
      <c r="C344" s="9" t="s">
        <v>63</v>
      </c>
      <c r="D344" s="9" t="s">
        <v>84</v>
      </c>
      <c r="E344" s="9" t="s">
        <v>217</v>
      </c>
      <c r="F344" s="11">
        <v>6</v>
      </c>
      <c r="G344" s="10">
        <v>1</v>
      </c>
      <c r="H344" s="12">
        <v>0</v>
      </c>
      <c r="I344" s="12">
        <v>0</v>
      </c>
      <c r="J344" s="10">
        <v>4</v>
      </c>
      <c r="K344" s="12">
        <v>0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6</v>
      </c>
      <c r="V344" s="10">
        <v>1</v>
      </c>
      <c r="W344" s="12">
        <v>0</v>
      </c>
      <c r="X344" s="12">
        <v>0</v>
      </c>
      <c r="Y344" s="10">
        <v>4</v>
      </c>
      <c r="Z344" s="12">
        <v>0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1.2</v>
      </c>
      <c r="AL344" s="10">
        <v>1</v>
      </c>
      <c r="AM344" s="10">
        <v>2</v>
      </c>
      <c r="AN344" s="29">
        <v>0.78</v>
      </c>
    </row>
    <row r="345">
      <c r="A345" s="23">
        <v>2557</v>
      </c>
      <c r="B345" s="4" t="s">
        <v>534</v>
      </c>
      <c r="C345" s="4" t="s">
        <v>63</v>
      </c>
      <c r="D345" s="4" t="s">
        <v>84</v>
      </c>
      <c r="E345" s="4" t="s">
        <v>217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30">
        <v>0</v>
      </c>
    </row>
    <row r="346">
      <c r="A346" s="24">
        <v>2559</v>
      </c>
      <c r="B346" s="9" t="s">
        <v>535</v>
      </c>
      <c r="C346" s="9" t="s">
        <v>63</v>
      </c>
      <c r="D346" s="9" t="s">
        <v>84</v>
      </c>
      <c r="E346" s="9" t="s">
        <v>217</v>
      </c>
      <c r="F346" s="11">
        <v>2</v>
      </c>
      <c r="G346" s="12">
        <v>0</v>
      </c>
      <c r="H346" s="12">
        <v>0</v>
      </c>
      <c r="I346" s="10">
        <v>1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</v>
      </c>
      <c r="V346" s="12">
        <v>0</v>
      </c>
      <c r="W346" s="12">
        <v>0</v>
      </c>
      <c r="X346" s="10">
        <v>1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0.25</v>
      </c>
    </row>
    <row r="347">
      <c r="A347" s="23">
        <v>2561</v>
      </c>
      <c r="B347" s="4" t="s">
        <v>536</v>
      </c>
      <c r="C347" s="4" t="s">
        <v>63</v>
      </c>
      <c r="D347" s="4" t="s">
        <v>84</v>
      </c>
      <c r="E347" s="4" t="s">
        <v>217</v>
      </c>
      <c r="F347" s="6">
        <v>1</v>
      </c>
      <c r="G347" s="7">
        <v>0</v>
      </c>
      <c r="H347" s="5">
        <v>1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5">
        <v>1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2563</v>
      </c>
      <c r="B348" s="9" t="s">
        <v>537</v>
      </c>
      <c r="C348" s="9" t="s">
        <v>63</v>
      </c>
      <c r="D348" s="9" t="s">
        <v>84</v>
      </c>
      <c r="E348" s="9" t="s">
        <v>217</v>
      </c>
      <c r="F348" s="11">
        <v>3</v>
      </c>
      <c r="G348" s="12">
        <v>0</v>
      </c>
      <c r="H348" s="12">
        <v>0</v>
      </c>
      <c r="I348" s="10">
        <v>1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3</v>
      </c>
      <c r="V348" s="12">
        <v>0</v>
      </c>
      <c r="W348" s="12">
        <v>0</v>
      </c>
      <c r="X348" s="10">
        <v>1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29">
        <v>0.75</v>
      </c>
    </row>
    <row r="349">
      <c r="A349" s="23">
        <v>2565</v>
      </c>
      <c r="B349" s="4" t="s">
        <v>538</v>
      </c>
      <c r="C349" s="4" t="s">
        <v>63</v>
      </c>
      <c r="D349" s="4" t="s">
        <v>84</v>
      </c>
      <c r="E349" s="4" t="s">
        <v>217</v>
      </c>
      <c r="F349" s="6">
        <v>2</v>
      </c>
      <c r="G349" s="7">
        <v>0</v>
      </c>
      <c r="H349" s="7">
        <v>0</v>
      </c>
      <c r="I349" s="7">
        <v>0</v>
      </c>
      <c r="J349" s="5">
        <v>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28">
        <v>0.25</v>
      </c>
    </row>
    <row r="350">
      <c r="A350" s="24">
        <v>2566</v>
      </c>
      <c r="B350" s="9" t="s">
        <v>539</v>
      </c>
      <c r="C350" s="9" t="s">
        <v>63</v>
      </c>
      <c r="D350" s="9" t="s">
        <v>84</v>
      </c>
      <c r="E350" s="9" t="s">
        <v>217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2583</v>
      </c>
      <c r="B351" s="4" t="s">
        <v>540</v>
      </c>
      <c r="C351" s="4" t="s">
        <v>179</v>
      </c>
      <c r="D351" s="4" t="s">
        <v>180</v>
      </c>
      <c r="E351" s="4" t="s">
        <v>181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2586</v>
      </c>
      <c r="B352" s="9" t="s">
        <v>541</v>
      </c>
      <c r="C352" s="9" t="s">
        <v>179</v>
      </c>
      <c r="D352" s="9" t="s">
        <v>471</v>
      </c>
      <c r="E352" s="9" t="s">
        <v>528</v>
      </c>
      <c r="F352" s="11">
        <v>2</v>
      </c>
      <c r="G352" s="10">
        <v>1</v>
      </c>
      <c r="H352" s="12">
        <v>0</v>
      </c>
      <c r="I352" s="12">
        <v>0</v>
      </c>
      <c r="J352" s="12">
        <v>0</v>
      </c>
      <c r="K352" s="10">
        <v>1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</v>
      </c>
      <c r="V352" s="10">
        <v>1</v>
      </c>
      <c r="W352" s="12">
        <v>0</v>
      </c>
      <c r="X352" s="12">
        <v>0</v>
      </c>
      <c r="Y352" s="12">
        <v>0</v>
      </c>
      <c r="Z352" s="10">
        <v>1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3">
        <v>0</v>
      </c>
    </row>
    <row r="353">
      <c r="A353" s="23">
        <v>2587</v>
      </c>
      <c r="B353" s="4" t="s">
        <v>542</v>
      </c>
      <c r="C353" s="4" t="s">
        <v>63</v>
      </c>
      <c r="D353" s="4" t="s">
        <v>84</v>
      </c>
      <c r="E353" s="4" t="s">
        <v>217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0.25</v>
      </c>
    </row>
    <row r="354">
      <c r="A354" s="24">
        <v>2602</v>
      </c>
      <c r="B354" s="9" t="s">
        <v>543</v>
      </c>
      <c r="C354" s="9" t="s">
        <v>264</v>
      </c>
      <c r="D354" s="9" t="s">
        <v>476</v>
      </c>
      <c r="E354" s="9" t="s">
        <v>477</v>
      </c>
      <c r="F354" s="11">
        <v>4</v>
      </c>
      <c r="G354" s="10">
        <v>1</v>
      </c>
      <c r="H354" s="10">
        <v>3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4</v>
      </c>
      <c r="V354" s="10">
        <v>1</v>
      </c>
      <c r="W354" s="10">
        <v>3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</v>
      </c>
      <c r="AL354" s="10">
        <v>2</v>
      </c>
      <c r="AM354" s="10">
        <v>3</v>
      </c>
      <c r="AN354" s="29">
        <v>0.78</v>
      </c>
    </row>
    <row r="355">
      <c r="A355" s="23">
        <v>2607</v>
      </c>
      <c r="B355" s="4" t="s">
        <v>544</v>
      </c>
      <c r="C355" s="4" t="s">
        <v>264</v>
      </c>
      <c r="D355" s="4" t="s">
        <v>545</v>
      </c>
      <c r="E355" s="4" t="s">
        <v>546</v>
      </c>
      <c r="F355" s="6">
        <v>1</v>
      </c>
      <c r="G355" s="7">
        <v>0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2611</v>
      </c>
      <c r="B356" s="9" t="s">
        <v>547</v>
      </c>
      <c r="C356" s="9" t="s">
        <v>264</v>
      </c>
      <c r="D356" s="9" t="s">
        <v>265</v>
      </c>
      <c r="E356" s="9" t="s">
        <v>266</v>
      </c>
      <c r="F356" s="11">
        <v>1</v>
      </c>
      <c r="G356" s="12">
        <v>0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3">
        <v>0</v>
      </c>
    </row>
    <row r="357">
      <c r="A357" s="23">
        <v>2612</v>
      </c>
      <c r="B357" s="4" t="s">
        <v>548</v>
      </c>
      <c r="C357" s="4" t="s">
        <v>179</v>
      </c>
      <c r="D357" s="4" t="s">
        <v>196</v>
      </c>
      <c r="E357" s="4" t="s">
        <v>204</v>
      </c>
      <c r="F357" s="6">
        <v>7</v>
      </c>
      <c r="G357" s="5">
        <v>1</v>
      </c>
      <c r="H357" s="5">
        <v>3</v>
      </c>
      <c r="I357" s="5">
        <v>1</v>
      </c>
      <c r="J357" s="7">
        <v>0</v>
      </c>
      <c r="K357" s="5">
        <v>2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6</v>
      </c>
      <c r="V357" s="5">
        <v>1</v>
      </c>
      <c r="W357" s="5">
        <v>2</v>
      </c>
      <c r="X357" s="5">
        <v>1</v>
      </c>
      <c r="Y357" s="7">
        <v>0</v>
      </c>
      <c r="Z357" s="5">
        <v>2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1.4</v>
      </c>
      <c r="AL357" s="5">
        <v>1</v>
      </c>
      <c r="AM357" s="5">
        <v>3</v>
      </c>
      <c r="AN357" s="30">
        <v>0</v>
      </c>
    </row>
    <row r="358">
      <c r="A358" s="24">
        <v>2613</v>
      </c>
      <c r="B358" s="9" t="s">
        <v>549</v>
      </c>
      <c r="C358" s="9" t="s">
        <v>179</v>
      </c>
      <c r="D358" s="9" t="s">
        <v>180</v>
      </c>
      <c r="E358" s="9" t="s">
        <v>181</v>
      </c>
      <c r="F358" s="11">
        <v>5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0">
        <v>2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4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0">
        <v>2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2.5</v>
      </c>
      <c r="AL358" s="10">
        <v>2</v>
      </c>
      <c r="AM358" s="10">
        <v>3</v>
      </c>
      <c r="AN358" s="43">
        <v>0</v>
      </c>
    </row>
    <row r="359">
      <c r="A359" s="23">
        <v>2614</v>
      </c>
      <c r="B359" s="4" t="s">
        <v>550</v>
      </c>
      <c r="C359" s="4" t="s">
        <v>179</v>
      </c>
      <c r="D359" s="4" t="s">
        <v>180</v>
      </c>
      <c r="E359" s="4" t="s">
        <v>181</v>
      </c>
      <c r="F359" s="6">
        <v>4</v>
      </c>
      <c r="G359" s="5">
        <v>1</v>
      </c>
      <c r="H359" s="7">
        <v>0</v>
      </c>
      <c r="I359" s="7">
        <v>0</v>
      </c>
      <c r="J359" s="5">
        <v>3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4</v>
      </c>
      <c r="V359" s="5">
        <v>1</v>
      </c>
      <c r="W359" s="7">
        <v>0</v>
      </c>
      <c r="X359" s="7">
        <v>0</v>
      </c>
      <c r="Y359" s="5">
        <v>3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</v>
      </c>
      <c r="AL359" s="5">
        <v>2</v>
      </c>
      <c r="AM359" s="5">
        <v>3</v>
      </c>
      <c r="AN359" s="28">
        <v>0.75</v>
      </c>
    </row>
    <row r="360">
      <c r="A360" s="24">
        <v>2616</v>
      </c>
      <c r="B360" s="9" t="s">
        <v>551</v>
      </c>
      <c r="C360" s="9" t="s">
        <v>179</v>
      </c>
      <c r="D360" s="9" t="s">
        <v>196</v>
      </c>
      <c r="E360" s="9" t="s">
        <v>197</v>
      </c>
      <c r="F360" s="11">
        <v>1</v>
      </c>
      <c r="G360" s="12">
        <v>0</v>
      </c>
      <c r="H360" s="12">
        <v>0</v>
      </c>
      <c r="I360" s="12">
        <v>0</v>
      </c>
      <c r="J360" s="12">
        <v>0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3">
        <v>0</v>
      </c>
    </row>
    <row r="361">
      <c r="A361" s="23">
        <v>2619</v>
      </c>
      <c r="B361" s="4" t="s">
        <v>552</v>
      </c>
      <c r="C361" s="4" t="s">
        <v>63</v>
      </c>
      <c r="D361" s="4" t="s">
        <v>111</v>
      </c>
      <c r="E361" s="4" t="s">
        <v>243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0.22</v>
      </c>
    </row>
    <row r="362">
      <c r="A362" s="24">
        <v>2629</v>
      </c>
      <c r="B362" s="9" t="s">
        <v>553</v>
      </c>
      <c r="C362" s="9" t="s">
        <v>63</v>
      </c>
      <c r="D362" s="9" t="s">
        <v>73</v>
      </c>
      <c r="E362" s="9" t="s">
        <v>74</v>
      </c>
      <c r="F362" s="11">
        <v>3</v>
      </c>
      <c r="G362" s="10">
        <v>3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29">
        <v>0.5</v>
      </c>
    </row>
    <row r="363">
      <c r="A363" s="23">
        <v>2630</v>
      </c>
      <c r="B363" s="4" t="s">
        <v>554</v>
      </c>
      <c r="C363" s="4" t="s">
        <v>63</v>
      </c>
      <c r="D363" s="4" t="s">
        <v>120</v>
      </c>
      <c r="E363" s="4" t="s">
        <v>132</v>
      </c>
      <c r="F363" s="6">
        <v>1</v>
      </c>
      <c r="G363" s="7">
        <v>0</v>
      </c>
      <c r="H363" s="5">
        <v>1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5">
        <v>1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0.25</v>
      </c>
    </row>
    <row r="364">
      <c r="A364" s="24">
        <v>2640</v>
      </c>
      <c r="B364" s="9" t="s">
        <v>555</v>
      </c>
      <c r="C364" s="9" t="s">
        <v>63</v>
      </c>
      <c r="D364" s="9" t="s">
        <v>111</v>
      </c>
      <c r="E364" s="9" t="s">
        <v>223</v>
      </c>
      <c r="F364" s="11">
        <v>3</v>
      </c>
      <c r="G364" s="10">
        <v>3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0">
        <v>3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3</v>
      </c>
      <c r="AK364" s="13">
        <v>3</v>
      </c>
      <c r="AL364" s="10">
        <v>3</v>
      </c>
      <c r="AM364" s="10">
        <v>3</v>
      </c>
      <c r="AN364" s="43">
        <v>0</v>
      </c>
    </row>
    <row r="365">
      <c r="A365" s="23">
        <v>2654</v>
      </c>
      <c r="B365" s="4" t="s">
        <v>556</v>
      </c>
      <c r="C365" s="4" t="s">
        <v>264</v>
      </c>
      <c r="D365" s="4" t="s">
        <v>265</v>
      </c>
      <c r="E365" s="4" t="s">
        <v>266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30">
        <v>0</v>
      </c>
    </row>
    <row r="366">
      <c r="A366" s="24">
        <v>2659</v>
      </c>
      <c r="B366" s="9" t="s">
        <v>557</v>
      </c>
      <c r="C366" s="9" t="s">
        <v>63</v>
      </c>
      <c r="D366" s="9" t="s">
        <v>73</v>
      </c>
      <c r="E366" s="9" t="s">
        <v>74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3">
        <v>0</v>
      </c>
    </row>
    <row r="367">
      <c r="A367" s="23">
        <v>2662</v>
      </c>
      <c r="B367" s="4" t="s">
        <v>558</v>
      </c>
      <c r="C367" s="4" t="s">
        <v>63</v>
      </c>
      <c r="D367" s="4" t="s">
        <v>84</v>
      </c>
      <c r="E367" s="4" t="s">
        <v>152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0.26</v>
      </c>
    </row>
    <row r="368">
      <c r="A368" s="24">
        <v>2664</v>
      </c>
      <c r="B368" s="9" t="s">
        <v>559</v>
      </c>
      <c r="C368" s="9" t="s">
        <v>63</v>
      </c>
      <c r="D368" s="9" t="s">
        <v>120</v>
      </c>
      <c r="E368" s="9" t="s">
        <v>132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3">
        <v>0</v>
      </c>
    </row>
    <row r="369">
      <c r="A369" s="23">
        <v>2665</v>
      </c>
      <c r="B369" s="4" t="s">
        <v>560</v>
      </c>
      <c r="C369" s="4" t="s">
        <v>63</v>
      </c>
      <c r="D369" s="4" t="s">
        <v>135</v>
      </c>
      <c r="E369" s="4" t="s">
        <v>377</v>
      </c>
      <c r="F369" s="6">
        <v>5</v>
      </c>
      <c r="G369" s="7">
        <v>0</v>
      </c>
      <c r="H369" s="7">
        <v>0</v>
      </c>
      <c r="I369" s="7">
        <v>0</v>
      </c>
      <c r="J369" s="5">
        <v>5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7">
        <v>0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5</v>
      </c>
      <c r="AK369" s="8">
        <v>5</v>
      </c>
      <c r="AL369" s="5">
        <v>5</v>
      </c>
      <c r="AM369" s="5">
        <v>5</v>
      </c>
      <c r="AN369" s="28">
        <v>0.5</v>
      </c>
    </row>
    <row r="370">
      <c r="A370" s="24">
        <v>2669</v>
      </c>
      <c r="B370" s="9" t="s">
        <v>561</v>
      </c>
      <c r="C370" s="9" t="s">
        <v>63</v>
      </c>
      <c r="D370" s="9" t="s">
        <v>73</v>
      </c>
      <c r="E370" s="9" t="s">
        <v>171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2671</v>
      </c>
      <c r="B371" s="4" t="s">
        <v>562</v>
      </c>
      <c r="C371" s="4" t="s">
        <v>63</v>
      </c>
      <c r="D371" s="4" t="s">
        <v>73</v>
      </c>
      <c r="E371" s="4" t="s">
        <v>82</v>
      </c>
      <c r="F371" s="6">
        <v>2</v>
      </c>
      <c r="G371" s="5">
        <v>1</v>
      </c>
      <c r="H371" s="7">
        <v>0</v>
      </c>
      <c r="I371" s="5">
        <v>1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5">
        <v>1</v>
      </c>
      <c r="W371" s="7">
        <v>0</v>
      </c>
      <c r="X371" s="5">
        <v>1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0.22</v>
      </c>
    </row>
    <row r="372">
      <c r="A372" s="24">
        <v>2680</v>
      </c>
      <c r="B372" s="9" t="s">
        <v>563</v>
      </c>
      <c r="C372" s="9" t="s">
        <v>264</v>
      </c>
      <c r="D372" s="9" t="s">
        <v>453</v>
      </c>
      <c r="E372" s="9" t="s">
        <v>564</v>
      </c>
      <c r="F372" s="11">
        <v>1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43">
        <v>0</v>
      </c>
    </row>
    <row r="373">
      <c r="A373" s="23">
        <v>2698</v>
      </c>
      <c r="B373" s="4" t="s">
        <v>565</v>
      </c>
      <c r="C373" s="4" t="s">
        <v>63</v>
      </c>
      <c r="D373" s="4" t="s">
        <v>77</v>
      </c>
      <c r="E373" s="4" t="s">
        <v>92</v>
      </c>
      <c r="F373" s="6">
        <v>1</v>
      </c>
      <c r="G373" s="7">
        <v>0</v>
      </c>
      <c r="H373" s="5">
        <v>1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7">
        <v>0</v>
      </c>
      <c r="W373" s="5">
        <v>1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2699</v>
      </c>
      <c r="B374" s="9" t="s">
        <v>566</v>
      </c>
      <c r="C374" s="9" t="s">
        <v>63</v>
      </c>
      <c r="D374" s="9" t="s">
        <v>77</v>
      </c>
      <c r="E374" s="9" t="s">
        <v>92</v>
      </c>
      <c r="F374" s="11">
        <v>1</v>
      </c>
      <c r="G374" s="12">
        <v>0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0.25</v>
      </c>
    </row>
    <row r="375">
      <c r="A375" s="23">
        <v>2703</v>
      </c>
      <c r="B375" s="4" t="s">
        <v>567</v>
      </c>
      <c r="C375" s="4" t="s">
        <v>63</v>
      </c>
      <c r="D375" s="4" t="s">
        <v>77</v>
      </c>
      <c r="E375" s="4" t="s">
        <v>92</v>
      </c>
      <c r="F375" s="6">
        <v>2</v>
      </c>
      <c r="G375" s="7">
        <v>0</v>
      </c>
      <c r="H375" s="5">
        <v>2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7">
        <v>0</v>
      </c>
      <c r="W375" s="5">
        <v>2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28">
        <v>0.5</v>
      </c>
    </row>
    <row r="376">
      <c r="A376" s="24">
        <v>2711</v>
      </c>
      <c r="B376" s="9" t="s">
        <v>568</v>
      </c>
      <c r="C376" s="9" t="s">
        <v>63</v>
      </c>
      <c r="D376" s="9" t="s">
        <v>84</v>
      </c>
      <c r="E376" s="9" t="s">
        <v>569</v>
      </c>
      <c r="F376" s="11">
        <v>3</v>
      </c>
      <c r="G376" s="12">
        <v>0</v>
      </c>
      <c r="H376" s="12">
        <v>0</v>
      </c>
      <c r="I376" s="12">
        <v>0</v>
      </c>
      <c r="J376" s="10">
        <v>3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2">
        <v>0</v>
      </c>
      <c r="W376" s="12">
        <v>0</v>
      </c>
      <c r="X376" s="12">
        <v>0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29">
        <v>0.25</v>
      </c>
    </row>
    <row r="377">
      <c r="A377" s="23">
        <v>2713</v>
      </c>
      <c r="B377" s="4" t="s">
        <v>570</v>
      </c>
      <c r="C377" s="4" t="s">
        <v>63</v>
      </c>
      <c r="D377" s="4" t="s">
        <v>77</v>
      </c>
      <c r="E377" s="4" t="s">
        <v>92</v>
      </c>
      <c r="F377" s="6">
        <v>1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2715</v>
      </c>
      <c r="B378" s="9" t="s">
        <v>571</v>
      </c>
      <c r="C378" s="9" t="s">
        <v>63</v>
      </c>
      <c r="D378" s="9" t="s">
        <v>77</v>
      </c>
      <c r="E378" s="9" t="s">
        <v>92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2725</v>
      </c>
      <c r="B379" s="4" t="s">
        <v>572</v>
      </c>
      <c r="C379" s="4" t="s">
        <v>63</v>
      </c>
      <c r="D379" s="4" t="s">
        <v>111</v>
      </c>
      <c r="E379" s="4" t="s">
        <v>243</v>
      </c>
      <c r="F379" s="6">
        <v>1</v>
      </c>
      <c r="G379" s="7">
        <v>0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7">
        <v>0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0.25</v>
      </c>
    </row>
    <row r="380">
      <c r="A380" s="24">
        <v>2727</v>
      </c>
      <c r="B380" s="9" t="s">
        <v>573</v>
      </c>
      <c r="C380" s="9" t="s">
        <v>63</v>
      </c>
      <c r="D380" s="9" t="s">
        <v>67</v>
      </c>
      <c r="E380" s="9" t="s">
        <v>168</v>
      </c>
      <c r="F380" s="11">
        <v>2</v>
      </c>
      <c r="G380" s="10">
        <v>2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43">
        <v>0</v>
      </c>
    </row>
    <row r="381">
      <c r="A381" s="23">
        <v>2731</v>
      </c>
      <c r="B381" s="4" t="s">
        <v>574</v>
      </c>
      <c r="C381" s="4" t="s">
        <v>63</v>
      </c>
      <c r="D381" s="4" t="s">
        <v>89</v>
      </c>
      <c r="E381" s="4" t="s">
        <v>161</v>
      </c>
      <c r="F381" s="6">
        <v>2</v>
      </c>
      <c r="G381" s="7">
        <v>0</v>
      </c>
      <c r="H381" s="7">
        <v>0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7">
        <v>0</v>
      </c>
      <c r="W381" s="7">
        <v>0</v>
      </c>
      <c r="X381" s="7">
        <v>0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28">
        <v>0.5</v>
      </c>
    </row>
    <row r="382">
      <c r="A382" s="24">
        <v>2734</v>
      </c>
      <c r="B382" s="9" t="s">
        <v>575</v>
      </c>
      <c r="C382" s="9" t="s">
        <v>63</v>
      </c>
      <c r="D382" s="9" t="s">
        <v>89</v>
      </c>
      <c r="E382" s="9" t="s">
        <v>513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2740</v>
      </c>
      <c r="B383" s="4" t="s">
        <v>576</v>
      </c>
      <c r="C383" s="4" t="s">
        <v>264</v>
      </c>
      <c r="D383" s="4" t="s">
        <v>577</v>
      </c>
      <c r="E383" s="4" t="s">
        <v>578</v>
      </c>
      <c r="F383" s="6">
        <v>6</v>
      </c>
      <c r="G383" s="5">
        <v>1</v>
      </c>
      <c r="H383" s="7">
        <v>0</v>
      </c>
      <c r="I383" s="5">
        <v>1</v>
      </c>
      <c r="J383" s="5">
        <v>3</v>
      </c>
      <c r="K383" s="7">
        <v>0</v>
      </c>
      <c r="L383" s="5">
        <v>1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6</v>
      </c>
      <c r="V383" s="5">
        <v>1</v>
      </c>
      <c r="W383" s="7">
        <v>0</v>
      </c>
      <c r="X383" s="5">
        <v>1</v>
      </c>
      <c r="Y383" s="5">
        <v>3</v>
      </c>
      <c r="Z383" s="7">
        <v>0</v>
      </c>
      <c r="AA383" s="5">
        <v>1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3</v>
      </c>
      <c r="AN383" s="28">
        <v>0.24</v>
      </c>
    </row>
    <row r="384">
      <c r="A384" s="24">
        <v>2742</v>
      </c>
      <c r="B384" s="9" t="s">
        <v>579</v>
      </c>
      <c r="C384" s="9" t="s">
        <v>63</v>
      </c>
      <c r="D384" s="9" t="s">
        <v>67</v>
      </c>
      <c r="E384" s="9" t="s">
        <v>168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3">
        <v>0</v>
      </c>
    </row>
    <row r="385">
      <c r="A385" s="23">
        <v>2754</v>
      </c>
      <c r="B385" s="4" t="s">
        <v>580</v>
      </c>
      <c r="C385" s="4" t="s">
        <v>63</v>
      </c>
      <c r="D385" s="4" t="s">
        <v>120</v>
      </c>
      <c r="E385" s="4" t="s">
        <v>121</v>
      </c>
      <c r="F385" s="6">
        <v>2</v>
      </c>
      <c r="G385" s="5">
        <v>2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0.36</v>
      </c>
    </row>
    <row r="386">
      <c r="A386" s="24">
        <v>2757</v>
      </c>
      <c r="B386" s="9" t="s">
        <v>581</v>
      </c>
      <c r="C386" s="9" t="s">
        <v>63</v>
      </c>
      <c r="D386" s="9" t="s">
        <v>73</v>
      </c>
      <c r="E386" s="9" t="s">
        <v>74</v>
      </c>
      <c r="F386" s="11">
        <v>2</v>
      </c>
      <c r="G386" s="10">
        <v>2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2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0.6</v>
      </c>
    </row>
    <row r="387">
      <c r="A387" s="23">
        <v>2768</v>
      </c>
      <c r="B387" s="4" t="s">
        <v>582</v>
      </c>
      <c r="C387" s="4" t="s">
        <v>63</v>
      </c>
      <c r="D387" s="4" t="s">
        <v>70</v>
      </c>
      <c r="E387" s="4" t="s">
        <v>347</v>
      </c>
      <c r="F387" s="6">
        <v>3</v>
      </c>
      <c r="G387" s="5">
        <v>2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</v>
      </c>
      <c r="V387" s="5">
        <v>2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0.75</v>
      </c>
    </row>
    <row r="388">
      <c r="A388" s="24">
        <v>2772</v>
      </c>
      <c r="B388" s="9" t="s">
        <v>583</v>
      </c>
      <c r="C388" s="9" t="s">
        <v>63</v>
      </c>
      <c r="D388" s="9" t="s">
        <v>120</v>
      </c>
      <c r="E388" s="9" t="s">
        <v>121</v>
      </c>
      <c r="F388" s="11">
        <v>3</v>
      </c>
      <c r="G388" s="10">
        <v>3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3</v>
      </c>
      <c r="V388" s="10">
        <v>3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1.5</v>
      </c>
      <c r="AL388" s="10">
        <v>1</v>
      </c>
      <c r="AM388" s="10">
        <v>2</v>
      </c>
      <c r="AN388" s="29">
        <v>0.68</v>
      </c>
    </row>
    <row r="389">
      <c r="A389" s="23">
        <v>2777</v>
      </c>
      <c r="B389" s="4" t="s">
        <v>584</v>
      </c>
      <c r="C389" s="4" t="s">
        <v>63</v>
      </c>
      <c r="D389" s="4" t="s">
        <v>73</v>
      </c>
      <c r="E389" s="4" t="s">
        <v>74</v>
      </c>
      <c r="F389" s="6">
        <v>3</v>
      </c>
      <c r="G389" s="5">
        <v>1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3</v>
      </c>
      <c r="V389" s="5">
        <v>1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0.5</v>
      </c>
    </row>
    <row r="390">
      <c r="A390" s="24">
        <v>2790</v>
      </c>
      <c r="B390" s="9" t="s">
        <v>585</v>
      </c>
      <c r="C390" s="9" t="s">
        <v>63</v>
      </c>
      <c r="D390" s="9" t="s">
        <v>73</v>
      </c>
      <c r="E390" s="9" t="s">
        <v>74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0.22</v>
      </c>
    </row>
    <row r="391">
      <c r="A391" s="23">
        <v>2792</v>
      </c>
      <c r="B391" s="4" t="s">
        <v>586</v>
      </c>
      <c r="C391" s="4" t="s">
        <v>63</v>
      </c>
      <c r="D391" s="4" t="s">
        <v>102</v>
      </c>
      <c r="E391" s="4" t="s">
        <v>144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2802</v>
      </c>
      <c r="B392" s="9" t="s">
        <v>587</v>
      </c>
      <c r="C392" s="9" t="s">
        <v>63</v>
      </c>
      <c r="D392" s="9" t="s">
        <v>73</v>
      </c>
      <c r="E392" s="9" t="s">
        <v>74</v>
      </c>
      <c r="F392" s="11">
        <v>3</v>
      </c>
      <c r="G392" s="10">
        <v>3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</v>
      </c>
      <c r="V392" s="10">
        <v>3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2</v>
      </c>
      <c r="AN392" s="29">
        <v>0.74</v>
      </c>
    </row>
    <row r="393">
      <c r="A393" s="23">
        <v>2804</v>
      </c>
      <c r="B393" s="4" t="s">
        <v>588</v>
      </c>
      <c r="C393" s="4" t="s">
        <v>63</v>
      </c>
      <c r="D393" s="4" t="s">
        <v>70</v>
      </c>
      <c r="E393" s="4" t="s">
        <v>71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2813</v>
      </c>
      <c r="B394" s="9" t="s">
        <v>589</v>
      </c>
      <c r="C394" s="9" t="s">
        <v>63</v>
      </c>
      <c r="D394" s="9" t="s">
        <v>111</v>
      </c>
      <c r="E394" s="9" t="s">
        <v>240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2816</v>
      </c>
      <c r="B395" s="4" t="s">
        <v>590</v>
      </c>
      <c r="C395" s="4" t="s">
        <v>63</v>
      </c>
      <c r="D395" s="4" t="s">
        <v>77</v>
      </c>
      <c r="E395" s="4" t="s">
        <v>92</v>
      </c>
      <c r="F395" s="6">
        <v>1</v>
      </c>
      <c r="G395" s="7">
        <v>0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0.24</v>
      </c>
    </row>
    <row r="396">
      <c r="A396" s="24">
        <v>2835</v>
      </c>
      <c r="B396" s="9" t="s">
        <v>591</v>
      </c>
      <c r="C396" s="9" t="s">
        <v>63</v>
      </c>
      <c r="D396" s="9" t="s">
        <v>67</v>
      </c>
      <c r="E396" s="9" t="s">
        <v>271</v>
      </c>
      <c r="F396" s="11">
        <v>2</v>
      </c>
      <c r="G396" s="10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3">
        <v>0</v>
      </c>
    </row>
    <row r="397">
      <c r="A397" s="23">
        <v>2839</v>
      </c>
      <c r="B397" s="4" t="s">
        <v>592</v>
      </c>
      <c r="C397" s="4" t="s">
        <v>63</v>
      </c>
      <c r="D397" s="4" t="s">
        <v>77</v>
      </c>
      <c r="E397" s="4" t="s">
        <v>92</v>
      </c>
      <c r="F397" s="6">
        <v>5</v>
      </c>
      <c r="G397" s="5">
        <v>1</v>
      </c>
      <c r="H397" s="7">
        <v>0</v>
      </c>
      <c r="I397" s="7">
        <v>0</v>
      </c>
      <c r="J397" s="5">
        <v>4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5">
        <v>1</v>
      </c>
      <c r="W397" s="7">
        <v>0</v>
      </c>
      <c r="X397" s="7">
        <v>0</v>
      </c>
      <c r="Y397" s="5">
        <v>4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1.67</v>
      </c>
      <c r="AL397" s="5">
        <v>2</v>
      </c>
      <c r="AM397" s="5">
        <v>2</v>
      </c>
      <c r="AN397" s="28">
        <v>1</v>
      </c>
    </row>
    <row r="398">
      <c r="A398" s="24">
        <v>2841</v>
      </c>
      <c r="B398" s="9" t="s">
        <v>593</v>
      </c>
      <c r="C398" s="9" t="s">
        <v>63</v>
      </c>
      <c r="D398" s="9" t="s">
        <v>73</v>
      </c>
      <c r="E398" s="9" t="s">
        <v>171</v>
      </c>
      <c r="F398" s="11">
        <v>2</v>
      </c>
      <c r="G398" s="12">
        <v>0</v>
      </c>
      <c r="H398" s="12">
        <v>0</v>
      </c>
      <c r="I398" s="10">
        <v>1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2">
        <v>0</v>
      </c>
      <c r="W398" s="12">
        <v>0</v>
      </c>
      <c r="X398" s="10">
        <v>1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0.25</v>
      </c>
    </row>
    <row r="399">
      <c r="A399" s="23">
        <v>2842</v>
      </c>
      <c r="B399" s="4" t="s">
        <v>594</v>
      </c>
      <c r="C399" s="4" t="s">
        <v>63</v>
      </c>
      <c r="D399" s="4" t="s">
        <v>84</v>
      </c>
      <c r="E399" s="4" t="s">
        <v>106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0">
        <v>0</v>
      </c>
    </row>
    <row r="400">
      <c r="A400" s="24">
        <v>2844</v>
      </c>
      <c r="B400" s="9" t="s">
        <v>595</v>
      </c>
      <c r="C400" s="9" t="s">
        <v>63</v>
      </c>
      <c r="D400" s="9" t="s">
        <v>77</v>
      </c>
      <c r="E400" s="9" t="s">
        <v>92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3">
        <v>0</v>
      </c>
    </row>
    <row r="401">
      <c r="A401" s="23">
        <v>2846</v>
      </c>
      <c r="B401" s="4" t="s">
        <v>596</v>
      </c>
      <c r="C401" s="4" t="s">
        <v>264</v>
      </c>
      <c r="D401" s="4" t="s">
        <v>479</v>
      </c>
      <c r="E401" s="4" t="s">
        <v>597</v>
      </c>
      <c r="F401" s="6">
        <v>2</v>
      </c>
      <c r="G401" s="5">
        <v>1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5">
        <v>1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2862</v>
      </c>
      <c r="B402" s="9" t="s">
        <v>598</v>
      </c>
      <c r="C402" s="9" t="s">
        <v>63</v>
      </c>
      <c r="D402" s="9" t="s">
        <v>111</v>
      </c>
      <c r="E402" s="9" t="s">
        <v>240</v>
      </c>
      <c r="F402" s="11">
        <v>8</v>
      </c>
      <c r="G402" s="12">
        <v>0</v>
      </c>
      <c r="H402" s="12">
        <v>0</v>
      </c>
      <c r="I402" s="12">
        <v>0</v>
      </c>
      <c r="J402" s="10">
        <v>8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6</v>
      </c>
      <c r="V402" s="12">
        <v>0</v>
      </c>
      <c r="W402" s="12">
        <v>0</v>
      </c>
      <c r="X402" s="12">
        <v>0</v>
      </c>
      <c r="Y402" s="10">
        <v>6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8</v>
      </c>
      <c r="AK402" s="13">
        <v>8</v>
      </c>
      <c r="AL402" s="10">
        <v>8</v>
      </c>
      <c r="AM402" s="10">
        <v>8</v>
      </c>
      <c r="AN402" s="29">
        <v>1.5</v>
      </c>
    </row>
    <row r="403">
      <c r="A403" s="23">
        <v>2863</v>
      </c>
      <c r="B403" s="4" t="s">
        <v>599</v>
      </c>
      <c r="C403" s="4" t="s">
        <v>63</v>
      </c>
      <c r="D403" s="4" t="s">
        <v>111</v>
      </c>
      <c r="E403" s="4" t="s">
        <v>240</v>
      </c>
      <c r="F403" s="6">
        <v>1</v>
      </c>
      <c r="G403" s="7">
        <v>0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7">
        <v>0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0.24</v>
      </c>
    </row>
    <row r="404">
      <c r="A404" s="24">
        <v>2871</v>
      </c>
      <c r="B404" s="9" t="s">
        <v>600</v>
      </c>
      <c r="C404" s="9" t="s">
        <v>63</v>
      </c>
      <c r="D404" s="9" t="s">
        <v>67</v>
      </c>
      <c r="E404" s="9" t="s">
        <v>271</v>
      </c>
      <c r="F404" s="11">
        <v>2</v>
      </c>
      <c r="G404" s="12">
        <v>0</v>
      </c>
      <c r="H404" s="10">
        <v>2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2">
        <v>0</v>
      </c>
      <c r="W404" s="10">
        <v>2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29">
        <v>0.52</v>
      </c>
    </row>
    <row r="405">
      <c r="A405" s="23">
        <v>2875</v>
      </c>
      <c r="B405" s="4" t="s">
        <v>601</v>
      </c>
      <c r="C405" s="4" t="s">
        <v>63</v>
      </c>
      <c r="D405" s="4" t="s">
        <v>67</v>
      </c>
      <c r="E405" s="4" t="s">
        <v>68</v>
      </c>
      <c r="F405" s="6">
        <v>4</v>
      </c>
      <c r="G405" s="5">
        <v>4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5">
        <v>3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28">
        <v>0.72</v>
      </c>
    </row>
    <row r="406">
      <c r="A406" s="24">
        <v>2883</v>
      </c>
      <c r="B406" s="9" t="s">
        <v>602</v>
      </c>
      <c r="C406" s="9" t="s">
        <v>63</v>
      </c>
      <c r="D406" s="9" t="s">
        <v>84</v>
      </c>
      <c r="E406" s="9" t="s">
        <v>152</v>
      </c>
      <c r="F406" s="11">
        <v>4</v>
      </c>
      <c r="G406" s="10">
        <v>1</v>
      </c>
      <c r="H406" s="12">
        <v>0</v>
      </c>
      <c r="I406" s="12">
        <v>0</v>
      </c>
      <c r="J406" s="10">
        <v>3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0">
        <v>1</v>
      </c>
      <c r="W406" s="12">
        <v>0</v>
      </c>
      <c r="X406" s="12">
        <v>0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2</v>
      </c>
      <c r="AM406" s="10">
        <v>3</v>
      </c>
      <c r="AN406" s="29">
        <v>0.52</v>
      </c>
    </row>
    <row r="407">
      <c r="A407" s="23">
        <v>2884</v>
      </c>
      <c r="B407" s="4" t="s">
        <v>603</v>
      </c>
      <c r="C407" s="4" t="s">
        <v>63</v>
      </c>
      <c r="D407" s="4" t="s">
        <v>73</v>
      </c>
      <c r="E407" s="4" t="s">
        <v>82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2886</v>
      </c>
      <c r="B408" s="9" t="s">
        <v>604</v>
      </c>
      <c r="C408" s="9" t="s">
        <v>63</v>
      </c>
      <c r="D408" s="9" t="s">
        <v>73</v>
      </c>
      <c r="E408" s="9" t="s">
        <v>74</v>
      </c>
      <c r="F408" s="11">
        <v>1</v>
      </c>
      <c r="G408" s="12">
        <v>0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2888</v>
      </c>
      <c r="B409" s="4" t="s">
        <v>605</v>
      </c>
      <c r="C409" s="4" t="s">
        <v>63</v>
      </c>
      <c r="D409" s="4" t="s">
        <v>73</v>
      </c>
      <c r="E409" s="4" t="s">
        <v>74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30">
        <v>0</v>
      </c>
    </row>
    <row r="410">
      <c r="A410" s="24">
        <v>2889</v>
      </c>
      <c r="B410" s="9" t="s">
        <v>606</v>
      </c>
      <c r="C410" s="9" t="s">
        <v>63</v>
      </c>
      <c r="D410" s="9" t="s">
        <v>73</v>
      </c>
      <c r="E410" s="9" t="s">
        <v>171</v>
      </c>
      <c r="F410" s="11">
        <v>2</v>
      </c>
      <c r="G410" s="12">
        <v>0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2">
        <v>0</v>
      </c>
      <c r="W410" s="12">
        <v>0</v>
      </c>
      <c r="X410" s="12">
        <v>0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0.5</v>
      </c>
    </row>
    <row r="411">
      <c r="A411" s="23">
        <v>2902</v>
      </c>
      <c r="B411" s="4" t="s">
        <v>607</v>
      </c>
      <c r="C411" s="4" t="s">
        <v>63</v>
      </c>
      <c r="D411" s="4" t="s">
        <v>73</v>
      </c>
      <c r="E411" s="4" t="s">
        <v>74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2903</v>
      </c>
      <c r="B412" s="9" t="s">
        <v>608</v>
      </c>
      <c r="C412" s="9" t="s">
        <v>63</v>
      </c>
      <c r="D412" s="9" t="s">
        <v>111</v>
      </c>
      <c r="E412" s="9" t="s">
        <v>223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3">
        <v>0</v>
      </c>
    </row>
    <row r="413">
      <c r="A413" s="23">
        <v>2907</v>
      </c>
      <c r="B413" s="4" t="s">
        <v>609</v>
      </c>
      <c r="C413" s="4" t="s">
        <v>63</v>
      </c>
      <c r="D413" s="4" t="s">
        <v>135</v>
      </c>
      <c r="E413" s="4" t="s">
        <v>377</v>
      </c>
      <c r="F413" s="6">
        <v>2</v>
      </c>
      <c r="G413" s="5">
        <v>2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5">
        <v>2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30">
        <v>0</v>
      </c>
    </row>
    <row r="414">
      <c r="A414" s="24">
        <v>2910</v>
      </c>
      <c r="B414" s="9" t="s">
        <v>610</v>
      </c>
      <c r="C414" s="9" t="s">
        <v>63</v>
      </c>
      <c r="D414" s="9" t="s">
        <v>73</v>
      </c>
      <c r="E414" s="9" t="s">
        <v>82</v>
      </c>
      <c r="F414" s="11">
        <v>4</v>
      </c>
      <c r="G414" s="12">
        <v>0</v>
      </c>
      <c r="H414" s="12">
        <v>0</v>
      </c>
      <c r="I414" s="12">
        <v>0</v>
      </c>
      <c r="J414" s="10">
        <v>4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</v>
      </c>
      <c r="V414" s="12">
        <v>0</v>
      </c>
      <c r="W414" s="12">
        <v>0</v>
      </c>
      <c r="X414" s="12">
        <v>0</v>
      </c>
      <c r="Y414" s="10">
        <v>4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4</v>
      </c>
      <c r="AK414" s="13">
        <v>4</v>
      </c>
      <c r="AL414" s="10">
        <v>4</v>
      </c>
      <c r="AM414" s="10">
        <v>4</v>
      </c>
      <c r="AN414" s="29">
        <v>1</v>
      </c>
    </row>
    <row r="415">
      <c r="A415" s="23">
        <v>2912</v>
      </c>
      <c r="B415" s="4" t="s">
        <v>611</v>
      </c>
      <c r="C415" s="4" t="s">
        <v>63</v>
      </c>
      <c r="D415" s="4" t="s">
        <v>73</v>
      </c>
      <c r="E415" s="4" t="s">
        <v>82</v>
      </c>
      <c r="F415" s="6">
        <v>2</v>
      </c>
      <c r="G415" s="7">
        <v>0</v>
      </c>
      <c r="H415" s="7">
        <v>0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7">
        <v>0</v>
      </c>
      <c r="W415" s="7">
        <v>0</v>
      </c>
      <c r="X415" s="7">
        <v>0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28">
        <v>0.5</v>
      </c>
    </row>
    <row r="416">
      <c r="A416" s="24">
        <v>2915</v>
      </c>
      <c r="B416" s="9" t="s">
        <v>612</v>
      </c>
      <c r="C416" s="9" t="s">
        <v>372</v>
      </c>
      <c r="D416" s="9" t="s">
        <v>613</v>
      </c>
      <c r="E416" s="9" t="s">
        <v>374</v>
      </c>
      <c r="F416" s="11">
        <v>2</v>
      </c>
      <c r="G416" s="10">
        <v>1</v>
      </c>
      <c r="H416" s="12">
        <v>0</v>
      </c>
      <c r="I416" s="12">
        <v>0</v>
      </c>
      <c r="J416" s="12">
        <v>0</v>
      </c>
      <c r="K416" s="10">
        <v>1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1</v>
      </c>
      <c r="W416" s="12">
        <v>0</v>
      </c>
      <c r="X416" s="12">
        <v>0</v>
      </c>
      <c r="Y416" s="12">
        <v>0</v>
      </c>
      <c r="Z416" s="10">
        <v>1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0.48</v>
      </c>
    </row>
    <row r="417">
      <c r="A417" s="23">
        <v>2922</v>
      </c>
      <c r="B417" s="4" t="s">
        <v>614</v>
      </c>
      <c r="C417" s="4" t="s">
        <v>63</v>
      </c>
      <c r="D417" s="4" t="s">
        <v>73</v>
      </c>
      <c r="E417" s="4" t="s">
        <v>82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0.35</v>
      </c>
    </row>
    <row r="418">
      <c r="A418" s="24">
        <v>2935</v>
      </c>
      <c r="B418" s="9" t="s">
        <v>615</v>
      </c>
      <c r="C418" s="9" t="s">
        <v>63</v>
      </c>
      <c r="D418" s="9" t="s">
        <v>73</v>
      </c>
      <c r="E418" s="9" t="s">
        <v>82</v>
      </c>
      <c r="F418" s="11">
        <v>3</v>
      </c>
      <c r="G418" s="12">
        <v>0</v>
      </c>
      <c r="H418" s="12">
        <v>0</v>
      </c>
      <c r="I418" s="12">
        <v>0</v>
      </c>
      <c r="J418" s="10">
        <v>3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3</v>
      </c>
      <c r="V418" s="12">
        <v>0</v>
      </c>
      <c r="W418" s="12">
        <v>0</v>
      </c>
      <c r="X418" s="12">
        <v>0</v>
      </c>
      <c r="Y418" s="10">
        <v>3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3</v>
      </c>
      <c r="AK418" s="13">
        <v>3</v>
      </c>
      <c r="AL418" s="10">
        <v>3</v>
      </c>
      <c r="AM418" s="10">
        <v>3</v>
      </c>
      <c r="AN418" s="29">
        <v>0.75</v>
      </c>
    </row>
    <row r="419">
      <c r="A419" s="23">
        <v>2945</v>
      </c>
      <c r="B419" s="4" t="s">
        <v>616</v>
      </c>
      <c r="C419" s="4" t="s">
        <v>372</v>
      </c>
      <c r="D419" s="4" t="s">
        <v>617</v>
      </c>
      <c r="E419" s="4" t="s">
        <v>374</v>
      </c>
      <c r="F419" s="6">
        <v>1</v>
      </c>
      <c r="G419" s="7">
        <v>0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7">
        <v>0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2948</v>
      </c>
      <c r="B420" s="9" t="s">
        <v>618</v>
      </c>
      <c r="C420" s="9" t="s">
        <v>619</v>
      </c>
      <c r="D420" s="9" t="s">
        <v>620</v>
      </c>
      <c r="E420" s="9" t="s">
        <v>621</v>
      </c>
      <c r="F420" s="11">
        <v>3</v>
      </c>
      <c r="G420" s="10">
        <v>1</v>
      </c>
      <c r="H420" s="12">
        <v>0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0">
        <v>1</v>
      </c>
      <c r="W420" s="12">
        <v>0</v>
      </c>
      <c r="X420" s="12">
        <v>0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0.5</v>
      </c>
    </row>
    <row r="421">
      <c r="A421" s="23">
        <v>2950</v>
      </c>
      <c r="B421" s="4" t="s">
        <v>622</v>
      </c>
      <c r="C421" s="4" t="s">
        <v>619</v>
      </c>
      <c r="D421" s="4" t="s">
        <v>623</v>
      </c>
      <c r="E421" s="4" t="s">
        <v>624</v>
      </c>
      <c r="F421" s="6">
        <v>2</v>
      </c>
      <c r="G421" s="7">
        <v>0</v>
      </c>
      <c r="H421" s="7">
        <v>0</v>
      </c>
      <c r="I421" s="5">
        <v>2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7">
        <v>0</v>
      </c>
      <c r="W421" s="7">
        <v>0</v>
      </c>
      <c r="X421" s="5">
        <v>2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30">
        <v>0</v>
      </c>
    </row>
    <row r="422">
      <c r="A422" s="24">
        <v>2953</v>
      </c>
      <c r="B422" s="9" t="s">
        <v>625</v>
      </c>
      <c r="C422" s="9" t="s">
        <v>63</v>
      </c>
      <c r="D422" s="9" t="s">
        <v>84</v>
      </c>
      <c r="E422" s="9" t="s">
        <v>152</v>
      </c>
      <c r="F422" s="11">
        <v>4</v>
      </c>
      <c r="G422" s="10">
        <v>1</v>
      </c>
      <c r="H422" s="12">
        <v>0</v>
      </c>
      <c r="I422" s="12">
        <v>0</v>
      </c>
      <c r="J422" s="10">
        <v>3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4</v>
      </c>
      <c r="V422" s="10">
        <v>1</v>
      </c>
      <c r="W422" s="12">
        <v>0</v>
      </c>
      <c r="X422" s="12">
        <v>0</v>
      </c>
      <c r="Y422" s="10">
        <v>3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1.33</v>
      </c>
      <c r="AL422" s="10">
        <v>1</v>
      </c>
      <c r="AM422" s="10">
        <v>2</v>
      </c>
      <c r="AN422" s="29">
        <v>0.44</v>
      </c>
    </row>
    <row r="423">
      <c r="A423" s="23">
        <v>2954</v>
      </c>
      <c r="B423" s="4" t="s">
        <v>626</v>
      </c>
      <c r="C423" s="4" t="s">
        <v>619</v>
      </c>
      <c r="D423" s="4" t="s">
        <v>620</v>
      </c>
      <c r="E423" s="4" t="s">
        <v>627</v>
      </c>
      <c r="F423" s="6">
        <v>1</v>
      </c>
      <c r="G423" s="7">
        <v>0</v>
      </c>
      <c r="H423" s="7">
        <v>0</v>
      </c>
      <c r="I423" s="7">
        <v>0</v>
      </c>
      <c r="J423" s="7">
        <v>0</v>
      </c>
      <c r="K423" s="5">
        <v>1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7">
        <v>0</v>
      </c>
      <c r="X423" s="7">
        <v>0</v>
      </c>
      <c r="Y423" s="7">
        <v>0</v>
      </c>
      <c r="Z423" s="5">
        <v>1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2961</v>
      </c>
      <c r="B424" s="9" t="s">
        <v>628</v>
      </c>
      <c r="C424" s="9" t="s">
        <v>179</v>
      </c>
      <c r="D424" s="9" t="s">
        <v>196</v>
      </c>
      <c r="E424" s="9" t="s">
        <v>197</v>
      </c>
      <c r="F424" s="11">
        <v>1</v>
      </c>
      <c r="G424" s="12">
        <v>0</v>
      </c>
      <c r="H424" s="12">
        <v>0</v>
      </c>
      <c r="I424" s="12">
        <v>0</v>
      </c>
      <c r="J424" s="12">
        <v>0</v>
      </c>
      <c r="K424" s="10">
        <v>1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2">
        <v>0</v>
      </c>
      <c r="W424" s="12">
        <v>0</v>
      </c>
      <c r="X424" s="12">
        <v>0</v>
      </c>
      <c r="Y424" s="12">
        <v>0</v>
      </c>
      <c r="Z424" s="10">
        <v>1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3">
        <v>0</v>
      </c>
    </row>
    <row r="425">
      <c r="A425" s="23">
        <v>2967</v>
      </c>
      <c r="B425" s="4" t="s">
        <v>629</v>
      </c>
      <c r="C425" s="4" t="s">
        <v>630</v>
      </c>
      <c r="D425" s="4" t="s">
        <v>631</v>
      </c>
      <c r="E425" s="4" t="s">
        <v>632</v>
      </c>
      <c r="F425" s="6">
        <v>9</v>
      </c>
      <c r="G425" s="5">
        <v>1</v>
      </c>
      <c r="H425" s="5">
        <v>3</v>
      </c>
      <c r="I425" s="7">
        <v>0</v>
      </c>
      <c r="J425" s="5">
        <v>5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9</v>
      </c>
      <c r="V425" s="5">
        <v>1</v>
      </c>
      <c r="W425" s="5">
        <v>3</v>
      </c>
      <c r="X425" s="7">
        <v>0</v>
      </c>
      <c r="Y425" s="5">
        <v>5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</v>
      </c>
      <c r="AL425" s="5">
        <v>3</v>
      </c>
      <c r="AM425" s="5">
        <v>5</v>
      </c>
      <c r="AN425" s="28">
        <v>2.3</v>
      </c>
    </row>
    <row r="426">
      <c r="A426" s="24">
        <v>2980</v>
      </c>
      <c r="B426" s="9" t="s">
        <v>633</v>
      </c>
      <c r="C426" s="9" t="s">
        <v>63</v>
      </c>
      <c r="D426" s="9" t="s">
        <v>73</v>
      </c>
      <c r="E426" s="9" t="s">
        <v>140</v>
      </c>
      <c r="F426" s="11">
        <v>1</v>
      </c>
      <c r="G426" s="12">
        <v>0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2">
        <v>0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0.26</v>
      </c>
    </row>
    <row r="427">
      <c r="A427" s="23">
        <v>2988</v>
      </c>
      <c r="B427" s="4" t="s">
        <v>634</v>
      </c>
      <c r="C427" s="4" t="s">
        <v>63</v>
      </c>
      <c r="D427" s="4" t="s">
        <v>73</v>
      </c>
      <c r="E427" s="4" t="s">
        <v>130</v>
      </c>
      <c r="F427" s="6">
        <v>2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5">
        <v>1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5">
        <v>1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0">
        <v>0</v>
      </c>
    </row>
    <row r="428">
      <c r="A428" s="24">
        <v>3001</v>
      </c>
      <c r="B428" s="9" t="s">
        <v>635</v>
      </c>
      <c r="C428" s="9" t="s">
        <v>372</v>
      </c>
      <c r="D428" s="9" t="s">
        <v>617</v>
      </c>
      <c r="E428" s="9" t="s">
        <v>374</v>
      </c>
      <c r="F428" s="11">
        <v>2</v>
      </c>
      <c r="G428" s="12">
        <v>0</v>
      </c>
      <c r="H428" s="12">
        <v>0</v>
      </c>
      <c r="I428" s="12">
        <v>0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2">
        <v>0</v>
      </c>
      <c r="W428" s="12">
        <v>0</v>
      </c>
      <c r="X428" s="12">
        <v>0</v>
      </c>
      <c r="Y428" s="10">
        <v>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3005</v>
      </c>
      <c r="B429" s="4" t="s">
        <v>636</v>
      </c>
      <c r="C429" s="4" t="s">
        <v>63</v>
      </c>
      <c r="D429" s="4" t="s">
        <v>84</v>
      </c>
      <c r="E429" s="4" t="s">
        <v>85</v>
      </c>
      <c r="F429" s="6">
        <v>2</v>
      </c>
      <c r="G429" s="5">
        <v>2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5">
        <v>2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28">
        <v>0.5</v>
      </c>
    </row>
    <row r="430">
      <c r="A430" s="24">
        <v>3012</v>
      </c>
      <c r="B430" s="9" t="s">
        <v>637</v>
      </c>
      <c r="C430" s="9" t="s">
        <v>63</v>
      </c>
      <c r="D430" s="9" t="s">
        <v>77</v>
      </c>
      <c r="E430" s="9" t="s">
        <v>78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</v>
      </c>
    </row>
    <row r="431">
      <c r="A431" s="23">
        <v>3022</v>
      </c>
      <c r="B431" s="4" t="s">
        <v>638</v>
      </c>
      <c r="C431" s="4" t="s">
        <v>372</v>
      </c>
      <c r="D431" s="4" t="s">
        <v>639</v>
      </c>
      <c r="E431" s="4" t="s">
        <v>374</v>
      </c>
      <c r="F431" s="6">
        <v>2</v>
      </c>
      <c r="G431" s="7">
        <v>0</v>
      </c>
      <c r="H431" s="7">
        <v>0</v>
      </c>
      <c r="I431" s="5">
        <v>1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7">
        <v>0</v>
      </c>
      <c r="W431" s="7">
        <v>0</v>
      </c>
      <c r="X431" s="5">
        <v>1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3050</v>
      </c>
      <c r="B432" s="9" t="s">
        <v>640</v>
      </c>
      <c r="C432" s="9" t="s">
        <v>63</v>
      </c>
      <c r="D432" s="9" t="s">
        <v>108</v>
      </c>
      <c r="E432" s="9" t="s">
        <v>641</v>
      </c>
      <c r="F432" s="11">
        <v>2</v>
      </c>
      <c r="G432" s="10">
        <v>1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1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3">
        <v>0</v>
      </c>
    </row>
    <row r="433">
      <c r="A433" s="23">
        <v>3054</v>
      </c>
      <c r="B433" s="4" t="s">
        <v>642</v>
      </c>
      <c r="C433" s="4" t="s">
        <v>63</v>
      </c>
      <c r="D433" s="4" t="s">
        <v>120</v>
      </c>
      <c r="E433" s="4" t="s">
        <v>121</v>
      </c>
      <c r="F433" s="6">
        <v>1</v>
      </c>
      <c r="G433" s="7">
        <v>0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0">
        <v>0</v>
      </c>
    </row>
    <row r="434">
      <c r="A434" s="24">
        <v>3067</v>
      </c>
      <c r="B434" s="9" t="s">
        <v>643</v>
      </c>
      <c r="C434" s="9" t="s">
        <v>63</v>
      </c>
      <c r="D434" s="9" t="s">
        <v>77</v>
      </c>
      <c r="E434" s="9" t="s">
        <v>450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3">
        <v>0</v>
      </c>
    </row>
    <row r="435">
      <c r="A435" s="23">
        <v>3083</v>
      </c>
      <c r="B435" s="4" t="s">
        <v>644</v>
      </c>
      <c r="C435" s="4" t="s">
        <v>63</v>
      </c>
      <c r="D435" s="4" t="s">
        <v>120</v>
      </c>
      <c r="E435" s="4" t="s">
        <v>645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3088</v>
      </c>
      <c r="B436" s="9" t="s">
        <v>646</v>
      </c>
      <c r="C436" s="9" t="s">
        <v>63</v>
      </c>
      <c r="D436" s="9" t="s">
        <v>115</v>
      </c>
      <c r="E436" s="9" t="s">
        <v>647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3">
        <v>0</v>
      </c>
    </row>
    <row r="437">
      <c r="A437" s="23">
        <v>3090</v>
      </c>
      <c r="B437" s="4" t="s">
        <v>648</v>
      </c>
      <c r="C437" s="4" t="s">
        <v>63</v>
      </c>
      <c r="D437" s="4" t="s">
        <v>115</v>
      </c>
      <c r="E437" s="4" t="s">
        <v>146</v>
      </c>
      <c r="F437" s="6">
        <v>6</v>
      </c>
      <c r="G437" s="5">
        <v>3</v>
      </c>
      <c r="H437" s="7">
        <v>0</v>
      </c>
      <c r="I437" s="5">
        <v>2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6</v>
      </c>
      <c r="V437" s="5">
        <v>3</v>
      </c>
      <c r="W437" s="7">
        <v>0</v>
      </c>
      <c r="X437" s="5">
        <v>2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</v>
      </c>
      <c r="AL437" s="5">
        <v>2</v>
      </c>
      <c r="AM437" s="5">
        <v>3</v>
      </c>
      <c r="AN437" s="30">
        <v>0</v>
      </c>
    </row>
    <row r="438">
      <c r="A438" s="24">
        <v>3092</v>
      </c>
      <c r="B438" s="9" t="s">
        <v>649</v>
      </c>
      <c r="C438" s="9" t="s">
        <v>63</v>
      </c>
      <c r="D438" s="9" t="s">
        <v>67</v>
      </c>
      <c r="E438" s="9" t="s">
        <v>271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3093</v>
      </c>
      <c r="B439" s="4" t="s">
        <v>650</v>
      </c>
      <c r="C439" s="4" t="s">
        <v>63</v>
      </c>
      <c r="D439" s="4" t="s">
        <v>111</v>
      </c>
      <c r="E439" s="4" t="s">
        <v>243</v>
      </c>
      <c r="F439" s="6">
        <v>1</v>
      </c>
      <c r="G439" s="7">
        <v>0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3094</v>
      </c>
      <c r="B440" s="9" t="s">
        <v>651</v>
      </c>
      <c r="C440" s="9" t="s">
        <v>63</v>
      </c>
      <c r="D440" s="9" t="s">
        <v>115</v>
      </c>
      <c r="E440" s="9" t="s">
        <v>146</v>
      </c>
      <c r="F440" s="11">
        <v>2</v>
      </c>
      <c r="G440" s="10">
        <v>2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0">
        <v>2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3">
        <v>0</v>
      </c>
    </row>
    <row r="441">
      <c r="A441" s="23">
        <v>3112</v>
      </c>
      <c r="B441" s="4" t="s">
        <v>652</v>
      </c>
      <c r="C441" s="4" t="s">
        <v>63</v>
      </c>
      <c r="D441" s="4" t="s">
        <v>73</v>
      </c>
      <c r="E441" s="4" t="s">
        <v>237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0.22</v>
      </c>
    </row>
    <row r="442">
      <c r="A442" s="24">
        <v>3118</v>
      </c>
      <c r="B442" s="9" t="s">
        <v>653</v>
      </c>
      <c r="C442" s="9" t="s">
        <v>63</v>
      </c>
      <c r="D442" s="9" t="s">
        <v>73</v>
      </c>
      <c r="E442" s="9" t="s">
        <v>127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43">
        <v>0</v>
      </c>
    </row>
    <row r="443">
      <c r="A443" s="23">
        <v>3120</v>
      </c>
      <c r="B443" s="4" t="s">
        <v>654</v>
      </c>
      <c r="C443" s="4" t="s">
        <v>63</v>
      </c>
      <c r="D443" s="4" t="s">
        <v>111</v>
      </c>
      <c r="E443" s="4" t="s">
        <v>240</v>
      </c>
      <c r="F443" s="6">
        <v>2</v>
      </c>
      <c r="G443" s="5">
        <v>1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5">
        <v>1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3121</v>
      </c>
      <c r="B444" s="9" t="s">
        <v>655</v>
      </c>
      <c r="C444" s="9" t="s">
        <v>264</v>
      </c>
      <c r="D444" s="9" t="s">
        <v>479</v>
      </c>
      <c r="E444" s="9" t="s">
        <v>480</v>
      </c>
      <c r="F444" s="11">
        <v>2</v>
      </c>
      <c r="G444" s="12">
        <v>0</v>
      </c>
      <c r="H444" s="10">
        <v>2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2">
        <v>0</v>
      </c>
      <c r="W444" s="10">
        <v>2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29">
        <v>0.44</v>
      </c>
    </row>
    <row r="445">
      <c r="A445" s="23">
        <v>3127</v>
      </c>
      <c r="B445" s="4" t="s">
        <v>656</v>
      </c>
      <c r="C445" s="4" t="s">
        <v>63</v>
      </c>
      <c r="D445" s="4" t="s">
        <v>73</v>
      </c>
      <c r="E445" s="4" t="s">
        <v>74</v>
      </c>
      <c r="F445" s="6">
        <v>2</v>
      </c>
      <c r="G445" s="7">
        <v>0</v>
      </c>
      <c r="H445" s="7">
        <v>0</v>
      </c>
      <c r="I445" s="7">
        <v>0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</v>
      </c>
      <c r="V445" s="7">
        <v>0</v>
      </c>
      <c r="W445" s="7">
        <v>0</v>
      </c>
      <c r="X445" s="7">
        <v>0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2</v>
      </c>
      <c r="AL445" s="5">
        <v>2</v>
      </c>
      <c r="AM445" s="5">
        <v>2</v>
      </c>
      <c r="AN445" s="28">
        <v>0.52</v>
      </c>
    </row>
    <row r="446">
      <c r="A446" s="24">
        <v>3128</v>
      </c>
      <c r="B446" s="9" t="s">
        <v>657</v>
      </c>
      <c r="C446" s="9" t="s">
        <v>179</v>
      </c>
      <c r="D446" s="9" t="s">
        <v>180</v>
      </c>
      <c r="E446" s="9" t="s">
        <v>191</v>
      </c>
      <c r="F446" s="11">
        <v>2</v>
      </c>
      <c r="G446" s="12">
        <v>0</v>
      </c>
      <c r="H446" s="10">
        <v>1</v>
      </c>
      <c r="I446" s="12">
        <v>0</v>
      </c>
      <c r="J446" s="12">
        <v>0</v>
      </c>
      <c r="K446" s="10">
        <v>1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2">
        <v>0</v>
      </c>
      <c r="W446" s="10">
        <v>1</v>
      </c>
      <c r="X446" s="12">
        <v>0</v>
      </c>
      <c r="Y446" s="12">
        <v>0</v>
      </c>
      <c r="Z446" s="10">
        <v>1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0.24</v>
      </c>
    </row>
    <row r="447">
      <c r="A447" s="23">
        <v>3134</v>
      </c>
      <c r="B447" s="4" t="s">
        <v>658</v>
      </c>
      <c r="C447" s="4" t="s">
        <v>179</v>
      </c>
      <c r="D447" s="4" t="s">
        <v>180</v>
      </c>
      <c r="E447" s="4" t="s">
        <v>191</v>
      </c>
      <c r="F447" s="6">
        <v>1</v>
      </c>
      <c r="G447" s="7">
        <v>0</v>
      </c>
      <c r="H447" s="7">
        <v>0</v>
      </c>
      <c r="I447" s="7">
        <v>0</v>
      </c>
      <c r="J447" s="7">
        <v>0</v>
      </c>
      <c r="K447" s="5">
        <v>1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7">
        <v>0</v>
      </c>
      <c r="Z447" s="5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3135</v>
      </c>
      <c r="B448" s="9" t="s">
        <v>659</v>
      </c>
      <c r="C448" s="9" t="s">
        <v>179</v>
      </c>
      <c r="D448" s="9" t="s">
        <v>196</v>
      </c>
      <c r="E448" s="9" t="s">
        <v>660</v>
      </c>
      <c r="F448" s="11">
        <v>2</v>
      </c>
      <c r="G448" s="12">
        <v>0</v>
      </c>
      <c r="H448" s="12">
        <v>0</v>
      </c>
      <c r="I448" s="10">
        <v>2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2">
        <v>0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43">
        <v>0</v>
      </c>
    </row>
    <row r="449">
      <c r="A449" s="23">
        <v>3142</v>
      </c>
      <c r="B449" s="4" t="s">
        <v>661</v>
      </c>
      <c r="C449" s="4" t="s">
        <v>63</v>
      </c>
      <c r="D449" s="4" t="s">
        <v>77</v>
      </c>
      <c r="E449" s="4" t="s">
        <v>78</v>
      </c>
      <c r="F449" s="6">
        <v>2</v>
      </c>
      <c r="G449" s="5">
        <v>1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5">
        <v>1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0">
        <v>0</v>
      </c>
    </row>
    <row r="450">
      <c r="A450" s="24">
        <v>3143</v>
      </c>
      <c r="B450" s="9" t="s">
        <v>662</v>
      </c>
      <c r="C450" s="9" t="s">
        <v>63</v>
      </c>
      <c r="D450" s="9" t="s">
        <v>77</v>
      </c>
      <c r="E450" s="9" t="s">
        <v>78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0.27</v>
      </c>
    </row>
    <row r="451">
      <c r="A451" s="23">
        <v>3144</v>
      </c>
      <c r="B451" s="4" t="s">
        <v>663</v>
      </c>
      <c r="C451" s="4" t="s">
        <v>63</v>
      </c>
      <c r="D451" s="4" t="s">
        <v>73</v>
      </c>
      <c r="E451" s="4" t="s">
        <v>171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3163</v>
      </c>
      <c r="B452" s="9" t="s">
        <v>664</v>
      </c>
      <c r="C452" s="9" t="s">
        <v>63</v>
      </c>
      <c r="D452" s="9" t="s">
        <v>73</v>
      </c>
      <c r="E452" s="9" t="s">
        <v>275</v>
      </c>
      <c r="F452" s="11">
        <v>1</v>
      </c>
      <c r="G452" s="12">
        <v>0</v>
      </c>
      <c r="H452" s="10">
        <v>1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2">
        <v>0</v>
      </c>
      <c r="W452" s="10">
        <v>1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0.35</v>
      </c>
    </row>
    <row r="453">
      <c r="A453" s="23">
        <v>3187</v>
      </c>
      <c r="B453" s="4" t="s">
        <v>665</v>
      </c>
      <c r="C453" s="4" t="s">
        <v>63</v>
      </c>
      <c r="D453" s="4" t="s">
        <v>73</v>
      </c>
      <c r="E453" s="4" t="s">
        <v>171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3188</v>
      </c>
      <c r="B454" s="9" t="s">
        <v>666</v>
      </c>
      <c r="C454" s="9" t="s">
        <v>63</v>
      </c>
      <c r="D454" s="9" t="s">
        <v>102</v>
      </c>
      <c r="E454" s="9" t="s">
        <v>144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3189</v>
      </c>
      <c r="B455" s="4" t="s">
        <v>667</v>
      </c>
      <c r="C455" s="4" t="s">
        <v>63</v>
      </c>
      <c r="D455" s="4" t="s">
        <v>111</v>
      </c>
      <c r="E455" s="4" t="s">
        <v>240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3191</v>
      </c>
      <c r="B456" s="9" t="s">
        <v>668</v>
      </c>
      <c r="C456" s="9" t="s">
        <v>63</v>
      </c>
      <c r="D456" s="9" t="s">
        <v>120</v>
      </c>
      <c r="E456" s="9" t="s">
        <v>132</v>
      </c>
      <c r="F456" s="11">
        <v>3</v>
      </c>
      <c r="G456" s="12">
        <v>0</v>
      </c>
      <c r="H456" s="12">
        <v>0</v>
      </c>
      <c r="I456" s="12">
        <v>0</v>
      </c>
      <c r="J456" s="10">
        <v>3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2">
        <v>0</v>
      </c>
      <c r="W456" s="12">
        <v>0</v>
      </c>
      <c r="X456" s="12">
        <v>0</v>
      </c>
      <c r="Y456" s="10">
        <v>3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29">
        <v>0.75</v>
      </c>
    </row>
    <row r="457">
      <c r="A457" s="23">
        <v>3192</v>
      </c>
      <c r="B457" s="4" t="s">
        <v>669</v>
      </c>
      <c r="C457" s="4" t="s">
        <v>63</v>
      </c>
      <c r="D457" s="4" t="s">
        <v>102</v>
      </c>
      <c r="E457" s="4" t="s">
        <v>144</v>
      </c>
      <c r="F457" s="6">
        <v>8</v>
      </c>
      <c r="G457" s="5">
        <v>8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5</v>
      </c>
      <c r="V457" s="5">
        <v>5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8</v>
      </c>
      <c r="AK457" s="8">
        <v>8</v>
      </c>
      <c r="AL457" s="5">
        <v>8</v>
      </c>
      <c r="AM457" s="5">
        <v>8</v>
      </c>
      <c r="AN457" s="30">
        <v>0</v>
      </c>
    </row>
    <row r="458">
      <c r="A458" s="24">
        <v>3204</v>
      </c>
      <c r="B458" s="9" t="s">
        <v>670</v>
      </c>
      <c r="C458" s="9" t="s">
        <v>63</v>
      </c>
      <c r="D458" s="9" t="s">
        <v>67</v>
      </c>
      <c r="E458" s="9" t="s">
        <v>271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0">
        <v>2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29">
        <v>0.7</v>
      </c>
    </row>
    <row r="459">
      <c r="A459" s="23">
        <v>3206</v>
      </c>
      <c r="B459" s="4" t="s">
        <v>671</v>
      </c>
      <c r="C459" s="4" t="s">
        <v>179</v>
      </c>
      <c r="D459" s="4" t="s">
        <v>180</v>
      </c>
      <c r="E459" s="4" t="s">
        <v>191</v>
      </c>
      <c r="F459" s="6">
        <v>1</v>
      </c>
      <c r="G459" s="7">
        <v>0</v>
      </c>
      <c r="H459" s="7">
        <v>0</v>
      </c>
      <c r="I459" s="7">
        <v>0</v>
      </c>
      <c r="J459" s="7">
        <v>0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7">
        <v>0</v>
      </c>
      <c r="W459" s="7">
        <v>0</v>
      </c>
      <c r="X459" s="7">
        <v>0</v>
      </c>
      <c r="Y459" s="7">
        <v>0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3216</v>
      </c>
      <c r="B460" s="9" t="s">
        <v>672</v>
      </c>
      <c r="C460" s="9" t="s">
        <v>63</v>
      </c>
      <c r="D460" s="9" t="s">
        <v>70</v>
      </c>
      <c r="E460" s="9" t="s">
        <v>347</v>
      </c>
      <c r="F460" s="11">
        <v>15</v>
      </c>
      <c r="G460" s="10">
        <v>11</v>
      </c>
      <c r="H460" s="12">
        <v>0</v>
      </c>
      <c r="I460" s="10">
        <v>2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15</v>
      </c>
      <c r="V460" s="10">
        <v>11</v>
      </c>
      <c r="W460" s="12">
        <v>0</v>
      </c>
      <c r="X460" s="10">
        <v>2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3</v>
      </c>
      <c r="AL460" s="10">
        <v>1</v>
      </c>
      <c r="AM460" s="10">
        <v>10</v>
      </c>
      <c r="AN460" s="29">
        <v>1.04</v>
      </c>
    </row>
    <row r="461">
      <c r="A461" s="23">
        <v>3222</v>
      </c>
      <c r="B461" s="4" t="s">
        <v>673</v>
      </c>
      <c r="C461" s="4" t="s">
        <v>63</v>
      </c>
      <c r="D461" s="4" t="s">
        <v>77</v>
      </c>
      <c r="E461" s="4" t="s">
        <v>450</v>
      </c>
      <c r="F461" s="6">
        <v>6</v>
      </c>
      <c r="G461" s="5">
        <v>6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5</v>
      </c>
      <c r="V461" s="5">
        <v>5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6</v>
      </c>
      <c r="AK461" s="8">
        <v>6</v>
      </c>
      <c r="AL461" s="5">
        <v>6</v>
      </c>
      <c r="AM461" s="5">
        <v>6</v>
      </c>
      <c r="AN461" s="28">
        <v>1.6</v>
      </c>
    </row>
    <row r="462">
      <c r="A462" s="24">
        <v>3223</v>
      </c>
      <c r="B462" s="9" t="s">
        <v>674</v>
      </c>
      <c r="C462" s="9" t="s">
        <v>63</v>
      </c>
      <c r="D462" s="9" t="s">
        <v>111</v>
      </c>
      <c r="E462" s="9" t="s">
        <v>243</v>
      </c>
      <c r="F462" s="11">
        <v>1</v>
      </c>
      <c r="G462" s="12">
        <v>0</v>
      </c>
      <c r="H462" s="12">
        <v>0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0.25</v>
      </c>
    </row>
    <row r="463">
      <c r="A463" s="23">
        <v>3225</v>
      </c>
      <c r="B463" s="4" t="s">
        <v>675</v>
      </c>
      <c r="C463" s="4" t="s">
        <v>264</v>
      </c>
      <c r="D463" s="4" t="s">
        <v>676</v>
      </c>
      <c r="E463" s="4" t="s">
        <v>677</v>
      </c>
      <c r="F463" s="6">
        <v>2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5">
        <v>2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5">
        <v>1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30">
        <v>0</v>
      </c>
    </row>
    <row r="464">
      <c r="A464" s="24">
        <v>3267</v>
      </c>
      <c r="B464" s="9" t="s">
        <v>678</v>
      </c>
      <c r="C464" s="9" t="s">
        <v>63</v>
      </c>
      <c r="D464" s="9" t="s">
        <v>120</v>
      </c>
      <c r="E464" s="9" t="s">
        <v>121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3269</v>
      </c>
      <c r="B465" s="4" t="s">
        <v>679</v>
      </c>
      <c r="C465" s="4" t="s">
        <v>63</v>
      </c>
      <c r="D465" s="4" t="s">
        <v>73</v>
      </c>
      <c r="E465" s="4" t="s">
        <v>74</v>
      </c>
      <c r="F465" s="6">
        <v>3</v>
      </c>
      <c r="G465" s="5">
        <v>1</v>
      </c>
      <c r="H465" s="7">
        <v>0</v>
      </c>
      <c r="I465" s="5">
        <v>1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1</v>
      </c>
      <c r="W465" s="7">
        <v>0</v>
      </c>
      <c r="X465" s="5">
        <v>1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0.24</v>
      </c>
    </row>
    <row r="466">
      <c r="A466" s="24">
        <v>3286</v>
      </c>
      <c r="B466" s="9" t="s">
        <v>287</v>
      </c>
      <c r="C466" s="9" t="s">
        <v>63</v>
      </c>
      <c r="D466" s="9" t="s">
        <v>120</v>
      </c>
      <c r="E466" s="9" t="s">
        <v>132</v>
      </c>
      <c r="F466" s="11">
        <v>1</v>
      </c>
      <c r="G466" s="12">
        <v>0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2">
        <v>0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0.24</v>
      </c>
    </row>
    <row r="467">
      <c r="A467" s="23">
        <v>3287</v>
      </c>
      <c r="B467" s="4" t="s">
        <v>680</v>
      </c>
      <c r="C467" s="4" t="s">
        <v>63</v>
      </c>
      <c r="D467" s="4" t="s">
        <v>67</v>
      </c>
      <c r="E467" s="4" t="s">
        <v>271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3290</v>
      </c>
      <c r="B468" s="9" t="s">
        <v>681</v>
      </c>
      <c r="C468" s="9" t="s">
        <v>63</v>
      </c>
      <c r="D468" s="9" t="s">
        <v>73</v>
      </c>
      <c r="E468" s="9" t="s">
        <v>74</v>
      </c>
      <c r="F468" s="11">
        <v>5</v>
      </c>
      <c r="G468" s="12">
        <v>0</v>
      </c>
      <c r="H468" s="12">
        <v>0</v>
      </c>
      <c r="I468" s="10">
        <v>5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2">
        <v>0</v>
      </c>
      <c r="W468" s="12">
        <v>0</v>
      </c>
      <c r="X468" s="10">
        <v>3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5</v>
      </c>
      <c r="AK468" s="13">
        <v>5</v>
      </c>
      <c r="AL468" s="10">
        <v>5</v>
      </c>
      <c r="AM468" s="10">
        <v>5</v>
      </c>
      <c r="AN468" s="43">
        <v>0</v>
      </c>
    </row>
    <row r="469">
      <c r="A469" s="23">
        <v>3293</v>
      </c>
      <c r="B469" s="4" t="s">
        <v>682</v>
      </c>
      <c r="C469" s="4" t="s">
        <v>63</v>
      </c>
      <c r="D469" s="4" t="s">
        <v>120</v>
      </c>
      <c r="E469" s="4" t="s">
        <v>123</v>
      </c>
      <c r="F469" s="6">
        <v>2</v>
      </c>
      <c r="G469" s="7">
        <v>0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28">
        <v>0.5</v>
      </c>
    </row>
    <row r="470">
      <c r="A470" s="24">
        <v>3297</v>
      </c>
      <c r="B470" s="9" t="s">
        <v>683</v>
      </c>
      <c r="C470" s="9" t="s">
        <v>630</v>
      </c>
      <c r="D470" s="9" t="s">
        <v>684</v>
      </c>
      <c r="E470" s="9" t="s">
        <v>685</v>
      </c>
      <c r="F470" s="11">
        <v>2</v>
      </c>
      <c r="G470" s="10">
        <v>1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0">
        <v>1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3">
        <v>0</v>
      </c>
    </row>
    <row r="471">
      <c r="A471" s="23">
        <v>3298</v>
      </c>
      <c r="B471" s="4" t="s">
        <v>686</v>
      </c>
      <c r="C471" s="4" t="s">
        <v>63</v>
      </c>
      <c r="D471" s="4" t="s">
        <v>120</v>
      </c>
      <c r="E471" s="4" t="s">
        <v>121</v>
      </c>
      <c r="F471" s="6">
        <v>2</v>
      </c>
      <c r="G471" s="5">
        <v>2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2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30">
        <v>0</v>
      </c>
    </row>
    <row r="472">
      <c r="A472" s="24">
        <v>3300</v>
      </c>
      <c r="B472" s="9" t="s">
        <v>687</v>
      </c>
      <c r="C472" s="9" t="s">
        <v>248</v>
      </c>
      <c r="D472" s="9" t="s">
        <v>249</v>
      </c>
      <c r="E472" s="9" t="s">
        <v>688</v>
      </c>
      <c r="F472" s="11">
        <v>2</v>
      </c>
      <c r="G472" s="12">
        <v>0</v>
      </c>
      <c r="H472" s="10">
        <v>2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2">
        <v>0</v>
      </c>
      <c r="W472" s="10">
        <v>2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29">
        <v>0.52</v>
      </c>
    </row>
    <row r="473">
      <c r="A473" s="23">
        <v>3315</v>
      </c>
      <c r="B473" s="4" t="s">
        <v>689</v>
      </c>
      <c r="C473" s="4" t="s">
        <v>63</v>
      </c>
      <c r="D473" s="4" t="s">
        <v>120</v>
      </c>
      <c r="E473" s="4" t="s">
        <v>645</v>
      </c>
      <c r="F473" s="6">
        <v>36</v>
      </c>
      <c r="G473" s="7">
        <v>0</v>
      </c>
      <c r="H473" s="7">
        <v>0</v>
      </c>
      <c r="I473" s="7">
        <v>0</v>
      </c>
      <c r="J473" s="5">
        <v>36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34</v>
      </c>
      <c r="V473" s="7">
        <v>0</v>
      </c>
      <c r="W473" s="7">
        <v>0</v>
      </c>
      <c r="X473" s="7">
        <v>0</v>
      </c>
      <c r="Y473" s="5">
        <v>34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18</v>
      </c>
      <c r="AL473" s="5">
        <v>18</v>
      </c>
      <c r="AM473" s="5">
        <v>35</v>
      </c>
      <c r="AN473" s="28">
        <v>8.5</v>
      </c>
    </row>
    <row r="474">
      <c r="A474" s="24">
        <v>3325</v>
      </c>
      <c r="B474" s="9" t="s">
        <v>690</v>
      </c>
      <c r="C474" s="9" t="s">
        <v>264</v>
      </c>
      <c r="D474" s="9" t="s">
        <v>479</v>
      </c>
      <c r="E474" s="9" t="s">
        <v>480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0.24</v>
      </c>
    </row>
    <row r="475">
      <c r="A475" s="23">
        <v>3328</v>
      </c>
      <c r="B475" s="4" t="s">
        <v>691</v>
      </c>
      <c r="C475" s="4" t="s">
        <v>264</v>
      </c>
      <c r="D475" s="4" t="s">
        <v>692</v>
      </c>
      <c r="E475" s="4" t="s">
        <v>374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0.24</v>
      </c>
    </row>
    <row r="476">
      <c r="A476" s="24">
        <v>3329</v>
      </c>
      <c r="B476" s="9" t="s">
        <v>693</v>
      </c>
      <c r="C476" s="9" t="s">
        <v>264</v>
      </c>
      <c r="D476" s="9" t="s">
        <v>694</v>
      </c>
      <c r="E476" s="9" t="s">
        <v>695</v>
      </c>
      <c r="F476" s="11">
        <v>2</v>
      </c>
      <c r="G476" s="10">
        <v>1</v>
      </c>
      <c r="H476" s="12">
        <v>0</v>
      </c>
      <c r="I476" s="10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0">
        <v>1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0.48</v>
      </c>
    </row>
    <row r="477">
      <c r="A477" s="23">
        <v>3330</v>
      </c>
      <c r="B477" s="4" t="s">
        <v>696</v>
      </c>
      <c r="C477" s="4" t="s">
        <v>264</v>
      </c>
      <c r="D477" s="4" t="s">
        <v>430</v>
      </c>
      <c r="E477" s="4" t="s">
        <v>431</v>
      </c>
      <c r="F477" s="6">
        <v>5</v>
      </c>
      <c r="G477" s="7">
        <v>0</v>
      </c>
      <c r="H477" s="7">
        <v>0</v>
      </c>
      <c r="I477" s="7">
        <v>0</v>
      </c>
      <c r="J477" s="5">
        <v>5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5</v>
      </c>
      <c r="V477" s="7">
        <v>0</v>
      </c>
      <c r="W477" s="7">
        <v>0</v>
      </c>
      <c r="X477" s="7">
        <v>0</v>
      </c>
      <c r="Y477" s="5">
        <v>5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2.5</v>
      </c>
      <c r="AL477" s="5">
        <v>2</v>
      </c>
      <c r="AM477" s="5">
        <v>3</v>
      </c>
      <c r="AN477" s="28">
        <v>1.2</v>
      </c>
    </row>
    <row r="478">
      <c r="A478" s="24">
        <v>3338</v>
      </c>
      <c r="B478" s="9" t="s">
        <v>697</v>
      </c>
      <c r="C478" s="9" t="s">
        <v>63</v>
      </c>
      <c r="D478" s="9" t="s">
        <v>108</v>
      </c>
      <c r="E478" s="9" t="s">
        <v>158</v>
      </c>
      <c r="F478" s="11">
        <v>1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0">
        <v>1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0">
        <v>1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3">
        <v>0</v>
      </c>
    </row>
    <row r="479">
      <c r="A479" s="23">
        <v>3342</v>
      </c>
      <c r="B479" s="4" t="s">
        <v>698</v>
      </c>
      <c r="C479" s="4" t="s">
        <v>63</v>
      </c>
      <c r="D479" s="4" t="s">
        <v>108</v>
      </c>
      <c r="E479" s="4" t="s">
        <v>158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3350</v>
      </c>
      <c r="B480" s="9" t="s">
        <v>699</v>
      </c>
      <c r="C480" s="9" t="s">
        <v>700</v>
      </c>
      <c r="D480" s="9" t="s">
        <v>701</v>
      </c>
      <c r="E480" s="9" t="s">
        <v>374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0.26</v>
      </c>
    </row>
    <row r="481">
      <c r="A481" s="23">
        <v>3351</v>
      </c>
      <c r="B481" s="4" t="s">
        <v>702</v>
      </c>
      <c r="C481" s="4" t="s">
        <v>700</v>
      </c>
      <c r="D481" s="4" t="s">
        <v>701</v>
      </c>
      <c r="E481" s="4" t="s">
        <v>374</v>
      </c>
      <c r="F481" s="6">
        <v>2</v>
      </c>
      <c r="G481" s="7">
        <v>0</v>
      </c>
      <c r="H481" s="7">
        <v>0</v>
      </c>
      <c r="I481" s="5">
        <v>1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7">
        <v>0</v>
      </c>
      <c r="W481" s="7">
        <v>0</v>
      </c>
      <c r="X481" s="5">
        <v>1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0.5</v>
      </c>
    </row>
    <row r="482">
      <c r="A482" s="24">
        <v>3354</v>
      </c>
      <c r="B482" s="9" t="s">
        <v>703</v>
      </c>
      <c r="C482" s="9" t="s">
        <v>700</v>
      </c>
      <c r="D482" s="9" t="s">
        <v>701</v>
      </c>
      <c r="E482" s="9" t="s">
        <v>374</v>
      </c>
      <c r="F482" s="11">
        <v>6</v>
      </c>
      <c r="G482" s="12">
        <v>0</v>
      </c>
      <c r="H482" s="12">
        <v>0</v>
      </c>
      <c r="I482" s="10">
        <v>2</v>
      </c>
      <c r="J482" s="10">
        <v>3</v>
      </c>
      <c r="K482" s="12">
        <v>0</v>
      </c>
      <c r="L482" s="12">
        <v>0</v>
      </c>
      <c r="M482" s="12">
        <v>0</v>
      </c>
      <c r="N482" s="10">
        <v>1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5</v>
      </c>
      <c r="V482" s="12">
        <v>0</v>
      </c>
      <c r="W482" s="12">
        <v>0</v>
      </c>
      <c r="X482" s="10">
        <v>2</v>
      </c>
      <c r="Y482" s="10">
        <v>2</v>
      </c>
      <c r="Z482" s="12">
        <v>0</v>
      </c>
      <c r="AA482" s="12">
        <v>0</v>
      </c>
      <c r="AB482" s="12">
        <v>0</v>
      </c>
      <c r="AC482" s="10">
        <v>1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3</v>
      </c>
      <c r="AN482" s="29">
        <v>1.3</v>
      </c>
    </row>
    <row r="483">
      <c r="A483" s="23">
        <v>3355</v>
      </c>
      <c r="B483" s="4" t="s">
        <v>704</v>
      </c>
      <c r="C483" s="4" t="s">
        <v>700</v>
      </c>
      <c r="D483" s="4" t="s">
        <v>701</v>
      </c>
      <c r="E483" s="4" t="s">
        <v>374</v>
      </c>
      <c r="F483" s="6">
        <v>2</v>
      </c>
      <c r="G483" s="7">
        <v>0</v>
      </c>
      <c r="H483" s="7">
        <v>0</v>
      </c>
      <c r="I483" s="5">
        <v>1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7">
        <v>0</v>
      </c>
      <c r="W483" s="7">
        <v>0</v>
      </c>
      <c r="X483" s="5">
        <v>1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0.52</v>
      </c>
    </row>
    <row r="484">
      <c r="A484" s="24">
        <v>3356</v>
      </c>
      <c r="B484" s="9" t="s">
        <v>705</v>
      </c>
      <c r="C484" s="9" t="s">
        <v>700</v>
      </c>
      <c r="D484" s="9" t="s">
        <v>701</v>
      </c>
      <c r="E484" s="9" t="s">
        <v>374</v>
      </c>
      <c r="F484" s="11">
        <v>3</v>
      </c>
      <c r="G484" s="12">
        <v>0</v>
      </c>
      <c r="H484" s="10">
        <v>2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2">
        <v>0</v>
      </c>
      <c r="W484" s="10">
        <v>2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2</v>
      </c>
      <c r="AN484" s="29">
        <v>0.78</v>
      </c>
    </row>
    <row r="485">
      <c r="A485" s="23">
        <v>3359</v>
      </c>
      <c r="B485" s="4" t="s">
        <v>706</v>
      </c>
      <c r="C485" s="4" t="s">
        <v>63</v>
      </c>
      <c r="D485" s="4" t="s">
        <v>67</v>
      </c>
      <c r="E485" s="4" t="s">
        <v>271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0.25</v>
      </c>
    </row>
    <row r="486">
      <c r="A486" s="24">
        <v>3360</v>
      </c>
      <c r="B486" s="9" t="s">
        <v>707</v>
      </c>
      <c r="C486" s="9" t="s">
        <v>700</v>
      </c>
      <c r="D486" s="9" t="s">
        <v>701</v>
      </c>
      <c r="E486" s="9" t="s">
        <v>374</v>
      </c>
      <c r="F486" s="11">
        <v>3</v>
      </c>
      <c r="G486" s="12">
        <v>0</v>
      </c>
      <c r="H486" s="12">
        <v>0</v>
      </c>
      <c r="I486" s="10">
        <v>1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3</v>
      </c>
      <c r="V486" s="12">
        <v>0</v>
      </c>
      <c r="W486" s="12">
        <v>0</v>
      </c>
      <c r="X486" s="10">
        <v>1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0.78</v>
      </c>
    </row>
    <row r="487">
      <c r="A487" s="23">
        <v>3365</v>
      </c>
      <c r="B487" s="4" t="s">
        <v>708</v>
      </c>
      <c r="C487" s="4" t="s">
        <v>63</v>
      </c>
      <c r="D487" s="4" t="s">
        <v>102</v>
      </c>
      <c r="E487" s="4" t="s">
        <v>709</v>
      </c>
      <c r="F487" s="6">
        <v>1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3366</v>
      </c>
      <c r="B488" s="9" t="s">
        <v>710</v>
      </c>
      <c r="C488" s="9" t="s">
        <v>63</v>
      </c>
      <c r="D488" s="9" t="s">
        <v>73</v>
      </c>
      <c r="E488" s="9" t="s">
        <v>130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0.25</v>
      </c>
    </row>
    <row r="489">
      <c r="A489" s="23">
        <v>3379</v>
      </c>
      <c r="B489" s="4" t="s">
        <v>711</v>
      </c>
      <c r="C489" s="4" t="s">
        <v>264</v>
      </c>
      <c r="D489" s="4" t="s">
        <v>676</v>
      </c>
      <c r="E489" s="4" t="s">
        <v>677</v>
      </c>
      <c r="F489" s="6">
        <v>1</v>
      </c>
      <c r="G489" s="7">
        <v>0</v>
      </c>
      <c r="H489" s="5">
        <v>1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5">
        <v>1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0.22</v>
      </c>
    </row>
    <row r="490">
      <c r="A490" s="24">
        <v>3384</v>
      </c>
      <c r="B490" s="9" t="s">
        <v>712</v>
      </c>
      <c r="C490" s="9" t="s">
        <v>264</v>
      </c>
      <c r="D490" s="9" t="s">
        <v>430</v>
      </c>
      <c r="E490" s="9" t="s">
        <v>431</v>
      </c>
      <c r="F490" s="11">
        <v>4</v>
      </c>
      <c r="G490" s="12">
        <v>0</v>
      </c>
      <c r="H490" s="10">
        <v>3</v>
      </c>
      <c r="I490" s="12">
        <v>0</v>
      </c>
      <c r="J490" s="12">
        <v>0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4</v>
      </c>
      <c r="V490" s="12">
        <v>0</v>
      </c>
      <c r="W490" s="10">
        <v>3</v>
      </c>
      <c r="X490" s="12">
        <v>0</v>
      </c>
      <c r="Y490" s="12">
        <v>0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</v>
      </c>
      <c r="AL490" s="10">
        <v>2</v>
      </c>
      <c r="AM490" s="10">
        <v>3</v>
      </c>
      <c r="AN490" s="29">
        <v>0.66</v>
      </c>
    </row>
    <row r="491">
      <c r="A491" s="23">
        <v>3385</v>
      </c>
      <c r="B491" s="4" t="s">
        <v>713</v>
      </c>
      <c r="C491" s="4" t="s">
        <v>700</v>
      </c>
      <c r="D491" s="4" t="s">
        <v>714</v>
      </c>
      <c r="E491" s="4" t="s">
        <v>715</v>
      </c>
      <c r="F491" s="6">
        <v>7</v>
      </c>
      <c r="G491" s="7">
        <v>0</v>
      </c>
      <c r="H491" s="7">
        <v>0</v>
      </c>
      <c r="I491" s="5">
        <v>1</v>
      </c>
      <c r="J491" s="5">
        <v>6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7</v>
      </c>
      <c r="V491" s="7">
        <v>0</v>
      </c>
      <c r="W491" s="7">
        <v>0</v>
      </c>
      <c r="X491" s="5">
        <v>1</v>
      </c>
      <c r="Y491" s="5">
        <v>6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2.33</v>
      </c>
      <c r="AL491" s="5">
        <v>1</v>
      </c>
      <c r="AM491" s="5">
        <v>5</v>
      </c>
      <c r="AN491" s="28">
        <v>1.56</v>
      </c>
    </row>
    <row r="492">
      <c r="A492" s="24">
        <v>3407</v>
      </c>
      <c r="B492" s="9" t="s">
        <v>716</v>
      </c>
      <c r="C492" s="9" t="s">
        <v>179</v>
      </c>
      <c r="D492" s="9" t="s">
        <v>196</v>
      </c>
      <c r="E492" s="9" t="s">
        <v>717</v>
      </c>
      <c r="F492" s="11">
        <v>2</v>
      </c>
      <c r="G492" s="12">
        <v>0</v>
      </c>
      <c r="H492" s="12">
        <v>0</v>
      </c>
      <c r="I492" s="12">
        <v>0</v>
      </c>
      <c r="J492" s="12">
        <v>0</v>
      </c>
      <c r="K492" s="10">
        <v>2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2">
        <v>0</v>
      </c>
      <c r="W492" s="12">
        <v>0</v>
      </c>
      <c r="X492" s="12">
        <v>0</v>
      </c>
      <c r="Y492" s="12">
        <v>0</v>
      </c>
      <c r="Z492" s="10">
        <v>2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29">
        <v>0.5</v>
      </c>
    </row>
    <row r="493">
      <c r="A493" s="23">
        <v>3432</v>
      </c>
      <c r="B493" s="4" t="s">
        <v>718</v>
      </c>
      <c r="C493" s="4" t="s">
        <v>264</v>
      </c>
      <c r="D493" s="4" t="s">
        <v>398</v>
      </c>
      <c r="E493" s="4" t="s">
        <v>410</v>
      </c>
      <c r="F493" s="6">
        <v>2</v>
      </c>
      <c r="G493" s="7">
        <v>0</v>
      </c>
      <c r="H493" s="7">
        <v>0</v>
      </c>
      <c r="I493" s="7">
        <v>0</v>
      </c>
      <c r="J493" s="5">
        <v>2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7">
        <v>0</v>
      </c>
      <c r="W493" s="7">
        <v>0</v>
      </c>
      <c r="X493" s="7">
        <v>0</v>
      </c>
      <c r="Y493" s="5">
        <v>2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3452</v>
      </c>
      <c r="B494" s="9" t="s">
        <v>719</v>
      </c>
      <c r="C494" s="9" t="s">
        <v>630</v>
      </c>
      <c r="D494" s="9" t="s">
        <v>720</v>
      </c>
      <c r="E494" s="9" t="s">
        <v>721</v>
      </c>
      <c r="F494" s="11">
        <v>2</v>
      </c>
      <c r="G494" s="12">
        <v>0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2">
        <v>0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0.52</v>
      </c>
    </row>
    <row r="495">
      <c r="A495" s="23">
        <v>3458</v>
      </c>
      <c r="B495" s="4" t="s">
        <v>722</v>
      </c>
      <c r="C495" s="4" t="s">
        <v>179</v>
      </c>
      <c r="D495" s="4" t="s">
        <v>196</v>
      </c>
      <c r="E495" s="4" t="s">
        <v>204</v>
      </c>
      <c r="F495" s="6">
        <v>6</v>
      </c>
      <c r="G495" s="5">
        <v>4</v>
      </c>
      <c r="H495" s="7">
        <v>0</v>
      </c>
      <c r="I495" s="7">
        <v>0</v>
      </c>
      <c r="J495" s="7">
        <v>0</v>
      </c>
      <c r="K495" s="5">
        <v>2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5">
        <v>3</v>
      </c>
      <c r="W495" s="7">
        <v>0</v>
      </c>
      <c r="X495" s="7">
        <v>0</v>
      </c>
      <c r="Y495" s="7">
        <v>0</v>
      </c>
      <c r="Z495" s="5">
        <v>2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</v>
      </c>
      <c r="AL495" s="5">
        <v>2</v>
      </c>
      <c r="AM495" s="5">
        <v>3</v>
      </c>
      <c r="AN495" s="30">
        <v>0</v>
      </c>
    </row>
    <row r="496">
      <c r="A496" s="24">
        <v>3479</v>
      </c>
      <c r="B496" s="9" t="s">
        <v>723</v>
      </c>
      <c r="C496" s="9" t="s">
        <v>63</v>
      </c>
      <c r="D496" s="9" t="s">
        <v>84</v>
      </c>
      <c r="E496" s="9" t="s">
        <v>85</v>
      </c>
      <c r="F496" s="11">
        <v>4</v>
      </c>
      <c r="G496" s="12">
        <v>0</v>
      </c>
      <c r="H496" s="12">
        <v>0</v>
      </c>
      <c r="I496" s="10">
        <v>1</v>
      </c>
      <c r="J496" s="10">
        <v>3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4</v>
      </c>
      <c r="V496" s="12">
        <v>0</v>
      </c>
      <c r="W496" s="12">
        <v>0</v>
      </c>
      <c r="X496" s="10">
        <v>1</v>
      </c>
      <c r="Y496" s="10">
        <v>3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2</v>
      </c>
      <c r="AM496" s="10">
        <v>3</v>
      </c>
      <c r="AN496" s="29">
        <v>0.78</v>
      </c>
    </row>
    <row r="497">
      <c r="A497" s="23">
        <v>3482</v>
      </c>
      <c r="B497" s="4" t="s">
        <v>724</v>
      </c>
      <c r="C497" s="4" t="s">
        <v>63</v>
      </c>
      <c r="D497" s="4" t="s">
        <v>84</v>
      </c>
      <c r="E497" s="4" t="s">
        <v>85</v>
      </c>
      <c r="F497" s="6">
        <v>1</v>
      </c>
      <c r="G497" s="7">
        <v>0</v>
      </c>
      <c r="H497" s="5">
        <v>1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5">
        <v>1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3488</v>
      </c>
      <c r="B498" s="9" t="s">
        <v>725</v>
      </c>
      <c r="C498" s="9" t="s">
        <v>63</v>
      </c>
      <c r="D498" s="9" t="s">
        <v>84</v>
      </c>
      <c r="E498" s="9" t="s">
        <v>85</v>
      </c>
      <c r="F498" s="11">
        <v>2</v>
      </c>
      <c r="G498" s="12">
        <v>0</v>
      </c>
      <c r="H498" s="12">
        <v>0</v>
      </c>
      <c r="I498" s="10">
        <v>2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2">
        <v>0</v>
      </c>
      <c r="W498" s="12">
        <v>0</v>
      </c>
      <c r="X498" s="10">
        <v>2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43">
        <v>0</v>
      </c>
    </row>
    <row r="499">
      <c r="A499" s="23">
        <v>3490</v>
      </c>
      <c r="B499" s="4" t="s">
        <v>726</v>
      </c>
      <c r="C499" s="4" t="s">
        <v>63</v>
      </c>
      <c r="D499" s="4" t="s">
        <v>84</v>
      </c>
      <c r="E499" s="4" t="s">
        <v>85</v>
      </c>
      <c r="F499" s="6">
        <v>2</v>
      </c>
      <c r="G499" s="7">
        <v>0</v>
      </c>
      <c r="H499" s="7">
        <v>0</v>
      </c>
      <c r="I499" s="5">
        <v>2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</v>
      </c>
      <c r="V499" s="7">
        <v>0</v>
      </c>
      <c r="W499" s="7">
        <v>0</v>
      </c>
      <c r="X499" s="5">
        <v>2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0.5</v>
      </c>
    </row>
    <row r="500">
      <c r="A500" s="24">
        <v>3493</v>
      </c>
      <c r="B500" s="9" t="s">
        <v>727</v>
      </c>
      <c r="C500" s="9" t="s">
        <v>63</v>
      </c>
      <c r="D500" s="9" t="s">
        <v>84</v>
      </c>
      <c r="E500" s="9" t="s">
        <v>85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0.25</v>
      </c>
    </row>
    <row r="501">
      <c r="A501" s="23">
        <v>3494</v>
      </c>
      <c r="B501" s="4" t="s">
        <v>728</v>
      </c>
      <c r="C501" s="4" t="s">
        <v>63</v>
      </c>
      <c r="D501" s="4" t="s">
        <v>84</v>
      </c>
      <c r="E501" s="4" t="s">
        <v>85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0.25</v>
      </c>
    </row>
    <row r="502">
      <c r="A502" s="24">
        <v>3497</v>
      </c>
      <c r="B502" s="9" t="s">
        <v>729</v>
      </c>
      <c r="C502" s="9" t="s">
        <v>63</v>
      </c>
      <c r="D502" s="9" t="s">
        <v>84</v>
      </c>
      <c r="E502" s="9" t="s">
        <v>85</v>
      </c>
      <c r="F502" s="11">
        <v>2</v>
      </c>
      <c r="G502" s="12">
        <v>0</v>
      </c>
      <c r="H502" s="10">
        <v>1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0">
        <v>1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2">
        <v>0</v>
      </c>
      <c r="W502" s="10">
        <v>1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0">
        <v>1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3">
        <v>0</v>
      </c>
    </row>
    <row r="503">
      <c r="A503" s="23">
        <v>3500</v>
      </c>
      <c r="B503" s="4" t="s">
        <v>730</v>
      </c>
      <c r="C503" s="4" t="s">
        <v>63</v>
      </c>
      <c r="D503" s="4" t="s">
        <v>84</v>
      </c>
      <c r="E503" s="4" t="s">
        <v>85</v>
      </c>
      <c r="F503" s="6">
        <v>2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5">
        <v>1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5">
        <v>1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3501</v>
      </c>
      <c r="B504" s="9" t="s">
        <v>731</v>
      </c>
      <c r="C504" s="9" t="s">
        <v>63</v>
      </c>
      <c r="D504" s="9" t="s">
        <v>84</v>
      </c>
      <c r="E504" s="9" t="s">
        <v>85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43">
        <v>0</v>
      </c>
    </row>
    <row r="505">
      <c r="A505" s="23">
        <v>3502</v>
      </c>
      <c r="B505" s="4" t="s">
        <v>732</v>
      </c>
      <c r="C505" s="4" t="s">
        <v>63</v>
      </c>
      <c r="D505" s="4" t="s">
        <v>84</v>
      </c>
      <c r="E505" s="4" t="s">
        <v>85</v>
      </c>
      <c r="F505" s="6">
        <v>2</v>
      </c>
      <c r="G505" s="7">
        <v>0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7">
        <v>0</v>
      </c>
      <c r="W505" s="7">
        <v>0</v>
      </c>
      <c r="X505" s="7">
        <v>0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28">
        <v>0.5</v>
      </c>
    </row>
    <row r="506">
      <c r="A506" s="24">
        <v>3503</v>
      </c>
      <c r="B506" s="9" t="s">
        <v>733</v>
      </c>
      <c r="C506" s="9" t="s">
        <v>63</v>
      </c>
      <c r="D506" s="9" t="s">
        <v>84</v>
      </c>
      <c r="E506" s="9" t="s">
        <v>85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0.24</v>
      </c>
    </row>
    <row r="507">
      <c r="A507" s="23">
        <v>3507</v>
      </c>
      <c r="B507" s="4" t="s">
        <v>734</v>
      </c>
      <c r="C507" s="4" t="s">
        <v>63</v>
      </c>
      <c r="D507" s="4" t="s">
        <v>84</v>
      </c>
      <c r="E507" s="4" t="s">
        <v>85</v>
      </c>
      <c r="F507" s="6">
        <v>1</v>
      </c>
      <c r="G507" s="7">
        <v>0</v>
      </c>
      <c r="H507" s="5">
        <v>1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7">
        <v>0</v>
      </c>
      <c r="W507" s="5">
        <v>1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3513</v>
      </c>
      <c r="B508" s="9" t="s">
        <v>735</v>
      </c>
      <c r="C508" s="9" t="s">
        <v>627</v>
      </c>
      <c r="D508" s="9" t="s">
        <v>736</v>
      </c>
      <c r="E508" s="9" t="s">
        <v>374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0.26</v>
      </c>
    </row>
    <row r="509">
      <c r="A509" s="23">
        <v>3514</v>
      </c>
      <c r="B509" s="4" t="s">
        <v>737</v>
      </c>
      <c r="C509" s="4" t="s">
        <v>627</v>
      </c>
      <c r="D509" s="4" t="s">
        <v>736</v>
      </c>
      <c r="E509" s="4" t="s">
        <v>374</v>
      </c>
      <c r="F509" s="6">
        <v>2</v>
      </c>
      <c r="G509" s="5">
        <v>1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1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3515</v>
      </c>
      <c r="B510" s="9" t="s">
        <v>738</v>
      </c>
      <c r="C510" s="9" t="s">
        <v>627</v>
      </c>
      <c r="D510" s="9" t="s">
        <v>739</v>
      </c>
      <c r="E510" s="9" t="s">
        <v>374</v>
      </c>
      <c r="F510" s="11">
        <v>8</v>
      </c>
      <c r="G510" s="12">
        <v>0</v>
      </c>
      <c r="H510" s="10">
        <v>1</v>
      </c>
      <c r="I510" s="12">
        <v>0</v>
      </c>
      <c r="J510" s="10">
        <v>7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8</v>
      </c>
      <c r="V510" s="12">
        <v>0</v>
      </c>
      <c r="W510" s="10">
        <v>1</v>
      </c>
      <c r="X510" s="12">
        <v>0</v>
      </c>
      <c r="Y510" s="10">
        <v>7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2.67</v>
      </c>
      <c r="AL510" s="10">
        <v>2</v>
      </c>
      <c r="AM510" s="10">
        <v>5</v>
      </c>
      <c r="AN510" s="29">
        <v>2.08</v>
      </c>
    </row>
    <row r="511">
      <c r="A511" s="23">
        <v>3524</v>
      </c>
      <c r="B511" s="4" t="s">
        <v>740</v>
      </c>
      <c r="C511" s="4" t="s">
        <v>264</v>
      </c>
      <c r="D511" s="4" t="s">
        <v>398</v>
      </c>
      <c r="E511" s="4" t="s">
        <v>741</v>
      </c>
      <c r="F511" s="6">
        <v>5</v>
      </c>
      <c r="G511" s="5">
        <v>1</v>
      </c>
      <c r="H511" s="7">
        <v>0</v>
      </c>
      <c r="I511" s="5">
        <v>4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5</v>
      </c>
      <c r="V511" s="5">
        <v>1</v>
      </c>
      <c r="W511" s="7">
        <v>0</v>
      </c>
      <c r="X511" s="5">
        <v>4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1.67</v>
      </c>
      <c r="AL511" s="5">
        <v>1</v>
      </c>
      <c r="AM511" s="5">
        <v>3</v>
      </c>
      <c r="AN511" s="30">
        <v>0</v>
      </c>
    </row>
    <row r="512">
      <c r="A512" s="24">
        <v>3526</v>
      </c>
      <c r="B512" s="9" t="s">
        <v>742</v>
      </c>
      <c r="C512" s="9" t="s">
        <v>63</v>
      </c>
      <c r="D512" s="9" t="s">
        <v>77</v>
      </c>
      <c r="E512" s="9" t="s">
        <v>450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3529</v>
      </c>
      <c r="B513" s="4" t="s">
        <v>743</v>
      </c>
      <c r="C513" s="4" t="s">
        <v>264</v>
      </c>
      <c r="D513" s="4" t="s">
        <v>265</v>
      </c>
      <c r="E513" s="4" t="s">
        <v>266</v>
      </c>
      <c r="F513" s="6">
        <v>1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0.17</v>
      </c>
    </row>
    <row r="514">
      <c r="A514" s="24">
        <v>3536</v>
      </c>
      <c r="B514" s="9" t="s">
        <v>744</v>
      </c>
      <c r="C514" s="9" t="s">
        <v>264</v>
      </c>
      <c r="D514" s="9" t="s">
        <v>745</v>
      </c>
      <c r="E514" s="9" t="s">
        <v>746</v>
      </c>
      <c r="F514" s="11">
        <v>1</v>
      </c>
      <c r="G514" s="12">
        <v>0</v>
      </c>
      <c r="H514" s="12">
        <v>0</v>
      </c>
      <c r="I514" s="10">
        <v>1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0">
        <v>1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0.24</v>
      </c>
    </row>
    <row r="515">
      <c r="A515" s="23">
        <v>3548</v>
      </c>
      <c r="B515" s="4" t="s">
        <v>747</v>
      </c>
      <c r="C515" s="4" t="s">
        <v>63</v>
      </c>
      <c r="D515" s="4" t="s">
        <v>84</v>
      </c>
      <c r="E515" s="4" t="s">
        <v>85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0">
        <v>0</v>
      </c>
    </row>
    <row r="516">
      <c r="A516" s="24">
        <v>3553</v>
      </c>
      <c r="B516" s="9" t="s">
        <v>748</v>
      </c>
      <c r="C516" s="9" t="s">
        <v>63</v>
      </c>
      <c r="D516" s="9" t="s">
        <v>84</v>
      </c>
      <c r="E516" s="9" t="s">
        <v>85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43">
        <v>0</v>
      </c>
    </row>
    <row r="517">
      <c r="A517" s="23">
        <v>3557</v>
      </c>
      <c r="B517" s="4" t="s">
        <v>749</v>
      </c>
      <c r="C517" s="4" t="s">
        <v>63</v>
      </c>
      <c r="D517" s="4" t="s">
        <v>84</v>
      </c>
      <c r="E517" s="4" t="s">
        <v>85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3563</v>
      </c>
      <c r="B518" s="9" t="s">
        <v>750</v>
      </c>
      <c r="C518" s="9" t="s">
        <v>63</v>
      </c>
      <c r="D518" s="9" t="s">
        <v>84</v>
      </c>
      <c r="E518" s="9" t="s">
        <v>85</v>
      </c>
      <c r="F518" s="11">
        <v>6</v>
      </c>
      <c r="G518" s="12">
        <v>0</v>
      </c>
      <c r="H518" s="12">
        <v>0</v>
      </c>
      <c r="I518" s="12">
        <v>0</v>
      </c>
      <c r="J518" s="10">
        <v>6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6</v>
      </c>
      <c r="V518" s="12">
        <v>0</v>
      </c>
      <c r="W518" s="12">
        <v>0</v>
      </c>
      <c r="X518" s="12">
        <v>0</v>
      </c>
      <c r="Y518" s="10">
        <v>6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3</v>
      </c>
      <c r="AL518" s="10">
        <v>3</v>
      </c>
      <c r="AM518" s="10">
        <v>4</v>
      </c>
      <c r="AN518" s="29">
        <v>1.5</v>
      </c>
    </row>
    <row r="519">
      <c r="A519" s="23">
        <v>3566</v>
      </c>
      <c r="B519" s="4" t="s">
        <v>751</v>
      </c>
      <c r="C519" s="4" t="s">
        <v>63</v>
      </c>
      <c r="D519" s="4" t="s">
        <v>84</v>
      </c>
      <c r="E519" s="4" t="s">
        <v>85</v>
      </c>
      <c r="F519" s="6">
        <v>1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0.24</v>
      </c>
    </row>
    <row r="520">
      <c r="A520" s="24">
        <v>3567</v>
      </c>
      <c r="B520" s="9" t="s">
        <v>752</v>
      </c>
      <c r="C520" s="9" t="s">
        <v>63</v>
      </c>
      <c r="D520" s="9" t="s">
        <v>84</v>
      </c>
      <c r="E520" s="9" t="s">
        <v>85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43">
        <v>0</v>
      </c>
    </row>
    <row r="521">
      <c r="A521" s="23">
        <v>3568</v>
      </c>
      <c r="B521" s="4" t="s">
        <v>753</v>
      </c>
      <c r="C521" s="4" t="s">
        <v>63</v>
      </c>
      <c r="D521" s="4" t="s">
        <v>84</v>
      </c>
      <c r="E521" s="4" t="s">
        <v>85</v>
      </c>
      <c r="F521" s="6">
        <v>26</v>
      </c>
      <c r="G521" s="7">
        <v>0</v>
      </c>
      <c r="H521" s="7">
        <v>0</v>
      </c>
      <c r="I521" s="7">
        <v>0</v>
      </c>
      <c r="J521" s="5">
        <v>26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26</v>
      </c>
      <c r="V521" s="7">
        <v>0</v>
      </c>
      <c r="W521" s="7">
        <v>0</v>
      </c>
      <c r="X521" s="7">
        <v>0</v>
      </c>
      <c r="Y521" s="5">
        <v>26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26</v>
      </c>
      <c r="AK521" s="8">
        <v>26</v>
      </c>
      <c r="AL521" s="5">
        <v>26</v>
      </c>
      <c r="AM521" s="5">
        <v>26</v>
      </c>
      <c r="AN521" s="30">
        <v>0</v>
      </c>
    </row>
    <row r="522">
      <c r="A522" s="24">
        <v>3573</v>
      </c>
      <c r="B522" s="9" t="s">
        <v>754</v>
      </c>
      <c r="C522" s="9" t="s">
        <v>700</v>
      </c>
      <c r="D522" s="9" t="s">
        <v>755</v>
      </c>
      <c r="E522" s="9" t="s">
        <v>374</v>
      </c>
      <c r="F522" s="11">
        <v>2</v>
      </c>
      <c r="G522" s="12">
        <v>0</v>
      </c>
      <c r="H522" s="12">
        <v>0</v>
      </c>
      <c r="I522" s="12">
        <v>0</v>
      </c>
      <c r="J522" s="10">
        <v>1</v>
      </c>
      <c r="K522" s="10">
        <v>1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2">
        <v>0</v>
      </c>
      <c r="W522" s="12">
        <v>0</v>
      </c>
      <c r="X522" s="12">
        <v>0</v>
      </c>
      <c r="Y522" s="10">
        <v>1</v>
      </c>
      <c r="Z522" s="10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43">
        <v>0</v>
      </c>
    </row>
    <row r="523">
      <c r="A523" s="23">
        <v>3587</v>
      </c>
      <c r="B523" s="4" t="s">
        <v>756</v>
      </c>
      <c r="C523" s="4" t="s">
        <v>63</v>
      </c>
      <c r="D523" s="4" t="s">
        <v>73</v>
      </c>
      <c r="E523" s="4" t="s">
        <v>74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0.25</v>
      </c>
    </row>
    <row r="524">
      <c r="A524" s="24">
        <v>3589</v>
      </c>
      <c r="B524" s="9" t="s">
        <v>757</v>
      </c>
      <c r="C524" s="9" t="s">
        <v>758</v>
      </c>
      <c r="D524" s="9" t="s">
        <v>759</v>
      </c>
      <c r="E524" s="9" t="s">
        <v>374</v>
      </c>
      <c r="F524" s="11">
        <v>3</v>
      </c>
      <c r="G524" s="12">
        <v>0</v>
      </c>
      <c r="H524" s="10">
        <v>1</v>
      </c>
      <c r="I524" s="10">
        <v>1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2">
        <v>0</v>
      </c>
      <c r="W524" s="10">
        <v>1</v>
      </c>
      <c r="X524" s="10">
        <v>1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43">
        <v>0</v>
      </c>
    </row>
    <row r="525">
      <c r="A525" s="23">
        <v>3593</v>
      </c>
      <c r="B525" s="4" t="s">
        <v>760</v>
      </c>
      <c r="C525" s="4" t="s">
        <v>264</v>
      </c>
      <c r="D525" s="4" t="s">
        <v>398</v>
      </c>
      <c r="E525" s="4" t="s">
        <v>410</v>
      </c>
      <c r="F525" s="6">
        <v>6</v>
      </c>
      <c r="G525" s="5">
        <v>2</v>
      </c>
      <c r="H525" s="7">
        <v>0</v>
      </c>
      <c r="I525" s="5">
        <v>3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6</v>
      </c>
      <c r="V525" s="5">
        <v>2</v>
      </c>
      <c r="W525" s="7">
        <v>0</v>
      </c>
      <c r="X525" s="5">
        <v>3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</v>
      </c>
      <c r="AL525" s="5">
        <v>2</v>
      </c>
      <c r="AM525" s="5">
        <v>3</v>
      </c>
      <c r="AN525" s="28">
        <v>0.24</v>
      </c>
    </row>
    <row r="526">
      <c r="A526" s="24">
        <v>3598</v>
      </c>
      <c r="B526" s="9" t="s">
        <v>761</v>
      </c>
      <c r="C526" s="9" t="s">
        <v>63</v>
      </c>
      <c r="D526" s="9" t="s">
        <v>111</v>
      </c>
      <c r="E526" s="9" t="s">
        <v>240</v>
      </c>
      <c r="F526" s="11">
        <v>3</v>
      </c>
      <c r="G526" s="12">
        <v>0</v>
      </c>
      <c r="H526" s="12">
        <v>0</v>
      </c>
      <c r="I526" s="12">
        <v>0</v>
      </c>
      <c r="J526" s="10">
        <v>3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2">
        <v>0</v>
      </c>
      <c r="W526" s="12">
        <v>0</v>
      </c>
      <c r="X526" s="12">
        <v>0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2</v>
      </c>
      <c r="AN526" s="29">
        <v>0.5</v>
      </c>
    </row>
    <row r="527">
      <c r="A527" s="23">
        <v>3612</v>
      </c>
      <c r="B527" s="4" t="s">
        <v>762</v>
      </c>
      <c r="C527" s="4" t="s">
        <v>264</v>
      </c>
      <c r="D527" s="4" t="s">
        <v>694</v>
      </c>
      <c r="E527" s="4" t="s">
        <v>695</v>
      </c>
      <c r="F527" s="6">
        <v>1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5">
        <v>1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5">
        <v>1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0.24</v>
      </c>
    </row>
    <row r="528">
      <c r="A528" s="24">
        <v>3616</v>
      </c>
      <c r="B528" s="9" t="s">
        <v>763</v>
      </c>
      <c r="C528" s="9" t="s">
        <v>63</v>
      </c>
      <c r="D528" s="9" t="s">
        <v>120</v>
      </c>
      <c r="E528" s="9" t="s">
        <v>132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3622</v>
      </c>
      <c r="B529" s="4" t="s">
        <v>764</v>
      </c>
      <c r="C529" s="4" t="s">
        <v>63</v>
      </c>
      <c r="D529" s="4" t="s">
        <v>77</v>
      </c>
      <c r="E529" s="4" t="s">
        <v>210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0.24</v>
      </c>
    </row>
    <row r="530">
      <c r="A530" s="24">
        <v>3647</v>
      </c>
      <c r="B530" s="9" t="s">
        <v>765</v>
      </c>
      <c r="C530" s="9" t="s">
        <v>63</v>
      </c>
      <c r="D530" s="9" t="s">
        <v>73</v>
      </c>
      <c r="E530" s="9" t="s">
        <v>74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3658</v>
      </c>
      <c r="B531" s="4" t="s">
        <v>766</v>
      </c>
      <c r="C531" s="4" t="s">
        <v>63</v>
      </c>
      <c r="D531" s="4" t="s">
        <v>120</v>
      </c>
      <c r="E531" s="4" t="s">
        <v>123</v>
      </c>
      <c r="F531" s="6">
        <v>1</v>
      </c>
      <c r="G531" s="7">
        <v>0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3692</v>
      </c>
      <c r="B532" s="9" t="s">
        <v>767</v>
      </c>
      <c r="C532" s="9" t="s">
        <v>63</v>
      </c>
      <c r="D532" s="9" t="s">
        <v>111</v>
      </c>
      <c r="E532" s="9" t="s">
        <v>240</v>
      </c>
      <c r="F532" s="11">
        <v>1</v>
      </c>
      <c r="G532" s="12">
        <v>0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0.22</v>
      </c>
    </row>
    <row r="533">
      <c r="A533" s="23">
        <v>3693</v>
      </c>
      <c r="B533" s="4" t="s">
        <v>768</v>
      </c>
      <c r="C533" s="4" t="s">
        <v>63</v>
      </c>
      <c r="D533" s="4" t="s">
        <v>120</v>
      </c>
      <c r="E533" s="4" t="s">
        <v>121</v>
      </c>
      <c r="F533" s="6">
        <v>3</v>
      </c>
      <c r="G533" s="7">
        <v>0</v>
      </c>
      <c r="H533" s="5">
        <v>1</v>
      </c>
      <c r="I533" s="5">
        <v>1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7">
        <v>0</v>
      </c>
      <c r="W533" s="5">
        <v>1</v>
      </c>
      <c r="X533" s="5">
        <v>1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0.5</v>
      </c>
    </row>
    <row r="534">
      <c r="A534" s="24">
        <v>3694</v>
      </c>
      <c r="B534" s="9" t="s">
        <v>769</v>
      </c>
      <c r="C534" s="9" t="s">
        <v>63</v>
      </c>
      <c r="D534" s="9" t="s">
        <v>135</v>
      </c>
      <c r="E534" s="9" t="s">
        <v>377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0.34</v>
      </c>
    </row>
    <row r="535">
      <c r="A535" s="23">
        <v>3707</v>
      </c>
      <c r="B535" s="4" t="s">
        <v>770</v>
      </c>
      <c r="C535" s="4" t="s">
        <v>63</v>
      </c>
      <c r="D535" s="4" t="s">
        <v>102</v>
      </c>
      <c r="E535" s="4" t="s">
        <v>771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3711</v>
      </c>
      <c r="B536" s="9" t="s">
        <v>772</v>
      </c>
      <c r="C536" s="9" t="s">
        <v>63</v>
      </c>
      <c r="D536" s="9" t="s">
        <v>84</v>
      </c>
      <c r="E536" s="9" t="s">
        <v>152</v>
      </c>
      <c r="F536" s="11">
        <v>4</v>
      </c>
      <c r="G536" s="12">
        <v>0</v>
      </c>
      <c r="H536" s="10">
        <v>1</v>
      </c>
      <c r="I536" s="12">
        <v>0</v>
      </c>
      <c r="J536" s="10">
        <v>3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4</v>
      </c>
      <c r="V536" s="12">
        <v>0</v>
      </c>
      <c r="W536" s="10">
        <v>1</v>
      </c>
      <c r="X536" s="12">
        <v>0</v>
      </c>
      <c r="Y536" s="10">
        <v>3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2</v>
      </c>
      <c r="AN536" s="29">
        <v>1.1</v>
      </c>
    </row>
    <row r="537">
      <c r="A537" s="23">
        <v>3715</v>
      </c>
      <c r="B537" s="4" t="s">
        <v>773</v>
      </c>
      <c r="C537" s="4" t="s">
        <v>63</v>
      </c>
      <c r="D537" s="4" t="s">
        <v>102</v>
      </c>
      <c r="E537" s="4" t="s">
        <v>144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3726</v>
      </c>
      <c r="B538" s="9" t="s">
        <v>774</v>
      </c>
      <c r="C538" s="9" t="s">
        <v>63</v>
      </c>
      <c r="D538" s="9" t="s">
        <v>102</v>
      </c>
      <c r="E538" s="9" t="s">
        <v>144</v>
      </c>
      <c r="F538" s="11">
        <v>5</v>
      </c>
      <c r="G538" s="10">
        <v>3</v>
      </c>
      <c r="H538" s="12">
        <v>0</v>
      </c>
      <c r="I538" s="12">
        <v>0</v>
      </c>
      <c r="J538" s="10">
        <v>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5</v>
      </c>
      <c r="V538" s="10">
        <v>3</v>
      </c>
      <c r="W538" s="12">
        <v>0</v>
      </c>
      <c r="X538" s="12">
        <v>0</v>
      </c>
      <c r="Y538" s="10">
        <v>2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2.5</v>
      </c>
      <c r="AL538" s="10">
        <v>2</v>
      </c>
      <c r="AM538" s="10">
        <v>3</v>
      </c>
      <c r="AN538" s="29">
        <v>0.5</v>
      </c>
    </row>
    <row r="539">
      <c r="A539" s="23">
        <v>3734</v>
      </c>
      <c r="B539" s="4" t="s">
        <v>775</v>
      </c>
      <c r="C539" s="4" t="s">
        <v>264</v>
      </c>
      <c r="D539" s="4" t="s">
        <v>479</v>
      </c>
      <c r="E539" s="4" t="s">
        <v>480</v>
      </c>
      <c r="F539" s="6">
        <v>2</v>
      </c>
      <c r="G539" s="7">
        <v>0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28">
        <v>0.26</v>
      </c>
    </row>
    <row r="540">
      <c r="A540" s="24">
        <v>3737</v>
      </c>
      <c r="B540" s="9" t="s">
        <v>776</v>
      </c>
      <c r="C540" s="9" t="s">
        <v>758</v>
      </c>
      <c r="D540" s="9" t="s">
        <v>777</v>
      </c>
      <c r="E540" s="9" t="s">
        <v>374</v>
      </c>
      <c r="F540" s="11">
        <v>1</v>
      </c>
      <c r="G540" s="12">
        <v>0</v>
      </c>
      <c r="H540" s="10">
        <v>1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0">
        <v>1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0.35</v>
      </c>
    </row>
    <row r="541">
      <c r="A541" s="23">
        <v>3738</v>
      </c>
      <c r="B541" s="4" t="s">
        <v>778</v>
      </c>
      <c r="C541" s="4" t="s">
        <v>758</v>
      </c>
      <c r="D541" s="4" t="s">
        <v>777</v>
      </c>
      <c r="E541" s="4" t="s">
        <v>374</v>
      </c>
      <c r="F541" s="6">
        <v>1</v>
      </c>
      <c r="G541" s="7">
        <v>0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3741</v>
      </c>
      <c r="B542" s="9" t="s">
        <v>779</v>
      </c>
      <c r="C542" s="9" t="s">
        <v>758</v>
      </c>
      <c r="D542" s="9" t="s">
        <v>777</v>
      </c>
      <c r="E542" s="9" t="s">
        <v>374</v>
      </c>
      <c r="F542" s="11">
        <v>1</v>
      </c>
      <c r="G542" s="12">
        <v>0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3">
        <v>0</v>
      </c>
    </row>
    <row r="543">
      <c r="A543" s="23">
        <v>3753</v>
      </c>
      <c r="B543" s="4" t="s">
        <v>780</v>
      </c>
      <c r="C543" s="4" t="s">
        <v>63</v>
      </c>
      <c r="D543" s="4" t="s">
        <v>102</v>
      </c>
      <c r="E543" s="4" t="s">
        <v>781</v>
      </c>
      <c r="F543" s="6">
        <v>31</v>
      </c>
      <c r="G543" s="5">
        <v>7</v>
      </c>
      <c r="H543" s="7">
        <v>0</v>
      </c>
      <c r="I543" s="5">
        <v>2</v>
      </c>
      <c r="J543" s="5">
        <v>22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30</v>
      </c>
      <c r="V543" s="5">
        <v>7</v>
      </c>
      <c r="W543" s="7">
        <v>0</v>
      </c>
      <c r="X543" s="5">
        <v>2</v>
      </c>
      <c r="Y543" s="5">
        <v>21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5.17</v>
      </c>
      <c r="AL543" s="5">
        <v>4</v>
      </c>
      <c r="AM543" s="5">
        <v>11</v>
      </c>
      <c r="AN543" s="28">
        <v>5.2</v>
      </c>
    </row>
    <row r="544">
      <c r="A544" s="24">
        <v>3762</v>
      </c>
      <c r="B544" s="9" t="s">
        <v>782</v>
      </c>
      <c r="C544" s="9" t="s">
        <v>63</v>
      </c>
      <c r="D544" s="9" t="s">
        <v>84</v>
      </c>
      <c r="E544" s="9" t="s">
        <v>217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3">
        <v>0</v>
      </c>
    </row>
    <row r="545">
      <c r="A545" s="23">
        <v>3786</v>
      </c>
      <c r="B545" s="4" t="s">
        <v>783</v>
      </c>
      <c r="C545" s="4" t="s">
        <v>63</v>
      </c>
      <c r="D545" s="4" t="s">
        <v>84</v>
      </c>
      <c r="E545" s="4" t="s">
        <v>152</v>
      </c>
      <c r="F545" s="6">
        <v>9</v>
      </c>
      <c r="G545" s="5">
        <v>1</v>
      </c>
      <c r="H545" s="7">
        <v>0</v>
      </c>
      <c r="I545" s="7">
        <v>0</v>
      </c>
      <c r="J545" s="5">
        <v>8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9</v>
      </c>
      <c r="V545" s="5">
        <v>1</v>
      </c>
      <c r="W545" s="7">
        <v>0</v>
      </c>
      <c r="X545" s="7">
        <v>0</v>
      </c>
      <c r="Y545" s="5">
        <v>8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2.25</v>
      </c>
      <c r="AL545" s="5">
        <v>2</v>
      </c>
      <c r="AM545" s="5">
        <v>4</v>
      </c>
      <c r="AN545" s="28">
        <v>1.75</v>
      </c>
    </row>
    <row r="546">
      <c r="A546" s="24">
        <v>3787</v>
      </c>
      <c r="B546" s="9" t="s">
        <v>784</v>
      </c>
      <c r="C546" s="9" t="s">
        <v>372</v>
      </c>
      <c r="D546" s="9" t="s">
        <v>639</v>
      </c>
      <c r="E546" s="9" t="s">
        <v>374</v>
      </c>
      <c r="F546" s="11">
        <v>3</v>
      </c>
      <c r="G546" s="12">
        <v>0</v>
      </c>
      <c r="H546" s="12">
        <v>0</v>
      </c>
      <c r="I546" s="10">
        <v>1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2">
        <v>0</v>
      </c>
      <c r="W546" s="12">
        <v>0</v>
      </c>
      <c r="X546" s="10">
        <v>1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0.78</v>
      </c>
    </row>
    <row r="547">
      <c r="A547" s="23">
        <v>3791</v>
      </c>
      <c r="B547" s="4" t="s">
        <v>785</v>
      </c>
      <c r="C547" s="4" t="s">
        <v>264</v>
      </c>
      <c r="D547" s="4" t="s">
        <v>676</v>
      </c>
      <c r="E547" s="4" t="s">
        <v>677</v>
      </c>
      <c r="F547" s="6">
        <v>4</v>
      </c>
      <c r="G547" s="7">
        <v>0</v>
      </c>
      <c r="H547" s="5">
        <v>2</v>
      </c>
      <c r="I547" s="5">
        <v>1</v>
      </c>
      <c r="J547" s="7">
        <v>0</v>
      </c>
      <c r="K547" s="7">
        <v>0</v>
      </c>
      <c r="L547" s="5">
        <v>1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4</v>
      </c>
      <c r="V547" s="7">
        <v>0</v>
      </c>
      <c r="W547" s="5">
        <v>2</v>
      </c>
      <c r="X547" s="5">
        <v>1</v>
      </c>
      <c r="Y547" s="7">
        <v>0</v>
      </c>
      <c r="Z547" s="7">
        <v>0</v>
      </c>
      <c r="AA547" s="5">
        <v>1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0.66</v>
      </c>
    </row>
    <row r="548">
      <c r="A548" s="24">
        <v>3812</v>
      </c>
      <c r="B548" s="9" t="s">
        <v>786</v>
      </c>
      <c r="C548" s="9" t="s">
        <v>63</v>
      </c>
      <c r="D548" s="9" t="s">
        <v>77</v>
      </c>
      <c r="E548" s="9" t="s">
        <v>210</v>
      </c>
      <c r="F548" s="11">
        <v>4</v>
      </c>
      <c r="G548" s="10">
        <v>1</v>
      </c>
      <c r="H548" s="12">
        <v>0</v>
      </c>
      <c r="I548" s="12">
        <v>0</v>
      </c>
      <c r="J548" s="10">
        <v>3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4</v>
      </c>
      <c r="V548" s="10">
        <v>1</v>
      </c>
      <c r="W548" s="12">
        <v>0</v>
      </c>
      <c r="X548" s="12">
        <v>0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1.33</v>
      </c>
      <c r="AL548" s="10">
        <v>1</v>
      </c>
      <c r="AM548" s="10">
        <v>2</v>
      </c>
      <c r="AN548" s="29">
        <v>0.75</v>
      </c>
    </row>
    <row r="549">
      <c r="A549" s="23">
        <v>3813</v>
      </c>
      <c r="B549" s="4" t="s">
        <v>787</v>
      </c>
      <c r="C549" s="4" t="s">
        <v>63</v>
      </c>
      <c r="D549" s="4" t="s">
        <v>77</v>
      </c>
      <c r="E549" s="4" t="s">
        <v>210</v>
      </c>
      <c r="F549" s="6">
        <v>2</v>
      </c>
      <c r="G549" s="7">
        <v>0</v>
      </c>
      <c r="H549" s="7">
        <v>0</v>
      </c>
      <c r="I549" s="7">
        <v>0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7">
        <v>0</v>
      </c>
      <c r="W549" s="7">
        <v>0</v>
      </c>
      <c r="X549" s="7">
        <v>0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28">
        <v>0.5</v>
      </c>
    </row>
    <row r="550">
      <c r="A550" s="24">
        <v>3817</v>
      </c>
      <c r="B550" s="9" t="s">
        <v>788</v>
      </c>
      <c r="C550" s="9" t="s">
        <v>179</v>
      </c>
      <c r="D550" s="9" t="s">
        <v>180</v>
      </c>
      <c r="E550" s="9" t="s">
        <v>789</v>
      </c>
      <c r="F550" s="11">
        <v>1</v>
      </c>
      <c r="G550" s="12">
        <v>0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3">
        <v>0</v>
      </c>
    </row>
    <row r="551">
      <c r="A551" s="23">
        <v>3826</v>
      </c>
      <c r="B551" s="4" t="s">
        <v>790</v>
      </c>
      <c r="C551" s="4" t="s">
        <v>63</v>
      </c>
      <c r="D551" s="4" t="s">
        <v>77</v>
      </c>
      <c r="E551" s="4" t="s">
        <v>78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3836</v>
      </c>
      <c r="B552" s="9" t="s">
        <v>791</v>
      </c>
      <c r="C552" s="9" t="s">
        <v>63</v>
      </c>
      <c r="D552" s="9" t="s">
        <v>77</v>
      </c>
      <c r="E552" s="9" t="s">
        <v>78</v>
      </c>
      <c r="F552" s="11">
        <v>4</v>
      </c>
      <c r="G552" s="10">
        <v>2</v>
      </c>
      <c r="H552" s="12">
        <v>0</v>
      </c>
      <c r="I552" s="10">
        <v>1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4</v>
      </c>
      <c r="V552" s="10">
        <v>2</v>
      </c>
      <c r="W552" s="12">
        <v>0</v>
      </c>
      <c r="X552" s="10">
        <v>1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3837</v>
      </c>
      <c r="B553" s="4" t="s">
        <v>792</v>
      </c>
      <c r="C553" s="4" t="s">
        <v>63</v>
      </c>
      <c r="D553" s="4" t="s">
        <v>67</v>
      </c>
      <c r="E553" s="4" t="s">
        <v>271</v>
      </c>
      <c r="F553" s="6">
        <v>2</v>
      </c>
      <c r="G553" s="7">
        <v>0</v>
      </c>
      <c r="H553" s="7">
        <v>0</v>
      </c>
      <c r="I553" s="5">
        <v>2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7">
        <v>0</v>
      </c>
      <c r="W553" s="7">
        <v>0</v>
      </c>
      <c r="X553" s="5">
        <v>2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0.5</v>
      </c>
    </row>
    <row r="554">
      <c r="A554" s="24">
        <v>3857</v>
      </c>
      <c r="B554" s="9" t="s">
        <v>793</v>
      </c>
      <c r="C554" s="9" t="s">
        <v>63</v>
      </c>
      <c r="D554" s="9" t="s">
        <v>120</v>
      </c>
      <c r="E554" s="9" t="s">
        <v>132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3">
        <v>0</v>
      </c>
    </row>
    <row r="555">
      <c r="A555" s="23">
        <v>3860</v>
      </c>
      <c r="B555" s="4" t="s">
        <v>794</v>
      </c>
      <c r="C555" s="4" t="s">
        <v>63</v>
      </c>
      <c r="D555" s="4" t="s">
        <v>120</v>
      </c>
      <c r="E555" s="4" t="s">
        <v>132</v>
      </c>
      <c r="F555" s="6">
        <v>2</v>
      </c>
      <c r="G555" s="7">
        <v>0</v>
      </c>
      <c r="H555" s="7">
        <v>0</v>
      </c>
      <c r="I555" s="7">
        <v>0</v>
      </c>
      <c r="J555" s="5">
        <v>2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7">
        <v>0</v>
      </c>
      <c r="W555" s="7">
        <v>0</v>
      </c>
      <c r="X555" s="7">
        <v>0</v>
      </c>
      <c r="Y555" s="5">
        <v>2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2</v>
      </c>
      <c r="AL555" s="5">
        <v>2</v>
      </c>
      <c r="AM555" s="5">
        <v>2</v>
      </c>
      <c r="AN555" s="28">
        <v>0.5</v>
      </c>
    </row>
    <row r="556">
      <c r="A556" s="24">
        <v>3863</v>
      </c>
      <c r="B556" s="9" t="s">
        <v>795</v>
      </c>
      <c r="C556" s="9" t="s">
        <v>63</v>
      </c>
      <c r="D556" s="9" t="s">
        <v>120</v>
      </c>
      <c r="E556" s="9" t="s">
        <v>132</v>
      </c>
      <c r="F556" s="11">
        <v>3</v>
      </c>
      <c r="G556" s="12">
        <v>0</v>
      </c>
      <c r="H556" s="12">
        <v>0</v>
      </c>
      <c r="I556" s="12">
        <v>0</v>
      </c>
      <c r="J556" s="10">
        <v>3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3</v>
      </c>
      <c r="V556" s="12">
        <v>0</v>
      </c>
      <c r="W556" s="12">
        <v>0</v>
      </c>
      <c r="X556" s="12">
        <v>0</v>
      </c>
      <c r="Y556" s="10">
        <v>3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0.75</v>
      </c>
    </row>
    <row r="557">
      <c r="A557" s="23">
        <v>3870</v>
      </c>
      <c r="B557" s="4" t="s">
        <v>796</v>
      </c>
      <c r="C557" s="4" t="s">
        <v>63</v>
      </c>
      <c r="D557" s="4" t="s">
        <v>120</v>
      </c>
      <c r="E557" s="4" t="s">
        <v>132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3887</v>
      </c>
      <c r="B558" s="9" t="s">
        <v>797</v>
      </c>
      <c r="C558" s="9" t="s">
        <v>63</v>
      </c>
      <c r="D558" s="9" t="s">
        <v>120</v>
      </c>
      <c r="E558" s="9" t="s">
        <v>132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3891</v>
      </c>
      <c r="B559" s="4" t="s">
        <v>798</v>
      </c>
      <c r="C559" s="4" t="s">
        <v>63</v>
      </c>
      <c r="D559" s="4" t="s">
        <v>120</v>
      </c>
      <c r="E559" s="4" t="s">
        <v>132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30">
        <v>0</v>
      </c>
    </row>
    <row r="560">
      <c r="A560" s="24">
        <v>3894</v>
      </c>
      <c r="B560" s="9" t="s">
        <v>799</v>
      </c>
      <c r="C560" s="9" t="s">
        <v>63</v>
      </c>
      <c r="D560" s="9" t="s">
        <v>120</v>
      </c>
      <c r="E560" s="9" t="s">
        <v>132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3917</v>
      </c>
      <c r="B561" s="4" t="s">
        <v>800</v>
      </c>
      <c r="C561" s="4" t="s">
        <v>63</v>
      </c>
      <c r="D561" s="4" t="s">
        <v>120</v>
      </c>
      <c r="E561" s="4" t="s">
        <v>132</v>
      </c>
      <c r="F561" s="6">
        <v>1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5">
        <v>1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5">
        <v>1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0">
        <v>0</v>
      </c>
    </row>
    <row r="562">
      <c r="A562" s="24">
        <v>3923</v>
      </c>
      <c r="B562" s="9" t="s">
        <v>801</v>
      </c>
      <c r="C562" s="9" t="s">
        <v>63</v>
      </c>
      <c r="D562" s="9" t="s">
        <v>120</v>
      </c>
      <c r="E562" s="9" t="s">
        <v>132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0.24</v>
      </c>
    </row>
    <row r="563">
      <c r="A563" s="23">
        <v>3931</v>
      </c>
      <c r="B563" s="4" t="s">
        <v>802</v>
      </c>
      <c r="C563" s="4" t="s">
        <v>63</v>
      </c>
      <c r="D563" s="4" t="s">
        <v>120</v>
      </c>
      <c r="E563" s="4" t="s">
        <v>132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3934</v>
      </c>
      <c r="B564" s="9" t="s">
        <v>803</v>
      </c>
      <c r="C564" s="9" t="s">
        <v>63</v>
      </c>
      <c r="D564" s="9" t="s">
        <v>120</v>
      </c>
      <c r="E564" s="9" t="s">
        <v>132</v>
      </c>
      <c r="F564" s="11">
        <v>1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3941</v>
      </c>
      <c r="B565" s="4" t="s">
        <v>804</v>
      </c>
      <c r="C565" s="4" t="s">
        <v>63</v>
      </c>
      <c r="D565" s="4" t="s">
        <v>120</v>
      </c>
      <c r="E565" s="4" t="s">
        <v>132</v>
      </c>
      <c r="F565" s="6">
        <v>1</v>
      </c>
      <c r="G565" s="7">
        <v>0</v>
      </c>
      <c r="H565" s="5">
        <v>1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5">
        <v>1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3942</v>
      </c>
      <c r="B566" s="9" t="s">
        <v>805</v>
      </c>
      <c r="C566" s="9" t="s">
        <v>63</v>
      </c>
      <c r="D566" s="9" t="s">
        <v>120</v>
      </c>
      <c r="E566" s="9" t="s">
        <v>132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3">
        <v>0</v>
      </c>
    </row>
    <row r="567">
      <c r="A567" s="23">
        <v>3945</v>
      </c>
      <c r="B567" s="4" t="s">
        <v>806</v>
      </c>
      <c r="C567" s="4" t="s">
        <v>179</v>
      </c>
      <c r="D567" s="4" t="s">
        <v>196</v>
      </c>
      <c r="E567" s="4" t="s">
        <v>214</v>
      </c>
      <c r="F567" s="6">
        <v>2</v>
      </c>
      <c r="G567" s="7">
        <v>0</v>
      </c>
      <c r="H567" s="7">
        <v>0</v>
      </c>
      <c r="I567" s="5">
        <v>2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7">
        <v>0</v>
      </c>
      <c r="W567" s="7">
        <v>0</v>
      </c>
      <c r="X567" s="5">
        <v>2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30">
        <v>0</v>
      </c>
    </row>
    <row r="568">
      <c r="A568" s="24">
        <v>3952</v>
      </c>
      <c r="B568" s="9" t="s">
        <v>807</v>
      </c>
      <c r="C568" s="9" t="s">
        <v>63</v>
      </c>
      <c r="D568" s="9" t="s">
        <v>77</v>
      </c>
      <c r="E568" s="9" t="s">
        <v>210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0.24</v>
      </c>
    </row>
    <row r="569">
      <c r="A569" s="23">
        <v>3954</v>
      </c>
      <c r="B569" s="4" t="s">
        <v>808</v>
      </c>
      <c r="C569" s="4" t="s">
        <v>63</v>
      </c>
      <c r="D569" s="4" t="s">
        <v>120</v>
      </c>
      <c r="E569" s="4" t="s">
        <v>499</v>
      </c>
      <c r="F569" s="6">
        <v>2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5">
        <v>2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</v>
      </c>
      <c r="AL569" s="5">
        <v>2</v>
      </c>
      <c r="AM569" s="5">
        <v>2</v>
      </c>
      <c r="AN569" s="28">
        <v>0.72</v>
      </c>
    </row>
    <row r="570">
      <c r="A570" s="24">
        <v>3955</v>
      </c>
      <c r="B570" s="9" t="s">
        <v>809</v>
      </c>
      <c r="C570" s="9" t="s">
        <v>63</v>
      </c>
      <c r="D570" s="9" t="s">
        <v>77</v>
      </c>
      <c r="E570" s="9" t="s">
        <v>210</v>
      </c>
      <c r="F570" s="11">
        <v>2</v>
      </c>
      <c r="G570" s="10">
        <v>1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0">
        <v>1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3960</v>
      </c>
      <c r="B571" s="4" t="s">
        <v>810</v>
      </c>
      <c r="C571" s="4" t="s">
        <v>372</v>
      </c>
      <c r="D571" s="4" t="s">
        <v>811</v>
      </c>
      <c r="E571" s="4" t="s">
        <v>374</v>
      </c>
      <c r="F571" s="6">
        <v>1</v>
      </c>
      <c r="G571" s="7">
        <v>0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3967</v>
      </c>
      <c r="B572" s="9" t="s">
        <v>812</v>
      </c>
      <c r="C572" s="9" t="s">
        <v>63</v>
      </c>
      <c r="D572" s="9" t="s">
        <v>77</v>
      </c>
      <c r="E572" s="9" t="s">
        <v>210</v>
      </c>
      <c r="F572" s="11">
        <v>2</v>
      </c>
      <c r="G572" s="10">
        <v>1</v>
      </c>
      <c r="H572" s="12">
        <v>0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0">
        <v>1</v>
      </c>
      <c r="W572" s="12">
        <v>0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3">
        <v>0</v>
      </c>
    </row>
    <row r="573">
      <c r="A573" s="23">
        <v>3973</v>
      </c>
      <c r="B573" s="4" t="s">
        <v>813</v>
      </c>
      <c r="C573" s="4" t="s">
        <v>63</v>
      </c>
      <c r="D573" s="4" t="s">
        <v>77</v>
      </c>
      <c r="E573" s="4" t="s">
        <v>210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0">
        <v>0</v>
      </c>
    </row>
    <row r="574">
      <c r="A574" s="24">
        <v>3975</v>
      </c>
      <c r="B574" s="9" t="s">
        <v>814</v>
      </c>
      <c r="C574" s="9" t="s">
        <v>815</v>
      </c>
      <c r="D574" s="9" t="s">
        <v>374</v>
      </c>
      <c r="E574" s="9" t="s">
        <v>374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3">
        <v>0</v>
      </c>
    </row>
    <row r="575">
      <c r="A575" s="23">
        <v>3978</v>
      </c>
      <c r="B575" s="4" t="s">
        <v>816</v>
      </c>
      <c r="C575" s="4" t="s">
        <v>63</v>
      </c>
      <c r="D575" s="4" t="s">
        <v>120</v>
      </c>
      <c r="E575" s="4" t="s">
        <v>132</v>
      </c>
      <c r="F575" s="6">
        <v>6</v>
      </c>
      <c r="G575" s="7">
        <v>0</v>
      </c>
      <c r="H575" s="7">
        <v>0</v>
      </c>
      <c r="I575" s="7">
        <v>0</v>
      </c>
      <c r="J575" s="5">
        <v>6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6</v>
      </c>
      <c r="V575" s="7">
        <v>0</v>
      </c>
      <c r="W575" s="7">
        <v>0</v>
      </c>
      <c r="X575" s="7">
        <v>0</v>
      </c>
      <c r="Y575" s="5">
        <v>6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3</v>
      </c>
      <c r="AL575" s="5">
        <v>3</v>
      </c>
      <c r="AM575" s="5">
        <v>5</v>
      </c>
      <c r="AN575" s="28">
        <v>1.5</v>
      </c>
    </row>
    <row r="576">
      <c r="A576" s="24">
        <v>3980</v>
      </c>
      <c r="B576" s="9" t="s">
        <v>817</v>
      </c>
      <c r="C576" s="9" t="s">
        <v>179</v>
      </c>
      <c r="D576" s="9" t="s">
        <v>180</v>
      </c>
      <c r="E576" s="9" t="s">
        <v>789</v>
      </c>
      <c r="F576" s="11">
        <v>2</v>
      </c>
      <c r="G576" s="12">
        <v>0</v>
      </c>
      <c r="H576" s="10">
        <v>2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</v>
      </c>
      <c r="V576" s="12">
        <v>0</v>
      </c>
      <c r="W576" s="10">
        <v>2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29">
        <v>0.5</v>
      </c>
    </row>
    <row r="577">
      <c r="A577" s="23">
        <v>3991</v>
      </c>
      <c r="B577" s="4" t="s">
        <v>818</v>
      </c>
      <c r="C577" s="4" t="s">
        <v>63</v>
      </c>
      <c r="D577" s="4" t="s">
        <v>84</v>
      </c>
      <c r="E577" s="4" t="s">
        <v>85</v>
      </c>
      <c r="F577" s="6">
        <v>2</v>
      </c>
      <c r="G577" s="5">
        <v>1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1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3994</v>
      </c>
      <c r="B578" s="9" t="s">
        <v>819</v>
      </c>
      <c r="C578" s="9" t="s">
        <v>372</v>
      </c>
      <c r="D578" s="9" t="s">
        <v>820</v>
      </c>
      <c r="E578" s="9" t="s">
        <v>374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4031</v>
      </c>
      <c r="B579" s="4" t="s">
        <v>821</v>
      </c>
      <c r="C579" s="4" t="s">
        <v>63</v>
      </c>
      <c r="D579" s="4" t="s">
        <v>77</v>
      </c>
      <c r="E579" s="4" t="s">
        <v>210</v>
      </c>
      <c r="F579" s="6">
        <v>2</v>
      </c>
      <c r="G579" s="5">
        <v>1</v>
      </c>
      <c r="H579" s="7">
        <v>0</v>
      </c>
      <c r="I579" s="5">
        <v>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2</v>
      </c>
      <c r="V579" s="5">
        <v>1</v>
      </c>
      <c r="W579" s="7">
        <v>0</v>
      </c>
      <c r="X579" s="5">
        <v>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4032</v>
      </c>
      <c r="B580" s="9" t="s">
        <v>822</v>
      </c>
      <c r="C580" s="9" t="s">
        <v>63</v>
      </c>
      <c r="D580" s="9" t="s">
        <v>73</v>
      </c>
      <c r="E580" s="9" t="s">
        <v>253</v>
      </c>
      <c r="F580" s="11">
        <v>5</v>
      </c>
      <c r="G580" s="10">
        <v>2</v>
      </c>
      <c r="H580" s="10">
        <v>2</v>
      </c>
      <c r="I580" s="12">
        <v>0</v>
      </c>
      <c r="J580" s="12">
        <v>0</v>
      </c>
      <c r="K580" s="10">
        <v>1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5</v>
      </c>
      <c r="V580" s="10">
        <v>2</v>
      </c>
      <c r="W580" s="10">
        <v>2</v>
      </c>
      <c r="X580" s="12">
        <v>0</v>
      </c>
      <c r="Y580" s="12">
        <v>0</v>
      </c>
      <c r="Z580" s="10">
        <v>1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1.67</v>
      </c>
      <c r="AL580" s="10">
        <v>2</v>
      </c>
      <c r="AM580" s="10">
        <v>2</v>
      </c>
      <c r="AN580" s="43">
        <v>0</v>
      </c>
    </row>
    <row r="581">
      <c r="A581" s="23">
        <v>4047</v>
      </c>
      <c r="B581" s="4" t="s">
        <v>823</v>
      </c>
      <c r="C581" s="4" t="s">
        <v>63</v>
      </c>
      <c r="D581" s="4" t="s">
        <v>77</v>
      </c>
      <c r="E581" s="4" t="s">
        <v>78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4054</v>
      </c>
      <c r="B582" s="9" t="s">
        <v>824</v>
      </c>
      <c r="C582" s="9" t="s">
        <v>63</v>
      </c>
      <c r="D582" s="9" t="s">
        <v>89</v>
      </c>
      <c r="E582" s="9" t="s">
        <v>161</v>
      </c>
      <c r="F582" s="11">
        <v>5</v>
      </c>
      <c r="G582" s="10">
        <v>2</v>
      </c>
      <c r="H582" s="12">
        <v>0</v>
      </c>
      <c r="I582" s="12">
        <v>0</v>
      </c>
      <c r="J582" s="10">
        <v>3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2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2.5</v>
      </c>
      <c r="AL582" s="10">
        <v>2</v>
      </c>
      <c r="AM582" s="10">
        <v>3</v>
      </c>
      <c r="AN582" s="29">
        <v>0.5</v>
      </c>
    </row>
    <row r="583">
      <c r="A583" s="23">
        <v>4058</v>
      </c>
      <c r="B583" s="4" t="s">
        <v>825</v>
      </c>
      <c r="C583" s="4" t="s">
        <v>63</v>
      </c>
      <c r="D583" s="4" t="s">
        <v>120</v>
      </c>
      <c r="E583" s="4" t="s">
        <v>121</v>
      </c>
      <c r="F583" s="6">
        <v>3</v>
      </c>
      <c r="G583" s="5">
        <v>3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3</v>
      </c>
      <c r="V583" s="5">
        <v>3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1.5</v>
      </c>
      <c r="AL583" s="5">
        <v>1</v>
      </c>
      <c r="AM583" s="5">
        <v>2</v>
      </c>
      <c r="AN583" s="30">
        <v>0</v>
      </c>
    </row>
    <row r="584">
      <c r="A584" s="24">
        <v>4061</v>
      </c>
      <c r="B584" s="9" t="s">
        <v>826</v>
      </c>
      <c r="C584" s="9" t="s">
        <v>63</v>
      </c>
      <c r="D584" s="9" t="s">
        <v>120</v>
      </c>
      <c r="E584" s="9" t="s">
        <v>132</v>
      </c>
      <c r="F584" s="11">
        <v>1</v>
      </c>
      <c r="G584" s="12">
        <v>0</v>
      </c>
      <c r="H584" s="10">
        <v>1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0">
        <v>1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4063</v>
      </c>
      <c r="B585" s="4" t="s">
        <v>827</v>
      </c>
      <c r="C585" s="4" t="s">
        <v>63</v>
      </c>
      <c r="D585" s="4" t="s">
        <v>89</v>
      </c>
      <c r="E585" s="4" t="s">
        <v>828</v>
      </c>
      <c r="F585" s="6">
        <v>1</v>
      </c>
      <c r="G585" s="7">
        <v>0</v>
      </c>
      <c r="H585" s="5">
        <v>1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5">
        <v>1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4065</v>
      </c>
      <c r="B586" s="9" t="s">
        <v>829</v>
      </c>
      <c r="C586" s="9" t="s">
        <v>63</v>
      </c>
      <c r="D586" s="9" t="s">
        <v>84</v>
      </c>
      <c r="E586" s="9" t="s">
        <v>150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43">
        <v>0</v>
      </c>
    </row>
    <row r="587">
      <c r="A587" s="23">
        <v>4070</v>
      </c>
      <c r="B587" s="4" t="s">
        <v>830</v>
      </c>
      <c r="C587" s="4" t="s">
        <v>264</v>
      </c>
      <c r="D587" s="4" t="s">
        <v>831</v>
      </c>
      <c r="E587" s="4" t="s">
        <v>832</v>
      </c>
      <c r="F587" s="6">
        <v>1</v>
      </c>
      <c r="G587" s="7">
        <v>0</v>
      </c>
      <c r="H587" s="5">
        <v>1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5">
        <v>1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4074</v>
      </c>
      <c r="B588" s="9" t="s">
        <v>833</v>
      </c>
      <c r="C588" s="9" t="s">
        <v>264</v>
      </c>
      <c r="D588" s="9" t="s">
        <v>694</v>
      </c>
      <c r="E588" s="9" t="s">
        <v>695</v>
      </c>
      <c r="F588" s="11">
        <v>3</v>
      </c>
      <c r="G588" s="12">
        <v>0</v>
      </c>
      <c r="H588" s="10">
        <v>2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2">
        <v>0</v>
      </c>
      <c r="W588" s="10">
        <v>1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29">
        <v>0.58</v>
      </c>
    </row>
    <row r="589">
      <c r="A589" s="23">
        <v>4076</v>
      </c>
      <c r="B589" s="4" t="s">
        <v>834</v>
      </c>
      <c r="C589" s="4" t="s">
        <v>63</v>
      </c>
      <c r="D589" s="4" t="s">
        <v>89</v>
      </c>
      <c r="E589" s="4" t="s">
        <v>161</v>
      </c>
      <c r="F589" s="6">
        <v>7</v>
      </c>
      <c r="G589" s="5">
        <v>6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7</v>
      </c>
      <c r="V589" s="5">
        <v>6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2.33</v>
      </c>
      <c r="AL589" s="5">
        <v>1</v>
      </c>
      <c r="AM589" s="5">
        <v>5</v>
      </c>
      <c r="AN589" s="28">
        <v>0.25</v>
      </c>
    </row>
    <row r="590">
      <c r="A590" s="24">
        <v>4078</v>
      </c>
      <c r="B590" s="9" t="s">
        <v>835</v>
      </c>
      <c r="C590" s="9" t="s">
        <v>63</v>
      </c>
      <c r="D590" s="9" t="s">
        <v>67</v>
      </c>
      <c r="E590" s="9" t="s">
        <v>271</v>
      </c>
      <c r="F590" s="11">
        <v>3</v>
      </c>
      <c r="G590" s="12">
        <v>0</v>
      </c>
      <c r="H590" s="10">
        <v>2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2">
        <v>0</v>
      </c>
      <c r="W590" s="10">
        <v>2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1.5</v>
      </c>
      <c r="AL590" s="10">
        <v>1</v>
      </c>
      <c r="AM590" s="10">
        <v>2</v>
      </c>
      <c r="AN590" s="29">
        <v>0.75</v>
      </c>
    </row>
    <row r="591">
      <c r="A591" s="23">
        <v>4080</v>
      </c>
      <c r="B591" s="4" t="s">
        <v>836</v>
      </c>
      <c r="C591" s="4" t="s">
        <v>63</v>
      </c>
      <c r="D591" s="4" t="s">
        <v>73</v>
      </c>
      <c r="E591" s="4" t="s">
        <v>140</v>
      </c>
      <c r="F591" s="6">
        <v>9</v>
      </c>
      <c r="G591" s="7">
        <v>0</v>
      </c>
      <c r="H591" s="7">
        <v>0</v>
      </c>
      <c r="I591" s="7">
        <v>0</v>
      </c>
      <c r="J591" s="5">
        <v>9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8</v>
      </c>
      <c r="V591" s="7">
        <v>0</v>
      </c>
      <c r="W591" s="7">
        <v>0</v>
      </c>
      <c r="X591" s="7">
        <v>0</v>
      </c>
      <c r="Y591" s="5">
        <v>8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3</v>
      </c>
      <c r="AL591" s="5">
        <v>1</v>
      </c>
      <c r="AM591" s="5">
        <v>7</v>
      </c>
      <c r="AN591" s="30">
        <v>0</v>
      </c>
    </row>
    <row r="592">
      <c r="A592" s="24">
        <v>4082</v>
      </c>
      <c r="B592" s="9" t="s">
        <v>837</v>
      </c>
      <c r="C592" s="9" t="s">
        <v>63</v>
      </c>
      <c r="D592" s="9" t="s">
        <v>67</v>
      </c>
      <c r="E592" s="9" t="s">
        <v>271</v>
      </c>
      <c r="F592" s="11">
        <v>2</v>
      </c>
      <c r="G592" s="10">
        <v>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0">
        <v>2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43">
        <v>0</v>
      </c>
    </row>
    <row r="593">
      <c r="A593" s="23">
        <v>4087</v>
      </c>
      <c r="B593" s="4" t="s">
        <v>838</v>
      </c>
      <c r="C593" s="4" t="s">
        <v>63</v>
      </c>
      <c r="D593" s="4" t="s">
        <v>77</v>
      </c>
      <c r="E593" s="4" t="s">
        <v>78</v>
      </c>
      <c r="F593" s="6">
        <v>1</v>
      </c>
      <c r="G593" s="7">
        <v>0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4090</v>
      </c>
      <c r="B594" s="9" t="s">
        <v>839</v>
      </c>
      <c r="C594" s="9" t="s">
        <v>63</v>
      </c>
      <c r="D594" s="9" t="s">
        <v>77</v>
      </c>
      <c r="E594" s="9" t="s">
        <v>78</v>
      </c>
      <c r="F594" s="11">
        <v>2</v>
      </c>
      <c r="G594" s="12">
        <v>0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2">
        <v>0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4100</v>
      </c>
      <c r="B595" s="4" t="s">
        <v>840</v>
      </c>
      <c r="C595" s="4" t="s">
        <v>63</v>
      </c>
      <c r="D595" s="4" t="s">
        <v>77</v>
      </c>
      <c r="E595" s="4" t="s">
        <v>78</v>
      </c>
      <c r="F595" s="6">
        <v>1</v>
      </c>
      <c r="G595" s="7">
        <v>0</v>
      </c>
      <c r="H595" s="7">
        <v>0</v>
      </c>
      <c r="I595" s="7">
        <v>0</v>
      </c>
      <c r="J595" s="7">
        <v>0</v>
      </c>
      <c r="K595" s="5">
        <v>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7">
        <v>0</v>
      </c>
      <c r="Y595" s="7">
        <v>0</v>
      </c>
      <c r="Z595" s="5">
        <v>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4110</v>
      </c>
      <c r="B596" s="9" t="s">
        <v>841</v>
      </c>
      <c r="C596" s="9" t="s">
        <v>63</v>
      </c>
      <c r="D596" s="9" t="s">
        <v>77</v>
      </c>
      <c r="E596" s="9" t="s">
        <v>78</v>
      </c>
      <c r="F596" s="11">
        <v>3</v>
      </c>
      <c r="G596" s="12">
        <v>0</v>
      </c>
      <c r="H596" s="10">
        <v>2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2">
        <v>0</v>
      </c>
      <c r="W596" s="10">
        <v>2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29">
        <v>0.72</v>
      </c>
    </row>
    <row r="597">
      <c r="A597" s="23">
        <v>4116</v>
      </c>
      <c r="B597" s="4" t="s">
        <v>842</v>
      </c>
      <c r="C597" s="4" t="s">
        <v>264</v>
      </c>
      <c r="D597" s="4" t="s">
        <v>745</v>
      </c>
      <c r="E597" s="4" t="s">
        <v>843</v>
      </c>
      <c r="F597" s="6">
        <v>2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4123</v>
      </c>
      <c r="B598" s="9" t="s">
        <v>844</v>
      </c>
      <c r="C598" s="9" t="s">
        <v>63</v>
      </c>
      <c r="D598" s="9" t="s">
        <v>77</v>
      </c>
      <c r="E598" s="9" t="s">
        <v>78</v>
      </c>
      <c r="F598" s="11">
        <v>3</v>
      </c>
      <c r="G598" s="10">
        <v>2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0">
        <v>1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0.24</v>
      </c>
    </row>
    <row r="599">
      <c r="A599" s="23">
        <v>4133</v>
      </c>
      <c r="B599" s="4" t="s">
        <v>845</v>
      </c>
      <c r="C599" s="4" t="s">
        <v>63</v>
      </c>
      <c r="D599" s="4" t="s">
        <v>77</v>
      </c>
      <c r="E599" s="4" t="s">
        <v>78</v>
      </c>
      <c r="F599" s="6">
        <v>7</v>
      </c>
      <c r="G599" s="5">
        <v>4</v>
      </c>
      <c r="H599" s="7">
        <v>0</v>
      </c>
      <c r="I599" s="5">
        <v>1</v>
      </c>
      <c r="J599" s="5">
        <v>1</v>
      </c>
      <c r="K599" s="7">
        <v>0</v>
      </c>
      <c r="L599" s="7">
        <v>0</v>
      </c>
      <c r="M599" s="7">
        <v>0</v>
      </c>
      <c r="N599" s="5">
        <v>1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6</v>
      </c>
      <c r="V599" s="5">
        <v>3</v>
      </c>
      <c r="W599" s="7">
        <v>0</v>
      </c>
      <c r="X599" s="5">
        <v>1</v>
      </c>
      <c r="Y599" s="5">
        <v>1</v>
      </c>
      <c r="Z599" s="7">
        <v>0</v>
      </c>
      <c r="AA599" s="7">
        <v>0</v>
      </c>
      <c r="AB599" s="7">
        <v>0</v>
      </c>
      <c r="AC599" s="5">
        <v>1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1.75</v>
      </c>
      <c r="AL599" s="5">
        <v>1</v>
      </c>
      <c r="AM599" s="5">
        <v>4</v>
      </c>
      <c r="AN599" s="30">
        <v>0</v>
      </c>
    </row>
    <row r="600">
      <c r="A600" s="24">
        <v>4140</v>
      </c>
      <c r="B600" s="9" t="s">
        <v>846</v>
      </c>
      <c r="C600" s="9" t="s">
        <v>63</v>
      </c>
      <c r="D600" s="9" t="s">
        <v>77</v>
      </c>
      <c r="E600" s="9" t="s">
        <v>78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0.25</v>
      </c>
    </row>
    <row r="601">
      <c r="A601" s="23">
        <v>4154</v>
      </c>
      <c r="B601" s="4" t="s">
        <v>847</v>
      </c>
      <c r="C601" s="4" t="s">
        <v>372</v>
      </c>
      <c r="D601" s="4" t="s">
        <v>811</v>
      </c>
      <c r="E601" s="4" t="s">
        <v>374</v>
      </c>
      <c r="F601" s="6">
        <v>1</v>
      </c>
      <c r="G601" s="7">
        <v>0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7">
        <v>0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4168</v>
      </c>
      <c r="B602" s="9" t="s">
        <v>848</v>
      </c>
      <c r="C602" s="9" t="s">
        <v>63</v>
      </c>
      <c r="D602" s="9" t="s">
        <v>84</v>
      </c>
      <c r="E602" s="9" t="s">
        <v>106</v>
      </c>
      <c r="F602" s="11">
        <v>2</v>
      </c>
      <c r="G602" s="10">
        <v>1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0">
        <v>1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0.5</v>
      </c>
    </row>
    <row r="603">
      <c r="A603" s="23">
        <v>4175</v>
      </c>
      <c r="B603" s="4" t="s">
        <v>849</v>
      </c>
      <c r="C603" s="4" t="s">
        <v>63</v>
      </c>
      <c r="D603" s="4" t="s">
        <v>84</v>
      </c>
      <c r="E603" s="4" t="s">
        <v>152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4181</v>
      </c>
      <c r="B604" s="9" t="s">
        <v>850</v>
      </c>
      <c r="C604" s="9" t="s">
        <v>63</v>
      </c>
      <c r="D604" s="9" t="s">
        <v>84</v>
      </c>
      <c r="E604" s="9" t="s">
        <v>106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3">
        <v>0</v>
      </c>
    </row>
    <row r="605">
      <c r="A605" s="23">
        <v>4187</v>
      </c>
      <c r="B605" s="4" t="s">
        <v>851</v>
      </c>
      <c r="C605" s="4" t="s">
        <v>372</v>
      </c>
      <c r="D605" s="4" t="s">
        <v>617</v>
      </c>
      <c r="E605" s="4" t="s">
        <v>374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4191</v>
      </c>
      <c r="B606" s="9" t="s">
        <v>852</v>
      </c>
      <c r="C606" s="9" t="s">
        <v>264</v>
      </c>
      <c r="D606" s="9" t="s">
        <v>430</v>
      </c>
      <c r="E606" s="9" t="s">
        <v>431</v>
      </c>
      <c r="F606" s="11">
        <v>9</v>
      </c>
      <c r="G606" s="12">
        <v>0</v>
      </c>
      <c r="H606" s="12">
        <v>0</v>
      </c>
      <c r="I606" s="12">
        <v>0</v>
      </c>
      <c r="J606" s="10">
        <v>9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9</v>
      </c>
      <c r="V606" s="12">
        <v>0</v>
      </c>
      <c r="W606" s="12">
        <v>0</v>
      </c>
      <c r="X606" s="12">
        <v>0</v>
      </c>
      <c r="Y606" s="10">
        <v>9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4.5</v>
      </c>
      <c r="AL606" s="10">
        <v>4</v>
      </c>
      <c r="AM606" s="10">
        <v>8</v>
      </c>
      <c r="AN606" s="29">
        <v>2.34</v>
      </c>
    </row>
    <row r="607">
      <c r="A607" s="23">
        <v>4207</v>
      </c>
      <c r="B607" s="4" t="s">
        <v>853</v>
      </c>
      <c r="C607" s="4" t="s">
        <v>63</v>
      </c>
      <c r="D607" s="4" t="s">
        <v>84</v>
      </c>
      <c r="E607" s="4" t="s">
        <v>152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0.26</v>
      </c>
    </row>
    <row r="608">
      <c r="A608" s="24">
        <v>4209</v>
      </c>
      <c r="B608" s="9" t="s">
        <v>854</v>
      </c>
      <c r="C608" s="9" t="s">
        <v>63</v>
      </c>
      <c r="D608" s="9" t="s">
        <v>84</v>
      </c>
      <c r="E608" s="9" t="s">
        <v>106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3">
        <v>0</v>
      </c>
    </row>
    <row r="609">
      <c r="A609" s="23">
        <v>4213</v>
      </c>
      <c r="B609" s="4" t="s">
        <v>855</v>
      </c>
      <c r="C609" s="4" t="s">
        <v>700</v>
      </c>
      <c r="D609" s="4" t="s">
        <v>856</v>
      </c>
      <c r="E609" s="4" t="s">
        <v>374</v>
      </c>
      <c r="F609" s="6">
        <v>1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0.26</v>
      </c>
    </row>
    <row r="610">
      <c r="A610" s="24">
        <v>4216</v>
      </c>
      <c r="B610" s="9" t="s">
        <v>857</v>
      </c>
      <c r="C610" s="9" t="s">
        <v>63</v>
      </c>
      <c r="D610" s="9" t="s">
        <v>67</v>
      </c>
      <c r="E610" s="9" t="s">
        <v>271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4225</v>
      </c>
      <c r="B611" s="4" t="s">
        <v>858</v>
      </c>
      <c r="C611" s="4" t="s">
        <v>63</v>
      </c>
      <c r="D611" s="4" t="s">
        <v>120</v>
      </c>
      <c r="E611" s="4" t="s">
        <v>132</v>
      </c>
      <c r="F611" s="6">
        <v>1</v>
      </c>
      <c r="G611" s="7">
        <v>0</v>
      </c>
      <c r="H611" s="5">
        <v>1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5">
        <v>1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4228</v>
      </c>
      <c r="B612" s="9" t="s">
        <v>859</v>
      </c>
      <c r="C612" s="9" t="s">
        <v>63</v>
      </c>
      <c r="D612" s="9" t="s">
        <v>77</v>
      </c>
      <c r="E612" s="9" t="s">
        <v>210</v>
      </c>
      <c r="F612" s="11">
        <v>2</v>
      </c>
      <c r="G612" s="12">
        <v>0</v>
      </c>
      <c r="H612" s="10">
        <v>1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2">
        <v>0</v>
      </c>
      <c r="W612" s="10">
        <v>1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4230</v>
      </c>
      <c r="B613" s="4" t="s">
        <v>860</v>
      </c>
      <c r="C613" s="4" t="s">
        <v>63</v>
      </c>
      <c r="D613" s="4" t="s">
        <v>120</v>
      </c>
      <c r="E613" s="4" t="s">
        <v>132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4243</v>
      </c>
      <c r="B614" s="9" t="s">
        <v>861</v>
      </c>
      <c r="C614" s="9" t="s">
        <v>63</v>
      </c>
      <c r="D614" s="9" t="s">
        <v>77</v>
      </c>
      <c r="E614" s="9" t="s">
        <v>78</v>
      </c>
      <c r="F614" s="11">
        <v>2</v>
      </c>
      <c r="G614" s="10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2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43">
        <v>0</v>
      </c>
    </row>
    <row r="615">
      <c r="A615" s="23">
        <v>4254</v>
      </c>
      <c r="B615" s="4" t="s">
        <v>862</v>
      </c>
      <c r="C615" s="4" t="s">
        <v>264</v>
      </c>
      <c r="D615" s="4" t="s">
        <v>398</v>
      </c>
      <c r="E615" s="4" t="s">
        <v>410</v>
      </c>
      <c r="F615" s="6">
        <v>4</v>
      </c>
      <c r="G615" s="5">
        <v>2</v>
      </c>
      <c r="H615" s="7">
        <v>0</v>
      </c>
      <c r="I615" s="5">
        <v>1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4</v>
      </c>
      <c r="V615" s="5">
        <v>2</v>
      </c>
      <c r="W615" s="7">
        <v>0</v>
      </c>
      <c r="X615" s="5">
        <v>1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1.33</v>
      </c>
      <c r="AL615" s="5">
        <v>1</v>
      </c>
      <c r="AM615" s="5">
        <v>2</v>
      </c>
      <c r="AN615" s="28">
        <v>0.44</v>
      </c>
    </row>
    <row r="616">
      <c r="A616" s="24">
        <v>4281</v>
      </c>
      <c r="B616" s="9" t="s">
        <v>863</v>
      </c>
      <c r="C616" s="9" t="s">
        <v>63</v>
      </c>
      <c r="D616" s="9" t="s">
        <v>84</v>
      </c>
      <c r="E616" s="9" t="s">
        <v>85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3">
        <v>0</v>
      </c>
    </row>
    <row r="617">
      <c r="A617" s="23">
        <v>4282</v>
      </c>
      <c r="B617" s="4" t="s">
        <v>864</v>
      </c>
      <c r="C617" s="4" t="s">
        <v>63</v>
      </c>
      <c r="D617" s="4" t="s">
        <v>84</v>
      </c>
      <c r="E617" s="4" t="s">
        <v>85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4283</v>
      </c>
      <c r="B618" s="9" t="s">
        <v>865</v>
      </c>
      <c r="C618" s="9" t="s">
        <v>264</v>
      </c>
      <c r="D618" s="9" t="s">
        <v>453</v>
      </c>
      <c r="E618" s="9" t="s">
        <v>454</v>
      </c>
      <c r="F618" s="11">
        <v>4</v>
      </c>
      <c r="G618" s="10">
        <v>1</v>
      </c>
      <c r="H618" s="12">
        <v>0</v>
      </c>
      <c r="I618" s="10">
        <v>3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3</v>
      </c>
      <c r="V618" s="10">
        <v>1</v>
      </c>
      <c r="W618" s="12">
        <v>0</v>
      </c>
      <c r="X618" s="10">
        <v>2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1.33</v>
      </c>
      <c r="AL618" s="10">
        <v>1</v>
      </c>
      <c r="AM618" s="10">
        <v>2</v>
      </c>
      <c r="AN618" s="43">
        <v>0</v>
      </c>
    </row>
    <row r="619">
      <c r="A619" s="23">
        <v>4289</v>
      </c>
      <c r="B619" s="4" t="s">
        <v>866</v>
      </c>
      <c r="C619" s="4" t="s">
        <v>63</v>
      </c>
      <c r="D619" s="4" t="s">
        <v>77</v>
      </c>
      <c r="E619" s="4" t="s">
        <v>78</v>
      </c>
      <c r="F619" s="6">
        <v>2</v>
      </c>
      <c r="G619" s="7">
        <v>0</v>
      </c>
      <c r="H619" s="7">
        <v>0</v>
      </c>
      <c r="I619" s="7">
        <v>0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30">
        <v>0</v>
      </c>
    </row>
    <row r="620">
      <c r="A620" s="24">
        <v>4291</v>
      </c>
      <c r="B620" s="9" t="s">
        <v>867</v>
      </c>
      <c r="C620" s="9" t="s">
        <v>63</v>
      </c>
      <c r="D620" s="9" t="s">
        <v>102</v>
      </c>
      <c r="E620" s="9" t="s">
        <v>868</v>
      </c>
      <c r="F620" s="11">
        <v>1</v>
      </c>
      <c r="G620" s="12">
        <v>0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4297</v>
      </c>
      <c r="B621" s="4" t="s">
        <v>869</v>
      </c>
      <c r="C621" s="4" t="s">
        <v>63</v>
      </c>
      <c r="D621" s="4" t="s">
        <v>120</v>
      </c>
      <c r="E621" s="4" t="s">
        <v>121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4306</v>
      </c>
      <c r="B622" s="9" t="s">
        <v>870</v>
      </c>
      <c r="C622" s="9" t="s">
        <v>264</v>
      </c>
      <c r="D622" s="9" t="s">
        <v>398</v>
      </c>
      <c r="E622" s="9" t="s">
        <v>741</v>
      </c>
      <c r="F622" s="11">
        <v>2</v>
      </c>
      <c r="G622" s="10">
        <v>1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0">
        <v>1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3">
        <v>0</v>
      </c>
    </row>
    <row r="623">
      <c r="A623" s="23">
        <v>4310</v>
      </c>
      <c r="B623" s="4" t="s">
        <v>871</v>
      </c>
      <c r="C623" s="4" t="s">
        <v>63</v>
      </c>
      <c r="D623" s="4" t="s">
        <v>77</v>
      </c>
      <c r="E623" s="4" t="s">
        <v>92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0.37</v>
      </c>
    </row>
    <row r="624">
      <c r="A624" s="24">
        <v>4311</v>
      </c>
      <c r="B624" s="9" t="s">
        <v>872</v>
      </c>
      <c r="C624" s="9" t="s">
        <v>264</v>
      </c>
      <c r="D624" s="9" t="s">
        <v>453</v>
      </c>
      <c r="E624" s="9" t="s">
        <v>459</v>
      </c>
      <c r="F624" s="11">
        <v>1</v>
      </c>
      <c r="G624" s="12">
        <v>0</v>
      </c>
      <c r="H624" s="10">
        <v>1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0">
        <v>1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0.22</v>
      </c>
    </row>
    <row r="625">
      <c r="A625" s="23">
        <v>4323</v>
      </c>
      <c r="B625" s="4" t="s">
        <v>873</v>
      </c>
      <c r="C625" s="4" t="s">
        <v>63</v>
      </c>
      <c r="D625" s="4" t="s">
        <v>84</v>
      </c>
      <c r="E625" s="4" t="s">
        <v>522</v>
      </c>
      <c r="F625" s="6">
        <v>2</v>
      </c>
      <c r="G625" s="7">
        <v>0</v>
      </c>
      <c r="H625" s="5">
        <v>2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7">
        <v>0</v>
      </c>
      <c r="W625" s="5">
        <v>2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28">
        <v>0.5</v>
      </c>
    </row>
    <row r="626">
      <c r="A626" s="24">
        <v>4337</v>
      </c>
      <c r="B626" s="9" t="s">
        <v>874</v>
      </c>
      <c r="C626" s="9" t="s">
        <v>264</v>
      </c>
      <c r="D626" s="9" t="s">
        <v>398</v>
      </c>
      <c r="E626" s="9" t="s">
        <v>741</v>
      </c>
      <c r="F626" s="11">
        <v>2</v>
      </c>
      <c r="G626" s="12">
        <v>0</v>
      </c>
      <c r="H626" s="12">
        <v>0</v>
      </c>
      <c r="I626" s="10">
        <v>1</v>
      </c>
      <c r="J626" s="12">
        <v>0</v>
      </c>
      <c r="K626" s="12">
        <v>0</v>
      </c>
      <c r="L626" s="10">
        <v>1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</v>
      </c>
      <c r="V626" s="12">
        <v>0</v>
      </c>
      <c r="W626" s="12">
        <v>0</v>
      </c>
      <c r="X626" s="10">
        <v>1</v>
      </c>
      <c r="Y626" s="12">
        <v>0</v>
      </c>
      <c r="Z626" s="12">
        <v>0</v>
      </c>
      <c r="AA626" s="10">
        <v>1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43">
        <v>0</v>
      </c>
    </row>
    <row r="627">
      <c r="A627" s="23">
        <v>4343</v>
      </c>
      <c r="B627" s="4" t="s">
        <v>875</v>
      </c>
      <c r="C627" s="4" t="s">
        <v>264</v>
      </c>
      <c r="D627" s="4" t="s">
        <v>453</v>
      </c>
      <c r="E627" s="4" t="s">
        <v>454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4345</v>
      </c>
      <c r="B628" s="9" t="s">
        <v>876</v>
      </c>
      <c r="C628" s="9" t="s">
        <v>264</v>
      </c>
      <c r="D628" s="9" t="s">
        <v>453</v>
      </c>
      <c r="E628" s="9" t="s">
        <v>454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3">
        <v>0</v>
      </c>
    </row>
    <row r="629">
      <c r="A629" s="23">
        <v>4403</v>
      </c>
      <c r="B629" s="4" t="s">
        <v>877</v>
      </c>
      <c r="C629" s="4" t="s">
        <v>63</v>
      </c>
      <c r="D629" s="4" t="s">
        <v>115</v>
      </c>
      <c r="E629" s="4" t="s">
        <v>878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4410</v>
      </c>
      <c r="B630" s="9" t="s">
        <v>879</v>
      </c>
      <c r="C630" s="9" t="s">
        <v>63</v>
      </c>
      <c r="D630" s="9" t="s">
        <v>84</v>
      </c>
      <c r="E630" s="9" t="s">
        <v>217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4411</v>
      </c>
      <c r="B631" s="4" t="s">
        <v>880</v>
      </c>
      <c r="C631" s="4" t="s">
        <v>264</v>
      </c>
      <c r="D631" s="4" t="s">
        <v>881</v>
      </c>
      <c r="E631" s="4" t="s">
        <v>374</v>
      </c>
      <c r="F631" s="6">
        <v>3</v>
      </c>
      <c r="G631" s="7">
        <v>0</v>
      </c>
      <c r="H631" s="7">
        <v>0</v>
      </c>
      <c r="I631" s="7">
        <v>0</v>
      </c>
      <c r="J631" s="5">
        <v>3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7">
        <v>0</v>
      </c>
      <c r="W631" s="7">
        <v>0</v>
      </c>
      <c r="X631" s="7">
        <v>0</v>
      </c>
      <c r="Y631" s="5">
        <v>3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3</v>
      </c>
      <c r="AK631" s="8">
        <v>3</v>
      </c>
      <c r="AL631" s="5">
        <v>3</v>
      </c>
      <c r="AM631" s="5">
        <v>3</v>
      </c>
      <c r="AN631" s="28">
        <v>0.78</v>
      </c>
    </row>
    <row r="632">
      <c r="A632" s="24">
        <v>4418</v>
      </c>
      <c r="B632" s="9" t="s">
        <v>882</v>
      </c>
      <c r="C632" s="9" t="s">
        <v>63</v>
      </c>
      <c r="D632" s="9" t="s">
        <v>77</v>
      </c>
      <c r="E632" s="9" t="s">
        <v>78</v>
      </c>
      <c r="F632" s="11">
        <v>6</v>
      </c>
      <c r="G632" s="10">
        <v>4</v>
      </c>
      <c r="H632" s="12">
        <v>0</v>
      </c>
      <c r="I632" s="10">
        <v>1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6</v>
      </c>
      <c r="V632" s="10">
        <v>4</v>
      </c>
      <c r="W632" s="12">
        <v>0</v>
      </c>
      <c r="X632" s="10">
        <v>1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2</v>
      </c>
      <c r="AL632" s="10">
        <v>1</v>
      </c>
      <c r="AM632" s="10">
        <v>4</v>
      </c>
      <c r="AN632" s="43">
        <v>0</v>
      </c>
    </row>
    <row r="633">
      <c r="A633" s="23">
        <v>4422</v>
      </c>
      <c r="B633" s="4" t="s">
        <v>883</v>
      </c>
      <c r="C633" s="4" t="s">
        <v>63</v>
      </c>
      <c r="D633" s="4" t="s">
        <v>120</v>
      </c>
      <c r="E633" s="4" t="s">
        <v>499</v>
      </c>
      <c r="F633" s="6">
        <v>1</v>
      </c>
      <c r="G633" s="7">
        <v>0</v>
      </c>
      <c r="H633" s="7">
        <v>0</v>
      </c>
      <c r="I633" s="7">
        <v>0</v>
      </c>
      <c r="J633" s="7">
        <v>0</v>
      </c>
      <c r="K633" s="5">
        <v>1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7">
        <v>0</v>
      </c>
      <c r="Z633" s="5">
        <v>1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4434</v>
      </c>
      <c r="B634" s="9" t="s">
        <v>884</v>
      </c>
      <c r="C634" s="9" t="s">
        <v>179</v>
      </c>
      <c r="D634" s="9" t="s">
        <v>885</v>
      </c>
      <c r="E634" s="9" t="s">
        <v>886</v>
      </c>
      <c r="F634" s="11">
        <v>1</v>
      </c>
      <c r="G634" s="12">
        <v>0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43">
        <v>0</v>
      </c>
    </row>
    <row r="635">
      <c r="A635" s="23">
        <v>4438</v>
      </c>
      <c r="B635" s="4" t="s">
        <v>887</v>
      </c>
      <c r="C635" s="4" t="s">
        <v>63</v>
      </c>
      <c r="D635" s="4" t="s">
        <v>84</v>
      </c>
      <c r="E635" s="4" t="s">
        <v>85</v>
      </c>
      <c r="F635" s="6">
        <v>28</v>
      </c>
      <c r="G635" s="7">
        <v>0</v>
      </c>
      <c r="H635" s="7">
        <v>0</v>
      </c>
      <c r="I635" s="7">
        <v>0</v>
      </c>
      <c r="J635" s="5">
        <v>28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28</v>
      </c>
      <c r="V635" s="7">
        <v>0</v>
      </c>
      <c r="W635" s="7">
        <v>0</v>
      </c>
      <c r="X635" s="7">
        <v>0</v>
      </c>
      <c r="Y635" s="5">
        <v>28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28</v>
      </c>
      <c r="AK635" s="8">
        <v>28</v>
      </c>
      <c r="AL635" s="5">
        <v>28</v>
      </c>
      <c r="AM635" s="5">
        <v>28</v>
      </c>
      <c r="AN635" s="28">
        <v>7</v>
      </c>
    </row>
    <row r="636">
      <c r="A636" s="24">
        <v>4440</v>
      </c>
      <c r="B636" s="9" t="s">
        <v>888</v>
      </c>
      <c r="C636" s="9" t="s">
        <v>63</v>
      </c>
      <c r="D636" s="9" t="s">
        <v>67</v>
      </c>
      <c r="E636" s="9" t="s">
        <v>889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4444</v>
      </c>
      <c r="B637" s="4" t="s">
        <v>890</v>
      </c>
      <c r="C637" s="4" t="s">
        <v>372</v>
      </c>
      <c r="D637" s="4" t="s">
        <v>617</v>
      </c>
      <c r="E637" s="4" t="s">
        <v>374</v>
      </c>
      <c r="F637" s="6">
        <v>1</v>
      </c>
      <c r="G637" s="7">
        <v>0</v>
      </c>
      <c r="H637" s="7">
        <v>0</v>
      </c>
      <c r="I637" s="5">
        <v>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4449</v>
      </c>
      <c r="B638" s="9" t="s">
        <v>891</v>
      </c>
      <c r="C638" s="9" t="s">
        <v>63</v>
      </c>
      <c r="D638" s="9" t="s">
        <v>77</v>
      </c>
      <c r="E638" s="9" t="s">
        <v>450</v>
      </c>
      <c r="F638" s="11">
        <v>2</v>
      </c>
      <c r="G638" s="10">
        <v>1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0">
        <v>1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3">
        <v>0</v>
      </c>
    </row>
    <row r="639">
      <c r="A639" s="23">
        <v>4456</v>
      </c>
      <c r="B639" s="4" t="s">
        <v>892</v>
      </c>
      <c r="C639" s="4" t="s">
        <v>179</v>
      </c>
      <c r="D639" s="4" t="s">
        <v>180</v>
      </c>
      <c r="E639" s="4" t="s">
        <v>191</v>
      </c>
      <c r="F639" s="6">
        <v>1</v>
      </c>
      <c r="G639" s="7">
        <v>0</v>
      </c>
      <c r="H639" s="5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5">
        <v>1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0">
        <v>0</v>
      </c>
    </row>
    <row r="640">
      <c r="A640" s="24">
        <v>4457</v>
      </c>
      <c r="B640" s="9" t="s">
        <v>893</v>
      </c>
      <c r="C640" s="9" t="s">
        <v>179</v>
      </c>
      <c r="D640" s="9" t="s">
        <v>180</v>
      </c>
      <c r="E640" s="9" t="s">
        <v>191</v>
      </c>
      <c r="F640" s="11">
        <v>5</v>
      </c>
      <c r="G640" s="12">
        <v>0</v>
      </c>
      <c r="H640" s="10">
        <v>3</v>
      </c>
      <c r="I640" s="10">
        <v>1</v>
      </c>
      <c r="J640" s="12">
        <v>0</v>
      </c>
      <c r="K640" s="10">
        <v>1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5</v>
      </c>
      <c r="V640" s="12">
        <v>0</v>
      </c>
      <c r="W640" s="10">
        <v>3</v>
      </c>
      <c r="X640" s="10">
        <v>1</v>
      </c>
      <c r="Y640" s="12">
        <v>0</v>
      </c>
      <c r="Z640" s="10">
        <v>1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1.25</v>
      </c>
      <c r="AL640" s="10">
        <v>1</v>
      </c>
      <c r="AM640" s="10">
        <v>2</v>
      </c>
      <c r="AN640" s="29">
        <v>0.44</v>
      </c>
    </row>
    <row r="641">
      <c r="A641" s="23">
        <v>4476</v>
      </c>
      <c r="B641" s="4" t="s">
        <v>894</v>
      </c>
      <c r="C641" s="4" t="s">
        <v>63</v>
      </c>
      <c r="D641" s="4" t="s">
        <v>73</v>
      </c>
      <c r="E641" s="4" t="s">
        <v>130</v>
      </c>
      <c r="F641" s="6">
        <v>4</v>
      </c>
      <c r="G641" s="7">
        <v>0</v>
      </c>
      <c r="H641" s="7">
        <v>0</v>
      </c>
      <c r="I641" s="7">
        <v>0</v>
      </c>
      <c r="J641" s="5">
        <v>4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4</v>
      </c>
      <c r="AK641" s="8">
        <v>4</v>
      </c>
      <c r="AL641" s="5">
        <v>4</v>
      </c>
      <c r="AM641" s="5">
        <v>4</v>
      </c>
      <c r="AN641" s="28">
        <v>0.26</v>
      </c>
    </row>
    <row r="642">
      <c r="A642" s="24">
        <v>4483</v>
      </c>
      <c r="B642" s="9" t="s">
        <v>895</v>
      </c>
      <c r="C642" s="9" t="s">
        <v>896</v>
      </c>
      <c r="D642" s="9" t="s">
        <v>374</v>
      </c>
      <c r="E642" s="9" t="s">
        <v>374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3">
        <v>0</v>
      </c>
    </row>
    <row r="643">
      <c r="A643" s="23">
        <v>4484</v>
      </c>
      <c r="B643" s="4" t="s">
        <v>897</v>
      </c>
      <c r="C643" s="4" t="s">
        <v>179</v>
      </c>
      <c r="D643" s="4" t="s">
        <v>196</v>
      </c>
      <c r="E643" s="4" t="s">
        <v>197</v>
      </c>
      <c r="F643" s="6">
        <v>7</v>
      </c>
      <c r="G643" s="5">
        <v>1</v>
      </c>
      <c r="H643" s="7">
        <v>0</v>
      </c>
      <c r="I643" s="5">
        <v>4</v>
      </c>
      <c r="J643" s="7">
        <v>0</v>
      </c>
      <c r="K643" s="5">
        <v>2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7</v>
      </c>
      <c r="V643" s="5">
        <v>1</v>
      </c>
      <c r="W643" s="7">
        <v>0</v>
      </c>
      <c r="X643" s="5">
        <v>4</v>
      </c>
      <c r="Y643" s="7">
        <v>0</v>
      </c>
      <c r="Z643" s="5">
        <v>2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2.33</v>
      </c>
      <c r="AL643" s="5">
        <v>2</v>
      </c>
      <c r="AM643" s="5">
        <v>4</v>
      </c>
      <c r="AN643" s="30">
        <v>0</v>
      </c>
    </row>
    <row r="644">
      <c r="A644" s="24">
        <v>4490</v>
      </c>
      <c r="B644" s="9" t="s">
        <v>898</v>
      </c>
      <c r="C644" s="9" t="s">
        <v>63</v>
      </c>
      <c r="D644" s="9" t="s">
        <v>120</v>
      </c>
      <c r="E644" s="9" t="s">
        <v>123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29">
        <v>0.5</v>
      </c>
    </row>
    <row r="645">
      <c r="A645" s="23">
        <v>4501</v>
      </c>
      <c r="B645" s="4" t="s">
        <v>899</v>
      </c>
      <c r="C645" s="4" t="s">
        <v>372</v>
      </c>
      <c r="D645" s="4" t="s">
        <v>373</v>
      </c>
      <c r="E645" s="4" t="s">
        <v>374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0.26</v>
      </c>
    </row>
    <row r="646">
      <c r="A646" s="24">
        <v>4511</v>
      </c>
      <c r="B646" s="9" t="s">
        <v>900</v>
      </c>
      <c r="C646" s="9" t="s">
        <v>179</v>
      </c>
      <c r="D646" s="9" t="s">
        <v>180</v>
      </c>
      <c r="E646" s="9" t="s">
        <v>181</v>
      </c>
      <c r="F646" s="11">
        <v>1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0">
        <v>1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2">
        <v>0</v>
      </c>
      <c r="Y646" s="12">
        <v>0</v>
      </c>
      <c r="Z646" s="12">
        <v>0</v>
      </c>
      <c r="AA646" s="10">
        <v>1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4522</v>
      </c>
      <c r="B647" s="4" t="s">
        <v>901</v>
      </c>
      <c r="C647" s="4" t="s">
        <v>372</v>
      </c>
      <c r="D647" s="4" t="s">
        <v>902</v>
      </c>
      <c r="E647" s="4" t="s">
        <v>374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0.26</v>
      </c>
    </row>
    <row r="648">
      <c r="A648" s="24">
        <v>4529</v>
      </c>
      <c r="B648" s="9" t="s">
        <v>903</v>
      </c>
      <c r="C648" s="9" t="s">
        <v>63</v>
      </c>
      <c r="D648" s="9" t="s">
        <v>70</v>
      </c>
      <c r="E648" s="9" t="s">
        <v>347</v>
      </c>
      <c r="F648" s="11">
        <v>2</v>
      </c>
      <c r="G648" s="10">
        <v>1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0">
        <v>1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3">
        <v>0</v>
      </c>
    </row>
    <row r="649">
      <c r="A649" s="23">
        <v>4543</v>
      </c>
      <c r="B649" s="4" t="s">
        <v>904</v>
      </c>
      <c r="C649" s="4" t="s">
        <v>372</v>
      </c>
      <c r="D649" s="4" t="s">
        <v>811</v>
      </c>
      <c r="E649" s="4" t="s">
        <v>374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0.26</v>
      </c>
    </row>
    <row r="650">
      <c r="A650" s="24">
        <v>4544</v>
      </c>
      <c r="B650" s="9" t="s">
        <v>905</v>
      </c>
      <c r="C650" s="9" t="s">
        <v>372</v>
      </c>
      <c r="D650" s="9" t="s">
        <v>820</v>
      </c>
      <c r="E650" s="9" t="s">
        <v>374</v>
      </c>
      <c r="F650" s="11">
        <v>1</v>
      </c>
      <c r="G650" s="12">
        <v>0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0.26</v>
      </c>
    </row>
    <row r="651">
      <c r="A651" s="23">
        <v>4546</v>
      </c>
      <c r="B651" s="4" t="s">
        <v>906</v>
      </c>
      <c r="C651" s="4" t="s">
        <v>63</v>
      </c>
      <c r="D651" s="4" t="s">
        <v>108</v>
      </c>
      <c r="E651" s="4" t="s">
        <v>175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4548</v>
      </c>
      <c r="B652" s="9" t="s">
        <v>907</v>
      </c>
      <c r="C652" s="9" t="s">
        <v>63</v>
      </c>
      <c r="D652" s="9" t="s">
        <v>120</v>
      </c>
      <c r="E652" s="9" t="s">
        <v>123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3">
        <v>0</v>
      </c>
    </row>
    <row r="653">
      <c r="A653" s="23">
        <v>4552</v>
      </c>
      <c r="B653" s="4" t="s">
        <v>908</v>
      </c>
      <c r="C653" s="4" t="s">
        <v>63</v>
      </c>
      <c r="D653" s="4" t="s">
        <v>84</v>
      </c>
      <c r="E653" s="4" t="s">
        <v>217</v>
      </c>
      <c r="F653" s="6">
        <v>2</v>
      </c>
      <c r="G653" s="7">
        <v>0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7">
        <v>0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0.5</v>
      </c>
    </row>
    <row r="654">
      <c r="A654" s="24">
        <v>4561</v>
      </c>
      <c r="B654" s="9" t="s">
        <v>909</v>
      </c>
      <c r="C654" s="9" t="s">
        <v>63</v>
      </c>
      <c r="D654" s="9" t="s">
        <v>102</v>
      </c>
      <c r="E654" s="9" t="s">
        <v>781</v>
      </c>
      <c r="F654" s="11">
        <v>2</v>
      </c>
      <c r="G654" s="12">
        <v>0</v>
      </c>
      <c r="H654" s="12">
        <v>0</v>
      </c>
      <c r="I654" s="12">
        <v>0</v>
      </c>
      <c r="J654" s="10">
        <v>2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2">
        <v>0</v>
      </c>
      <c r="W654" s="12">
        <v>0</v>
      </c>
      <c r="X654" s="12">
        <v>0</v>
      </c>
      <c r="Y654" s="10">
        <v>2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43">
        <v>0</v>
      </c>
    </row>
    <row r="655">
      <c r="A655" s="23">
        <v>4564</v>
      </c>
      <c r="B655" s="4" t="s">
        <v>910</v>
      </c>
      <c r="C655" s="4" t="s">
        <v>619</v>
      </c>
      <c r="D655" s="4" t="s">
        <v>623</v>
      </c>
      <c r="E655" s="4" t="s">
        <v>911</v>
      </c>
      <c r="F655" s="6">
        <v>1</v>
      </c>
      <c r="G655" s="7">
        <v>0</v>
      </c>
      <c r="H655" s="5">
        <v>1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5">
        <v>1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4583</v>
      </c>
      <c r="B656" s="9" t="s">
        <v>912</v>
      </c>
      <c r="C656" s="9" t="s">
        <v>63</v>
      </c>
      <c r="D656" s="9" t="s">
        <v>120</v>
      </c>
      <c r="E656" s="9" t="s">
        <v>499</v>
      </c>
      <c r="F656" s="11">
        <v>3</v>
      </c>
      <c r="G656" s="10">
        <v>3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3</v>
      </c>
      <c r="V656" s="10">
        <v>3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3</v>
      </c>
      <c r="AK656" s="13">
        <v>3</v>
      </c>
      <c r="AL656" s="10">
        <v>3</v>
      </c>
      <c r="AM656" s="10">
        <v>3</v>
      </c>
      <c r="AN656" s="43">
        <v>0</v>
      </c>
    </row>
    <row r="657">
      <c r="A657" s="23">
        <v>4596</v>
      </c>
      <c r="B657" s="4" t="s">
        <v>913</v>
      </c>
      <c r="C657" s="4" t="s">
        <v>179</v>
      </c>
      <c r="D657" s="4" t="s">
        <v>180</v>
      </c>
      <c r="E657" s="4" t="s">
        <v>181</v>
      </c>
      <c r="F657" s="6">
        <v>1</v>
      </c>
      <c r="G657" s="7">
        <v>0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4606</v>
      </c>
      <c r="B658" s="9" t="s">
        <v>914</v>
      </c>
      <c r="C658" s="9" t="s">
        <v>63</v>
      </c>
      <c r="D658" s="9" t="s">
        <v>70</v>
      </c>
      <c r="E658" s="9" t="s">
        <v>495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43">
        <v>0</v>
      </c>
    </row>
    <row r="659">
      <c r="A659" s="23">
        <v>4615</v>
      </c>
      <c r="B659" s="4" t="s">
        <v>915</v>
      </c>
      <c r="C659" s="4" t="s">
        <v>63</v>
      </c>
      <c r="D659" s="4" t="s">
        <v>67</v>
      </c>
      <c r="E659" s="4" t="s">
        <v>68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4618</v>
      </c>
      <c r="B660" s="9" t="s">
        <v>916</v>
      </c>
      <c r="C660" s="9" t="s">
        <v>63</v>
      </c>
      <c r="D660" s="9" t="s">
        <v>102</v>
      </c>
      <c r="E660" s="9" t="s">
        <v>709</v>
      </c>
      <c r="F660" s="11">
        <v>3</v>
      </c>
      <c r="G660" s="10">
        <v>2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3</v>
      </c>
      <c r="V660" s="10">
        <v>2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2</v>
      </c>
      <c r="AN660" s="29">
        <v>0.26</v>
      </c>
    </row>
    <row r="661">
      <c r="A661" s="23">
        <v>4625</v>
      </c>
      <c r="B661" s="4" t="s">
        <v>917</v>
      </c>
      <c r="C661" s="4" t="s">
        <v>63</v>
      </c>
      <c r="D661" s="4" t="s">
        <v>120</v>
      </c>
      <c r="E661" s="4" t="s">
        <v>121</v>
      </c>
      <c r="F661" s="6">
        <v>2</v>
      </c>
      <c r="G661" s="5">
        <v>1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5">
        <v>1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0.52</v>
      </c>
    </row>
    <row r="662">
      <c r="A662" s="24">
        <v>4630</v>
      </c>
      <c r="B662" s="9" t="s">
        <v>837</v>
      </c>
      <c r="C662" s="9" t="s">
        <v>63</v>
      </c>
      <c r="D662" s="9" t="s">
        <v>120</v>
      </c>
      <c r="E662" s="9" t="s">
        <v>121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3">
        <v>0</v>
      </c>
    </row>
    <row r="663">
      <c r="A663" s="23">
        <v>4637</v>
      </c>
      <c r="B663" s="4" t="s">
        <v>918</v>
      </c>
      <c r="C663" s="4" t="s">
        <v>63</v>
      </c>
      <c r="D663" s="4" t="s">
        <v>111</v>
      </c>
      <c r="E663" s="4" t="s">
        <v>240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4648</v>
      </c>
      <c r="B664" s="9" t="s">
        <v>919</v>
      </c>
      <c r="C664" s="9" t="s">
        <v>63</v>
      </c>
      <c r="D664" s="9" t="s">
        <v>67</v>
      </c>
      <c r="E664" s="9" t="s">
        <v>271</v>
      </c>
      <c r="F664" s="11">
        <v>2</v>
      </c>
      <c r="G664" s="12">
        <v>0</v>
      </c>
      <c r="H664" s="10">
        <v>2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2">
        <v>0</v>
      </c>
      <c r="W664" s="10">
        <v>2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0.48</v>
      </c>
    </row>
    <row r="665">
      <c r="A665" s="23">
        <v>4667</v>
      </c>
      <c r="B665" s="4" t="s">
        <v>920</v>
      </c>
      <c r="C665" s="4" t="s">
        <v>63</v>
      </c>
      <c r="D665" s="4" t="s">
        <v>77</v>
      </c>
      <c r="E665" s="4" t="s">
        <v>80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28">
        <v>0.52</v>
      </c>
    </row>
    <row r="666">
      <c r="A666" s="24">
        <v>4672</v>
      </c>
      <c r="B666" s="9" t="s">
        <v>921</v>
      </c>
      <c r="C666" s="9" t="s">
        <v>63</v>
      </c>
      <c r="D666" s="9" t="s">
        <v>108</v>
      </c>
      <c r="E666" s="9" t="s">
        <v>922</v>
      </c>
      <c r="F666" s="11">
        <v>2</v>
      </c>
      <c r="G666" s="12">
        <v>0</v>
      </c>
      <c r="H666" s="12">
        <v>0</v>
      </c>
      <c r="I666" s="10">
        <v>2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43">
        <v>0</v>
      </c>
    </row>
    <row r="667">
      <c r="A667" s="23">
        <v>4675</v>
      </c>
      <c r="B667" s="4" t="s">
        <v>923</v>
      </c>
      <c r="C667" s="4" t="s">
        <v>63</v>
      </c>
      <c r="D667" s="4" t="s">
        <v>89</v>
      </c>
      <c r="E667" s="4" t="s">
        <v>161</v>
      </c>
      <c r="F667" s="6">
        <v>2</v>
      </c>
      <c r="G667" s="5">
        <v>1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5">
        <v>1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4684</v>
      </c>
      <c r="B668" s="9" t="s">
        <v>924</v>
      </c>
      <c r="C668" s="9" t="s">
        <v>63</v>
      </c>
      <c r="D668" s="9" t="s">
        <v>84</v>
      </c>
      <c r="E668" s="9" t="s">
        <v>150</v>
      </c>
      <c r="F668" s="11">
        <v>4</v>
      </c>
      <c r="G668" s="10">
        <v>1</v>
      </c>
      <c r="H668" s="10">
        <v>2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0">
        <v>1</v>
      </c>
      <c r="W668" s="10">
        <v>2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1.33</v>
      </c>
      <c r="AL668" s="10">
        <v>1</v>
      </c>
      <c r="AM668" s="10">
        <v>2</v>
      </c>
      <c r="AN668" s="29">
        <v>0.25</v>
      </c>
    </row>
    <row r="669">
      <c r="A669" s="23">
        <v>4686</v>
      </c>
      <c r="B669" s="4" t="s">
        <v>925</v>
      </c>
      <c r="C669" s="4" t="s">
        <v>63</v>
      </c>
      <c r="D669" s="4" t="s">
        <v>84</v>
      </c>
      <c r="E669" s="4" t="s">
        <v>148</v>
      </c>
      <c r="F669" s="6">
        <v>4</v>
      </c>
      <c r="G669" s="5">
        <v>2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4</v>
      </c>
      <c r="V669" s="5">
        <v>2</v>
      </c>
      <c r="W669" s="7">
        <v>0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1.33</v>
      </c>
      <c r="AL669" s="5">
        <v>1</v>
      </c>
      <c r="AM669" s="5">
        <v>2</v>
      </c>
      <c r="AN669" s="28">
        <v>0.5</v>
      </c>
    </row>
    <row r="670">
      <c r="A670" s="24">
        <v>4687</v>
      </c>
      <c r="B670" s="9" t="s">
        <v>926</v>
      </c>
      <c r="C670" s="9" t="s">
        <v>63</v>
      </c>
      <c r="D670" s="9" t="s">
        <v>84</v>
      </c>
      <c r="E670" s="9" t="s">
        <v>148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4707</v>
      </c>
      <c r="B671" s="4" t="s">
        <v>927</v>
      </c>
      <c r="C671" s="4" t="s">
        <v>63</v>
      </c>
      <c r="D671" s="4" t="s">
        <v>89</v>
      </c>
      <c r="E671" s="4" t="s">
        <v>161</v>
      </c>
      <c r="F671" s="6">
        <v>1</v>
      </c>
      <c r="G671" s="7">
        <v>0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0.24</v>
      </c>
    </row>
    <row r="672">
      <c r="A672" s="24">
        <v>4709</v>
      </c>
      <c r="B672" s="9" t="s">
        <v>928</v>
      </c>
      <c r="C672" s="9" t="s">
        <v>63</v>
      </c>
      <c r="D672" s="9" t="s">
        <v>89</v>
      </c>
      <c r="E672" s="9" t="s">
        <v>161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43">
        <v>0</v>
      </c>
    </row>
    <row r="673">
      <c r="A673" s="23">
        <v>4712</v>
      </c>
      <c r="B673" s="4" t="s">
        <v>929</v>
      </c>
      <c r="C673" s="4" t="s">
        <v>63</v>
      </c>
      <c r="D673" s="4" t="s">
        <v>77</v>
      </c>
      <c r="E673" s="4" t="s">
        <v>87</v>
      </c>
      <c r="F673" s="6">
        <v>2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5">
        <v>1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5">
        <v>1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4716</v>
      </c>
      <c r="B674" s="9" t="s">
        <v>930</v>
      </c>
      <c r="C674" s="9" t="s">
        <v>63</v>
      </c>
      <c r="D674" s="9" t="s">
        <v>120</v>
      </c>
      <c r="E674" s="9" t="s">
        <v>132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0.25</v>
      </c>
    </row>
    <row r="675">
      <c r="A675" s="23">
        <v>4723</v>
      </c>
      <c r="B675" s="4" t="s">
        <v>931</v>
      </c>
      <c r="C675" s="4" t="s">
        <v>63</v>
      </c>
      <c r="D675" s="4" t="s">
        <v>84</v>
      </c>
      <c r="E675" s="4" t="s">
        <v>217</v>
      </c>
      <c r="F675" s="6">
        <v>2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5">
        <v>2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5">
        <v>2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30">
        <v>0</v>
      </c>
    </row>
    <row r="676">
      <c r="A676" s="24">
        <v>4734</v>
      </c>
      <c r="B676" s="9" t="s">
        <v>932</v>
      </c>
      <c r="C676" s="9" t="s">
        <v>63</v>
      </c>
      <c r="D676" s="9" t="s">
        <v>84</v>
      </c>
      <c r="E676" s="9" t="s">
        <v>217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0.26</v>
      </c>
    </row>
    <row r="677">
      <c r="A677" s="23">
        <v>4745</v>
      </c>
      <c r="B677" s="4" t="s">
        <v>933</v>
      </c>
      <c r="C677" s="4" t="s">
        <v>264</v>
      </c>
      <c r="D677" s="4" t="s">
        <v>430</v>
      </c>
      <c r="E677" s="4" t="s">
        <v>431</v>
      </c>
      <c r="F677" s="6">
        <v>1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4747</v>
      </c>
      <c r="B678" s="9" t="s">
        <v>934</v>
      </c>
      <c r="C678" s="9" t="s">
        <v>63</v>
      </c>
      <c r="D678" s="9" t="s">
        <v>67</v>
      </c>
      <c r="E678" s="9" t="s">
        <v>271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3">
        <v>0</v>
      </c>
    </row>
    <row r="679">
      <c r="A679" s="23">
        <v>4752</v>
      </c>
      <c r="B679" s="4" t="s">
        <v>935</v>
      </c>
      <c r="C679" s="4" t="s">
        <v>63</v>
      </c>
      <c r="D679" s="4" t="s">
        <v>120</v>
      </c>
      <c r="E679" s="4" t="s">
        <v>165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0.5</v>
      </c>
    </row>
    <row r="680">
      <c r="A680" s="24">
        <v>4754</v>
      </c>
      <c r="B680" s="9" t="s">
        <v>936</v>
      </c>
      <c r="C680" s="9" t="s">
        <v>63</v>
      </c>
      <c r="D680" s="9" t="s">
        <v>115</v>
      </c>
      <c r="E680" s="9" t="s">
        <v>404</v>
      </c>
      <c r="F680" s="11">
        <v>2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2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4755</v>
      </c>
      <c r="B681" s="4" t="s">
        <v>937</v>
      </c>
      <c r="C681" s="4" t="s">
        <v>264</v>
      </c>
      <c r="D681" s="4" t="s">
        <v>479</v>
      </c>
      <c r="E681" s="4" t="s">
        <v>480</v>
      </c>
      <c r="F681" s="6">
        <v>2</v>
      </c>
      <c r="G681" s="7">
        <v>0</v>
      </c>
      <c r="H681" s="7">
        <v>0</v>
      </c>
      <c r="I681" s="5">
        <v>2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7">
        <v>0</v>
      </c>
      <c r="W681" s="7">
        <v>0</v>
      </c>
      <c r="X681" s="5">
        <v>2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30">
        <v>0</v>
      </c>
    </row>
    <row r="682">
      <c r="A682" s="24">
        <v>4758</v>
      </c>
      <c r="B682" s="9" t="s">
        <v>938</v>
      </c>
      <c r="C682" s="9" t="s">
        <v>63</v>
      </c>
      <c r="D682" s="9" t="s">
        <v>77</v>
      </c>
      <c r="E682" s="9" t="s">
        <v>80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3">
        <v>0</v>
      </c>
    </row>
    <row r="683">
      <c r="A683" s="23">
        <v>4759</v>
      </c>
      <c r="B683" s="4" t="s">
        <v>939</v>
      </c>
      <c r="C683" s="4" t="s">
        <v>63</v>
      </c>
      <c r="D683" s="4" t="s">
        <v>70</v>
      </c>
      <c r="E683" s="4" t="s">
        <v>495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2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30">
        <v>0</v>
      </c>
    </row>
    <row r="684">
      <c r="A684" s="24">
        <v>4765</v>
      </c>
      <c r="B684" s="9" t="s">
        <v>940</v>
      </c>
      <c r="C684" s="9" t="s">
        <v>63</v>
      </c>
      <c r="D684" s="9" t="s">
        <v>77</v>
      </c>
      <c r="E684" s="9" t="s">
        <v>87</v>
      </c>
      <c r="F684" s="11">
        <v>2</v>
      </c>
      <c r="G684" s="12">
        <v>0</v>
      </c>
      <c r="H684" s="12">
        <v>0</v>
      </c>
      <c r="I684" s="10">
        <v>1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2">
        <v>0</v>
      </c>
      <c r="W684" s="12">
        <v>0</v>
      </c>
      <c r="X684" s="10">
        <v>1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0.52</v>
      </c>
    </row>
    <row r="685">
      <c r="A685" s="23">
        <v>4770</v>
      </c>
      <c r="B685" s="4" t="s">
        <v>941</v>
      </c>
      <c r="C685" s="4" t="s">
        <v>63</v>
      </c>
      <c r="D685" s="4" t="s">
        <v>77</v>
      </c>
      <c r="E685" s="4" t="s">
        <v>78</v>
      </c>
      <c r="F685" s="6">
        <v>3</v>
      </c>
      <c r="G685" s="5">
        <v>3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3</v>
      </c>
      <c r="V685" s="5">
        <v>3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3</v>
      </c>
      <c r="AK685" s="8">
        <v>3</v>
      </c>
      <c r="AL685" s="5">
        <v>3</v>
      </c>
      <c r="AM685" s="5">
        <v>3</v>
      </c>
      <c r="AN685" s="30">
        <v>0</v>
      </c>
    </row>
    <row r="686">
      <c r="A686" s="24">
        <v>4781</v>
      </c>
      <c r="B686" s="9" t="s">
        <v>942</v>
      </c>
      <c r="C686" s="9" t="s">
        <v>179</v>
      </c>
      <c r="D686" s="9" t="s">
        <v>180</v>
      </c>
      <c r="E686" s="9" t="s">
        <v>181</v>
      </c>
      <c r="F686" s="11">
        <v>1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43">
        <v>0</v>
      </c>
    </row>
    <row r="687">
      <c r="A687" s="23">
        <v>4785</v>
      </c>
      <c r="B687" s="4" t="s">
        <v>943</v>
      </c>
      <c r="C687" s="4" t="s">
        <v>248</v>
      </c>
      <c r="D687" s="4" t="s">
        <v>249</v>
      </c>
      <c r="E687" s="4" t="s">
        <v>944</v>
      </c>
      <c r="F687" s="6">
        <v>2</v>
      </c>
      <c r="G687" s="5">
        <v>1</v>
      </c>
      <c r="H687" s="5">
        <v>1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1</v>
      </c>
      <c r="W687" s="5">
        <v>1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4791</v>
      </c>
      <c r="B688" s="9" t="s">
        <v>945</v>
      </c>
      <c r="C688" s="9" t="s">
        <v>63</v>
      </c>
      <c r="D688" s="9" t="s">
        <v>77</v>
      </c>
      <c r="E688" s="9" t="s">
        <v>450</v>
      </c>
      <c r="F688" s="11">
        <v>3</v>
      </c>
      <c r="G688" s="12">
        <v>0</v>
      </c>
      <c r="H688" s="10">
        <v>3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2">
        <v>0</v>
      </c>
      <c r="W688" s="10">
        <v>3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3</v>
      </c>
      <c r="AK688" s="13">
        <v>3</v>
      </c>
      <c r="AL688" s="10">
        <v>3</v>
      </c>
      <c r="AM688" s="10">
        <v>3</v>
      </c>
      <c r="AN688" s="29">
        <v>0.75</v>
      </c>
    </row>
    <row r="689">
      <c r="A689" s="23">
        <v>4792</v>
      </c>
      <c r="B689" s="4" t="s">
        <v>946</v>
      </c>
      <c r="C689" s="4" t="s">
        <v>63</v>
      </c>
      <c r="D689" s="4" t="s">
        <v>77</v>
      </c>
      <c r="E689" s="4" t="s">
        <v>450</v>
      </c>
      <c r="F689" s="6">
        <v>5</v>
      </c>
      <c r="G689" s="5">
        <v>4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5</v>
      </c>
      <c r="V689" s="5">
        <v>4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2.5</v>
      </c>
      <c r="AL689" s="5">
        <v>2</v>
      </c>
      <c r="AM689" s="5">
        <v>4</v>
      </c>
      <c r="AN689" s="30">
        <v>0</v>
      </c>
    </row>
    <row r="690">
      <c r="A690" s="24">
        <v>4797</v>
      </c>
      <c r="B690" s="9" t="s">
        <v>947</v>
      </c>
      <c r="C690" s="9" t="s">
        <v>63</v>
      </c>
      <c r="D690" s="9" t="s">
        <v>120</v>
      </c>
      <c r="E690" s="9" t="s">
        <v>121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3">
        <v>0</v>
      </c>
    </row>
    <row r="691">
      <c r="A691" s="23">
        <v>4807</v>
      </c>
      <c r="B691" s="4" t="s">
        <v>948</v>
      </c>
      <c r="C691" s="4" t="s">
        <v>63</v>
      </c>
      <c r="D691" s="4" t="s">
        <v>111</v>
      </c>
      <c r="E691" s="4" t="s">
        <v>240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4808</v>
      </c>
      <c r="B692" s="9" t="s">
        <v>949</v>
      </c>
      <c r="C692" s="9" t="s">
        <v>63</v>
      </c>
      <c r="D692" s="9" t="s">
        <v>111</v>
      </c>
      <c r="E692" s="9" t="s">
        <v>243</v>
      </c>
      <c r="F692" s="11">
        <v>9</v>
      </c>
      <c r="G692" s="10">
        <v>3</v>
      </c>
      <c r="H692" s="10">
        <v>4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7</v>
      </c>
      <c r="V692" s="10">
        <v>2</v>
      </c>
      <c r="W692" s="10">
        <v>3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3</v>
      </c>
      <c r="AL692" s="10">
        <v>3</v>
      </c>
      <c r="AM692" s="10">
        <v>4</v>
      </c>
      <c r="AN692" s="29">
        <v>1</v>
      </c>
    </row>
    <row r="693">
      <c r="A693" s="23">
        <v>4819</v>
      </c>
      <c r="B693" s="4" t="s">
        <v>950</v>
      </c>
      <c r="C693" s="4" t="s">
        <v>63</v>
      </c>
      <c r="D693" s="4" t="s">
        <v>77</v>
      </c>
      <c r="E693" s="4" t="s">
        <v>80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28">
        <v>0.62</v>
      </c>
    </row>
    <row r="694">
      <c r="A694" s="24">
        <v>4831</v>
      </c>
      <c r="B694" s="9" t="s">
        <v>951</v>
      </c>
      <c r="C694" s="9" t="s">
        <v>63</v>
      </c>
      <c r="D694" s="9" t="s">
        <v>111</v>
      </c>
      <c r="E694" s="9" t="s">
        <v>243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0.25</v>
      </c>
    </row>
    <row r="695">
      <c r="A695" s="23">
        <v>4836</v>
      </c>
      <c r="B695" s="4" t="s">
        <v>952</v>
      </c>
      <c r="C695" s="4" t="s">
        <v>63</v>
      </c>
      <c r="D695" s="4" t="s">
        <v>111</v>
      </c>
      <c r="E695" s="4" t="s">
        <v>112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4840</v>
      </c>
      <c r="B696" s="9" t="s">
        <v>953</v>
      </c>
      <c r="C696" s="9" t="s">
        <v>63</v>
      </c>
      <c r="D696" s="9" t="s">
        <v>120</v>
      </c>
      <c r="E696" s="9" t="s">
        <v>258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0.26</v>
      </c>
    </row>
    <row r="697">
      <c r="A697" s="23">
        <v>4842</v>
      </c>
      <c r="B697" s="4" t="s">
        <v>954</v>
      </c>
      <c r="C697" s="4" t="s">
        <v>63</v>
      </c>
      <c r="D697" s="4" t="s">
        <v>73</v>
      </c>
      <c r="E697" s="4" t="s">
        <v>138</v>
      </c>
      <c r="F697" s="6">
        <v>1</v>
      </c>
      <c r="G697" s="7">
        <v>0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0.26</v>
      </c>
    </row>
    <row r="698">
      <c r="A698" s="24">
        <v>4852</v>
      </c>
      <c r="B698" s="9" t="s">
        <v>955</v>
      </c>
      <c r="C698" s="9" t="s">
        <v>63</v>
      </c>
      <c r="D698" s="9" t="s">
        <v>67</v>
      </c>
      <c r="E698" s="9" t="s">
        <v>168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3">
        <v>0</v>
      </c>
    </row>
    <row r="699">
      <c r="A699" s="23">
        <v>4853</v>
      </c>
      <c r="B699" s="4" t="s">
        <v>956</v>
      </c>
      <c r="C699" s="4" t="s">
        <v>63</v>
      </c>
      <c r="D699" s="4" t="s">
        <v>111</v>
      </c>
      <c r="E699" s="4" t="s">
        <v>112</v>
      </c>
      <c r="F699" s="6">
        <v>3</v>
      </c>
      <c r="G699" s="5">
        <v>1</v>
      </c>
      <c r="H699" s="7">
        <v>0</v>
      </c>
      <c r="I699" s="7">
        <v>0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5">
        <v>1</v>
      </c>
      <c r="W699" s="7">
        <v>0</v>
      </c>
      <c r="X699" s="7">
        <v>0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1.5</v>
      </c>
      <c r="AL699" s="5">
        <v>1</v>
      </c>
      <c r="AM699" s="5">
        <v>2</v>
      </c>
      <c r="AN699" s="28">
        <v>0.5</v>
      </c>
    </row>
    <row r="700">
      <c r="A700" s="24">
        <v>4861</v>
      </c>
      <c r="B700" s="9" t="s">
        <v>957</v>
      </c>
      <c r="C700" s="9" t="s">
        <v>63</v>
      </c>
      <c r="D700" s="9" t="s">
        <v>120</v>
      </c>
      <c r="E700" s="9" t="s">
        <v>121</v>
      </c>
      <c r="F700" s="11">
        <v>1</v>
      </c>
      <c r="G700" s="12">
        <v>0</v>
      </c>
      <c r="H700" s="10">
        <v>1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0">
        <v>1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4864</v>
      </c>
      <c r="B701" s="4" t="s">
        <v>958</v>
      </c>
      <c r="C701" s="4" t="s">
        <v>63</v>
      </c>
      <c r="D701" s="4" t="s">
        <v>111</v>
      </c>
      <c r="E701" s="4" t="s">
        <v>240</v>
      </c>
      <c r="F701" s="6">
        <v>3</v>
      </c>
      <c r="G701" s="7">
        <v>0</v>
      </c>
      <c r="H701" s="5">
        <v>3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7">
        <v>0</v>
      </c>
      <c r="W701" s="5">
        <v>3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3</v>
      </c>
      <c r="AK701" s="8">
        <v>3</v>
      </c>
      <c r="AL701" s="5">
        <v>3</v>
      </c>
      <c r="AM701" s="5">
        <v>3</v>
      </c>
      <c r="AN701" s="28">
        <v>0.75</v>
      </c>
    </row>
    <row r="702">
      <c r="A702" s="24">
        <v>4868</v>
      </c>
      <c r="B702" s="9" t="s">
        <v>959</v>
      </c>
      <c r="C702" s="9" t="s">
        <v>63</v>
      </c>
      <c r="D702" s="9" t="s">
        <v>120</v>
      </c>
      <c r="E702" s="9" t="s">
        <v>123</v>
      </c>
      <c r="F702" s="11">
        <v>3</v>
      </c>
      <c r="G702" s="12">
        <v>0</v>
      </c>
      <c r="H702" s="12">
        <v>0</v>
      </c>
      <c r="I702" s="10">
        <v>3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2">
        <v>0</v>
      </c>
      <c r="W702" s="12">
        <v>0</v>
      </c>
      <c r="X702" s="10">
        <v>3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3</v>
      </c>
      <c r="AK702" s="13">
        <v>3</v>
      </c>
      <c r="AL702" s="10">
        <v>3</v>
      </c>
      <c r="AM702" s="10">
        <v>3</v>
      </c>
      <c r="AN702" s="29">
        <v>0.72</v>
      </c>
    </row>
    <row r="703">
      <c r="A703" s="23">
        <v>4869</v>
      </c>
      <c r="B703" s="4" t="s">
        <v>960</v>
      </c>
      <c r="C703" s="4" t="s">
        <v>63</v>
      </c>
      <c r="D703" s="4" t="s">
        <v>111</v>
      </c>
      <c r="E703" s="4" t="s">
        <v>112</v>
      </c>
      <c r="F703" s="6">
        <v>2</v>
      </c>
      <c r="G703" s="5">
        <v>2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5">
        <v>2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2</v>
      </c>
      <c r="AL703" s="5">
        <v>2</v>
      </c>
      <c r="AM703" s="5">
        <v>2</v>
      </c>
      <c r="AN703" s="28">
        <v>0.68</v>
      </c>
    </row>
    <row r="704">
      <c r="A704" s="24">
        <v>4870</v>
      </c>
      <c r="B704" s="9" t="s">
        <v>961</v>
      </c>
      <c r="C704" s="9" t="s">
        <v>63</v>
      </c>
      <c r="D704" s="9" t="s">
        <v>111</v>
      </c>
      <c r="E704" s="9" t="s">
        <v>243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3">
        <v>0</v>
      </c>
    </row>
    <row r="705">
      <c r="A705" s="23">
        <v>4871</v>
      </c>
      <c r="B705" s="4" t="s">
        <v>962</v>
      </c>
      <c r="C705" s="4" t="s">
        <v>63</v>
      </c>
      <c r="D705" s="4" t="s">
        <v>77</v>
      </c>
      <c r="E705" s="4" t="s">
        <v>87</v>
      </c>
      <c r="F705" s="6">
        <v>3</v>
      </c>
      <c r="G705" s="7">
        <v>0</v>
      </c>
      <c r="H705" s="5">
        <v>1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</v>
      </c>
      <c r="V705" s="7">
        <v>0</v>
      </c>
      <c r="W705" s="5">
        <v>1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4875</v>
      </c>
      <c r="B706" s="9" t="s">
        <v>963</v>
      </c>
      <c r="C706" s="9" t="s">
        <v>63</v>
      </c>
      <c r="D706" s="9" t="s">
        <v>84</v>
      </c>
      <c r="E706" s="9" t="s">
        <v>85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43">
        <v>0</v>
      </c>
    </row>
    <row r="707">
      <c r="A707" s="23">
        <v>4882</v>
      </c>
      <c r="B707" s="4" t="s">
        <v>964</v>
      </c>
      <c r="C707" s="4" t="s">
        <v>63</v>
      </c>
      <c r="D707" s="4" t="s">
        <v>64</v>
      </c>
      <c r="E707" s="4" t="s">
        <v>443</v>
      </c>
      <c r="F707" s="6">
        <v>2</v>
      </c>
      <c r="G707" s="7">
        <v>0</v>
      </c>
      <c r="H707" s="5">
        <v>1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7">
        <v>0</v>
      </c>
      <c r="W707" s="5">
        <v>1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0.24</v>
      </c>
    </row>
    <row r="708">
      <c r="A708" s="24">
        <v>4885</v>
      </c>
      <c r="B708" s="9" t="s">
        <v>965</v>
      </c>
      <c r="C708" s="9" t="s">
        <v>63</v>
      </c>
      <c r="D708" s="9" t="s">
        <v>77</v>
      </c>
      <c r="E708" s="9" t="s">
        <v>78</v>
      </c>
      <c r="F708" s="11">
        <v>4</v>
      </c>
      <c r="G708" s="12">
        <v>0</v>
      </c>
      <c r="H708" s="10">
        <v>3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4</v>
      </c>
      <c r="V708" s="12">
        <v>0</v>
      </c>
      <c r="W708" s="10">
        <v>3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</v>
      </c>
      <c r="AL708" s="10">
        <v>2</v>
      </c>
      <c r="AM708" s="10">
        <v>3</v>
      </c>
      <c r="AN708" s="29">
        <v>1</v>
      </c>
    </row>
    <row r="709">
      <c r="A709" s="23">
        <v>4896</v>
      </c>
      <c r="B709" s="4" t="s">
        <v>966</v>
      </c>
      <c r="C709" s="4" t="s">
        <v>63</v>
      </c>
      <c r="D709" s="4" t="s">
        <v>120</v>
      </c>
      <c r="E709" s="4" t="s">
        <v>121</v>
      </c>
      <c r="F709" s="6">
        <v>2</v>
      </c>
      <c r="G709" s="7">
        <v>0</v>
      </c>
      <c r="H709" s="7">
        <v>0</v>
      </c>
      <c r="I709" s="7">
        <v>0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7">
        <v>0</v>
      </c>
      <c r="W709" s="7">
        <v>0</v>
      </c>
      <c r="X709" s="7">
        <v>0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28">
        <v>0.52</v>
      </c>
    </row>
    <row r="710">
      <c r="A710" s="24">
        <v>4901</v>
      </c>
      <c r="B710" s="9" t="s">
        <v>967</v>
      </c>
      <c r="C710" s="9" t="s">
        <v>63</v>
      </c>
      <c r="D710" s="9" t="s">
        <v>70</v>
      </c>
      <c r="E710" s="9" t="s">
        <v>94</v>
      </c>
      <c r="F710" s="11">
        <v>4</v>
      </c>
      <c r="G710" s="10">
        <v>4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0">
        <v>4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2</v>
      </c>
      <c r="AM710" s="10">
        <v>3</v>
      </c>
      <c r="AN710" s="29">
        <v>0.35</v>
      </c>
    </row>
    <row r="711">
      <c r="A711" s="23">
        <v>4913</v>
      </c>
      <c r="B711" s="4" t="s">
        <v>968</v>
      </c>
      <c r="C711" s="4" t="s">
        <v>63</v>
      </c>
      <c r="D711" s="4" t="s">
        <v>73</v>
      </c>
      <c r="E711" s="4" t="s">
        <v>140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4920</v>
      </c>
      <c r="B712" s="9" t="s">
        <v>969</v>
      </c>
      <c r="C712" s="9" t="s">
        <v>63</v>
      </c>
      <c r="D712" s="9" t="s">
        <v>84</v>
      </c>
      <c r="E712" s="9" t="s">
        <v>85</v>
      </c>
      <c r="F712" s="11">
        <v>4</v>
      </c>
      <c r="G712" s="10">
        <v>2</v>
      </c>
      <c r="H712" s="12">
        <v>0</v>
      </c>
      <c r="I712" s="12">
        <v>0</v>
      </c>
      <c r="J712" s="10">
        <v>2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3</v>
      </c>
      <c r="V712" s="10">
        <v>2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43">
        <v>0</v>
      </c>
    </row>
    <row r="713">
      <c r="A713" s="23">
        <v>4921</v>
      </c>
      <c r="B713" s="4" t="s">
        <v>970</v>
      </c>
      <c r="C713" s="4" t="s">
        <v>63</v>
      </c>
      <c r="D713" s="4" t="s">
        <v>111</v>
      </c>
      <c r="E713" s="4" t="s">
        <v>112</v>
      </c>
      <c r="F713" s="6">
        <v>1</v>
      </c>
      <c r="G713" s="7">
        <v>0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7">
        <v>0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0.22</v>
      </c>
    </row>
    <row r="714">
      <c r="A714" s="24">
        <v>4933</v>
      </c>
      <c r="B714" s="9" t="s">
        <v>971</v>
      </c>
      <c r="C714" s="9" t="s">
        <v>63</v>
      </c>
      <c r="D714" s="9" t="s">
        <v>84</v>
      </c>
      <c r="E714" s="9" t="s">
        <v>522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4936</v>
      </c>
      <c r="B715" s="4" t="s">
        <v>972</v>
      </c>
      <c r="C715" s="4" t="s">
        <v>179</v>
      </c>
      <c r="D715" s="4" t="s">
        <v>180</v>
      </c>
      <c r="E715" s="4" t="s">
        <v>191</v>
      </c>
      <c r="F715" s="6">
        <v>1</v>
      </c>
      <c r="G715" s="7">
        <v>0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4944</v>
      </c>
      <c r="B716" s="9" t="s">
        <v>973</v>
      </c>
      <c r="C716" s="9" t="s">
        <v>63</v>
      </c>
      <c r="D716" s="9" t="s">
        <v>111</v>
      </c>
      <c r="E716" s="9" t="s">
        <v>223</v>
      </c>
      <c r="F716" s="11">
        <v>3</v>
      </c>
      <c r="G716" s="10">
        <v>2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0">
        <v>2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1.5</v>
      </c>
      <c r="AL716" s="10">
        <v>1</v>
      </c>
      <c r="AM716" s="10">
        <v>2</v>
      </c>
      <c r="AN716" s="29">
        <v>0.24</v>
      </c>
    </row>
    <row r="717">
      <c r="A717" s="23">
        <v>4945</v>
      </c>
      <c r="B717" s="4" t="s">
        <v>974</v>
      </c>
      <c r="C717" s="4" t="s">
        <v>63</v>
      </c>
      <c r="D717" s="4" t="s">
        <v>89</v>
      </c>
      <c r="E717" s="4" t="s">
        <v>161</v>
      </c>
      <c r="F717" s="6">
        <v>4</v>
      </c>
      <c r="G717" s="5">
        <v>2</v>
      </c>
      <c r="H717" s="7">
        <v>0</v>
      </c>
      <c r="I717" s="7">
        <v>0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4</v>
      </c>
      <c r="V717" s="5">
        <v>2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1.33</v>
      </c>
      <c r="AL717" s="5">
        <v>1</v>
      </c>
      <c r="AM717" s="5">
        <v>2</v>
      </c>
      <c r="AN717" s="28">
        <v>0.25</v>
      </c>
    </row>
    <row r="718">
      <c r="A718" s="24">
        <v>4948</v>
      </c>
      <c r="B718" s="9" t="s">
        <v>975</v>
      </c>
      <c r="C718" s="9" t="s">
        <v>63</v>
      </c>
      <c r="D718" s="9" t="s">
        <v>77</v>
      </c>
      <c r="E718" s="9" t="s">
        <v>78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4955</v>
      </c>
      <c r="B719" s="4" t="s">
        <v>976</v>
      </c>
      <c r="C719" s="4" t="s">
        <v>63</v>
      </c>
      <c r="D719" s="4" t="s">
        <v>120</v>
      </c>
      <c r="E719" s="4" t="s">
        <v>499</v>
      </c>
      <c r="F719" s="6">
        <v>4</v>
      </c>
      <c r="G719" s="5">
        <v>2</v>
      </c>
      <c r="H719" s="5">
        <v>1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4</v>
      </c>
      <c r="V719" s="5">
        <v>2</v>
      </c>
      <c r="W719" s="5">
        <v>1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1.33</v>
      </c>
      <c r="AL719" s="5">
        <v>1</v>
      </c>
      <c r="AM719" s="5">
        <v>2</v>
      </c>
      <c r="AN719" s="30">
        <v>0</v>
      </c>
    </row>
    <row r="720">
      <c r="A720" s="24">
        <v>4962</v>
      </c>
      <c r="B720" s="9" t="s">
        <v>977</v>
      </c>
      <c r="C720" s="9" t="s">
        <v>63</v>
      </c>
      <c r="D720" s="9" t="s">
        <v>73</v>
      </c>
      <c r="E720" s="9" t="s">
        <v>237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4963</v>
      </c>
      <c r="B721" s="4" t="s">
        <v>978</v>
      </c>
      <c r="C721" s="4" t="s">
        <v>63</v>
      </c>
      <c r="D721" s="4" t="s">
        <v>67</v>
      </c>
      <c r="E721" s="4" t="s">
        <v>68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4964</v>
      </c>
      <c r="B722" s="9" t="s">
        <v>979</v>
      </c>
      <c r="C722" s="9" t="s">
        <v>63</v>
      </c>
      <c r="D722" s="9" t="s">
        <v>67</v>
      </c>
      <c r="E722" s="9" t="s">
        <v>356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43">
        <v>0</v>
      </c>
    </row>
    <row r="723">
      <c r="A723" s="23">
        <v>4966</v>
      </c>
      <c r="B723" s="4" t="s">
        <v>980</v>
      </c>
      <c r="C723" s="4" t="s">
        <v>63</v>
      </c>
      <c r="D723" s="4" t="s">
        <v>111</v>
      </c>
      <c r="E723" s="4" t="s">
        <v>240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0.26</v>
      </c>
    </row>
    <row r="724">
      <c r="A724" s="24">
        <v>4969</v>
      </c>
      <c r="B724" s="9" t="s">
        <v>981</v>
      </c>
      <c r="C724" s="9" t="s">
        <v>63</v>
      </c>
      <c r="D724" s="9" t="s">
        <v>120</v>
      </c>
      <c r="E724" s="9" t="s">
        <v>121</v>
      </c>
      <c r="F724" s="11">
        <v>2</v>
      </c>
      <c r="G724" s="12">
        <v>0</v>
      </c>
      <c r="H724" s="12">
        <v>0</v>
      </c>
      <c r="I724" s="10">
        <v>2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2">
        <v>0</v>
      </c>
      <c r="W724" s="12">
        <v>0</v>
      </c>
      <c r="X724" s="10">
        <v>2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43">
        <v>0</v>
      </c>
    </row>
    <row r="725">
      <c r="A725" s="23">
        <v>4975</v>
      </c>
      <c r="B725" s="4" t="s">
        <v>982</v>
      </c>
      <c r="C725" s="4" t="s">
        <v>63</v>
      </c>
      <c r="D725" s="4" t="s">
        <v>84</v>
      </c>
      <c r="E725" s="4" t="s">
        <v>85</v>
      </c>
      <c r="F725" s="6">
        <v>3</v>
      </c>
      <c r="G725" s="5">
        <v>1</v>
      </c>
      <c r="H725" s="7">
        <v>0</v>
      </c>
      <c r="I725" s="5">
        <v>1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3</v>
      </c>
      <c r="V725" s="5">
        <v>1</v>
      </c>
      <c r="W725" s="7">
        <v>0</v>
      </c>
      <c r="X725" s="5">
        <v>1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4983</v>
      </c>
      <c r="B726" s="9" t="s">
        <v>983</v>
      </c>
      <c r="C726" s="9" t="s">
        <v>63</v>
      </c>
      <c r="D726" s="9" t="s">
        <v>111</v>
      </c>
      <c r="E726" s="9" t="s">
        <v>243</v>
      </c>
      <c r="F726" s="11">
        <v>2</v>
      </c>
      <c r="G726" s="10">
        <v>1</v>
      </c>
      <c r="H726" s="12">
        <v>0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0">
        <v>1</v>
      </c>
      <c r="W726" s="12">
        <v>0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0.25</v>
      </c>
    </row>
    <row r="727">
      <c r="A727" s="23">
        <v>4986</v>
      </c>
      <c r="B727" s="4" t="s">
        <v>984</v>
      </c>
      <c r="C727" s="4" t="s">
        <v>63</v>
      </c>
      <c r="D727" s="4" t="s">
        <v>70</v>
      </c>
      <c r="E727" s="4" t="s">
        <v>94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0.37</v>
      </c>
    </row>
    <row r="728">
      <c r="A728" s="24">
        <v>4987</v>
      </c>
      <c r="B728" s="9" t="s">
        <v>985</v>
      </c>
      <c r="C728" s="9" t="s">
        <v>63</v>
      </c>
      <c r="D728" s="9" t="s">
        <v>77</v>
      </c>
      <c r="E728" s="9" t="s">
        <v>78</v>
      </c>
      <c r="F728" s="11">
        <v>1</v>
      </c>
      <c r="G728" s="12">
        <v>0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3">
        <v>0</v>
      </c>
    </row>
    <row r="729">
      <c r="A729" s="23">
        <v>4990</v>
      </c>
      <c r="B729" s="4" t="s">
        <v>986</v>
      </c>
      <c r="C729" s="4" t="s">
        <v>63</v>
      </c>
      <c r="D729" s="4" t="s">
        <v>77</v>
      </c>
      <c r="E729" s="4" t="s">
        <v>450</v>
      </c>
      <c r="F729" s="6">
        <v>2</v>
      </c>
      <c r="G729" s="5">
        <v>1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5">
        <v>1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5007</v>
      </c>
      <c r="B730" s="9" t="s">
        <v>987</v>
      </c>
      <c r="C730" s="9" t="s">
        <v>63</v>
      </c>
      <c r="D730" s="9" t="s">
        <v>84</v>
      </c>
      <c r="E730" s="9" t="s">
        <v>96</v>
      </c>
      <c r="F730" s="11">
        <v>4</v>
      </c>
      <c r="G730" s="12">
        <v>0</v>
      </c>
      <c r="H730" s="12">
        <v>0</v>
      </c>
      <c r="I730" s="12">
        <v>0</v>
      </c>
      <c r="J730" s="10">
        <v>4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4</v>
      </c>
      <c r="V730" s="12">
        <v>0</v>
      </c>
      <c r="W730" s="12">
        <v>0</v>
      </c>
      <c r="X730" s="12">
        <v>0</v>
      </c>
      <c r="Y730" s="10">
        <v>4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29">
        <v>1.04</v>
      </c>
    </row>
    <row r="731">
      <c r="A731" s="23">
        <v>5016</v>
      </c>
      <c r="B731" s="4" t="s">
        <v>988</v>
      </c>
      <c r="C731" s="4" t="s">
        <v>63</v>
      </c>
      <c r="D731" s="4" t="s">
        <v>70</v>
      </c>
      <c r="E731" s="4" t="s">
        <v>347</v>
      </c>
      <c r="F731" s="6">
        <v>1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5">
        <v>1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5">
        <v>1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5023</v>
      </c>
      <c r="B732" s="9" t="s">
        <v>989</v>
      </c>
      <c r="C732" s="9" t="s">
        <v>179</v>
      </c>
      <c r="D732" s="9" t="s">
        <v>196</v>
      </c>
      <c r="E732" s="9" t="s">
        <v>204</v>
      </c>
      <c r="F732" s="11">
        <v>2</v>
      </c>
      <c r="G732" s="12">
        <v>0</v>
      </c>
      <c r="H732" s="12">
        <v>0</v>
      </c>
      <c r="I732" s="10">
        <v>1</v>
      </c>
      <c r="J732" s="12">
        <v>0</v>
      </c>
      <c r="K732" s="10">
        <v>1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</v>
      </c>
      <c r="V732" s="12">
        <v>0</v>
      </c>
      <c r="W732" s="12">
        <v>0</v>
      </c>
      <c r="X732" s="10">
        <v>1</v>
      </c>
      <c r="Y732" s="12">
        <v>0</v>
      </c>
      <c r="Z732" s="10">
        <v>1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0.5</v>
      </c>
    </row>
    <row r="733">
      <c r="A733" s="23">
        <v>5029</v>
      </c>
      <c r="B733" s="4" t="s">
        <v>990</v>
      </c>
      <c r="C733" s="4" t="s">
        <v>63</v>
      </c>
      <c r="D733" s="4" t="s">
        <v>102</v>
      </c>
      <c r="E733" s="4" t="s">
        <v>144</v>
      </c>
      <c r="F733" s="6">
        <v>3</v>
      </c>
      <c r="G733" s="5">
        <v>2</v>
      </c>
      <c r="H733" s="7">
        <v>0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5">
        <v>2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1.5</v>
      </c>
      <c r="AL733" s="5">
        <v>1</v>
      </c>
      <c r="AM733" s="5">
        <v>2</v>
      </c>
      <c r="AN733" s="30">
        <v>0</v>
      </c>
    </row>
    <row r="734">
      <c r="A734" s="24">
        <v>5032</v>
      </c>
      <c r="B734" s="9" t="s">
        <v>991</v>
      </c>
      <c r="C734" s="9" t="s">
        <v>63</v>
      </c>
      <c r="D734" s="9" t="s">
        <v>70</v>
      </c>
      <c r="E734" s="9" t="s">
        <v>495</v>
      </c>
      <c r="F734" s="11">
        <v>4</v>
      </c>
      <c r="G734" s="10">
        <v>3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4</v>
      </c>
      <c r="V734" s="10">
        <v>3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2</v>
      </c>
      <c r="AM734" s="10">
        <v>3</v>
      </c>
      <c r="AN734" s="29">
        <v>0.25</v>
      </c>
    </row>
    <row r="735">
      <c r="A735" s="23">
        <v>5048</v>
      </c>
      <c r="B735" s="4" t="s">
        <v>992</v>
      </c>
      <c r="C735" s="4" t="s">
        <v>63</v>
      </c>
      <c r="D735" s="4" t="s">
        <v>89</v>
      </c>
      <c r="E735" s="4" t="s">
        <v>90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0.26</v>
      </c>
    </row>
    <row r="736">
      <c r="A736" s="24">
        <v>5049</v>
      </c>
      <c r="B736" s="9" t="s">
        <v>993</v>
      </c>
      <c r="C736" s="9" t="s">
        <v>63</v>
      </c>
      <c r="D736" s="9" t="s">
        <v>111</v>
      </c>
      <c r="E736" s="9" t="s">
        <v>243</v>
      </c>
      <c r="F736" s="11">
        <v>1</v>
      </c>
      <c r="G736" s="12">
        <v>0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0.22</v>
      </c>
    </row>
    <row r="737">
      <c r="A737" s="23">
        <v>5063</v>
      </c>
      <c r="B737" s="4" t="s">
        <v>994</v>
      </c>
      <c r="C737" s="4" t="s">
        <v>63</v>
      </c>
      <c r="D737" s="4" t="s">
        <v>135</v>
      </c>
      <c r="E737" s="4" t="s">
        <v>136</v>
      </c>
      <c r="F737" s="6">
        <v>2</v>
      </c>
      <c r="G737" s="5">
        <v>1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1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5064</v>
      </c>
      <c r="B738" s="9" t="s">
        <v>995</v>
      </c>
      <c r="C738" s="9" t="s">
        <v>63</v>
      </c>
      <c r="D738" s="9" t="s">
        <v>73</v>
      </c>
      <c r="E738" s="9" t="s">
        <v>171</v>
      </c>
      <c r="F738" s="11">
        <v>3</v>
      </c>
      <c r="G738" s="12">
        <v>0</v>
      </c>
      <c r="H738" s="10">
        <v>3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3</v>
      </c>
      <c r="V738" s="12">
        <v>0</v>
      </c>
      <c r="W738" s="10">
        <v>3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3</v>
      </c>
      <c r="AK738" s="13">
        <v>3</v>
      </c>
      <c r="AL738" s="10">
        <v>3</v>
      </c>
      <c r="AM738" s="10">
        <v>3</v>
      </c>
      <c r="AN738" s="29">
        <v>0.75</v>
      </c>
    </row>
    <row r="739">
      <c r="A739" s="23">
        <v>5065</v>
      </c>
      <c r="B739" s="4" t="s">
        <v>996</v>
      </c>
      <c r="C739" s="4" t="s">
        <v>63</v>
      </c>
      <c r="D739" s="4" t="s">
        <v>84</v>
      </c>
      <c r="E739" s="4" t="s">
        <v>150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0">
        <v>0</v>
      </c>
    </row>
    <row r="740">
      <c r="A740" s="24">
        <v>5069</v>
      </c>
      <c r="B740" s="9" t="s">
        <v>997</v>
      </c>
      <c r="C740" s="9" t="s">
        <v>63</v>
      </c>
      <c r="D740" s="9" t="s">
        <v>70</v>
      </c>
      <c r="E740" s="9" t="s">
        <v>71</v>
      </c>
      <c r="F740" s="11">
        <v>4</v>
      </c>
      <c r="G740" s="10">
        <v>4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</v>
      </c>
      <c r="V740" s="10">
        <v>3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4</v>
      </c>
      <c r="AK740" s="13">
        <v>4</v>
      </c>
      <c r="AL740" s="10">
        <v>4</v>
      </c>
      <c r="AM740" s="10">
        <v>4</v>
      </c>
      <c r="AN740" s="43">
        <v>0</v>
      </c>
    </row>
    <row r="741">
      <c r="A741" s="23">
        <v>5071</v>
      </c>
      <c r="B741" s="4" t="s">
        <v>998</v>
      </c>
      <c r="C741" s="4" t="s">
        <v>63</v>
      </c>
      <c r="D741" s="4" t="s">
        <v>67</v>
      </c>
      <c r="E741" s="4" t="s">
        <v>271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0.36</v>
      </c>
    </row>
    <row r="742">
      <c r="A742" s="24">
        <v>5074</v>
      </c>
      <c r="B742" s="9" t="s">
        <v>999</v>
      </c>
      <c r="C742" s="9" t="s">
        <v>63</v>
      </c>
      <c r="D742" s="9" t="s">
        <v>70</v>
      </c>
      <c r="E742" s="9" t="s">
        <v>347</v>
      </c>
      <c r="F742" s="11">
        <v>2</v>
      </c>
      <c r="G742" s="10">
        <v>2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</v>
      </c>
      <c r="AL742" s="10">
        <v>2</v>
      </c>
      <c r="AM742" s="10">
        <v>2</v>
      </c>
      <c r="AN742" s="43">
        <v>0</v>
      </c>
    </row>
    <row r="743">
      <c r="A743" s="23">
        <v>5082</v>
      </c>
      <c r="B743" s="4" t="s">
        <v>1000</v>
      </c>
      <c r="C743" s="4" t="s">
        <v>63</v>
      </c>
      <c r="D743" s="4" t="s">
        <v>77</v>
      </c>
      <c r="E743" s="4" t="s">
        <v>450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5085</v>
      </c>
      <c r="B744" s="9" t="s">
        <v>1001</v>
      </c>
      <c r="C744" s="9" t="s">
        <v>63</v>
      </c>
      <c r="D744" s="9" t="s">
        <v>89</v>
      </c>
      <c r="E744" s="9" t="s">
        <v>161</v>
      </c>
      <c r="F744" s="11">
        <v>4</v>
      </c>
      <c r="G744" s="10">
        <v>4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</v>
      </c>
      <c r="V744" s="10">
        <v>3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4</v>
      </c>
      <c r="AK744" s="13">
        <v>4</v>
      </c>
      <c r="AL744" s="10">
        <v>4</v>
      </c>
      <c r="AM744" s="10">
        <v>4</v>
      </c>
      <c r="AN744" s="43">
        <v>0</v>
      </c>
    </row>
    <row r="745">
      <c r="A745" s="23">
        <v>5102</v>
      </c>
      <c r="B745" s="4" t="s">
        <v>1002</v>
      </c>
      <c r="C745" s="4" t="s">
        <v>63</v>
      </c>
      <c r="D745" s="4" t="s">
        <v>102</v>
      </c>
      <c r="E745" s="4" t="s">
        <v>144</v>
      </c>
      <c r="F745" s="6">
        <v>2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30">
        <v>0</v>
      </c>
    </row>
    <row r="746">
      <c r="A746" s="24">
        <v>5103</v>
      </c>
      <c r="B746" s="9" t="s">
        <v>1003</v>
      </c>
      <c r="C746" s="9" t="s">
        <v>264</v>
      </c>
      <c r="D746" s="9" t="s">
        <v>453</v>
      </c>
      <c r="E746" s="9" t="s">
        <v>564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3">
        <v>0</v>
      </c>
    </row>
    <row r="747">
      <c r="A747" s="23">
        <v>5113</v>
      </c>
      <c r="B747" s="4" t="s">
        <v>1004</v>
      </c>
      <c r="C747" s="4" t="s">
        <v>63</v>
      </c>
      <c r="D747" s="4" t="s">
        <v>120</v>
      </c>
      <c r="E747" s="4" t="s">
        <v>499</v>
      </c>
      <c r="F747" s="6">
        <v>1</v>
      </c>
      <c r="G747" s="7">
        <v>0</v>
      </c>
      <c r="H747" s="7">
        <v>0</v>
      </c>
      <c r="I747" s="7">
        <v>0</v>
      </c>
      <c r="J747" s="7">
        <v>0</v>
      </c>
      <c r="K747" s="5">
        <v>1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7">
        <v>0</v>
      </c>
      <c r="Y747" s="7">
        <v>0</v>
      </c>
      <c r="Z747" s="5">
        <v>1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5119</v>
      </c>
      <c r="B748" s="9" t="s">
        <v>1005</v>
      </c>
      <c r="C748" s="9" t="s">
        <v>372</v>
      </c>
      <c r="D748" s="9" t="s">
        <v>1006</v>
      </c>
      <c r="E748" s="9" t="s">
        <v>374</v>
      </c>
      <c r="F748" s="11">
        <v>4</v>
      </c>
      <c r="G748" s="12">
        <v>0</v>
      </c>
      <c r="H748" s="10">
        <v>4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0">
        <v>1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4</v>
      </c>
      <c r="AK748" s="13">
        <v>4</v>
      </c>
      <c r="AL748" s="10">
        <v>4</v>
      </c>
      <c r="AM748" s="10">
        <v>4</v>
      </c>
      <c r="AN748" s="29">
        <v>0.24</v>
      </c>
    </row>
    <row r="749">
      <c r="A749" s="23">
        <v>5148</v>
      </c>
      <c r="B749" s="4" t="s">
        <v>1007</v>
      </c>
      <c r="C749" s="4" t="s">
        <v>63</v>
      </c>
      <c r="D749" s="4" t="s">
        <v>84</v>
      </c>
      <c r="E749" s="4" t="s">
        <v>152</v>
      </c>
      <c r="F749" s="6">
        <v>1</v>
      </c>
      <c r="G749" s="7">
        <v>0</v>
      </c>
      <c r="H749" s="5">
        <v>1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5">
        <v>1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0.26</v>
      </c>
    </row>
    <row r="750">
      <c r="A750" s="24">
        <v>5149</v>
      </c>
      <c r="B750" s="9" t="s">
        <v>1008</v>
      </c>
      <c r="C750" s="9" t="s">
        <v>63</v>
      </c>
      <c r="D750" s="9" t="s">
        <v>84</v>
      </c>
      <c r="E750" s="9" t="s">
        <v>152</v>
      </c>
      <c r="F750" s="11">
        <v>5</v>
      </c>
      <c r="G750" s="10">
        <v>1</v>
      </c>
      <c r="H750" s="12">
        <v>0</v>
      </c>
      <c r="I750" s="12">
        <v>0</v>
      </c>
      <c r="J750" s="10">
        <v>4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0">
        <v>1</v>
      </c>
      <c r="W750" s="12">
        <v>0</v>
      </c>
      <c r="X750" s="12">
        <v>0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1.67</v>
      </c>
      <c r="AL750" s="10">
        <v>2</v>
      </c>
      <c r="AM750" s="10">
        <v>2</v>
      </c>
      <c r="AN750" s="29">
        <v>0.5</v>
      </c>
    </row>
    <row r="751">
      <c r="A751" s="23">
        <v>5153</v>
      </c>
      <c r="B751" s="4" t="s">
        <v>1009</v>
      </c>
      <c r="C751" s="4" t="s">
        <v>63</v>
      </c>
      <c r="D751" s="4" t="s">
        <v>84</v>
      </c>
      <c r="E751" s="4" t="s">
        <v>152</v>
      </c>
      <c r="F751" s="6">
        <v>3</v>
      </c>
      <c r="G751" s="5">
        <v>2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3</v>
      </c>
      <c r="V751" s="5">
        <v>2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2</v>
      </c>
      <c r="AN751" s="28">
        <v>0.25</v>
      </c>
    </row>
    <row r="752">
      <c r="A752" s="24">
        <v>5169</v>
      </c>
      <c r="B752" s="9" t="s">
        <v>1010</v>
      </c>
      <c r="C752" s="9" t="s">
        <v>63</v>
      </c>
      <c r="D752" s="9" t="s">
        <v>111</v>
      </c>
      <c r="E752" s="9" t="s">
        <v>112</v>
      </c>
      <c r="F752" s="11">
        <v>3</v>
      </c>
      <c r="G752" s="10">
        <v>2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2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29">
        <v>0.99</v>
      </c>
    </row>
    <row r="753">
      <c r="A753" s="23">
        <v>5186</v>
      </c>
      <c r="B753" s="4" t="s">
        <v>1011</v>
      </c>
      <c r="C753" s="4" t="s">
        <v>179</v>
      </c>
      <c r="D753" s="4" t="s">
        <v>180</v>
      </c>
      <c r="E753" s="4" t="s">
        <v>191</v>
      </c>
      <c r="F753" s="6">
        <v>2</v>
      </c>
      <c r="G753" s="5">
        <v>1</v>
      </c>
      <c r="H753" s="7">
        <v>0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1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5193</v>
      </c>
      <c r="B754" s="9" t="s">
        <v>1012</v>
      </c>
      <c r="C754" s="9" t="s">
        <v>63</v>
      </c>
      <c r="D754" s="9" t="s">
        <v>84</v>
      </c>
      <c r="E754" s="9" t="s">
        <v>85</v>
      </c>
      <c r="F754" s="11">
        <v>4</v>
      </c>
      <c r="G754" s="12">
        <v>0</v>
      </c>
      <c r="H754" s="12">
        <v>0</v>
      </c>
      <c r="I754" s="12">
        <v>0</v>
      </c>
      <c r="J754" s="10">
        <v>4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4</v>
      </c>
      <c r="V754" s="12">
        <v>0</v>
      </c>
      <c r="W754" s="12">
        <v>0</v>
      </c>
      <c r="X754" s="12">
        <v>0</v>
      </c>
      <c r="Y754" s="10">
        <v>4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4</v>
      </c>
      <c r="AK754" s="13">
        <v>4</v>
      </c>
      <c r="AL754" s="10">
        <v>4</v>
      </c>
      <c r="AM754" s="10">
        <v>4</v>
      </c>
      <c r="AN754" s="29">
        <v>1</v>
      </c>
    </row>
    <row r="755">
      <c r="A755" s="23">
        <v>5199</v>
      </c>
      <c r="B755" s="4" t="s">
        <v>1013</v>
      </c>
      <c r="C755" s="4" t="s">
        <v>63</v>
      </c>
      <c r="D755" s="4" t="s">
        <v>77</v>
      </c>
      <c r="E755" s="4" t="s">
        <v>78</v>
      </c>
      <c r="F755" s="6">
        <v>3</v>
      </c>
      <c r="G755" s="5">
        <v>1</v>
      </c>
      <c r="H755" s="7">
        <v>0</v>
      </c>
      <c r="I755" s="7">
        <v>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5">
        <v>1</v>
      </c>
      <c r="W755" s="7">
        <v>0</v>
      </c>
      <c r="X755" s="7">
        <v>0</v>
      </c>
      <c r="Y755" s="5">
        <v>2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0.52</v>
      </c>
    </row>
    <row r="756">
      <c r="A756" s="24">
        <v>5200</v>
      </c>
      <c r="B756" s="9" t="s">
        <v>1014</v>
      </c>
      <c r="C756" s="9" t="s">
        <v>63</v>
      </c>
      <c r="D756" s="9" t="s">
        <v>77</v>
      </c>
      <c r="E756" s="9" t="s">
        <v>78</v>
      </c>
      <c r="F756" s="11">
        <v>4</v>
      </c>
      <c r="G756" s="10">
        <v>2</v>
      </c>
      <c r="H756" s="10">
        <v>2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4</v>
      </c>
      <c r="V756" s="10">
        <v>2</v>
      </c>
      <c r="W756" s="10">
        <v>2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43">
        <v>0</v>
      </c>
    </row>
    <row r="757">
      <c r="A757" s="23">
        <v>5202</v>
      </c>
      <c r="B757" s="4" t="s">
        <v>1015</v>
      </c>
      <c r="C757" s="4" t="s">
        <v>63</v>
      </c>
      <c r="D757" s="4" t="s">
        <v>120</v>
      </c>
      <c r="E757" s="4" t="s">
        <v>121</v>
      </c>
      <c r="F757" s="6">
        <v>1</v>
      </c>
      <c r="G757" s="7">
        <v>0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5209</v>
      </c>
      <c r="B758" s="9" t="s">
        <v>1016</v>
      </c>
      <c r="C758" s="9" t="s">
        <v>63</v>
      </c>
      <c r="D758" s="9" t="s">
        <v>73</v>
      </c>
      <c r="E758" s="9" t="s">
        <v>138</v>
      </c>
      <c r="F758" s="11">
        <v>2</v>
      </c>
      <c r="G758" s="12">
        <v>0</v>
      </c>
      <c r="H758" s="12">
        <v>0</v>
      </c>
      <c r="I758" s="12">
        <v>0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2">
        <v>0</v>
      </c>
      <c r="W758" s="12">
        <v>0</v>
      </c>
      <c r="X758" s="12">
        <v>0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43">
        <v>0</v>
      </c>
    </row>
    <row r="759">
      <c r="A759" s="23">
        <v>5247</v>
      </c>
      <c r="B759" s="4" t="s">
        <v>1017</v>
      </c>
      <c r="C759" s="4" t="s">
        <v>63</v>
      </c>
      <c r="D759" s="4" t="s">
        <v>84</v>
      </c>
      <c r="E759" s="4" t="s">
        <v>85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0.38</v>
      </c>
    </row>
    <row r="760">
      <c r="A760" s="24">
        <v>5249</v>
      </c>
      <c r="B760" s="9" t="s">
        <v>1018</v>
      </c>
      <c r="C760" s="9" t="s">
        <v>63</v>
      </c>
      <c r="D760" s="9" t="s">
        <v>84</v>
      </c>
      <c r="E760" s="9" t="s">
        <v>85</v>
      </c>
      <c r="F760" s="11">
        <v>3</v>
      </c>
      <c r="G760" s="10">
        <v>1</v>
      </c>
      <c r="H760" s="12">
        <v>0</v>
      </c>
      <c r="I760" s="10">
        <v>2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1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1.5</v>
      </c>
      <c r="AL760" s="10">
        <v>1</v>
      </c>
      <c r="AM760" s="10">
        <v>2</v>
      </c>
      <c r="AN760" s="43">
        <v>0</v>
      </c>
    </row>
    <row r="761">
      <c r="A761" s="23">
        <v>5262</v>
      </c>
      <c r="B761" s="4" t="s">
        <v>1019</v>
      </c>
      <c r="C761" s="4" t="s">
        <v>63</v>
      </c>
      <c r="D761" s="4" t="s">
        <v>84</v>
      </c>
      <c r="E761" s="4" t="s">
        <v>85</v>
      </c>
      <c r="F761" s="6">
        <v>1</v>
      </c>
      <c r="G761" s="7">
        <v>0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7">
        <v>0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5271</v>
      </c>
      <c r="B762" s="9" t="s">
        <v>1020</v>
      </c>
      <c r="C762" s="9" t="s">
        <v>63</v>
      </c>
      <c r="D762" s="9" t="s">
        <v>84</v>
      </c>
      <c r="E762" s="9" t="s">
        <v>85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3">
        <v>0</v>
      </c>
    </row>
    <row r="763">
      <c r="A763" s="23">
        <v>5278</v>
      </c>
      <c r="B763" s="4" t="s">
        <v>1021</v>
      </c>
      <c r="C763" s="4" t="s">
        <v>63</v>
      </c>
      <c r="D763" s="4" t="s">
        <v>84</v>
      </c>
      <c r="E763" s="4" t="s">
        <v>85</v>
      </c>
      <c r="F763" s="6">
        <v>4</v>
      </c>
      <c r="G763" s="5">
        <v>3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5">
        <v>3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28">
        <v>0.25</v>
      </c>
    </row>
    <row r="764">
      <c r="A764" s="24">
        <v>5301</v>
      </c>
      <c r="B764" s="9" t="s">
        <v>1022</v>
      </c>
      <c r="C764" s="9" t="s">
        <v>63</v>
      </c>
      <c r="D764" s="9" t="s">
        <v>102</v>
      </c>
      <c r="E764" s="9" t="s">
        <v>1023</v>
      </c>
      <c r="F764" s="11">
        <v>8</v>
      </c>
      <c r="G764" s="10">
        <v>1</v>
      </c>
      <c r="H764" s="10">
        <v>2</v>
      </c>
      <c r="I764" s="12">
        <v>0</v>
      </c>
      <c r="J764" s="10">
        <v>5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7</v>
      </c>
      <c r="V764" s="10">
        <v>1</v>
      </c>
      <c r="W764" s="10">
        <v>2</v>
      </c>
      <c r="X764" s="12">
        <v>0</v>
      </c>
      <c r="Y764" s="10">
        <v>4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1.6</v>
      </c>
      <c r="AL764" s="10">
        <v>1</v>
      </c>
      <c r="AM764" s="10">
        <v>3</v>
      </c>
      <c r="AN764" s="29">
        <v>1</v>
      </c>
    </row>
    <row r="765">
      <c r="A765" s="23">
        <v>5315</v>
      </c>
      <c r="B765" s="4" t="s">
        <v>1024</v>
      </c>
      <c r="C765" s="4" t="s">
        <v>63</v>
      </c>
      <c r="D765" s="4" t="s">
        <v>77</v>
      </c>
      <c r="E765" s="4" t="s">
        <v>450</v>
      </c>
      <c r="F765" s="6">
        <v>3</v>
      </c>
      <c r="G765" s="5">
        <v>3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5">
        <v>3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3</v>
      </c>
      <c r="AK765" s="8">
        <v>3</v>
      </c>
      <c r="AL765" s="5">
        <v>3</v>
      </c>
      <c r="AM765" s="5">
        <v>3</v>
      </c>
      <c r="AN765" s="30">
        <v>0</v>
      </c>
    </row>
    <row r="766">
      <c r="A766" s="24">
        <v>5334</v>
      </c>
      <c r="B766" s="9" t="s">
        <v>1025</v>
      </c>
      <c r="C766" s="9" t="s">
        <v>63</v>
      </c>
      <c r="D766" s="9" t="s">
        <v>120</v>
      </c>
      <c r="E766" s="9" t="s">
        <v>1026</v>
      </c>
      <c r="F766" s="11">
        <v>3</v>
      </c>
      <c r="G766" s="10">
        <v>1</v>
      </c>
      <c r="H766" s="10">
        <v>2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3</v>
      </c>
      <c r="V766" s="10">
        <v>1</v>
      </c>
      <c r="W766" s="10">
        <v>2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1.5</v>
      </c>
      <c r="AL766" s="10">
        <v>1</v>
      </c>
      <c r="AM766" s="10">
        <v>2</v>
      </c>
      <c r="AN766" s="43">
        <v>0</v>
      </c>
    </row>
    <row r="767">
      <c r="A767" s="23">
        <v>5336</v>
      </c>
      <c r="B767" s="4" t="s">
        <v>1027</v>
      </c>
      <c r="C767" s="4" t="s">
        <v>63</v>
      </c>
      <c r="D767" s="4" t="s">
        <v>120</v>
      </c>
      <c r="E767" s="4" t="s">
        <v>121</v>
      </c>
      <c r="F767" s="6">
        <v>2</v>
      </c>
      <c r="G767" s="7">
        <v>0</v>
      </c>
      <c r="H767" s="5">
        <v>2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7">
        <v>0</v>
      </c>
      <c r="W767" s="5">
        <v>2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</v>
      </c>
      <c r="AL767" s="5">
        <v>2</v>
      </c>
      <c r="AM767" s="5">
        <v>2</v>
      </c>
      <c r="AN767" s="28">
        <v>0.44</v>
      </c>
    </row>
    <row r="768">
      <c r="A768" s="24">
        <v>5337</v>
      </c>
      <c r="B768" s="9" t="s">
        <v>1028</v>
      </c>
      <c r="C768" s="9" t="s">
        <v>63</v>
      </c>
      <c r="D768" s="9" t="s">
        <v>120</v>
      </c>
      <c r="E768" s="9" t="s">
        <v>499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43">
        <v>0</v>
      </c>
    </row>
    <row r="769">
      <c r="A769" s="23">
        <v>5358</v>
      </c>
      <c r="B769" s="4" t="s">
        <v>1029</v>
      </c>
      <c r="C769" s="4" t="s">
        <v>619</v>
      </c>
      <c r="D769" s="4" t="s">
        <v>623</v>
      </c>
      <c r="E769" s="4" t="s">
        <v>1030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5362</v>
      </c>
      <c r="B770" s="9" t="s">
        <v>1031</v>
      </c>
      <c r="C770" s="9" t="s">
        <v>63</v>
      </c>
      <c r="D770" s="9" t="s">
        <v>67</v>
      </c>
      <c r="E770" s="9" t="s">
        <v>271</v>
      </c>
      <c r="F770" s="11">
        <v>1</v>
      </c>
      <c r="G770" s="12">
        <v>0</v>
      </c>
      <c r="H770" s="12">
        <v>0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5367</v>
      </c>
      <c r="B771" s="4" t="s">
        <v>1032</v>
      </c>
      <c r="C771" s="4" t="s">
        <v>63</v>
      </c>
      <c r="D771" s="4" t="s">
        <v>120</v>
      </c>
      <c r="E771" s="4" t="s">
        <v>121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5371</v>
      </c>
      <c r="B772" s="9" t="s">
        <v>1033</v>
      </c>
      <c r="C772" s="9" t="s">
        <v>63</v>
      </c>
      <c r="D772" s="9" t="s">
        <v>120</v>
      </c>
      <c r="E772" s="9" t="s">
        <v>123</v>
      </c>
      <c r="F772" s="11">
        <v>1</v>
      </c>
      <c r="G772" s="12">
        <v>0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3">
        <v>0</v>
      </c>
    </row>
    <row r="773">
      <c r="A773" s="23">
        <v>5373</v>
      </c>
      <c r="B773" s="4" t="s">
        <v>1034</v>
      </c>
      <c r="C773" s="4" t="s">
        <v>63</v>
      </c>
      <c r="D773" s="4" t="s">
        <v>77</v>
      </c>
      <c r="E773" s="4" t="s">
        <v>78</v>
      </c>
      <c r="F773" s="6">
        <v>1</v>
      </c>
      <c r="G773" s="7">
        <v>0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5381</v>
      </c>
      <c r="B774" s="9" t="s">
        <v>1035</v>
      </c>
      <c r="C774" s="9" t="s">
        <v>63</v>
      </c>
      <c r="D774" s="9" t="s">
        <v>84</v>
      </c>
      <c r="E774" s="9" t="s">
        <v>217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0.22</v>
      </c>
    </row>
    <row r="775">
      <c r="A775" s="23">
        <v>5382</v>
      </c>
      <c r="B775" s="4" t="s">
        <v>1036</v>
      </c>
      <c r="C775" s="4" t="s">
        <v>63</v>
      </c>
      <c r="D775" s="4" t="s">
        <v>73</v>
      </c>
      <c r="E775" s="4" t="s">
        <v>130</v>
      </c>
      <c r="F775" s="6">
        <v>6</v>
      </c>
      <c r="G775" s="5">
        <v>6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6</v>
      </c>
      <c r="V775" s="5">
        <v>6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3</v>
      </c>
      <c r="AN775" s="30">
        <v>0</v>
      </c>
    </row>
    <row r="776">
      <c r="A776" s="24">
        <v>5427</v>
      </c>
      <c r="B776" s="9" t="s">
        <v>1037</v>
      </c>
      <c r="C776" s="9" t="s">
        <v>264</v>
      </c>
      <c r="D776" s="9" t="s">
        <v>694</v>
      </c>
      <c r="E776" s="9" t="s">
        <v>1038</v>
      </c>
      <c r="F776" s="11">
        <v>2</v>
      </c>
      <c r="G776" s="12">
        <v>0</v>
      </c>
      <c r="H776" s="12">
        <v>0</v>
      </c>
      <c r="I776" s="10">
        <v>2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2">
        <v>0</v>
      </c>
      <c r="W776" s="12">
        <v>0</v>
      </c>
      <c r="X776" s="10">
        <v>2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2</v>
      </c>
      <c r="AL776" s="10">
        <v>2</v>
      </c>
      <c r="AM776" s="10">
        <v>2</v>
      </c>
      <c r="AN776" s="43">
        <v>0</v>
      </c>
    </row>
    <row r="777">
      <c r="A777" s="23">
        <v>5441</v>
      </c>
      <c r="B777" s="4" t="s">
        <v>1039</v>
      </c>
      <c r="C777" s="4" t="s">
        <v>264</v>
      </c>
      <c r="D777" s="4" t="s">
        <v>453</v>
      </c>
      <c r="E777" s="4" t="s">
        <v>1040</v>
      </c>
      <c r="F777" s="6">
        <v>1</v>
      </c>
      <c r="G777" s="7">
        <v>0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5446</v>
      </c>
      <c r="B778" s="9" t="s">
        <v>1041</v>
      </c>
      <c r="C778" s="9" t="s">
        <v>63</v>
      </c>
      <c r="D778" s="9" t="s">
        <v>120</v>
      </c>
      <c r="E778" s="9" t="s">
        <v>142</v>
      </c>
      <c r="F778" s="11">
        <v>1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0.25</v>
      </c>
    </row>
    <row r="779">
      <c r="A779" s="23">
        <v>5463</v>
      </c>
      <c r="B779" s="4" t="s">
        <v>1042</v>
      </c>
      <c r="C779" s="4" t="s">
        <v>264</v>
      </c>
      <c r="D779" s="4" t="s">
        <v>462</v>
      </c>
      <c r="E779" s="4" t="s">
        <v>463</v>
      </c>
      <c r="F779" s="6">
        <v>2</v>
      </c>
      <c r="G779" s="5">
        <v>1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1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5473</v>
      </c>
      <c r="B780" s="9" t="s">
        <v>1043</v>
      </c>
      <c r="C780" s="9" t="s">
        <v>63</v>
      </c>
      <c r="D780" s="9" t="s">
        <v>120</v>
      </c>
      <c r="E780" s="9" t="s">
        <v>132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0.25</v>
      </c>
    </row>
    <row r="781">
      <c r="A781" s="23">
        <v>5475</v>
      </c>
      <c r="B781" s="4" t="s">
        <v>1044</v>
      </c>
      <c r="C781" s="4" t="s">
        <v>63</v>
      </c>
      <c r="D781" s="4" t="s">
        <v>70</v>
      </c>
      <c r="E781" s="4" t="s">
        <v>1045</v>
      </c>
      <c r="F781" s="6">
        <v>9</v>
      </c>
      <c r="G781" s="7">
        <v>0</v>
      </c>
      <c r="H781" s="7">
        <v>0</v>
      </c>
      <c r="I781" s="7">
        <v>0</v>
      </c>
      <c r="J781" s="5">
        <v>9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8</v>
      </c>
      <c r="V781" s="7">
        <v>0</v>
      </c>
      <c r="W781" s="7">
        <v>0</v>
      </c>
      <c r="X781" s="7">
        <v>0</v>
      </c>
      <c r="Y781" s="5">
        <v>8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3</v>
      </c>
      <c r="AL781" s="5">
        <v>2</v>
      </c>
      <c r="AM781" s="5">
        <v>6</v>
      </c>
      <c r="AN781" s="28">
        <v>2.08</v>
      </c>
    </row>
    <row r="782">
      <c r="A782" s="24">
        <v>5476</v>
      </c>
      <c r="B782" s="9" t="s">
        <v>1046</v>
      </c>
      <c r="C782" s="9" t="s">
        <v>264</v>
      </c>
      <c r="D782" s="9" t="s">
        <v>398</v>
      </c>
      <c r="E782" s="9" t="s">
        <v>408</v>
      </c>
      <c r="F782" s="11">
        <v>8</v>
      </c>
      <c r="G782" s="10">
        <v>1</v>
      </c>
      <c r="H782" s="10">
        <v>1</v>
      </c>
      <c r="I782" s="12">
        <v>0</v>
      </c>
      <c r="J782" s="10">
        <v>6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8</v>
      </c>
      <c r="V782" s="10">
        <v>1</v>
      </c>
      <c r="W782" s="10">
        <v>1</v>
      </c>
      <c r="X782" s="12">
        <v>0</v>
      </c>
      <c r="Y782" s="10">
        <v>6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2.67</v>
      </c>
      <c r="AL782" s="10">
        <v>1</v>
      </c>
      <c r="AM782" s="10">
        <v>6</v>
      </c>
      <c r="AN782" s="29">
        <v>1.85</v>
      </c>
    </row>
    <row r="783">
      <c r="A783" s="23">
        <v>5479</v>
      </c>
      <c r="B783" s="4" t="s">
        <v>1047</v>
      </c>
      <c r="C783" s="4" t="s">
        <v>63</v>
      </c>
      <c r="D783" s="4" t="s">
        <v>84</v>
      </c>
      <c r="E783" s="4" t="s">
        <v>217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0.26</v>
      </c>
    </row>
    <row r="784">
      <c r="A784" s="24">
        <v>5500</v>
      </c>
      <c r="B784" s="9" t="s">
        <v>1048</v>
      </c>
      <c r="C784" s="9" t="s">
        <v>63</v>
      </c>
      <c r="D784" s="9" t="s">
        <v>111</v>
      </c>
      <c r="E784" s="9" t="s">
        <v>112</v>
      </c>
      <c r="F784" s="11">
        <v>3</v>
      </c>
      <c r="G784" s="10">
        <v>2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2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1.5</v>
      </c>
      <c r="AL784" s="10">
        <v>1</v>
      </c>
      <c r="AM784" s="10">
        <v>2</v>
      </c>
      <c r="AN784" s="29">
        <v>0.25</v>
      </c>
    </row>
    <row r="785">
      <c r="A785" s="23">
        <v>5504</v>
      </c>
      <c r="B785" s="4" t="s">
        <v>1049</v>
      </c>
      <c r="C785" s="4" t="s">
        <v>63</v>
      </c>
      <c r="D785" s="4" t="s">
        <v>115</v>
      </c>
      <c r="E785" s="4" t="s">
        <v>146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0">
        <v>0</v>
      </c>
    </row>
    <row r="786">
      <c r="A786" s="24">
        <v>5513</v>
      </c>
      <c r="B786" s="9" t="s">
        <v>1050</v>
      </c>
      <c r="C786" s="9" t="s">
        <v>63</v>
      </c>
      <c r="D786" s="9" t="s">
        <v>84</v>
      </c>
      <c r="E786" s="9" t="s">
        <v>106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0.38</v>
      </c>
    </row>
    <row r="787">
      <c r="A787" s="23">
        <v>5517</v>
      </c>
      <c r="B787" s="4" t="s">
        <v>1051</v>
      </c>
      <c r="C787" s="4" t="s">
        <v>63</v>
      </c>
      <c r="D787" s="4" t="s">
        <v>84</v>
      </c>
      <c r="E787" s="4" t="s">
        <v>150</v>
      </c>
      <c r="F787" s="6">
        <v>1</v>
      </c>
      <c r="G787" s="7">
        <v>0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7">
        <v>0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5533</v>
      </c>
      <c r="B788" s="9" t="s">
        <v>1052</v>
      </c>
      <c r="C788" s="9" t="s">
        <v>63</v>
      </c>
      <c r="D788" s="9" t="s">
        <v>111</v>
      </c>
      <c r="E788" s="9" t="s">
        <v>112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3">
        <v>0</v>
      </c>
    </row>
    <row r="789">
      <c r="A789" s="23">
        <v>5561</v>
      </c>
      <c r="B789" s="4" t="s">
        <v>1053</v>
      </c>
      <c r="C789" s="4" t="s">
        <v>63</v>
      </c>
      <c r="D789" s="4" t="s">
        <v>77</v>
      </c>
      <c r="E789" s="4" t="s">
        <v>450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0">
        <v>0</v>
      </c>
    </row>
    <row r="790">
      <c r="A790" s="24">
        <v>5645</v>
      </c>
      <c r="B790" s="9" t="s">
        <v>1054</v>
      </c>
      <c r="C790" s="9" t="s">
        <v>372</v>
      </c>
      <c r="D790" s="9" t="s">
        <v>1030</v>
      </c>
      <c r="E790" s="9" t="s">
        <v>374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5737</v>
      </c>
      <c r="B791" s="4" t="s">
        <v>1055</v>
      </c>
      <c r="C791" s="4" t="s">
        <v>372</v>
      </c>
      <c r="D791" s="4" t="s">
        <v>1056</v>
      </c>
      <c r="E791" s="4" t="s">
        <v>374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0.26</v>
      </c>
    </row>
    <row r="792">
      <c r="A792" s="24">
        <v>5742</v>
      </c>
      <c r="B792" s="9" t="s">
        <v>1057</v>
      </c>
      <c r="C792" s="9" t="s">
        <v>372</v>
      </c>
      <c r="D792" s="9" t="s">
        <v>820</v>
      </c>
      <c r="E792" s="9" t="s">
        <v>374</v>
      </c>
      <c r="F792" s="11">
        <v>2</v>
      </c>
      <c r="G792" s="12">
        <v>0</v>
      </c>
      <c r="H792" s="10">
        <v>2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2">
        <v>0</v>
      </c>
      <c r="W792" s="10">
        <v>2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29">
        <v>0.52</v>
      </c>
    </row>
    <row r="793">
      <c r="A793" s="23">
        <v>5768</v>
      </c>
      <c r="B793" s="4" t="s">
        <v>1058</v>
      </c>
      <c r="C793" s="4" t="s">
        <v>372</v>
      </c>
      <c r="D793" s="4" t="s">
        <v>617</v>
      </c>
      <c r="E793" s="4" t="s">
        <v>374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5780</v>
      </c>
      <c r="B794" s="9" t="s">
        <v>1059</v>
      </c>
      <c r="C794" s="9" t="s">
        <v>372</v>
      </c>
      <c r="D794" s="9" t="s">
        <v>1030</v>
      </c>
      <c r="E794" s="9" t="s">
        <v>374</v>
      </c>
      <c r="F794" s="11">
        <v>1</v>
      </c>
      <c r="G794" s="12">
        <v>0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5853</v>
      </c>
      <c r="B795" s="4" t="s">
        <v>1060</v>
      </c>
      <c r="C795" s="4" t="s">
        <v>372</v>
      </c>
      <c r="D795" s="4" t="s">
        <v>373</v>
      </c>
      <c r="E795" s="4" t="s">
        <v>374</v>
      </c>
      <c r="F795" s="6">
        <v>1</v>
      </c>
      <c r="G795" s="7">
        <v>0</v>
      </c>
      <c r="H795" s="5">
        <v>1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5">
        <v>1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0.26</v>
      </c>
    </row>
    <row r="796">
      <c r="A796" s="24">
        <v>5932</v>
      </c>
      <c r="B796" s="9" t="s">
        <v>1061</v>
      </c>
      <c r="C796" s="9" t="s">
        <v>372</v>
      </c>
      <c r="D796" s="9" t="s">
        <v>373</v>
      </c>
      <c r="E796" s="9" t="s">
        <v>374</v>
      </c>
      <c r="F796" s="11">
        <v>2</v>
      </c>
      <c r="G796" s="12">
        <v>0</v>
      </c>
      <c r="H796" s="12">
        <v>0</v>
      </c>
      <c r="I796" s="10">
        <v>1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2">
        <v>0</v>
      </c>
      <c r="W796" s="12">
        <v>0</v>
      </c>
      <c r="X796" s="10">
        <v>1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5943</v>
      </c>
      <c r="B797" s="4" t="s">
        <v>1062</v>
      </c>
      <c r="C797" s="4" t="s">
        <v>372</v>
      </c>
      <c r="D797" s="4" t="s">
        <v>820</v>
      </c>
      <c r="E797" s="4" t="s">
        <v>374</v>
      </c>
      <c r="F797" s="6">
        <v>1</v>
      </c>
      <c r="G797" s="7">
        <v>0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7">
        <v>0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0">
        <v>0</v>
      </c>
    </row>
    <row r="798">
      <c r="A798" s="24">
        <v>5954</v>
      </c>
      <c r="B798" s="9" t="s">
        <v>1063</v>
      </c>
      <c r="C798" s="9" t="s">
        <v>630</v>
      </c>
      <c r="D798" s="9" t="s">
        <v>1064</v>
      </c>
      <c r="E798" s="9" t="s">
        <v>1065</v>
      </c>
      <c r="F798" s="11">
        <v>5</v>
      </c>
      <c r="G798" s="12">
        <v>0</v>
      </c>
      <c r="H798" s="12">
        <v>0</v>
      </c>
      <c r="I798" s="10">
        <v>1</v>
      </c>
      <c r="J798" s="10">
        <v>4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4</v>
      </c>
      <c r="V798" s="12">
        <v>0</v>
      </c>
      <c r="W798" s="12">
        <v>0</v>
      </c>
      <c r="X798" s="10">
        <v>1</v>
      </c>
      <c r="Y798" s="10">
        <v>3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2.5</v>
      </c>
      <c r="AL798" s="10">
        <v>2</v>
      </c>
      <c r="AM798" s="10">
        <v>4</v>
      </c>
      <c r="AN798" s="29">
        <v>0.78</v>
      </c>
    </row>
    <row r="799">
      <c r="A799" s="23">
        <v>5959</v>
      </c>
      <c r="B799" s="4" t="s">
        <v>1066</v>
      </c>
      <c r="C799" s="4" t="s">
        <v>700</v>
      </c>
      <c r="D799" s="4" t="s">
        <v>1067</v>
      </c>
      <c r="E799" s="4" t="s">
        <v>374</v>
      </c>
      <c r="F799" s="6">
        <v>4</v>
      </c>
      <c r="G799" s="5">
        <v>3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5">
        <v>3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1.33</v>
      </c>
      <c r="AL799" s="5">
        <v>1</v>
      </c>
      <c r="AM799" s="5">
        <v>2</v>
      </c>
      <c r="AN799" s="28">
        <v>0.52</v>
      </c>
    </row>
    <row r="800">
      <c r="A800" s="24">
        <v>5974</v>
      </c>
      <c r="B800" s="9" t="s">
        <v>1068</v>
      </c>
      <c r="C800" s="9" t="s">
        <v>1069</v>
      </c>
      <c r="D800" s="9" t="s">
        <v>1070</v>
      </c>
      <c r="E800" s="9" t="s">
        <v>1071</v>
      </c>
      <c r="F800" s="11">
        <v>2</v>
      </c>
      <c r="G800" s="12">
        <v>0</v>
      </c>
      <c r="H800" s="12">
        <v>0</v>
      </c>
      <c r="I800" s="10">
        <v>2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2">
        <v>0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43">
        <v>0</v>
      </c>
    </row>
    <row r="801">
      <c r="A801" s="23">
        <v>6005</v>
      </c>
      <c r="B801" s="4" t="s">
        <v>1072</v>
      </c>
      <c r="C801" s="4" t="s">
        <v>700</v>
      </c>
      <c r="D801" s="4" t="s">
        <v>1067</v>
      </c>
      <c r="E801" s="4" t="s">
        <v>374</v>
      </c>
      <c r="F801" s="6">
        <v>1</v>
      </c>
      <c r="G801" s="7">
        <v>0</v>
      </c>
      <c r="H801" s="7">
        <v>0</v>
      </c>
      <c r="I801" s="5">
        <v>1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7">
        <v>0</v>
      </c>
      <c r="X801" s="5">
        <v>1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6026</v>
      </c>
      <c r="B802" s="9" t="s">
        <v>1073</v>
      </c>
      <c r="C802" s="9" t="s">
        <v>630</v>
      </c>
      <c r="D802" s="9" t="s">
        <v>631</v>
      </c>
      <c r="E802" s="9" t="s">
        <v>1074</v>
      </c>
      <c r="F802" s="11">
        <v>11</v>
      </c>
      <c r="G802" s="12">
        <v>0</v>
      </c>
      <c r="H802" s="12">
        <v>0</v>
      </c>
      <c r="I802" s="10">
        <v>1</v>
      </c>
      <c r="J802" s="10">
        <v>9</v>
      </c>
      <c r="K802" s="12">
        <v>0</v>
      </c>
      <c r="L802" s="12">
        <v>0</v>
      </c>
      <c r="M802" s="12">
        <v>0</v>
      </c>
      <c r="N802" s="10">
        <v>1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10</v>
      </c>
      <c r="V802" s="12">
        <v>0</v>
      </c>
      <c r="W802" s="12">
        <v>0</v>
      </c>
      <c r="X802" s="10">
        <v>1</v>
      </c>
      <c r="Y802" s="10">
        <v>8</v>
      </c>
      <c r="Z802" s="12">
        <v>0</v>
      </c>
      <c r="AA802" s="12">
        <v>0</v>
      </c>
      <c r="AB802" s="12">
        <v>0</v>
      </c>
      <c r="AC802" s="10">
        <v>1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3.67</v>
      </c>
      <c r="AL802" s="10">
        <v>1</v>
      </c>
      <c r="AM802" s="10">
        <v>9</v>
      </c>
      <c r="AN802" s="29">
        <v>2</v>
      </c>
    </row>
    <row r="803">
      <c r="A803" s="23">
        <v>6029</v>
      </c>
      <c r="B803" s="4" t="s">
        <v>1075</v>
      </c>
      <c r="C803" s="4" t="s">
        <v>63</v>
      </c>
      <c r="D803" s="4" t="s">
        <v>111</v>
      </c>
      <c r="E803" s="4" t="s">
        <v>240</v>
      </c>
      <c r="F803" s="6">
        <v>1</v>
      </c>
      <c r="G803" s="7">
        <v>0</v>
      </c>
      <c r="H803" s="7">
        <v>0</v>
      </c>
      <c r="I803" s="5">
        <v>1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5">
        <v>1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6030</v>
      </c>
      <c r="B804" s="9" t="s">
        <v>1076</v>
      </c>
      <c r="C804" s="9" t="s">
        <v>179</v>
      </c>
      <c r="D804" s="9" t="s">
        <v>180</v>
      </c>
      <c r="E804" s="9" t="s">
        <v>191</v>
      </c>
      <c r="F804" s="11">
        <v>4</v>
      </c>
      <c r="G804" s="10">
        <v>4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0">
        <v>4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43">
        <v>0</v>
      </c>
    </row>
    <row r="805">
      <c r="A805" s="23">
        <v>6045</v>
      </c>
      <c r="B805" s="4" t="s">
        <v>1077</v>
      </c>
      <c r="C805" s="4" t="s">
        <v>700</v>
      </c>
      <c r="D805" s="4" t="s">
        <v>1067</v>
      </c>
      <c r="E805" s="4" t="s">
        <v>374</v>
      </c>
      <c r="F805" s="6">
        <v>4</v>
      </c>
      <c r="G805" s="7">
        <v>0</v>
      </c>
      <c r="H805" s="7">
        <v>0</v>
      </c>
      <c r="I805" s="7">
        <v>0</v>
      </c>
      <c r="J805" s="5">
        <v>4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4</v>
      </c>
      <c r="V805" s="7">
        <v>0</v>
      </c>
      <c r="W805" s="7">
        <v>0</v>
      </c>
      <c r="X805" s="7">
        <v>0</v>
      </c>
      <c r="Y805" s="5">
        <v>4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4</v>
      </c>
      <c r="AK805" s="8">
        <v>4</v>
      </c>
      <c r="AL805" s="5">
        <v>4</v>
      </c>
      <c r="AM805" s="5">
        <v>4</v>
      </c>
      <c r="AN805" s="28">
        <v>1</v>
      </c>
    </row>
    <row r="806">
      <c r="A806" s="24">
        <v>6082</v>
      </c>
      <c r="B806" s="9" t="s">
        <v>1078</v>
      </c>
      <c r="C806" s="9" t="s">
        <v>63</v>
      </c>
      <c r="D806" s="9" t="s">
        <v>111</v>
      </c>
      <c r="E806" s="9" t="s">
        <v>243</v>
      </c>
      <c r="F806" s="11">
        <v>2</v>
      </c>
      <c r="G806" s="10">
        <v>2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2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3">
        <v>0</v>
      </c>
    </row>
    <row r="807">
      <c r="A807" s="23">
        <v>6102</v>
      </c>
      <c r="B807" s="4" t="s">
        <v>1079</v>
      </c>
      <c r="C807" s="4" t="s">
        <v>63</v>
      </c>
      <c r="D807" s="4" t="s">
        <v>120</v>
      </c>
      <c r="E807" s="4" t="s">
        <v>123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6108</v>
      </c>
      <c r="B808" s="9" t="s">
        <v>1080</v>
      </c>
      <c r="C808" s="9" t="s">
        <v>63</v>
      </c>
      <c r="D808" s="9" t="s">
        <v>84</v>
      </c>
      <c r="E808" s="9" t="s">
        <v>148</v>
      </c>
      <c r="F808" s="11">
        <v>3</v>
      </c>
      <c r="G808" s="12">
        <v>0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2">
        <v>0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3</v>
      </c>
      <c r="AK808" s="13">
        <v>3</v>
      </c>
      <c r="AL808" s="10">
        <v>3</v>
      </c>
      <c r="AM808" s="10">
        <v>3</v>
      </c>
      <c r="AN808" s="29">
        <v>0.75</v>
      </c>
    </row>
    <row r="809">
      <c r="A809" s="23">
        <v>6114</v>
      </c>
      <c r="B809" s="4" t="s">
        <v>1081</v>
      </c>
      <c r="C809" s="4" t="s">
        <v>264</v>
      </c>
      <c r="D809" s="4" t="s">
        <v>265</v>
      </c>
      <c r="E809" s="4" t="s">
        <v>1082</v>
      </c>
      <c r="F809" s="6">
        <v>15</v>
      </c>
      <c r="G809" s="5">
        <v>3</v>
      </c>
      <c r="H809" s="7">
        <v>0</v>
      </c>
      <c r="I809" s="7">
        <v>0</v>
      </c>
      <c r="J809" s="5">
        <v>11</v>
      </c>
      <c r="K809" s="7">
        <v>0</v>
      </c>
      <c r="L809" s="5">
        <v>1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14</v>
      </c>
      <c r="V809" s="5">
        <v>3</v>
      </c>
      <c r="W809" s="7">
        <v>0</v>
      </c>
      <c r="X809" s="7">
        <v>0</v>
      </c>
      <c r="Y809" s="5">
        <v>10</v>
      </c>
      <c r="Z809" s="7">
        <v>0</v>
      </c>
      <c r="AA809" s="5">
        <v>1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</v>
      </c>
      <c r="AL809" s="5">
        <v>3</v>
      </c>
      <c r="AM809" s="5">
        <v>6</v>
      </c>
      <c r="AN809" s="28">
        <v>2.6</v>
      </c>
    </row>
    <row r="810">
      <c r="A810" s="24">
        <v>6162</v>
      </c>
      <c r="B810" s="9" t="s">
        <v>1083</v>
      </c>
      <c r="C810" s="9" t="s">
        <v>264</v>
      </c>
      <c r="D810" s="9" t="s">
        <v>831</v>
      </c>
      <c r="E810" s="9" t="s">
        <v>1084</v>
      </c>
      <c r="F810" s="11">
        <v>3</v>
      </c>
      <c r="G810" s="10">
        <v>2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1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43">
        <v>0</v>
      </c>
    </row>
    <row r="811">
      <c r="A811" s="23">
        <v>6202</v>
      </c>
      <c r="B811" s="4" t="s">
        <v>1085</v>
      </c>
      <c r="C811" s="4" t="s">
        <v>700</v>
      </c>
      <c r="D811" s="4" t="s">
        <v>1086</v>
      </c>
      <c r="E811" s="4" t="s">
        <v>374</v>
      </c>
      <c r="F811" s="6">
        <v>6</v>
      </c>
      <c r="G811" s="5">
        <v>1</v>
      </c>
      <c r="H811" s="7">
        <v>0</v>
      </c>
      <c r="I811" s="5">
        <v>3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6</v>
      </c>
      <c r="V811" s="5">
        <v>1</v>
      </c>
      <c r="W811" s="7">
        <v>0</v>
      </c>
      <c r="X811" s="5">
        <v>3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3</v>
      </c>
      <c r="AN811" s="28">
        <v>0.26</v>
      </c>
    </row>
    <row r="812">
      <c r="A812" s="24">
        <v>6227</v>
      </c>
      <c r="B812" s="9" t="s">
        <v>1087</v>
      </c>
      <c r="C812" s="9" t="s">
        <v>630</v>
      </c>
      <c r="D812" s="9" t="s">
        <v>631</v>
      </c>
      <c r="E812" s="9" t="s">
        <v>1074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0.26</v>
      </c>
    </row>
    <row r="813">
      <c r="A813" s="23">
        <v>6228</v>
      </c>
      <c r="B813" s="4" t="s">
        <v>1088</v>
      </c>
      <c r="C813" s="4" t="s">
        <v>630</v>
      </c>
      <c r="D813" s="4" t="s">
        <v>631</v>
      </c>
      <c r="E813" s="4" t="s">
        <v>1074</v>
      </c>
      <c r="F813" s="6">
        <v>2</v>
      </c>
      <c r="G813" s="7">
        <v>0</v>
      </c>
      <c r="H813" s="7">
        <v>0</v>
      </c>
      <c r="I813" s="7">
        <v>0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7">
        <v>0</v>
      </c>
      <c r="W813" s="7">
        <v>0</v>
      </c>
      <c r="X813" s="7">
        <v>0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28">
        <v>0.5</v>
      </c>
    </row>
    <row r="814">
      <c r="A814" s="24">
        <v>6269</v>
      </c>
      <c r="B814" s="9" t="s">
        <v>1089</v>
      </c>
      <c r="C814" s="9" t="s">
        <v>63</v>
      </c>
      <c r="D814" s="9" t="s">
        <v>73</v>
      </c>
      <c r="E814" s="9" t="s">
        <v>74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6274</v>
      </c>
      <c r="B815" s="4" t="s">
        <v>1090</v>
      </c>
      <c r="C815" s="4" t="s">
        <v>63</v>
      </c>
      <c r="D815" s="4" t="s">
        <v>77</v>
      </c>
      <c r="E815" s="4" t="s">
        <v>78</v>
      </c>
      <c r="F815" s="6">
        <v>3</v>
      </c>
      <c r="G815" s="5">
        <v>1</v>
      </c>
      <c r="H815" s="7">
        <v>0</v>
      </c>
      <c r="I815" s="7">
        <v>0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5">
        <v>1</v>
      </c>
      <c r="W815" s="7">
        <v>0</v>
      </c>
      <c r="X815" s="7">
        <v>0</v>
      </c>
      <c r="Y815" s="5">
        <v>2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0.75</v>
      </c>
    </row>
    <row r="816">
      <c r="A816" s="24">
        <v>6280</v>
      </c>
      <c r="B816" s="9" t="s">
        <v>1091</v>
      </c>
      <c r="C816" s="9" t="s">
        <v>63</v>
      </c>
      <c r="D816" s="9" t="s">
        <v>73</v>
      </c>
      <c r="E816" s="9" t="s">
        <v>74</v>
      </c>
      <c r="F816" s="11">
        <v>1</v>
      </c>
      <c r="G816" s="12">
        <v>0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6286</v>
      </c>
      <c r="B817" s="4" t="s">
        <v>1092</v>
      </c>
      <c r="C817" s="4" t="s">
        <v>63</v>
      </c>
      <c r="D817" s="4" t="s">
        <v>73</v>
      </c>
      <c r="E817" s="4" t="s">
        <v>171</v>
      </c>
      <c r="F817" s="6">
        <v>56</v>
      </c>
      <c r="G817" s="7">
        <v>0</v>
      </c>
      <c r="H817" s="7">
        <v>0</v>
      </c>
      <c r="I817" s="7">
        <v>0</v>
      </c>
      <c r="J817" s="5">
        <v>56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51</v>
      </c>
      <c r="V817" s="7">
        <v>0</v>
      </c>
      <c r="W817" s="7">
        <v>0</v>
      </c>
      <c r="X817" s="7">
        <v>0</v>
      </c>
      <c r="Y817" s="5">
        <v>51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28</v>
      </c>
      <c r="AL817" s="5">
        <v>28</v>
      </c>
      <c r="AM817" s="5">
        <v>55</v>
      </c>
      <c r="AN817" s="28">
        <v>12.75</v>
      </c>
    </row>
    <row r="818">
      <c r="A818" s="24">
        <v>6300</v>
      </c>
      <c r="B818" s="9" t="s">
        <v>1093</v>
      </c>
      <c r="C818" s="9" t="s">
        <v>63</v>
      </c>
      <c r="D818" s="9" t="s">
        <v>84</v>
      </c>
      <c r="E818" s="9" t="s">
        <v>362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0.25</v>
      </c>
    </row>
    <row r="819">
      <c r="A819" s="23">
        <v>6313</v>
      </c>
      <c r="B819" s="4" t="s">
        <v>1094</v>
      </c>
      <c r="C819" s="4" t="s">
        <v>179</v>
      </c>
      <c r="D819" s="4" t="s">
        <v>180</v>
      </c>
      <c r="E819" s="4" t="s">
        <v>189</v>
      </c>
      <c r="F819" s="6">
        <v>1</v>
      </c>
      <c r="G819" s="7">
        <v>0</v>
      </c>
      <c r="H819" s="7">
        <v>0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6345</v>
      </c>
      <c r="B820" s="9" t="s">
        <v>1095</v>
      </c>
      <c r="C820" s="9" t="s">
        <v>63</v>
      </c>
      <c r="D820" s="9" t="s">
        <v>73</v>
      </c>
      <c r="E820" s="9" t="s">
        <v>171</v>
      </c>
      <c r="F820" s="11">
        <v>2</v>
      </c>
      <c r="G820" s="12">
        <v>0</v>
      </c>
      <c r="H820" s="12">
        <v>0</v>
      </c>
      <c r="I820" s="12">
        <v>0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2">
        <v>0</v>
      </c>
      <c r="W820" s="12">
        <v>0</v>
      </c>
      <c r="X820" s="12">
        <v>0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0.52</v>
      </c>
    </row>
    <row r="821">
      <c r="A821" s="23">
        <v>6349</v>
      </c>
      <c r="B821" s="4" t="s">
        <v>1096</v>
      </c>
      <c r="C821" s="4" t="s">
        <v>179</v>
      </c>
      <c r="D821" s="4" t="s">
        <v>180</v>
      </c>
      <c r="E821" s="4" t="s">
        <v>181</v>
      </c>
      <c r="F821" s="6">
        <v>3</v>
      </c>
      <c r="G821" s="5">
        <v>1</v>
      </c>
      <c r="H821" s="7">
        <v>0</v>
      </c>
      <c r="I821" s="7">
        <v>0</v>
      </c>
      <c r="J821" s="7">
        <v>0</v>
      </c>
      <c r="K821" s="5">
        <v>1</v>
      </c>
      <c r="L821" s="5">
        <v>1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3</v>
      </c>
      <c r="V821" s="5">
        <v>1</v>
      </c>
      <c r="W821" s="7">
        <v>0</v>
      </c>
      <c r="X821" s="7">
        <v>0</v>
      </c>
      <c r="Y821" s="7">
        <v>0</v>
      </c>
      <c r="Z821" s="5">
        <v>1</v>
      </c>
      <c r="AA821" s="5">
        <v>1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0">
        <v>0</v>
      </c>
    </row>
    <row r="822">
      <c r="A822" s="24">
        <v>6372</v>
      </c>
      <c r="B822" s="9" t="s">
        <v>1097</v>
      </c>
      <c r="C822" s="9" t="s">
        <v>63</v>
      </c>
      <c r="D822" s="9" t="s">
        <v>84</v>
      </c>
      <c r="E822" s="9" t="s">
        <v>106</v>
      </c>
      <c r="F822" s="11">
        <v>1</v>
      </c>
      <c r="G822" s="12">
        <v>0</v>
      </c>
      <c r="H822" s="12">
        <v>0</v>
      </c>
      <c r="I822" s="10">
        <v>1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0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0.22</v>
      </c>
    </row>
    <row r="823">
      <c r="A823" s="23">
        <v>6434</v>
      </c>
      <c r="B823" s="4" t="s">
        <v>656</v>
      </c>
      <c r="C823" s="4" t="s">
        <v>63</v>
      </c>
      <c r="D823" s="4" t="s">
        <v>73</v>
      </c>
      <c r="E823" s="4" t="s">
        <v>171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6442</v>
      </c>
      <c r="B824" s="9" t="s">
        <v>1098</v>
      </c>
      <c r="C824" s="9" t="s">
        <v>63</v>
      </c>
      <c r="D824" s="9" t="s">
        <v>120</v>
      </c>
      <c r="E824" s="9" t="s">
        <v>132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0.34</v>
      </c>
    </row>
    <row r="825">
      <c r="A825" s="23">
        <v>6446</v>
      </c>
      <c r="B825" s="4" t="s">
        <v>1099</v>
      </c>
      <c r="C825" s="4" t="s">
        <v>63</v>
      </c>
      <c r="D825" s="4" t="s">
        <v>73</v>
      </c>
      <c r="E825" s="4" t="s">
        <v>171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6462</v>
      </c>
      <c r="B826" s="9" t="s">
        <v>1100</v>
      </c>
      <c r="C826" s="9" t="s">
        <v>179</v>
      </c>
      <c r="D826" s="9" t="s">
        <v>502</v>
      </c>
      <c r="E826" s="9" t="s">
        <v>503</v>
      </c>
      <c r="F826" s="11">
        <v>10</v>
      </c>
      <c r="G826" s="12">
        <v>0</v>
      </c>
      <c r="H826" s="12">
        <v>0</v>
      </c>
      <c r="I826" s="12">
        <v>0</v>
      </c>
      <c r="J826" s="10">
        <v>9</v>
      </c>
      <c r="K826" s="10">
        <v>1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8</v>
      </c>
      <c r="V826" s="12">
        <v>0</v>
      </c>
      <c r="W826" s="12">
        <v>0</v>
      </c>
      <c r="X826" s="12">
        <v>0</v>
      </c>
      <c r="Y826" s="10">
        <v>7</v>
      </c>
      <c r="Z826" s="10">
        <v>1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5</v>
      </c>
      <c r="AL826" s="10">
        <v>5</v>
      </c>
      <c r="AM826" s="10">
        <v>9</v>
      </c>
      <c r="AN826" s="29">
        <v>1.68</v>
      </c>
    </row>
    <row r="827">
      <c r="A827" s="23">
        <v>6467</v>
      </c>
      <c r="B827" s="4" t="s">
        <v>1101</v>
      </c>
      <c r="C827" s="4" t="s">
        <v>63</v>
      </c>
      <c r="D827" s="4" t="s">
        <v>77</v>
      </c>
      <c r="E827" s="4" t="s">
        <v>78</v>
      </c>
      <c r="F827" s="6">
        <v>2</v>
      </c>
      <c r="G827" s="5">
        <v>1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5">
        <v>1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0.26</v>
      </c>
    </row>
    <row r="828">
      <c r="A828" s="24">
        <v>6497</v>
      </c>
      <c r="B828" s="9" t="s">
        <v>1102</v>
      </c>
      <c r="C828" s="9" t="s">
        <v>248</v>
      </c>
      <c r="D828" s="9" t="s">
        <v>1103</v>
      </c>
      <c r="E828" s="9" t="s">
        <v>1104</v>
      </c>
      <c r="F828" s="11">
        <v>2</v>
      </c>
      <c r="G828" s="10">
        <v>1</v>
      </c>
      <c r="H828" s="12">
        <v>0</v>
      </c>
      <c r="I828" s="12">
        <v>0</v>
      </c>
      <c r="J828" s="12">
        <v>0</v>
      </c>
      <c r="K828" s="10">
        <v>1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0">
        <v>1</v>
      </c>
      <c r="W828" s="12">
        <v>0</v>
      </c>
      <c r="X828" s="12">
        <v>0</v>
      </c>
      <c r="Y828" s="12">
        <v>0</v>
      </c>
      <c r="Z828" s="10">
        <v>1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3">
        <v>0</v>
      </c>
    </row>
    <row r="829">
      <c r="A829" s="23">
        <v>6524</v>
      </c>
      <c r="B829" s="4" t="s">
        <v>1105</v>
      </c>
      <c r="C829" s="4" t="s">
        <v>630</v>
      </c>
      <c r="D829" s="4" t="s">
        <v>720</v>
      </c>
      <c r="E829" s="4" t="s">
        <v>1106</v>
      </c>
      <c r="F829" s="6">
        <v>1</v>
      </c>
      <c r="G829" s="7">
        <v>0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6526</v>
      </c>
      <c r="B830" s="9" t="s">
        <v>1107</v>
      </c>
      <c r="C830" s="9" t="s">
        <v>63</v>
      </c>
      <c r="D830" s="9" t="s">
        <v>102</v>
      </c>
      <c r="E830" s="9" t="s">
        <v>220</v>
      </c>
      <c r="F830" s="11">
        <v>5</v>
      </c>
      <c r="G830" s="10">
        <v>3</v>
      </c>
      <c r="H830" s="12">
        <v>0</v>
      </c>
      <c r="I830" s="10">
        <v>1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5</v>
      </c>
      <c r="V830" s="10">
        <v>3</v>
      </c>
      <c r="W830" s="12">
        <v>0</v>
      </c>
      <c r="X830" s="10">
        <v>1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1.67</v>
      </c>
      <c r="AL830" s="10">
        <v>1</v>
      </c>
      <c r="AM830" s="10">
        <v>3</v>
      </c>
      <c r="AN830" s="29">
        <v>0.26</v>
      </c>
    </row>
    <row r="831">
      <c r="A831" s="23">
        <v>6541</v>
      </c>
      <c r="B831" s="4" t="s">
        <v>1108</v>
      </c>
      <c r="C831" s="4" t="s">
        <v>264</v>
      </c>
      <c r="D831" s="4" t="s">
        <v>479</v>
      </c>
      <c r="E831" s="4" t="s">
        <v>1109</v>
      </c>
      <c r="F831" s="6">
        <v>4</v>
      </c>
      <c r="G831" s="5">
        <v>1</v>
      </c>
      <c r="H831" s="7">
        <v>0</v>
      </c>
      <c r="I831" s="5">
        <v>1</v>
      </c>
      <c r="J831" s="5">
        <v>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4</v>
      </c>
      <c r="V831" s="5">
        <v>1</v>
      </c>
      <c r="W831" s="7">
        <v>0</v>
      </c>
      <c r="X831" s="5">
        <v>1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6542</v>
      </c>
      <c r="B832" s="9" t="s">
        <v>1110</v>
      </c>
      <c r="C832" s="9" t="s">
        <v>264</v>
      </c>
      <c r="D832" s="9" t="s">
        <v>265</v>
      </c>
      <c r="E832" s="9" t="s">
        <v>1082</v>
      </c>
      <c r="F832" s="11">
        <v>2</v>
      </c>
      <c r="G832" s="12">
        <v>0</v>
      </c>
      <c r="H832" s="12">
        <v>0</v>
      </c>
      <c r="I832" s="10">
        <v>1</v>
      </c>
      <c r="J832" s="12">
        <v>0</v>
      </c>
      <c r="K832" s="12">
        <v>0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2">
        <v>0</v>
      </c>
      <c r="W832" s="12">
        <v>0</v>
      </c>
      <c r="X832" s="10">
        <v>1</v>
      </c>
      <c r="Y832" s="12">
        <v>0</v>
      </c>
      <c r="Z832" s="12">
        <v>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3">
        <v>0</v>
      </c>
    </row>
    <row r="833">
      <c r="A833" s="23">
        <v>6597</v>
      </c>
      <c r="B833" s="4" t="s">
        <v>1111</v>
      </c>
      <c r="C833" s="4" t="s">
        <v>63</v>
      </c>
      <c r="D833" s="4" t="s">
        <v>102</v>
      </c>
      <c r="E833" s="4" t="s">
        <v>144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6604</v>
      </c>
      <c r="B834" s="9" t="s">
        <v>1112</v>
      </c>
      <c r="C834" s="9" t="s">
        <v>63</v>
      </c>
      <c r="D834" s="9" t="s">
        <v>120</v>
      </c>
      <c r="E834" s="9" t="s">
        <v>291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6605</v>
      </c>
      <c r="B835" s="4" t="s">
        <v>1113</v>
      </c>
      <c r="C835" s="4" t="s">
        <v>630</v>
      </c>
      <c r="D835" s="4" t="s">
        <v>631</v>
      </c>
      <c r="E835" s="4" t="s">
        <v>1114</v>
      </c>
      <c r="F835" s="6">
        <v>6</v>
      </c>
      <c r="G835" s="7">
        <v>0</v>
      </c>
      <c r="H835" s="5">
        <v>1</v>
      </c>
      <c r="I835" s="7">
        <v>0</v>
      </c>
      <c r="J835" s="5">
        <v>5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6</v>
      </c>
      <c r="V835" s="7">
        <v>0</v>
      </c>
      <c r="W835" s="5">
        <v>1</v>
      </c>
      <c r="X835" s="7">
        <v>0</v>
      </c>
      <c r="Y835" s="5">
        <v>5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1.5</v>
      </c>
      <c r="AL835" s="5">
        <v>1</v>
      </c>
      <c r="AM835" s="5">
        <v>3</v>
      </c>
      <c r="AN835" s="28">
        <v>1.56</v>
      </c>
    </row>
    <row r="836">
      <c r="A836" s="24">
        <v>6622</v>
      </c>
      <c r="B836" s="9" t="s">
        <v>1115</v>
      </c>
      <c r="C836" s="9" t="s">
        <v>700</v>
      </c>
      <c r="D836" s="9" t="s">
        <v>1086</v>
      </c>
      <c r="E836" s="9" t="s">
        <v>374</v>
      </c>
      <c r="F836" s="11">
        <v>6</v>
      </c>
      <c r="G836" s="12">
        <v>0</v>
      </c>
      <c r="H836" s="12">
        <v>0</v>
      </c>
      <c r="I836" s="10">
        <v>1</v>
      </c>
      <c r="J836" s="10">
        <v>5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5</v>
      </c>
      <c r="V836" s="12">
        <v>0</v>
      </c>
      <c r="W836" s="12">
        <v>0</v>
      </c>
      <c r="X836" s="10">
        <v>1</v>
      </c>
      <c r="Y836" s="10">
        <v>4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3</v>
      </c>
      <c r="AL836" s="10">
        <v>3</v>
      </c>
      <c r="AM836" s="10">
        <v>5</v>
      </c>
      <c r="AN836" s="29">
        <v>1.04</v>
      </c>
    </row>
    <row r="837">
      <c r="A837" s="23">
        <v>6644</v>
      </c>
      <c r="B837" s="4" t="s">
        <v>1116</v>
      </c>
      <c r="C837" s="4" t="s">
        <v>630</v>
      </c>
      <c r="D837" s="4" t="s">
        <v>684</v>
      </c>
      <c r="E837" s="4" t="s">
        <v>1117</v>
      </c>
      <c r="F837" s="6">
        <v>2</v>
      </c>
      <c r="G837" s="7">
        <v>0</v>
      </c>
      <c r="H837" s="7">
        <v>0</v>
      </c>
      <c r="I837" s="5">
        <v>1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5">
        <v>1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0.24</v>
      </c>
    </row>
    <row r="838">
      <c r="A838" s="24">
        <v>6660</v>
      </c>
      <c r="B838" s="9" t="s">
        <v>1118</v>
      </c>
      <c r="C838" s="9" t="s">
        <v>63</v>
      </c>
      <c r="D838" s="9" t="s">
        <v>111</v>
      </c>
      <c r="E838" s="9" t="s">
        <v>240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6670</v>
      </c>
      <c r="B839" s="4" t="s">
        <v>1119</v>
      </c>
      <c r="C839" s="4" t="s">
        <v>63</v>
      </c>
      <c r="D839" s="4" t="s">
        <v>111</v>
      </c>
      <c r="E839" s="4" t="s">
        <v>243</v>
      </c>
      <c r="F839" s="6">
        <v>1</v>
      </c>
      <c r="G839" s="7">
        <v>0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6697</v>
      </c>
      <c r="B840" s="9" t="s">
        <v>1120</v>
      </c>
      <c r="C840" s="9" t="s">
        <v>700</v>
      </c>
      <c r="D840" s="9" t="s">
        <v>1067</v>
      </c>
      <c r="E840" s="9" t="s">
        <v>374</v>
      </c>
      <c r="F840" s="11">
        <v>8</v>
      </c>
      <c r="G840" s="12">
        <v>0</v>
      </c>
      <c r="H840" s="12">
        <v>0</v>
      </c>
      <c r="I840" s="12">
        <v>0</v>
      </c>
      <c r="J840" s="10">
        <v>8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8</v>
      </c>
      <c r="V840" s="12">
        <v>0</v>
      </c>
      <c r="W840" s="12">
        <v>0</v>
      </c>
      <c r="X840" s="12">
        <v>0</v>
      </c>
      <c r="Y840" s="10">
        <v>8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2.67</v>
      </c>
      <c r="AL840" s="10">
        <v>3</v>
      </c>
      <c r="AM840" s="10">
        <v>4</v>
      </c>
      <c r="AN840" s="29">
        <v>1.82</v>
      </c>
    </row>
    <row r="841">
      <c r="A841" s="23">
        <v>6707</v>
      </c>
      <c r="B841" s="4" t="s">
        <v>1121</v>
      </c>
      <c r="C841" s="4" t="s">
        <v>63</v>
      </c>
      <c r="D841" s="4" t="s">
        <v>111</v>
      </c>
      <c r="E841" s="4" t="s">
        <v>112</v>
      </c>
      <c r="F841" s="6">
        <v>1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6787</v>
      </c>
      <c r="B842" s="9" t="s">
        <v>1122</v>
      </c>
      <c r="C842" s="9" t="s">
        <v>1123</v>
      </c>
      <c r="D842" s="9" t="s">
        <v>1124</v>
      </c>
      <c r="E842" s="9" t="s">
        <v>374</v>
      </c>
      <c r="F842" s="11">
        <v>2</v>
      </c>
      <c r="G842" s="12">
        <v>0</v>
      </c>
      <c r="H842" s="10">
        <v>1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0">
        <v>1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0.5</v>
      </c>
    </row>
    <row r="843">
      <c r="A843" s="23">
        <v>6900</v>
      </c>
      <c r="B843" s="4" t="s">
        <v>1125</v>
      </c>
      <c r="C843" s="4" t="s">
        <v>63</v>
      </c>
      <c r="D843" s="4" t="s">
        <v>120</v>
      </c>
      <c r="E843" s="4" t="s">
        <v>121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6909</v>
      </c>
      <c r="B844" s="9" t="s">
        <v>1126</v>
      </c>
      <c r="C844" s="9" t="s">
        <v>63</v>
      </c>
      <c r="D844" s="9" t="s">
        <v>84</v>
      </c>
      <c r="E844" s="9" t="s">
        <v>522</v>
      </c>
      <c r="F844" s="11">
        <v>3</v>
      </c>
      <c r="G844" s="12">
        <v>0</v>
      </c>
      <c r="H844" s="12">
        <v>0</v>
      </c>
      <c r="I844" s="10">
        <v>3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2">
        <v>0</v>
      </c>
      <c r="W844" s="12">
        <v>0</v>
      </c>
      <c r="X844" s="10">
        <v>3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3</v>
      </c>
      <c r="AK844" s="13">
        <v>3</v>
      </c>
      <c r="AL844" s="10">
        <v>3</v>
      </c>
      <c r="AM844" s="10">
        <v>3</v>
      </c>
      <c r="AN844" s="29">
        <v>0.72</v>
      </c>
    </row>
    <row r="845">
      <c r="A845" s="23">
        <v>6911</v>
      </c>
      <c r="B845" s="4" t="s">
        <v>1127</v>
      </c>
      <c r="C845" s="4" t="s">
        <v>63</v>
      </c>
      <c r="D845" s="4" t="s">
        <v>64</v>
      </c>
      <c r="E845" s="4" t="s">
        <v>1128</v>
      </c>
      <c r="F845" s="6">
        <v>2</v>
      </c>
      <c r="G845" s="7">
        <v>0</v>
      </c>
      <c r="H845" s="7">
        <v>0</v>
      </c>
      <c r="I845" s="7">
        <v>0</v>
      </c>
      <c r="J845" s="5">
        <v>2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7">
        <v>0</v>
      </c>
      <c r="W845" s="7">
        <v>0</v>
      </c>
      <c r="X845" s="7">
        <v>0</v>
      </c>
      <c r="Y845" s="5">
        <v>2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28">
        <v>0.62</v>
      </c>
    </row>
    <row r="846">
      <c r="A846" s="24">
        <v>6914</v>
      </c>
      <c r="B846" s="9" t="s">
        <v>1129</v>
      </c>
      <c r="C846" s="9" t="s">
        <v>63</v>
      </c>
      <c r="D846" s="9" t="s">
        <v>135</v>
      </c>
      <c r="E846" s="9" t="s">
        <v>377</v>
      </c>
      <c r="F846" s="11">
        <v>4</v>
      </c>
      <c r="G846" s="12">
        <v>0</v>
      </c>
      <c r="H846" s="12">
        <v>0</v>
      </c>
      <c r="I846" s="12">
        <v>0</v>
      </c>
      <c r="J846" s="10">
        <v>4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2">
        <v>0</v>
      </c>
      <c r="W846" s="12">
        <v>0</v>
      </c>
      <c r="X846" s="12">
        <v>0</v>
      </c>
      <c r="Y846" s="10">
        <v>3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4</v>
      </c>
      <c r="AK846" s="13">
        <v>4</v>
      </c>
      <c r="AL846" s="10">
        <v>4</v>
      </c>
      <c r="AM846" s="10">
        <v>4</v>
      </c>
      <c r="AN846" s="29">
        <v>0.75</v>
      </c>
    </row>
    <row r="847">
      <c r="A847" s="23">
        <v>6947</v>
      </c>
      <c r="B847" s="4" t="s">
        <v>1130</v>
      </c>
      <c r="C847" s="4" t="s">
        <v>700</v>
      </c>
      <c r="D847" s="4" t="s">
        <v>755</v>
      </c>
      <c r="E847" s="4" t="s">
        <v>374</v>
      </c>
      <c r="F847" s="6">
        <v>3</v>
      </c>
      <c r="G847" s="7">
        <v>0</v>
      </c>
      <c r="H847" s="7">
        <v>0</v>
      </c>
      <c r="I847" s="5">
        <v>3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7">
        <v>0</v>
      </c>
      <c r="W847" s="7">
        <v>0</v>
      </c>
      <c r="X847" s="5">
        <v>3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30">
        <v>0</v>
      </c>
    </row>
    <row r="848">
      <c r="A848" s="24">
        <v>6971</v>
      </c>
      <c r="B848" s="9" t="s">
        <v>1131</v>
      </c>
      <c r="C848" s="9" t="s">
        <v>264</v>
      </c>
      <c r="D848" s="9" t="s">
        <v>479</v>
      </c>
      <c r="E848" s="9" t="s">
        <v>480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3">
        <v>0</v>
      </c>
    </row>
    <row r="849">
      <c r="A849" s="23">
        <v>6997</v>
      </c>
      <c r="B849" s="4" t="s">
        <v>1132</v>
      </c>
      <c r="C849" s="4" t="s">
        <v>264</v>
      </c>
      <c r="D849" s="4" t="s">
        <v>479</v>
      </c>
      <c r="E849" s="4" t="s">
        <v>480</v>
      </c>
      <c r="F849" s="6">
        <v>2</v>
      </c>
      <c r="G849" s="7">
        <v>0</v>
      </c>
      <c r="H849" s="7">
        <v>0</v>
      </c>
      <c r="I849" s="5">
        <v>2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7">
        <v>0</v>
      </c>
      <c r="W849" s="7">
        <v>0</v>
      </c>
      <c r="X849" s="5">
        <v>2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30">
        <v>0</v>
      </c>
    </row>
    <row r="850">
      <c r="A850" s="24">
        <v>7152</v>
      </c>
      <c r="B850" s="9" t="s">
        <v>1133</v>
      </c>
      <c r="C850" s="9" t="s">
        <v>1069</v>
      </c>
      <c r="D850" s="9" t="s">
        <v>1134</v>
      </c>
      <c r="E850" s="9" t="s">
        <v>1135</v>
      </c>
      <c r="F850" s="11">
        <v>1</v>
      </c>
      <c r="G850" s="12">
        <v>0</v>
      </c>
      <c r="H850" s="10">
        <v>1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0">
        <v>1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0.24</v>
      </c>
    </row>
    <row r="851">
      <c r="A851" s="23">
        <v>7162</v>
      </c>
      <c r="B851" s="4" t="s">
        <v>1136</v>
      </c>
      <c r="C851" s="4" t="s">
        <v>1069</v>
      </c>
      <c r="D851" s="4" t="s">
        <v>1137</v>
      </c>
      <c r="E851" s="4" t="s">
        <v>1138</v>
      </c>
      <c r="F851" s="6">
        <v>3</v>
      </c>
      <c r="G851" s="7">
        <v>0</v>
      </c>
      <c r="H851" s="7">
        <v>0</v>
      </c>
      <c r="I851" s="5">
        <v>3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</v>
      </c>
      <c r="V851" s="7">
        <v>0</v>
      </c>
      <c r="W851" s="7">
        <v>0</v>
      </c>
      <c r="X851" s="5">
        <v>3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3</v>
      </c>
      <c r="AK851" s="8">
        <v>3</v>
      </c>
      <c r="AL851" s="5">
        <v>3</v>
      </c>
      <c r="AM851" s="5">
        <v>3</v>
      </c>
      <c r="AN851" s="30">
        <v>0</v>
      </c>
    </row>
    <row r="852">
      <c r="A852" s="24">
        <v>7201</v>
      </c>
      <c r="B852" s="9" t="s">
        <v>1139</v>
      </c>
      <c r="C852" s="9" t="s">
        <v>1123</v>
      </c>
      <c r="D852" s="9" t="s">
        <v>1140</v>
      </c>
      <c r="E852" s="9" t="s">
        <v>374</v>
      </c>
      <c r="F852" s="11">
        <v>3</v>
      </c>
      <c r="G852" s="12">
        <v>0</v>
      </c>
      <c r="H852" s="10">
        <v>2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3</v>
      </c>
      <c r="V852" s="12">
        <v>0</v>
      </c>
      <c r="W852" s="10">
        <v>2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0.75</v>
      </c>
    </row>
    <row r="853">
      <c r="A853" s="23">
        <v>7216</v>
      </c>
      <c r="B853" s="4" t="s">
        <v>1141</v>
      </c>
      <c r="C853" s="4" t="s">
        <v>179</v>
      </c>
      <c r="D853" s="4" t="s">
        <v>1142</v>
      </c>
      <c r="E853" s="4" t="s">
        <v>1143</v>
      </c>
      <c r="F853" s="6">
        <v>1</v>
      </c>
      <c r="G853" s="7">
        <v>0</v>
      </c>
      <c r="H853" s="5">
        <v>1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5">
        <v>1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7257</v>
      </c>
      <c r="B854" s="9" t="s">
        <v>1144</v>
      </c>
      <c r="C854" s="9" t="s">
        <v>63</v>
      </c>
      <c r="D854" s="9" t="s">
        <v>120</v>
      </c>
      <c r="E854" s="9" t="s">
        <v>121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7341</v>
      </c>
      <c r="B855" s="4" t="s">
        <v>1145</v>
      </c>
      <c r="C855" s="4" t="s">
        <v>815</v>
      </c>
      <c r="D855" s="4" t="s">
        <v>374</v>
      </c>
      <c r="E855" s="4" t="s">
        <v>374</v>
      </c>
      <c r="F855" s="6">
        <v>3</v>
      </c>
      <c r="G855" s="7">
        <v>0</v>
      </c>
      <c r="H855" s="5">
        <v>2</v>
      </c>
      <c r="I855" s="5">
        <v>1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7">
        <v>0</v>
      </c>
      <c r="W855" s="5">
        <v>2</v>
      </c>
      <c r="X855" s="5">
        <v>1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2</v>
      </c>
      <c r="AN855" s="28">
        <v>0.5</v>
      </c>
    </row>
    <row r="856">
      <c r="A856" s="24">
        <v>7349</v>
      </c>
      <c r="B856" s="9" t="s">
        <v>1146</v>
      </c>
      <c r="C856" s="9" t="s">
        <v>264</v>
      </c>
      <c r="D856" s="9" t="s">
        <v>383</v>
      </c>
      <c r="E856" s="9" t="s">
        <v>1147</v>
      </c>
      <c r="F856" s="11">
        <v>2</v>
      </c>
      <c r="G856" s="12">
        <v>0</v>
      </c>
      <c r="H856" s="12">
        <v>0</v>
      </c>
      <c r="I856" s="10">
        <v>1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2">
        <v>0</v>
      </c>
      <c r="W856" s="12">
        <v>0</v>
      </c>
      <c r="X856" s="10">
        <v>1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0.22</v>
      </c>
    </row>
    <row r="857">
      <c r="A857" s="23">
        <v>7369</v>
      </c>
      <c r="B857" s="4" t="s">
        <v>1148</v>
      </c>
      <c r="C857" s="4" t="s">
        <v>63</v>
      </c>
      <c r="D857" s="4" t="s">
        <v>73</v>
      </c>
      <c r="E857" s="4" t="s">
        <v>130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7370</v>
      </c>
      <c r="B858" s="9" t="s">
        <v>1149</v>
      </c>
      <c r="C858" s="9" t="s">
        <v>63</v>
      </c>
      <c r="D858" s="9" t="s">
        <v>73</v>
      </c>
      <c r="E858" s="9" t="s">
        <v>130</v>
      </c>
      <c r="F858" s="11">
        <v>4</v>
      </c>
      <c r="G858" s="12">
        <v>0</v>
      </c>
      <c r="H858" s="12">
        <v>0</v>
      </c>
      <c r="I858" s="12">
        <v>0</v>
      </c>
      <c r="J858" s="10">
        <v>4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2">
        <v>0</v>
      </c>
      <c r="W858" s="12">
        <v>0</v>
      </c>
      <c r="X858" s="12">
        <v>0</v>
      </c>
      <c r="Y858" s="10">
        <v>4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4</v>
      </c>
      <c r="AK858" s="13">
        <v>4</v>
      </c>
      <c r="AL858" s="10">
        <v>4</v>
      </c>
      <c r="AM858" s="10">
        <v>4</v>
      </c>
      <c r="AN858" s="29">
        <v>1</v>
      </c>
    </row>
    <row r="859">
      <c r="A859" s="23">
        <v>7439</v>
      </c>
      <c r="B859" s="4" t="s">
        <v>1150</v>
      </c>
      <c r="C859" s="4" t="s">
        <v>700</v>
      </c>
      <c r="D859" s="4" t="s">
        <v>1151</v>
      </c>
      <c r="E859" s="4" t="s">
        <v>374</v>
      </c>
      <c r="F859" s="6">
        <v>5</v>
      </c>
      <c r="G859" s="7">
        <v>0</v>
      </c>
      <c r="H859" s="5">
        <v>2</v>
      </c>
      <c r="I859" s="5">
        <v>2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5</v>
      </c>
      <c r="V859" s="7">
        <v>0</v>
      </c>
      <c r="W859" s="5">
        <v>2</v>
      </c>
      <c r="X859" s="5">
        <v>2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1.67</v>
      </c>
      <c r="AL859" s="5">
        <v>2</v>
      </c>
      <c r="AM859" s="5">
        <v>2</v>
      </c>
      <c r="AN859" s="28">
        <v>0.75</v>
      </c>
    </row>
    <row r="860">
      <c r="A860" s="24">
        <v>7496</v>
      </c>
      <c r="B860" s="9" t="s">
        <v>1152</v>
      </c>
      <c r="C860" s="9" t="s">
        <v>63</v>
      </c>
      <c r="D860" s="9" t="s">
        <v>67</v>
      </c>
      <c r="E860" s="9" t="s">
        <v>168</v>
      </c>
      <c r="F860" s="11">
        <v>2</v>
      </c>
      <c r="G860" s="12">
        <v>0</v>
      </c>
      <c r="H860" s="10">
        <v>1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2">
        <v>0</v>
      </c>
      <c r="W860" s="10">
        <v>1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0.32</v>
      </c>
    </row>
    <row r="861">
      <c r="A861" s="23">
        <v>7514</v>
      </c>
      <c r="B861" s="4" t="s">
        <v>1153</v>
      </c>
      <c r="C861" s="4" t="s">
        <v>264</v>
      </c>
      <c r="D861" s="4" t="s">
        <v>479</v>
      </c>
      <c r="E861" s="4" t="s">
        <v>480</v>
      </c>
      <c r="F861" s="6">
        <v>1</v>
      </c>
      <c r="G861" s="7">
        <v>0</v>
      </c>
      <c r="H861" s="5">
        <v>1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5">
        <v>1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0.22</v>
      </c>
    </row>
    <row r="862">
      <c r="A862" s="24">
        <v>7534</v>
      </c>
      <c r="B862" s="9" t="s">
        <v>1154</v>
      </c>
      <c r="C862" s="9" t="s">
        <v>63</v>
      </c>
      <c r="D862" s="9" t="s">
        <v>70</v>
      </c>
      <c r="E862" s="9" t="s">
        <v>71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3">
        <v>0</v>
      </c>
    </row>
    <row r="863">
      <c r="A863" s="23">
        <v>7561</v>
      </c>
      <c r="B863" s="4" t="s">
        <v>1155</v>
      </c>
      <c r="C863" s="4" t="s">
        <v>264</v>
      </c>
      <c r="D863" s="4" t="s">
        <v>479</v>
      </c>
      <c r="E863" s="4" t="s">
        <v>480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7578</v>
      </c>
      <c r="B864" s="9" t="s">
        <v>1156</v>
      </c>
      <c r="C864" s="9" t="s">
        <v>63</v>
      </c>
      <c r="D864" s="9" t="s">
        <v>102</v>
      </c>
      <c r="E864" s="9" t="s">
        <v>220</v>
      </c>
      <c r="F864" s="11">
        <v>2</v>
      </c>
      <c r="G864" s="10">
        <v>1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1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0.62</v>
      </c>
    </row>
    <row r="865">
      <c r="A865" s="23">
        <v>7586</v>
      </c>
      <c r="B865" s="4" t="s">
        <v>1157</v>
      </c>
      <c r="C865" s="4" t="s">
        <v>63</v>
      </c>
      <c r="D865" s="4" t="s">
        <v>84</v>
      </c>
      <c r="E865" s="4" t="s">
        <v>1158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7589</v>
      </c>
      <c r="B866" s="9" t="s">
        <v>1159</v>
      </c>
      <c r="C866" s="9" t="s">
        <v>63</v>
      </c>
      <c r="D866" s="9" t="s">
        <v>73</v>
      </c>
      <c r="E866" s="9" t="s">
        <v>130</v>
      </c>
      <c r="F866" s="11">
        <v>3</v>
      </c>
      <c r="G866" s="12">
        <v>0</v>
      </c>
      <c r="H866" s="12">
        <v>0</v>
      </c>
      <c r="I866" s="10">
        <v>1</v>
      </c>
      <c r="J866" s="10">
        <v>2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2">
        <v>0</v>
      </c>
      <c r="W866" s="12">
        <v>0</v>
      </c>
      <c r="X866" s="10">
        <v>1</v>
      </c>
      <c r="Y866" s="10">
        <v>2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43">
        <v>0</v>
      </c>
    </row>
    <row r="867">
      <c r="A867" s="23">
        <v>7598</v>
      </c>
      <c r="B867" s="4" t="s">
        <v>1160</v>
      </c>
      <c r="C867" s="4" t="s">
        <v>63</v>
      </c>
      <c r="D867" s="4" t="s">
        <v>108</v>
      </c>
      <c r="E867" s="4" t="s">
        <v>641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7622</v>
      </c>
      <c r="B868" s="9" t="s">
        <v>1161</v>
      </c>
      <c r="C868" s="9" t="s">
        <v>63</v>
      </c>
      <c r="D868" s="9" t="s">
        <v>120</v>
      </c>
      <c r="E868" s="9" t="s">
        <v>499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43">
        <v>0</v>
      </c>
    </row>
    <row r="869">
      <c r="A869" s="23">
        <v>7633</v>
      </c>
      <c r="B869" s="4" t="s">
        <v>1162</v>
      </c>
      <c r="C869" s="4" t="s">
        <v>63</v>
      </c>
      <c r="D869" s="4" t="s">
        <v>73</v>
      </c>
      <c r="E869" s="4" t="s">
        <v>138</v>
      </c>
      <c r="F869" s="6">
        <v>1</v>
      </c>
      <c r="G869" s="7">
        <v>0</v>
      </c>
      <c r="H869" s="5">
        <v>1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7">
        <v>0</v>
      </c>
      <c r="W869" s="5">
        <v>1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7650</v>
      </c>
      <c r="B870" s="9" t="s">
        <v>1163</v>
      </c>
      <c r="C870" s="9" t="s">
        <v>63</v>
      </c>
      <c r="D870" s="9" t="s">
        <v>70</v>
      </c>
      <c r="E870" s="9" t="s">
        <v>495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3">
        <v>0</v>
      </c>
    </row>
    <row r="871">
      <c r="A871" s="23">
        <v>7665</v>
      </c>
      <c r="B871" s="4" t="s">
        <v>1164</v>
      </c>
      <c r="C871" s="4" t="s">
        <v>63</v>
      </c>
      <c r="D871" s="4" t="s">
        <v>73</v>
      </c>
      <c r="E871" s="4" t="s">
        <v>74</v>
      </c>
      <c r="F871" s="6">
        <v>4</v>
      </c>
      <c r="G871" s="5">
        <v>2</v>
      </c>
      <c r="H871" s="7">
        <v>0</v>
      </c>
      <c r="I871" s="5">
        <v>2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4</v>
      </c>
      <c r="V871" s="5">
        <v>2</v>
      </c>
      <c r="W871" s="7">
        <v>0</v>
      </c>
      <c r="X871" s="5">
        <v>2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30">
        <v>0</v>
      </c>
    </row>
    <row r="872">
      <c r="A872" s="24">
        <v>7666</v>
      </c>
      <c r="B872" s="9" t="s">
        <v>1165</v>
      </c>
      <c r="C872" s="9" t="s">
        <v>63</v>
      </c>
      <c r="D872" s="9" t="s">
        <v>73</v>
      </c>
      <c r="E872" s="9" t="s">
        <v>130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3">
        <v>0</v>
      </c>
    </row>
    <row r="873">
      <c r="A873" s="23">
        <v>7818</v>
      </c>
      <c r="B873" s="4" t="s">
        <v>1166</v>
      </c>
      <c r="C873" s="4" t="s">
        <v>1069</v>
      </c>
      <c r="D873" s="4" t="s">
        <v>1070</v>
      </c>
      <c r="E873" s="4" t="s">
        <v>1167</v>
      </c>
      <c r="F873" s="6">
        <v>1</v>
      </c>
      <c r="G873" s="7">
        <v>0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7925</v>
      </c>
      <c r="B874" s="9" t="s">
        <v>1168</v>
      </c>
      <c r="C874" s="9" t="s">
        <v>179</v>
      </c>
      <c r="D874" s="9" t="s">
        <v>885</v>
      </c>
      <c r="E874" s="9" t="s">
        <v>886</v>
      </c>
      <c r="F874" s="11">
        <v>2</v>
      </c>
      <c r="G874" s="12">
        <v>0</v>
      </c>
      <c r="H874" s="10">
        <v>2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2">
        <v>0</v>
      </c>
      <c r="W874" s="10">
        <v>2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0.35</v>
      </c>
    </row>
    <row r="875">
      <c r="A875" s="23">
        <v>7935</v>
      </c>
      <c r="B875" s="4" t="s">
        <v>1169</v>
      </c>
      <c r="C875" s="4" t="s">
        <v>63</v>
      </c>
      <c r="D875" s="4" t="s">
        <v>135</v>
      </c>
      <c r="E875" s="4" t="s">
        <v>377</v>
      </c>
      <c r="F875" s="6">
        <v>8</v>
      </c>
      <c r="G875" s="5">
        <v>8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8</v>
      </c>
      <c r="V875" s="5">
        <v>8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8</v>
      </c>
      <c r="AK875" s="8">
        <v>8</v>
      </c>
      <c r="AL875" s="5">
        <v>8</v>
      </c>
      <c r="AM875" s="5">
        <v>8</v>
      </c>
      <c r="AN875" s="30">
        <v>0</v>
      </c>
    </row>
    <row r="876">
      <c r="A876" s="24">
        <v>8021</v>
      </c>
      <c r="B876" s="9" t="s">
        <v>1170</v>
      </c>
      <c r="C876" s="9" t="s">
        <v>248</v>
      </c>
      <c r="D876" s="9" t="s">
        <v>249</v>
      </c>
      <c r="E876" s="9" t="s">
        <v>1171</v>
      </c>
      <c r="F876" s="11">
        <v>1</v>
      </c>
      <c r="G876" s="12">
        <v>0</v>
      </c>
      <c r="H876" s="10">
        <v>1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0">
        <v>1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8043</v>
      </c>
      <c r="B877" s="4" t="s">
        <v>1172</v>
      </c>
      <c r="C877" s="4" t="s">
        <v>619</v>
      </c>
      <c r="D877" s="4" t="s">
        <v>623</v>
      </c>
      <c r="E877" s="4" t="s">
        <v>1030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0.26</v>
      </c>
    </row>
    <row r="878">
      <c r="A878" s="24">
        <v>8132</v>
      </c>
      <c r="B878" s="9" t="s">
        <v>1173</v>
      </c>
      <c r="C878" s="9" t="s">
        <v>63</v>
      </c>
      <c r="D878" s="9" t="s">
        <v>84</v>
      </c>
      <c r="E878" s="9" t="s">
        <v>85</v>
      </c>
      <c r="F878" s="11">
        <v>5</v>
      </c>
      <c r="G878" s="10">
        <v>1</v>
      </c>
      <c r="H878" s="12">
        <v>0</v>
      </c>
      <c r="I878" s="12">
        <v>0</v>
      </c>
      <c r="J878" s="10">
        <v>4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5</v>
      </c>
      <c r="V878" s="10">
        <v>1</v>
      </c>
      <c r="W878" s="12">
        <v>0</v>
      </c>
      <c r="X878" s="12">
        <v>0</v>
      </c>
      <c r="Y878" s="10">
        <v>4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1.25</v>
      </c>
      <c r="AL878" s="10">
        <v>1</v>
      </c>
      <c r="AM878" s="10">
        <v>2</v>
      </c>
      <c r="AN878" s="29">
        <v>1.3</v>
      </c>
    </row>
    <row r="879">
      <c r="A879" s="23">
        <v>8178</v>
      </c>
      <c r="B879" s="4" t="s">
        <v>1174</v>
      </c>
      <c r="C879" s="4" t="s">
        <v>264</v>
      </c>
      <c r="D879" s="4" t="s">
        <v>479</v>
      </c>
      <c r="E879" s="4" t="s">
        <v>1109</v>
      </c>
      <c r="F879" s="6">
        <v>2</v>
      </c>
      <c r="G879" s="7">
        <v>0</v>
      </c>
      <c r="H879" s="5">
        <v>2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5">
        <v>1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</v>
      </c>
      <c r="AL879" s="5">
        <v>2</v>
      </c>
      <c r="AM879" s="5">
        <v>2</v>
      </c>
      <c r="AN879" s="28">
        <v>0.22</v>
      </c>
    </row>
    <row r="880">
      <c r="A880" s="24">
        <v>8213</v>
      </c>
      <c r="B880" s="9" t="s">
        <v>1175</v>
      </c>
      <c r="C880" s="9" t="s">
        <v>63</v>
      </c>
      <c r="D880" s="9" t="s">
        <v>111</v>
      </c>
      <c r="E880" s="9" t="s">
        <v>240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3">
        <v>0</v>
      </c>
    </row>
    <row r="881">
      <c r="A881" s="23">
        <v>8214</v>
      </c>
      <c r="B881" s="4" t="s">
        <v>1176</v>
      </c>
      <c r="C881" s="4" t="s">
        <v>63</v>
      </c>
      <c r="D881" s="4" t="s">
        <v>111</v>
      </c>
      <c r="E881" s="4" t="s">
        <v>223</v>
      </c>
      <c r="F881" s="6">
        <v>3</v>
      </c>
      <c r="G881" s="5">
        <v>3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3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3</v>
      </c>
      <c r="AK881" s="8">
        <v>3</v>
      </c>
      <c r="AL881" s="5">
        <v>3</v>
      </c>
      <c r="AM881" s="5">
        <v>3</v>
      </c>
      <c r="AN881" s="30">
        <v>0</v>
      </c>
    </row>
    <row r="882">
      <c r="A882" s="24">
        <v>8278</v>
      </c>
      <c r="B882" s="9" t="s">
        <v>1177</v>
      </c>
      <c r="C882" s="9" t="s">
        <v>179</v>
      </c>
      <c r="D882" s="9" t="s">
        <v>201</v>
      </c>
      <c r="E882" s="9" t="s">
        <v>202</v>
      </c>
      <c r="F882" s="11">
        <v>3</v>
      </c>
      <c r="G882" s="10">
        <v>2</v>
      </c>
      <c r="H882" s="10">
        <v>1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3</v>
      </c>
      <c r="V882" s="10">
        <v>2</v>
      </c>
      <c r="W882" s="10">
        <v>1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1.5</v>
      </c>
      <c r="AL882" s="10">
        <v>1</v>
      </c>
      <c r="AM882" s="10">
        <v>2</v>
      </c>
      <c r="AN882" s="43">
        <v>0</v>
      </c>
    </row>
    <row r="883">
      <c r="A883" s="23">
        <v>8292</v>
      </c>
      <c r="B883" s="4" t="s">
        <v>1178</v>
      </c>
      <c r="C883" s="4" t="s">
        <v>63</v>
      </c>
      <c r="D883" s="4" t="s">
        <v>111</v>
      </c>
      <c r="E883" s="4" t="s">
        <v>223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8335</v>
      </c>
      <c r="B884" s="9" t="s">
        <v>1179</v>
      </c>
      <c r="C884" s="9" t="s">
        <v>63</v>
      </c>
      <c r="D884" s="9" t="s">
        <v>89</v>
      </c>
      <c r="E884" s="9" t="s">
        <v>90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3">
        <v>0</v>
      </c>
    </row>
    <row r="885">
      <c r="A885" s="23">
        <v>8352</v>
      </c>
      <c r="B885" s="4" t="s">
        <v>1180</v>
      </c>
      <c r="C885" s="4" t="s">
        <v>700</v>
      </c>
      <c r="D885" s="4" t="s">
        <v>701</v>
      </c>
      <c r="E885" s="4" t="s">
        <v>374</v>
      </c>
      <c r="F885" s="6">
        <v>1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5">
        <v>1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5">
        <v>1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8381</v>
      </c>
      <c r="B886" s="9" t="s">
        <v>1181</v>
      </c>
      <c r="C886" s="9" t="s">
        <v>264</v>
      </c>
      <c r="D886" s="9" t="s">
        <v>453</v>
      </c>
      <c r="E886" s="9" t="s">
        <v>1182</v>
      </c>
      <c r="F886" s="11">
        <v>5</v>
      </c>
      <c r="G886" s="10">
        <v>1</v>
      </c>
      <c r="H886" s="10">
        <v>1</v>
      </c>
      <c r="I886" s="10">
        <v>1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5</v>
      </c>
      <c r="V886" s="10">
        <v>1</v>
      </c>
      <c r="W886" s="10">
        <v>1</v>
      </c>
      <c r="X886" s="10">
        <v>1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0.48</v>
      </c>
    </row>
    <row r="887">
      <c r="A887" s="23">
        <v>8481</v>
      </c>
      <c r="B887" s="4" t="s">
        <v>1183</v>
      </c>
      <c r="C887" s="4" t="s">
        <v>63</v>
      </c>
      <c r="D887" s="4" t="s">
        <v>77</v>
      </c>
      <c r="E887" s="4" t="s">
        <v>80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8535</v>
      </c>
      <c r="B888" s="9" t="s">
        <v>1184</v>
      </c>
      <c r="C888" s="9" t="s">
        <v>627</v>
      </c>
      <c r="D888" s="9" t="s">
        <v>1185</v>
      </c>
      <c r="E888" s="9" t="s">
        <v>374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0.26</v>
      </c>
    </row>
    <row r="889">
      <c r="A889" s="23">
        <v>8545</v>
      </c>
      <c r="B889" s="4" t="s">
        <v>1186</v>
      </c>
      <c r="C889" s="4" t="s">
        <v>63</v>
      </c>
      <c r="D889" s="4" t="s">
        <v>84</v>
      </c>
      <c r="E889" s="4" t="s">
        <v>148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8564</v>
      </c>
      <c r="B890" s="9" t="s">
        <v>1187</v>
      </c>
      <c r="C890" s="9" t="s">
        <v>63</v>
      </c>
      <c r="D890" s="9" t="s">
        <v>120</v>
      </c>
      <c r="E890" s="9" t="s">
        <v>121</v>
      </c>
      <c r="F890" s="11">
        <v>1</v>
      </c>
      <c r="G890" s="12">
        <v>0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3">
        <v>0</v>
      </c>
    </row>
    <row r="891">
      <c r="A891" s="23">
        <v>8566</v>
      </c>
      <c r="B891" s="4" t="s">
        <v>1188</v>
      </c>
      <c r="C891" s="4" t="s">
        <v>63</v>
      </c>
      <c r="D891" s="4" t="s">
        <v>108</v>
      </c>
      <c r="E891" s="4" t="s">
        <v>1189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8635</v>
      </c>
      <c r="B892" s="9" t="s">
        <v>1190</v>
      </c>
      <c r="C892" s="9" t="s">
        <v>63</v>
      </c>
      <c r="D892" s="9" t="s">
        <v>84</v>
      </c>
      <c r="E892" s="9" t="s">
        <v>1158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43">
        <v>0</v>
      </c>
    </row>
    <row r="893">
      <c r="A893" s="23">
        <v>8651</v>
      </c>
      <c r="B893" s="4" t="s">
        <v>1191</v>
      </c>
      <c r="C893" s="4" t="s">
        <v>63</v>
      </c>
      <c r="D893" s="4" t="s">
        <v>102</v>
      </c>
      <c r="E893" s="4" t="s">
        <v>1023</v>
      </c>
      <c r="F893" s="6">
        <v>3</v>
      </c>
      <c r="G893" s="5">
        <v>2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1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28">
        <v>0.25</v>
      </c>
    </row>
    <row r="894">
      <c r="A894" s="24">
        <v>8695</v>
      </c>
      <c r="B894" s="9" t="s">
        <v>1192</v>
      </c>
      <c r="C894" s="9" t="s">
        <v>264</v>
      </c>
      <c r="D894" s="9" t="s">
        <v>265</v>
      </c>
      <c r="E894" s="9" t="s">
        <v>266</v>
      </c>
      <c r="F894" s="11">
        <v>1</v>
      </c>
      <c r="G894" s="12">
        <v>0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43">
        <v>0</v>
      </c>
    </row>
    <row r="895">
      <c r="A895" s="23">
        <v>8696</v>
      </c>
      <c r="B895" s="4" t="s">
        <v>1193</v>
      </c>
      <c r="C895" s="4" t="s">
        <v>264</v>
      </c>
      <c r="D895" s="4" t="s">
        <v>1194</v>
      </c>
      <c r="E895" s="4" t="s">
        <v>1195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0.22</v>
      </c>
    </row>
    <row r="896">
      <c r="A896" s="24">
        <v>8706</v>
      </c>
      <c r="B896" s="9" t="s">
        <v>1196</v>
      </c>
      <c r="C896" s="9" t="s">
        <v>63</v>
      </c>
      <c r="D896" s="9" t="s">
        <v>102</v>
      </c>
      <c r="E896" s="9" t="s">
        <v>1023</v>
      </c>
      <c r="F896" s="11">
        <v>3</v>
      </c>
      <c r="G896" s="12">
        <v>0</v>
      </c>
      <c r="H896" s="12">
        <v>0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2">
        <v>0</v>
      </c>
      <c r="W896" s="12">
        <v>0</v>
      </c>
      <c r="X896" s="12">
        <v>0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0.75</v>
      </c>
    </row>
    <row r="897">
      <c r="A897" s="23">
        <v>8715</v>
      </c>
      <c r="B897" s="4" t="s">
        <v>1197</v>
      </c>
      <c r="C897" s="4" t="s">
        <v>63</v>
      </c>
      <c r="D897" s="4" t="s">
        <v>84</v>
      </c>
      <c r="E897" s="4" t="s">
        <v>96</v>
      </c>
      <c r="F897" s="6">
        <v>5</v>
      </c>
      <c r="G897" s="7">
        <v>0</v>
      </c>
      <c r="H897" s="7">
        <v>0</v>
      </c>
      <c r="I897" s="7">
        <v>0</v>
      </c>
      <c r="J897" s="5">
        <v>5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4</v>
      </c>
      <c r="V897" s="7">
        <v>0</v>
      </c>
      <c r="W897" s="7">
        <v>0</v>
      </c>
      <c r="X897" s="7">
        <v>0</v>
      </c>
      <c r="Y897" s="5">
        <v>4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2.5</v>
      </c>
      <c r="AL897" s="5">
        <v>2</v>
      </c>
      <c r="AM897" s="5">
        <v>3</v>
      </c>
      <c r="AN897" s="28">
        <v>0.72</v>
      </c>
    </row>
    <row r="898">
      <c r="A898" s="24">
        <v>8752</v>
      </c>
      <c r="B898" s="9" t="s">
        <v>1198</v>
      </c>
      <c r="C898" s="9" t="s">
        <v>700</v>
      </c>
      <c r="D898" s="9" t="s">
        <v>1067</v>
      </c>
      <c r="E898" s="9" t="s">
        <v>374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0.26</v>
      </c>
    </row>
    <row r="899">
      <c r="A899" s="23">
        <v>8755</v>
      </c>
      <c r="B899" s="4" t="s">
        <v>1199</v>
      </c>
      <c r="C899" s="4" t="s">
        <v>179</v>
      </c>
      <c r="D899" s="4" t="s">
        <v>1200</v>
      </c>
      <c r="E899" s="4" t="s">
        <v>1200</v>
      </c>
      <c r="F899" s="6">
        <v>1</v>
      </c>
      <c r="G899" s="7">
        <v>0</v>
      </c>
      <c r="H899" s="5">
        <v>1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5">
        <v>1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8766</v>
      </c>
      <c r="B900" s="9" t="s">
        <v>1201</v>
      </c>
      <c r="C900" s="9" t="s">
        <v>63</v>
      </c>
      <c r="D900" s="9" t="s">
        <v>120</v>
      </c>
      <c r="E900" s="9" t="s">
        <v>123</v>
      </c>
      <c r="F900" s="11">
        <v>3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0">
        <v>2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3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0">
        <v>2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1.5</v>
      </c>
      <c r="AL900" s="10">
        <v>1</v>
      </c>
      <c r="AM900" s="10">
        <v>2</v>
      </c>
      <c r="AN900" s="29">
        <v>0.25</v>
      </c>
    </row>
    <row r="901">
      <c r="A901" s="23">
        <v>8795</v>
      </c>
      <c r="B901" s="4" t="s">
        <v>1202</v>
      </c>
      <c r="C901" s="4" t="s">
        <v>63</v>
      </c>
      <c r="D901" s="4" t="s">
        <v>70</v>
      </c>
      <c r="E901" s="4" t="s">
        <v>71</v>
      </c>
      <c r="F901" s="6">
        <v>9</v>
      </c>
      <c r="G901" s="5">
        <v>4</v>
      </c>
      <c r="H901" s="7">
        <v>0</v>
      </c>
      <c r="I901" s="5">
        <v>1</v>
      </c>
      <c r="J901" s="5">
        <v>4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9</v>
      </c>
      <c r="V901" s="5">
        <v>4</v>
      </c>
      <c r="W901" s="7">
        <v>0</v>
      </c>
      <c r="X901" s="5">
        <v>1</v>
      </c>
      <c r="Y901" s="5">
        <v>4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1.8</v>
      </c>
      <c r="AL901" s="5">
        <v>2</v>
      </c>
      <c r="AM901" s="5">
        <v>3</v>
      </c>
      <c r="AN901" s="28">
        <v>1.35</v>
      </c>
    </row>
    <row r="902">
      <c r="A902" s="24">
        <v>8945</v>
      </c>
      <c r="B902" s="9" t="s">
        <v>1203</v>
      </c>
      <c r="C902" s="9" t="s">
        <v>63</v>
      </c>
      <c r="D902" s="9" t="s">
        <v>120</v>
      </c>
      <c r="E902" s="9" t="s">
        <v>123</v>
      </c>
      <c r="F902" s="11">
        <v>2</v>
      </c>
      <c r="G902" s="12">
        <v>0</v>
      </c>
      <c r="H902" s="12">
        <v>0</v>
      </c>
      <c r="I902" s="10">
        <v>2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2">
        <v>0</v>
      </c>
      <c r="W902" s="12">
        <v>0</v>
      </c>
      <c r="X902" s="10">
        <v>2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43">
        <v>0</v>
      </c>
    </row>
    <row r="903">
      <c r="A903" s="23">
        <v>8961</v>
      </c>
      <c r="B903" s="4" t="s">
        <v>1204</v>
      </c>
      <c r="C903" s="4" t="s">
        <v>63</v>
      </c>
      <c r="D903" s="4" t="s">
        <v>73</v>
      </c>
      <c r="E903" s="4" t="s">
        <v>140</v>
      </c>
      <c r="F903" s="6">
        <v>2</v>
      </c>
      <c r="G903" s="5">
        <v>1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1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9037</v>
      </c>
      <c r="B904" s="9" t="s">
        <v>1205</v>
      </c>
      <c r="C904" s="9" t="s">
        <v>63</v>
      </c>
      <c r="D904" s="9" t="s">
        <v>73</v>
      </c>
      <c r="E904" s="9" t="s">
        <v>138</v>
      </c>
      <c r="F904" s="11">
        <v>1</v>
      </c>
      <c r="G904" s="12">
        <v>0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3">
        <v>0</v>
      </c>
    </row>
    <row r="905">
      <c r="A905" s="23">
        <v>9092</v>
      </c>
      <c r="B905" s="4" t="s">
        <v>1206</v>
      </c>
      <c r="C905" s="4" t="s">
        <v>179</v>
      </c>
      <c r="D905" s="4" t="s">
        <v>1207</v>
      </c>
      <c r="E905" s="4" t="s">
        <v>1208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9119</v>
      </c>
      <c r="B906" s="9" t="s">
        <v>1209</v>
      </c>
      <c r="C906" s="9" t="s">
        <v>63</v>
      </c>
      <c r="D906" s="9" t="s">
        <v>84</v>
      </c>
      <c r="E906" s="9" t="s">
        <v>85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29">
        <v>0.76</v>
      </c>
    </row>
    <row r="907">
      <c r="A907" s="23">
        <v>9220</v>
      </c>
      <c r="B907" s="4" t="s">
        <v>1210</v>
      </c>
      <c r="C907" s="4" t="s">
        <v>63</v>
      </c>
      <c r="D907" s="4" t="s">
        <v>77</v>
      </c>
      <c r="E907" s="4" t="s">
        <v>80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9221</v>
      </c>
      <c r="B908" s="9" t="s">
        <v>1211</v>
      </c>
      <c r="C908" s="9" t="s">
        <v>63</v>
      </c>
      <c r="D908" s="9" t="s">
        <v>77</v>
      </c>
      <c r="E908" s="9" t="s">
        <v>78</v>
      </c>
      <c r="F908" s="11">
        <v>2</v>
      </c>
      <c r="G908" s="10">
        <v>1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1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9364</v>
      </c>
      <c r="B909" s="4" t="s">
        <v>1212</v>
      </c>
      <c r="C909" s="4" t="s">
        <v>372</v>
      </c>
      <c r="D909" s="4" t="s">
        <v>1213</v>
      </c>
      <c r="E909" s="4" t="s">
        <v>374</v>
      </c>
      <c r="F909" s="6">
        <v>1</v>
      </c>
      <c r="G909" s="7">
        <v>0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9466</v>
      </c>
      <c r="B910" s="9" t="s">
        <v>1214</v>
      </c>
      <c r="C910" s="9" t="s">
        <v>1069</v>
      </c>
      <c r="D910" s="9" t="s">
        <v>1215</v>
      </c>
      <c r="E910" s="9" t="s">
        <v>374</v>
      </c>
      <c r="F910" s="11">
        <v>1</v>
      </c>
      <c r="G910" s="12">
        <v>0</v>
      </c>
      <c r="H910" s="10">
        <v>1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0">
        <v>1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9483</v>
      </c>
      <c r="B911" s="4" t="s">
        <v>1216</v>
      </c>
      <c r="C911" s="4" t="s">
        <v>63</v>
      </c>
      <c r="D911" s="4" t="s">
        <v>102</v>
      </c>
      <c r="E911" s="4" t="s">
        <v>144</v>
      </c>
      <c r="F911" s="6">
        <v>2</v>
      </c>
      <c r="G911" s="5">
        <v>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2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30">
        <v>0</v>
      </c>
    </row>
    <row r="912">
      <c r="A912" s="24">
        <v>9505</v>
      </c>
      <c r="B912" s="9" t="s">
        <v>1217</v>
      </c>
      <c r="C912" s="9" t="s">
        <v>372</v>
      </c>
      <c r="D912" s="9" t="s">
        <v>639</v>
      </c>
      <c r="E912" s="9" t="s">
        <v>374</v>
      </c>
      <c r="F912" s="11">
        <v>1</v>
      </c>
      <c r="G912" s="12">
        <v>0</v>
      </c>
      <c r="H912" s="12">
        <v>0</v>
      </c>
      <c r="I912" s="10">
        <v>1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0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3">
        <v>0</v>
      </c>
    </row>
    <row r="913">
      <c r="A913" s="23">
        <v>9558</v>
      </c>
      <c r="B913" s="4" t="s">
        <v>1218</v>
      </c>
      <c r="C913" s="4" t="s">
        <v>63</v>
      </c>
      <c r="D913" s="4" t="s">
        <v>70</v>
      </c>
      <c r="E913" s="4" t="s">
        <v>347</v>
      </c>
      <c r="F913" s="6">
        <v>4</v>
      </c>
      <c r="G913" s="5">
        <v>1</v>
      </c>
      <c r="H913" s="7">
        <v>0</v>
      </c>
      <c r="I913" s="7">
        <v>0</v>
      </c>
      <c r="J913" s="5">
        <v>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1</v>
      </c>
      <c r="W913" s="7">
        <v>0</v>
      </c>
      <c r="X913" s="7">
        <v>0</v>
      </c>
      <c r="Y913" s="5">
        <v>3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1.33</v>
      </c>
      <c r="AL913" s="5">
        <v>1</v>
      </c>
      <c r="AM913" s="5">
        <v>2</v>
      </c>
      <c r="AN913" s="28">
        <v>0.78</v>
      </c>
    </row>
    <row r="914">
      <c r="A914" s="24">
        <v>9616</v>
      </c>
      <c r="B914" s="9" t="s">
        <v>1219</v>
      </c>
      <c r="C914" s="9" t="s">
        <v>63</v>
      </c>
      <c r="D914" s="9" t="s">
        <v>73</v>
      </c>
      <c r="E914" s="9" t="s">
        <v>130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3">
        <v>0</v>
      </c>
    </row>
    <row r="915">
      <c r="A915" s="23">
        <v>9630</v>
      </c>
      <c r="B915" s="4" t="s">
        <v>1220</v>
      </c>
      <c r="C915" s="4" t="s">
        <v>63</v>
      </c>
      <c r="D915" s="4" t="s">
        <v>84</v>
      </c>
      <c r="E915" s="4" t="s">
        <v>106</v>
      </c>
      <c r="F915" s="6">
        <v>2</v>
      </c>
      <c r="G915" s="7">
        <v>0</v>
      </c>
      <c r="H915" s="7">
        <v>0</v>
      </c>
      <c r="I915" s="5">
        <v>1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7">
        <v>0</v>
      </c>
      <c r="W915" s="7">
        <v>0</v>
      </c>
      <c r="X915" s="5">
        <v>1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0.5</v>
      </c>
    </row>
    <row r="916">
      <c r="A916" s="24">
        <v>9631</v>
      </c>
      <c r="B916" s="9" t="s">
        <v>1221</v>
      </c>
      <c r="C916" s="9" t="s">
        <v>63</v>
      </c>
      <c r="D916" s="9" t="s">
        <v>108</v>
      </c>
      <c r="E916" s="9" t="s">
        <v>158</v>
      </c>
      <c r="F916" s="11">
        <v>8</v>
      </c>
      <c r="G916" s="12">
        <v>0</v>
      </c>
      <c r="H916" s="12">
        <v>0</v>
      </c>
      <c r="I916" s="12">
        <v>0</v>
      </c>
      <c r="J916" s="10">
        <v>8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</v>
      </c>
      <c r="V916" s="12">
        <v>0</v>
      </c>
      <c r="W916" s="12">
        <v>0</v>
      </c>
      <c r="X916" s="12">
        <v>0</v>
      </c>
      <c r="Y916" s="10">
        <v>4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8</v>
      </c>
      <c r="AK916" s="13">
        <v>8</v>
      </c>
      <c r="AL916" s="10">
        <v>8</v>
      </c>
      <c r="AM916" s="10">
        <v>8</v>
      </c>
      <c r="AN916" s="29">
        <v>1</v>
      </c>
    </row>
    <row r="917">
      <c r="A917" s="23">
        <v>9655</v>
      </c>
      <c r="B917" s="4" t="s">
        <v>1222</v>
      </c>
      <c r="C917" s="4" t="s">
        <v>63</v>
      </c>
      <c r="D917" s="4" t="s">
        <v>73</v>
      </c>
      <c r="E917" s="4" t="s">
        <v>127</v>
      </c>
      <c r="F917" s="6">
        <v>3</v>
      </c>
      <c r="G917" s="5">
        <v>3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</v>
      </c>
      <c r="V917" s="5">
        <v>3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28">
        <v>0.38</v>
      </c>
    </row>
    <row r="918">
      <c r="A918" s="24">
        <v>9677</v>
      </c>
      <c r="B918" s="9" t="s">
        <v>1223</v>
      </c>
      <c r="C918" s="9" t="s">
        <v>179</v>
      </c>
      <c r="D918" s="9" t="s">
        <v>196</v>
      </c>
      <c r="E918" s="9" t="s">
        <v>214</v>
      </c>
      <c r="F918" s="11">
        <v>2</v>
      </c>
      <c r="G918" s="10">
        <v>1</v>
      </c>
      <c r="H918" s="10">
        <v>1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0">
        <v>1</v>
      </c>
      <c r="W918" s="10">
        <v>1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0.24</v>
      </c>
    </row>
    <row r="919">
      <c r="A919" s="23">
        <v>9749</v>
      </c>
      <c r="B919" s="4" t="s">
        <v>1224</v>
      </c>
      <c r="C919" s="4" t="s">
        <v>630</v>
      </c>
      <c r="D919" s="4" t="s">
        <v>684</v>
      </c>
      <c r="E919" s="4" t="s">
        <v>685</v>
      </c>
      <c r="F919" s="6">
        <v>4</v>
      </c>
      <c r="G919" s="7">
        <v>0</v>
      </c>
      <c r="H919" s="7">
        <v>0</v>
      </c>
      <c r="I919" s="7">
        <v>0</v>
      </c>
      <c r="J919" s="5">
        <v>4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4</v>
      </c>
      <c r="V919" s="7">
        <v>0</v>
      </c>
      <c r="W919" s="7">
        <v>0</v>
      </c>
      <c r="X919" s="7">
        <v>0</v>
      </c>
      <c r="Y919" s="5">
        <v>4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4</v>
      </c>
      <c r="AK919" s="8">
        <v>4</v>
      </c>
      <c r="AL919" s="5">
        <v>4</v>
      </c>
      <c r="AM919" s="5">
        <v>4</v>
      </c>
      <c r="AN919" s="28">
        <v>1.04</v>
      </c>
    </row>
    <row r="920">
      <c r="A920" s="24">
        <v>9759</v>
      </c>
      <c r="B920" s="9" t="s">
        <v>1225</v>
      </c>
      <c r="C920" s="9" t="s">
        <v>248</v>
      </c>
      <c r="D920" s="9" t="s">
        <v>1226</v>
      </c>
      <c r="E920" s="9" t="s">
        <v>374</v>
      </c>
      <c r="F920" s="11">
        <v>2</v>
      </c>
      <c r="G920" s="12">
        <v>0</v>
      </c>
      <c r="H920" s="10">
        <v>2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2">
        <v>0</v>
      </c>
      <c r="W920" s="10">
        <v>2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29">
        <v>0.5</v>
      </c>
    </row>
    <row r="921">
      <c r="A921" s="23">
        <v>9760</v>
      </c>
      <c r="B921" s="4" t="s">
        <v>1227</v>
      </c>
      <c r="C921" s="4" t="s">
        <v>264</v>
      </c>
      <c r="D921" s="4" t="s">
        <v>265</v>
      </c>
      <c r="E921" s="4" t="s">
        <v>266</v>
      </c>
      <c r="F921" s="6">
        <v>2</v>
      </c>
      <c r="G921" s="7">
        <v>0</v>
      </c>
      <c r="H921" s="7">
        <v>0</v>
      </c>
      <c r="I921" s="7">
        <v>0</v>
      </c>
      <c r="J921" s="5">
        <v>2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7">
        <v>0</v>
      </c>
      <c r="W921" s="7">
        <v>0</v>
      </c>
      <c r="X921" s="7">
        <v>0</v>
      </c>
      <c r="Y921" s="5">
        <v>2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</v>
      </c>
      <c r="AL921" s="5">
        <v>2</v>
      </c>
      <c r="AM921" s="5">
        <v>2</v>
      </c>
      <c r="AN921" s="28">
        <v>0.52</v>
      </c>
    </row>
    <row r="922">
      <c r="A922" s="24">
        <v>9770</v>
      </c>
      <c r="B922" s="9" t="s">
        <v>1228</v>
      </c>
      <c r="C922" s="9" t="s">
        <v>264</v>
      </c>
      <c r="D922" s="9" t="s">
        <v>745</v>
      </c>
      <c r="E922" s="9" t="s">
        <v>746</v>
      </c>
      <c r="F922" s="11">
        <v>2</v>
      </c>
      <c r="G922" s="12">
        <v>0</v>
      </c>
      <c r="H922" s="12">
        <v>0</v>
      </c>
      <c r="I922" s="10">
        <v>2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2">
        <v>0</v>
      </c>
      <c r="W922" s="12">
        <v>0</v>
      </c>
      <c r="X922" s="10">
        <v>2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0.25</v>
      </c>
    </row>
    <row r="923">
      <c r="A923" s="23">
        <v>9790</v>
      </c>
      <c r="B923" s="4" t="s">
        <v>1229</v>
      </c>
      <c r="C923" s="4" t="s">
        <v>372</v>
      </c>
      <c r="D923" s="4" t="s">
        <v>373</v>
      </c>
      <c r="E923" s="4" t="s">
        <v>374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9810</v>
      </c>
      <c r="B924" s="9" t="s">
        <v>1230</v>
      </c>
      <c r="C924" s="9" t="s">
        <v>179</v>
      </c>
      <c r="D924" s="9" t="s">
        <v>196</v>
      </c>
      <c r="E924" s="9" t="s">
        <v>197</v>
      </c>
      <c r="F924" s="11">
        <v>1</v>
      </c>
      <c r="G924" s="12">
        <v>0</v>
      </c>
      <c r="H924" s="12">
        <v>0</v>
      </c>
      <c r="I924" s="12">
        <v>0</v>
      </c>
      <c r="J924" s="12">
        <v>0</v>
      </c>
      <c r="K924" s="10">
        <v>1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2">
        <v>0</v>
      </c>
      <c r="W924" s="12">
        <v>0</v>
      </c>
      <c r="X924" s="12">
        <v>0</v>
      </c>
      <c r="Y924" s="12">
        <v>0</v>
      </c>
      <c r="Z924" s="10">
        <v>1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0.22</v>
      </c>
    </row>
    <row r="925">
      <c r="A925" s="23">
        <v>9811</v>
      </c>
      <c r="B925" s="4" t="s">
        <v>1231</v>
      </c>
      <c r="C925" s="4" t="s">
        <v>63</v>
      </c>
      <c r="D925" s="4" t="s">
        <v>102</v>
      </c>
      <c r="E925" s="4" t="s">
        <v>144</v>
      </c>
      <c r="F925" s="6">
        <v>5</v>
      </c>
      <c r="G925" s="5">
        <v>3</v>
      </c>
      <c r="H925" s="7">
        <v>0</v>
      </c>
      <c r="I925" s="5">
        <v>2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5</v>
      </c>
      <c r="V925" s="5">
        <v>3</v>
      </c>
      <c r="W925" s="7">
        <v>0</v>
      </c>
      <c r="X925" s="5">
        <v>2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2.5</v>
      </c>
      <c r="AL925" s="5">
        <v>2</v>
      </c>
      <c r="AM925" s="5">
        <v>3</v>
      </c>
      <c r="AN925" s="30">
        <v>0</v>
      </c>
    </row>
    <row r="926">
      <c r="A926" s="24">
        <v>9836</v>
      </c>
      <c r="B926" s="9" t="s">
        <v>1232</v>
      </c>
      <c r="C926" s="9" t="s">
        <v>63</v>
      </c>
      <c r="D926" s="9" t="s">
        <v>89</v>
      </c>
      <c r="E926" s="9" t="s">
        <v>161</v>
      </c>
      <c r="F926" s="11">
        <v>2</v>
      </c>
      <c r="G926" s="10">
        <v>1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0">
        <v>1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0.26</v>
      </c>
    </row>
    <row r="927">
      <c r="A927" s="23">
        <v>9840</v>
      </c>
      <c r="B927" s="4" t="s">
        <v>1131</v>
      </c>
      <c r="C927" s="4" t="s">
        <v>264</v>
      </c>
      <c r="D927" s="4" t="s">
        <v>479</v>
      </c>
      <c r="E927" s="4" t="s">
        <v>597</v>
      </c>
      <c r="F927" s="6">
        <v>3</v>
      </c>
      <c r="G927" s="7">
        <v>0</v>
      </c>
      <c r="H927" s="7">
        <v>0</v>
      </c>
      <c r="I927" s="5">
        <v>3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7">
        <v>0</v>
      </c>
      <c r="W927" s="7">
        <v>0</v>
      </c>
      <c r="X927" s="5">
        <v>3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30">
        <v>0</v>
      </c>
    </row>
    <row r="928">
      <c r="A928" s="24">
        <v>9881</v>
      </c>
      <c r="B928" s="9" t="s">
        <v>1233</v>
      </c>
      <c r="C928" s="9" t="s">
        <v>63</v>
      </c>
      <c r="D928" s="9" t="s">
        <v>77</v>
      </c>
      <c r="E928" s="9" t="s">
        <v>450</v>
      </c>
      <c r="F928" s="11">
        <v>2</v>
      </c>
      <c r="G928" s="12">
        <v>0</v>
      </c>
      <c r="H928" s="12">
        <v>0</v>
      </c>
      <c r="I928" s="10">
        <v>2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43">
        <v>0</v>
      </c>
    </row>
    <row r="929">
      <c r="A929" s="23">
        <v>9931</v>
      </c>
      <c r="B929" s="4" t="s">
        <v>1234</v>
      </c>
      <c r="C929" s="4" t="s">
        <v>63</v>
      </c>
      <c r="D929" s="4" t="s">
        <v>73</v>
      </c>
      <c r="E929" s="4" t="s">
        <v>138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0.35</v>
      </c>
    </row>
    <row r="930">
      <c r="A930" s="24">
        <v>10018</v>
      </c>
      <c r="B930" s="9" t="s">
        <v>1235</v>
      </c>
      <c r="C930" s="9" t="s">
        <v>63</v>
      </c>
      <c r="D930" s="9" t="s">
        <v>120</v>
      </c>
      <c r="E930" s="9" t="s">
        <v>499</v>
      </c>
      <c r="F930" s="11">
        <v>1</v>
      </c>
      <c r="G930" s="12">
        <v>0</v>
      </c>
      <c r="H930" s="12">
        <v>0</v>
      </c>
      <c r="I930" s="12">
        <v>0</v>
      </c>
      <c r="J930" s="12">
        <v>0</v>
      </c>
      <c r="K930" s="10">
        <v>1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2">
        <v>0</v>
      </c>
      <c r="Z930" s="10">
        <v>1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3">
        <v>0</v>
      </c>
    </row>
    <row r="931">
      <c r="A931" s="23">
        <v>10045</v>
      </c>
      <c r="B931" s="4" t="s">
        <v>1236</v>
      </c>
      <c r="C931" s="4" t="s">
        <v>63</v>
      </c>
      <c r="D931" s="4" t="s">
        <v>111</v>
      </c>
      <c r="E931" s="4" t="s">
        <v>243</v>
      </c>
      <c r="F931" s="6">
        <v>1</v>
      </c>
      <c r="G931" s="7">
        <v>0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0.22</v>
      </c>
    </row>
    <row r="932">
      <c r="A932" s="24">
        <v>10050</v>
      </c>
      <c r="B932" s="9" t="s">
        <v>1237</v>
      </c>
      <c r="C932" s="9" t="s">
        <v>63</v>
      </c>
      <c r="D932" s="9" t="s">
        <v>84</v>
      </c>
      <c r="E932" s="9" t="s">
        <v>150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10062</v>
      </c>
      <c r="B933" s="4" t="s">
        <v>1238</v>
      </c>
      <c r="C933" s="4" t="s">
        <v>700</v>
      </c>
      <c r="D933" s="4" t="s">
        <v>1067</v>
      </c>
      <c r="E933" s="4" t="s">
        <v>374</v>
      </c>
      <c r="F933" s="6">
        <v>2</v>
      </c>
      <c r="G933" s="7">
        <v>0</v>
      </c>
      <c r="H933" s="7">
        <v>0</v>
      </c>
      <c r="I933" s="5">
        <v>2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7">
        <v>0</v>
      </c>
      <c r="W933" s="7">
        <v>0</v>
      </c>
      <c r="X933" s="5">
        <v>2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28">
        <v>0.52</v>
      </c>
    </row>
    <row r="934">
      <c r="A934" s="24">
        <v>10075</v>
      </c>
      <c r="B934" s="9" t="s">
        <v>1239</v>
      </c>
      <c r="C934" s="9" t="s">
        <v>619</v>
      </c>
      <c r="D934" s="9" t="s">
        <v>623</v>
      </c>
      <c r="E934" s="9" t="s">
        <v>624</v>
      </c>
      <c r="F934" s="11">
        <v>1</v>
      </c>
      <c r="G934" s="12">
        <v>0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3">
        <v>0</v>
      </c>
    </row>
    <row r="935">
      <c r="A935" s="23">
        <v>10105</v>
      </c>
      <c r="B935" s="4" t="s">
        <v>1240</v>
      </c>
      <c r="C935" s="4" t="s">
        <v>63</v>
      </c>
      <c r="D935" s="4" t="s">
        <v>73</v>
      </c>
      <c r="E935" s="4" t="s">
        <v>171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10123</v>
      </c>
      <c r="B936" s="9" t="s">
        <v>1241</v>
      </c>
      <c r="C936" s="9" t="s">
        <v>179</v>
      </c>
      <c r="D936" s="9" t="s">
        <v>196</v>
      </c>
      <c r="E936" s="9" t="s">
        <v>199</v>
      </c>
      <c r="F936" s="11">
        <v>2</v>
      </c>
      <c r="G936" s="10">
        <v>1</v>
      </c>
      <c r="H936" s="12">
        <v>0</v>
      </c>
      <c r="I936" s="12">
        <v>0</v>
      </c>
      <c r="J936" s="12">
        <v>0</v>
      </c>
      <c r="K936" s="10">
        <v>1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0">
        <v>1</v>
      </c>
      <c r="W936" s="12">
        <v>0</v>
      </c>
      <c r="X936" s="12">
        <v>0</v>
      </c>
      <c r="Y936" s="12">
        <v>0</v>
      </c>
      <c r="Z936" s="10">
        <v>1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3">
        <v>0</v>
      </c>
    </row>
    <row r="937">
      <c r="A937" s="23">
        <v>10126</v>
      </c>
      <c r="B937" s="4" t="s">
        <v>1242</v>
      </c>
      <c r="C937" s="4" t="s">
        <v>1069</v>
      </c>
      <c r="D937" s="4" t="s">
        <v>1215</v>
      </c>
      <c r="E937" s="4" t="s">
        <v>1243</v>
      </c>
      <c r="F937" s="6">
        <v>2</v>
      </c>
      <c r="G937" s="7">
        <v>0</v>
      </c>
      <c r="H937" s="7">
        <v>0</v>
      </c>
      <c r="I937" s="7">
        <v>0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7">
        <v>0</v>
      </c>
      <c r="W937" s="7">
        <v>0</v>
      </c>
      <c r="X937" s="7">
        <v>0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0.5</v>
      </c>
    </row>
    <row r="938">
      <c r="A938" s="24">
        <v>10163</v>
      </c>
      <c r="B938" s="9" t="s">
        <v>1244</v>
      </c>
      <c r="C938" s="9" t="s">
        <v>700</v>
      </c>
      <c r="D938" s="9" t="s">
        <v>1245</v>
      </c>
      <c r="E938" s="9" t="s">
        <v>374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3">
        <v>0</v>
      </c>
    </row>
    <row r="939">
      <c r="A939" s="23">
        <v>10178</v>
      </c>
      <c r="B939" s="4" t="s">
        <v>1246</v>
      </c>
      <c r="C939" s="4" t="s">
        <v>63</v>
      </c>
      <c r="D939" s="4" t="s">
        <v>77</v>
      </c>
      <c r="E939" s="4" t="s">
        <v>92</v>
      </c>
      <c r="F939" s="6">
        <v>4</v>
      </c>
      <c r="G939" s="7">
        <v>0</v>
      </c>
      <c r="H939" s="7">
        <v>0</v>
      </c>
      <c r="I939" s="7">
        <v>0</v>
      </c>
      <c r="J939" s="5">
        <v>4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4</v>
      </c>
      <c r="V939" s="7">
        <v>0</v>
      </c>
      <c r="W939" s="7">
        <v>0</v>
      </c>
      <c r="X939" s="7">
        <v>0</v>
      </c>
      <c r="Y939" s="5">
        <v>4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4</v>
      </c>
      <c r="AK939" s="8">
        <v>4</v>
      </c>
      <c r="AL939" s="5">
        <v>4</v>
      </c>
      <c r="AM939" s="5">
        <v>4</v>
      </c>
      <c r="AN939" s="28">
        <v>1.04</v>
      </c>
    </row>
    <row r="940">
      <c r="A940" s="24">
        <v>10187</v>
      </c>
      <c r="B940" s="9" t="s">
        <v>1247</v>
      </c>
      <c r="C940" s="9" t="s">
        <v>179</v>
      </c>
      <c r="D940" s="9" t="s">
        <v>413</v>
      </c>
      <c r="E940" s="9" t="s">
        <v>413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3">
        <v>0</v>
      </c>
    </row>
    <row r="941">
      <c r="A941" s="23">
        <v>10213</v>
      </c>
      <c r="B941" s="4" t="s">
        <v>1248</v>
      </c>
      <c r="C941" s="4" t="s">
        <v>372</v>
      </c>
      <c r="D941" s="4" t="s">
        <v>639</v>
      </c>
      <c r="E941" s="4" t="s">
        <v>374</v>
      </c>
      <c r="F941" s="6">
        <v>1</v>
      </c>
      <c r="G941" s="7">
        <v>0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7">
        <v>0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0.24</v>
      </c>
    </row>
    <row r="942">
      <c r="A942" s="24">
        <v>10397</v>
      </c>
      <c r="B942" s="9" t="s">
        <v>1249</v>
      </c>
      <c r="C942" s="9" t="s">
        <v>372</v>
      </c>
      <c r="D942" s="9" t="s">
        <v>1030</v>
      </c>
      <c r="E942" s="9" t="s">
        <v>374</v>
      </c>
      <c r="F942" s="11">
        <v>3</v>
      </c>
      <c r="G942" s="12">
        <v>0</v>
      </c>
      <c r="H942" s="12">
        <v>0</v>
      </c>
      <c r="I942" s="10">
        <v>1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2">
        <v>0</v>
      </c>
      <c r="W942" s="12">
        <v>0</v>
      </c>
      <c r="X942" s="10">
        <v>1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2</v>
      </c>
      <c r="AN942" s="29">
        <v>0.5</v>
      </c>
    </row>
    <row r="943">
      <c r="A943" s="23">
        <v>10487</v>
      </c>
      <c r="B943" s="4" t="s">
        <v>1250</v>
      </c>
      <c r="C943" s="4" t="s">
        <v>179</v>
      </c>
      <c r="D943" s="4" t="s">
        <v>180</v>
      </c>
      <c r="E943" s="4" t="s">
        <v>181</v>
      </c>
      <c r="F943" s="6">
        <v>5</v>
      </c>
      <c r="G943" s="5">
        <v>2</v>
      </c>
      <c r="H943" s="7">
        <v>0</v>
      </c>
      <c r="I943" s="5">
        <v>1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5">
        <v>2</v>
      </c>
      <c r="W943" s="7">
        <v>0</v>
      </c>
      <c r="X943" s="5">
        <v>1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1.67</v>
      </c>
      <c r="AL943" s="5">
        <v>2</v>
      </c>
      <c r="AM943" s="5">
        <v>2</v>
      </c>
      <c r="AN943" s="30">
        <v>0</v>
      </c>
    </row>
    <row r="944">
      <c r="A944" s="24">
        <v>10542</v>
      </c>
      <c r="B944" s="9" t="s">
        <v>1251</v>
      </c>
      <c r="C944" s="9" t="s">
        <v>63</v>
      </c>
      <c r="D944" s="9" t="s">
        <v>77</v>
      </c>
      <c r="E944" s="9" t="s">
        <v>92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10546</v>
      </c>
      <c r="B945" s="4" t="s">
        <v>1252</v>
      </c>
      <c r="C945" s="4" t="s">
        <v>700</v>
      </c>
      <c r="D945" s="4" t="s">
        <v>755</v>
      </c>
      <c r="E945" s="4" t="s">
        <v>374</v>
      </c>
      <c r="F945" s="6">
        <v>1</v>
      </c>
      <c r="G945" s="7">
        <v>0</v>
      </c>
      <c r="H945" s="5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5">
        <v>1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10577</v>
      </c>
      <c r="B946" s="9" t="s">
        <v>1253</v>
      </c>
      <c r="C946" s="9" t="s">
        <v>700</v>
      </c>
      <c r="D946" s="9" t="s">
        <v>1086</v>
      </c>
      <c r="E946" s="9" t="s">
        <v>374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0.26</v>
      </c>
    </row>
    <row r="947">
      <c r="A947" s="23">
        <v>10604</v>
      </c>
      <c r="B947" s="4" t="s">
        <v>1254</v>
      </c>
      <c r="C947" s="4" t="s">
        <v>264</v>
      </c>
      <c r="D947" s="4" t="s">
        <v>265</v>
      </c>
      <c r="E947" s="4" t="s">
        <v>1082</v>
      </c>
      <c r="F947" s="6">
        <v>1</v>
      </c>
      <c r="G947" s="7">
        <v>0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10612</v>
      </c>
      <c r="B948" s="9" t="s">
        <v>1255</v>
      </c>
      <c r="C948" s="9" t="s">
        <v>63</v>
      </c>
      <c r="D948" s="9" t="s">
        <v>111</v>
      </c>
      <c r="E948" s="9" t="s">
        <v>112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3">
        <v>0</v>
      </c>
    </row>
    <row r="949">
      <c r="A949" s="23">
        <v>10637</v>
      </c>
      <c r="B949" s="4" t="s">
        <v>1256</v>
      </c>
      <c r="C949" s="4" t="s">
        <v>63</v>
      </c>
      <c r="D949" s="4" t="s">
        <v>73</v>
      </c>
      <c r="E949" s="4" t="s">
        <v>312</v>
      </c>
      <c r="F949" s="6">
        <v>2</v>
      </c>
      <c r="G949" s="7">
        <v>0</v>
      </c>
      <c r="H949" s="7">
        <v>0</v>
      </c>
      <c r="I949" s="7">
        <v>0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7">
        <v>0</v>
      </c>
      <c r="W949" s="7">
        <v>0</v>
      </c>
      <c r="X949" s="7">
        <v>0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28">
        <v>0.5</v>
      </c>
    </row>
    <row r="950">
      <c r="A950" s="24">
        <v>10727</v>
      </c>
      <c r="B950" s="9" t="s">
        <v>1257</v>
      </c>
      <c r="C950" s="9" t="s">
        <v>815</v>
      </c>
      <c r="D950" s="9" t="s">
        <v>374</v>
      </c>
      <c r="E950" s="9" t="s">
        <v>374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43">
        <v>0</v>
      </c>
    </row>
    <row r="951">
      <c r="A951" s="23">
        <v>10843</v>
      </c>
      <c r="B951" s="4" t="s">
        <v>1258</v>
      </c>
      <c r="C951" s="4" t="s">
        <v>63</v>
      </c>
      <c r="D951" s="4" t="s">
        <v>73</v>
      </c>
      <c r="E951" s="4" t="s">
        <v>74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0.35</v>
      </c>
    </row>
    <row r="952">
      <c r="A952" s="24">
        <v>10847</v>
      </c>
      <c r="B952" s="9" t="s">
        <v>1259</v>
      </c>
      <c r="C952" s="9" t="s">
        <v>63</v>
      </c>
      <c r="D952" s="9" t="s">
        <v>64</v>
      </c>
      <c r="E952" s="9" t="s">
        <v>443</v>
      </c>
      <c r="F952" s="11">
        <v>1</v>
      </c>
      <c r="G952" s="12">
        <v>0</v>
      </c>
      <c r="H952" s="10">
        <v>1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0">
        <v>1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3">
        <v>0</v>
      </c>
    </row>
    <row r="953">
      <c r="A953" s="23">
        <v>10862</v>
      </c>
      <c r="B953" s="4" t="s">
        <v>1260</v>
      </c>
      <c r="C953" s="4" t="s">
        <v>179</v>
      </c>
      <c r="D953" s="4" t="s">
        <v>180</v>
      </c>
      <c r="E953" s="4" t="s">
        <v>181</v>
      </c>
      <c r="F953" s="6">
        <v>4</v>
      </c>
      <c r="G953" s="7">
        <v>0</v>
      </c>
      <c r="H953" s="5">
        <v>3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</v>
      </c>
      <c r="V953" s="7">
        <v>0</v>
      </c>
      <c r="W953" s="5">
        <v>3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</v>
      </c>
      <c r="AL953" s="5">
        <v>2</v>
      </c>
      <c r="AM953" s="5">
        <v>3</v>
      </c>
      <c r="AN953" s="28">
        <v>1.04</v>
      </c>
    </row>
    <row r="954">
      <c r="A954" s="24">
        <v>10867</v>
      </c>
      <c r="B954" s="9" t="s">
        <v>1261</v>
      </c>
      <c r="C954" s="9" t="s">
        <v>63</v>
      </c>
      <c r="D954" s="9" t="s">
        <v>67</v>
      </c>
      <c r="E954" s="9" t="s">
        <v>271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10902</v>
      </c>
      <c r="B955" s="4" t="s">
        <v>1262</v>
      </c>
      <c r="C955" s="4" t="s">
        <v>63</v>
      </c>
      <c r="D955" s="4" t="s">
        <v>73</v>
      </c>
      <c r="E955" s="4" t="s">
        <v>130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10944</v>
      </c>
      <c r="B956" s="9" t="s">
        <v>1263</v>
      </c>
      <c r="C956" s="9" t="s">
        <v>63</v>
      </c>
      <c r="D956" s="9" t="s">
        <v>111</v>
      </c>
      <c r="E956" s="9" t="s">
        <v>243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10957</v>
      </c>
      <c r="B957" s="4" t="s">
        <v>1264</v>
      </c>
      <c r="C957" s="4" t="s">
        <v>264</v>
      </c>
      <c r="D957" s="4" t="s">
        <v>453</v>
      </c>
      <c r="E957" s="4" t="s">
        <v>564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10989</v>
      </c>
      <c r="B958" s="9" t="s">
        <v>1265</v>
      </c>
      <c r="C958" s="9" t="s">
        <v>264</v>
      </c>
      <c r="D958" s="9" t="s">
        <v>676</v>
      </c>
      <c r="E958" s="9" t="s">
        <v>677</v>
      </c>
      <c r="F958" s="11">
        <v>2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  <c r="L958" s="10">
        <v>2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43">
        <v>0</v>
      </c>
    </row>
    <row r="959">
      <c r="A959" s="23">
        <v>11018</v>
      </c>
      <c r="B959" s="4" t="s">
        <v>1266</v>
      </c>
      <c r="C959" s="4" t="s">
        <v>264</v>
      </c>
      <c r="D959" s="4" t="s">
        <v>694</v>
      </c>
      <c r="E959" s="4" t="s">
        <v>695</v>
      </c>
      <c r="F959" s="6">
        <v>2</v>
      </c>
      <c r="G959" s="5">
        <v>2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2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30">
        <v>0</v>
      </c>
    </row>
    <row r="960">
      <c r="A960" s="24">
        <v>11125</v>
      </c>
      <c r="B960" s="9" t="s">
        <v>1267</v>
      </c>
      <c r="C960" s="9" t="s">
        <v>63</v>
      </c>
      <c r="D960" s="9" t="s">
        <v>77</v>
      </c>
      <c r="E960" s="9" t="s">
        <v>78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0.24</v>
      </c>
    </row>
    <row r="961">
      <c r="A961" s="23">
        <v>11234</v>
      </c>
      <c r="B961" s="4" t="s">
        <v>1268</v>
      </c>
      <c r="C961" s="4" t="s">
        <v>63</v>
      </c>
      <c r="D961" s="4" t="s">
        <v>84</v>
      </c>
      <c r="E961" s="4" t="s">
        <v>150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11251</v>
      </c>
      <c r="B962" s="9" t="s">
        <v>1269</v>
      </c>
      <c r="C962" s="9" t="s">
        <v>63</v>
      </c>
      <c r="D962" s="9" t="s">
        <v>108</v>
      </c>
      <c r="E962" s="9" t="s">
        <v>641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11265</v>
      </c>
      <c r="B963" s="4" t="s">
        <v>1270</v>
      </c>
      <c r="C963" s="4" t="s">
        <v>700</v>
      </c>
      <c r="D963" s="4" t="s">
        <v>1151</v>
      </c>
      <c r="E963" s="4" t="s">
        <v>374</v>
      </c>
      <c r="F963" s="6">
        <v>1</v>
      </c>
      <c r="G963" s="7">
        <v>0</v>
      </c>
      <c r="H963" s="7">
        <v>0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11268</v>
      </c>
      <c r="B964" s="9" t="s">
        <v>1271</v>
      </c>
      <c r="C964" s="9" t="s">
        <v>700</v>
      </c>
      <c r="D964" s="9" t="s">
        <v>1151</v>
      </c>
      <c r="E964" s="9" t="s">
        <v>374</v>
      </c>
      <c r="F964" s="11">
        <v>5</v>
      </c>
      <c r="G964" s="12">
        <v>0</v>
      </c>
      <c r="H964" s="12">
        <v>0</v>
      </c>
      <c r="I964" s="10">
        <v>2</v>
      </c>
      <c r="J964" s="10">
        <v>3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5</v>
      </c>
      <c r="V964" s="12">
        <v>0</v>
      </c>
      <c r="W964" s="12">
        <v>0</v>
      </c>
      <c r="X964" s="10">
        <v>2</v>
      </c>
      <c r="Y964" s="10">
        <v>3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1.67</v>
      </c>
      <c r="AL964" s="10">
        <v>1</v>
      </c>
      <c r="AM964" s="10">
        <v>3</v>
      </c>
      <c r="AN964" s="29">
        <v>1.04</v>
      </c>
    </row>
    <row r="965">
      <c r="A965" s="23">
        <v>11310</v>
      </c>
      <c r="B965" s="4" t="s">
        <v>1272</v>
      </c>
      <c r="C965" s="4" t="s">
        <v>63</v>
      </c>
      <c r="D965" s="4" t="s">
        <v>102</v>
      </c>
      <c r="E965" s="4" t="s">
        <v>144</v>
      </c>
      <c r="F965" s="6">
        <v>1</v>
      </c>
      <c r="G965" s="7">
        <v>0</v>
      </c>
      <c r="H965" s="7">
        <v>0</v>
      </c>
      <c r="I965" s="5">
        <v>1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11363</v>
      </c>
      <c r="B966" s="9" t="s">
        <v>1273</v>
      </c>
      <c r="C966" s="9" t="s">
        <v>264</v>
      </c>
      <c r="D966" s="9" t="s">
        <v>745</v>
      </c>
      <c r="E966" s="9" t="s">
        <v>843</v>
      </c>
      <c r="F966" s="11">
        <v>2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0">
        <v>1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0">
        <v>1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3">
        <v>0</v>
      </c>
    </row>
    <row r="967">
      <c r="A967" s="23">
        <v>11431</v>
      </c>
      <c r="B967" s="4" t="s">
        <v>1274</v>
      </c>
      <c r="C967" s="4" t="s">
        <v>63</v>
      </c>
      <c r="D967" s="4" t="s">
        <v>67</v>
      </c>
      <c r="E967" s="4" t="s">
        <v>271</v>
      </c>
      <c r="F967" s="6">
        <v>2</v>
      </c>
      <c r="G967" s="7">
        <v>0</v>
      </c>
      <c r="H967" s="5">
        <v>2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7">
        <v>0</v>
      </c>
      <c r="W967" s="5">
        <v>2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28">
        <v>0.52</v>
      </c>
    </row>
    <row r="968">
      <c r="A968" s="24">
        <v>11529</v>
      </c>
      <c r="B968" s="9" t="s">
        <v>1275</v>
      </c>
      <c r="C968" s="9" t="s">
        <v>63</v>
      </c>
      <c r="D968" s="9" t="s">
        <v>120</v>
      </c>
      <c r="E968" s="9" t="s">
        <v>499</v>
      </c>
      <c r="F968" s="11">
        <v>2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0">
        <v>1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0">
        <v>1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3">
        <v>0</v>
      </c>
    </row>
    <row r="969">
      <c r="A969" s="23">
        <v>11531</v>
      </c>
      <c r="B969" s="4" t="s">
        <v>1276</v>
      </c>
      <c r="C969" s="4" t="s">
        <v>63</v>
      </c>
      <c r="D969" s="4" t="s">
        <v>84</v>
      </c>
      <c r="E969" s="4" t="s">
        <v>217</v>
      </c>
      <c r="F969" s="6">
        <v>2</v>
      </c>
      <c r="G969" s="7">
        <v>0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7">
        <v>0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28">
        <v>0.52</v>
      </c>
    </row>
    <row r="970">
      <c r="A970" s="24">
        <v>11535</v>
      </c>
      <c r="B970" s="9" t="s">
        <v>1277</v>
      </c>
      <c r="C970" s="9" t="s">
        <v>372</v>
      </c>
      <c r="D970" s="9" t="s">
        <v>902</v>
      </c>
      <c r="E970" s="9" t="s">
        <v>374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11597</v>
      </c>
      <c r="B971" s="4" t="s">
        <v>1278</v>
      </c>
      <c r="C971" s="4" t="s">
        <v>63</v>
      </c>
      <c r="D971" s="4" t="s">
        <v>120</v>
      </c>
      <c r="E971" s="4" t="s">
        <v>258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11598</v>
      </c>
      <c r="B972" s="9" t="s">
        <v>1279</v>
      </c>
      <c r="C972" s="9" t="s">
        <v>63</v>
      </c>
      <c r="D972" s="9" t="s">
        <v>77</v>
      </c>
      <c r="E972" s="9" t="s">
        <v>450</v>
      </c>
      <c r="F972" s="11">
        <v>3</v>
      </c>
      <c r="G972" s="10">
        <v>2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0">
        <v>1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1.5</v>
      </c>
      <c r="AL972" s="10">
        <v>1</v>
      </c>
      <c r="AM972" s="10">
        <v>2</v>
      </c>
      <c r="AN972" s="29">
        <v>0.62</v>
      </c>
    </row>
    <row r="973">
      <c r="A973" s="23">
        <v>11612</v>
      </c>
      <c r="B973" s="4" t="s">
        <v>1280</v>
      </c>
      <c r="C973" s="4" t="s">
        <v>63</v>
      </c>
      <c r="D973" s="4" t="s">
        <v>67</v>
      </c>
      <c r="E973" s="4" t="s">
        <v>168</v>
      </c>
      <c r="F973" s="6">
        <v>3</v>
      </c>
      <c r="G973" s="5">
        <v>2</v>
      </c>
      <c r="H973" s="7">
        <v>0</v>
      </c>
      <c r="I973" s="7">
        <v>0</v>
      </c>
      <c r="J973" s="7">
        <v>0</v>
      </c>
      <c r="K973" s="5">
        <v>1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3</v>
      </c>
      <c r="V973" s="5">
        <v>2</v>
      </c>
      <c r="W973" s="7">
        <v>0</v>
      </c>
      <c r="X973" s="7">
        <v>0</v>
      </c>
      <c r="Y973" s="7">
        <v>0</v>
      </c>
      <c r="Z973" s="5">
        <v>1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30">
        <v>0</v>
      </c>
    </row>
    <row r="974">
      <c r="A974" s="24">
        <v>11618</v>
      </c>
      <c r="B974" s="9" t="s">
        <v>1281</v>
      </c>
      <c r="C974" s="9" t="s">
        <v>179</v>
      </c>
      <c r="D974" s="9" t="s">
        <v>471</v>
      </c>
      <c r="E974" s="9" t="s">
        <v>472</v>
      </c>
      <c r="F974" s="11">
        <v>1</v>
      </c>
      <c r="G974" s="12">
        <v>0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3">
        <v>0</v>
      </c>
    </row>
    <row r="975">
      <c r="A975" s="23">
        <v>11638</v>
      </c>
      <c r="B975" s="4" t="s">
        <v>1282</v>
      </c>
      <c r="C975" s="4" t="s">
        <v>63</v>
      </c>
      <c r="D975" s="4" t="s">
        <v>120</v>
      </c>
      <c r="E975" s="4" t="s">
        <v>121</v>
      </c>
      <c r="F975" s="6">
        <v>2</v>
      </c>
      <c r="G975" s="5">
        <v>1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5">
        <v>1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11639</v>
      </c>
      <c r="B976" s="9" t="s">
        <v>1283</v>
      </c>
      <c r="C976" s="9" t="s">
        <v>63</v>
      </c>
      <c r="D976" s="9" t="s">
        <v>120</v>
      </c>
      <c r="E976" s="9" t="s">
        <v>165</v>
      </c>
      <c r="F976" s="11">
        <v>3</v>
      </c>
      <c r="G976" s="12">
        <v>0</v>
      </c>
      <c r="H976" s="10">
        <v>3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2">
        <v>0</v>
      </c>
      <c r="W976" s="10">
        <v>3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3</v>
      </c>
      <c r="AK976" s="13">
        <v>3</v>
      </c>
      <c r="AL976" s="10">
        <v>3</v>
      </c>
      <c r="AM976" s="10">
        <v>3</v>
      </c>
      <c r="AN976" s="29">
        <v>0.78</v>
      </c>
    </row>
    <row r="977">
      <c r="A977" s="23">
        <v>11661</v>
      </c>
      <c r="B977" s="4" t="s">
        <v>1284</v>
      </c>
      <c r="C977" s="4" t="s">
        <v>619</v>
      </c>
      <c r="D977" s="4" t="s">
        <v>623</v>
      </c>
      <c r="E977" s="4" t="s">
        <v>624</v>
      </c>
      <c r="F977" s="6">
        <v>2</v>
      </c>
      <c r="G977" s="5">
        <v>1</v>
      </c>
      <c r="H977" s="7">
        <v>0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1</v>
      </c>
      <c r="W977" s="7">
        <v>0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11678</v>
      </c>
      <c r="B978" s="9" t="s">
        <v>1285</v>
      </c>
      <c r="C978" s="9" t="s">
        <v>63</v>
      </c>
      <c r="D978" s="9" t="s">
        <v>111</v>
      </c>
      <c r="E978" s="9" t="s">
        <v>112</v>
      </c>
      <c r="F978" s="11">
        <v>2</v>
      </c>
      <c r="G978" s="12">
        <v>0</v>
      </c>
      <c r="H978" s="10">
        <v>2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2">
        <v>0</v>
      </c>
      <c r="W978" s="10">
        <v>2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29">
        <v>0.48</v>
      </c>
    </row>
    <row r="979">
      <c r="A979" s="23">
        <v>11679</v>
      </c>
      <c r="B979" s="4" t="s">
        <v>1286</v>
      </c>
      <c r="C979" s="4" t="s">
        <v>63</v>
      </c>
      <c r="D979" s="4" t="s">
        <v>120</v>
      </c>
      <c r="E979" s="4" t="s">
        <v>165</v>
      </c>
      <c r="F979" s="6">
        <v>2</v>
      </c>
      <c r="G979" s="7">
        <v>0</v>
      </c>
      <c r="H979" s="7">
        <v>0</v>
      </c>
      <c r="I979" s="5">
        <v>1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7">
        <v>0</v>
      </c>
      <c r="W979" s="7">
        <v>0</v>
      </c>
      <c r="X979" s="5">
        <v>1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0.5</v>
      </c>
    </row>
    <row r="980">
      <c r="A980" s="24">
        <v>11835</v>
      </c>
      <c r="B980" s="9" t="s">
        <v>1287</v>
      </c>
      <c r="C980" s="9" t="s">
        <v>63</v>
      </c>
      <c r="D980" s="9" t="s">
        <v>120</v>
      </c>
      <c r="E980" s="9" t="s">
        <v>499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11836</v>
      </c>
      <c r="B981" s="4" t="s">
        <v>1288</v>
      </c>
      <c r="C981" s="4" t="s">
        <v>63</v>
      </c>
      <c r="D981" s="4" t="s">
        <v>67</v>
      </c>
      <c r="E981" s="4" t="s">
        <v>271</v>
      </c>
      <c r="F981" s="6">
        <v>4</v>
      </c>
      <c r="G981" s="5">
        <v>4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</v>
      </c>
      <c r="V981" s="5">
        <v>4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4</v>
      </c>
      <c r="AK981" s="8">
        <v>4</v>
      </c>
      <c r="AL981" s="5">
        <v>4</v>
      </c>
      <c r="AM981" s="5">
        <v>4</v>
      </c>
      <c r="AN981" s="30">
        <v>0</v>
      </c>
    </row>
    <row r="982">
      <c r="A982" s="24">
        <v>11838</v>
      </c>
      <c r="B982" s="9" t="s">
        <v>1289</v>
      </c>
      <c r="C982" s="9" t="s">
        <v>63</v>
      </c>
      <c r="D982" s="9" t="s">
        <v>77</v>
      </c>
      <c r="E982" s="9" t="s">
        <v>92</v>
      </c>
      <c r="F982" s="11">
        <v>2</v>
      </c>
      <c r="G982" s="12">
        <v>0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2">
        <v>0</v>
      </c>
      <c r="W982" s="12">
        <v>0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29">
        <v>0.5</v>
      </c>
    </row>
    <row r="983">
      <c r="A983" s="23">
        <v>11842</v>
      </c>
      <c r="B983" s="4" t="s">
        <v>1290</v>
      </c>
      <c r="C983" s="4" t="s">
        <v>63</v>
      </c>
      <c r="D983" s="4" t="s">
        <v>120</v>
      </c>
      <c r="E983" s="4" t="s">
        <v>121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11848</v>
      </c>
      <c r="B984" s="9" t="s">
        <v>1291</v>
      </c>
      <c r="C984" s="9" t="s">
        <v>63</v>
      </c>
      <c r="D984" s="9" t="s">
        <v>73</v>
      </c>
      <c r="E984" s="9" t="s">
        <v>138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0.24</v>
      </c>
    </row>
    <row r="985">
      <c r="A985" s="23">
        <v>11852</v>
      </c>
      <c r="B985" s="4" t="s">
        <v>1292</v>
      </c>
      <c r="C985" s="4" t="s">
        <v>63</v>
      </c>
      <c r="D985" s="4" t="s">
        <v>73</v>
      </c>
      <c r="E985" s="4" t="s">
        <v>130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11924</v>
      </c>
      <c r="B986" s="9" t="s">
        <v>1293</v>
      </c>
      <c r="C986" s="9" t="s">
        <v>63</v>
      </c>
      <c r="D986" s="9" t="s">
        <v>111</v>
      </c>
      <c r="E986" s="9" t="s">
        <v>243</v>
      </c>
      <c r="F986" s="11">
        <v>1</v>
      </c>
      <c r="G986" s="12">
        <v>0</v>
      </c>
      <c r="H986" s="10">
        <v>1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0">
        <v>1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11972</v>
      </c>
      <c r="B987" s="4" t="s">
        <v>1294</v>
      </c>
      <c r="C987" s="4" t="s">
        <v>63</v>
      </c>
      <c r="D987" s="4" t="s">
        <v>111</v>
      </c>
      <c r="E987" s="4" t="s">
        <v>112</v>
      </c>
      <c r="F987" s="6">
        <v>2</v>
      </c>
      <c r="G987" s="5">
        <v>2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30">
        <v>0</v>
      </c>
    </row>
    <row r="988">
      <c r="A988" s="24">
        <v>11993</v>
      </c>
      <c r="B988" s="9" t="s">
        <v>1295</v>
      </c>
      <c r="C988" s="9" t="s">
        <v>63</v>
      </c>
      <c r="D988" s="9" t="s">
        <v>73</v>
      </c>
      <c r="E988" s="9" t="s">
        <v>130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3">
        <v>0</v>
      </c>
    </row>
    <row r="989">
      <c r="A989" s="23">
        <v>12014</v>
      </c>
      <c r="B989" s="4" t="s">
        <v>1296</v>
      </c>
      <c r="C989" s="4" t="s">
        <v>63</v>
      </c>
      <c r="D989" s="4" t="s">
        <v>77</v>
      </c>
      <c r="E989" s="4" t="s">
        <v>80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12026</v>
      </c>
      <c r="B990" s="9" t="s">
        <v>1297</v>
      </c>
      <c r="C990" s="9" t="s">
        <v>63</v>
      </c>
      <c r="D990" s="9" t="s">
        <v>77</v>
      </c>
      <c r="E990" s="9" t="s">
        <v>210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3">
        <v>0</v>
      </c>
    </row>
    <row r="991">
      <c r="A991" s="23">
        <v>12059</v>
      </c>
      <c r="B991" s="4" t="s">
        <v>1298</v>
      </c>
      <c r="C991" s="4" t="s">
        <v>63</v>
      </c>
      <c r="D991" s="4" t="s">
        <v>73</v>
      </c>
      <c r="E991" s="4" t="s">
        <v>82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12063</v>
      </c>
      <c r="B992" s="9" t="s">
        <v>1299</v>
      </c>
      <c r="C992" s="9" t="s">
        <v>63</v>
      </c>
      <c r="D992" s="9" t="s">
        <v>111</v>
      </c>
      <c r="E992" s="9" t="s">
        <v>112</v>
      </c>
      <c r="F992" s="11">
        <v>3</v>
      </c>
      <c r="G992" s="10">
        <v>2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3</v>
      </c>
      <c r="V992" s="10">
        <v>2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1.5</v>
      </c>
      <c r="AL992" s="10">
        <v>1</v>
      </c>
      <c r="AM992" s="10">
        <v>2</v>
      </c>
      <c r="AN992" s="29">
        <v>0.99</v>
      </c>
    </row>
    <row r="993">
      <c r="A993" s="23">
        <v>12069</v>
      </c>
      <c r="B993" s="4" t="s">
        <v>1300</v>
      </c>
      <c r="C993" s="4" t="s">
        <v>63</v>
      </c>
      <c r="D993" s="4" t="s">
        <v>89</v>
      </c>
      <c r="E993" s="4" t="s">
        <v>513</v>
      </c>
      <c r="F993" s="6">
        <v>2</v>
      </c>
      <c r="G993" s="5">
        <v>2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5">
        <v>2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12072</v>
      </c>
      <c r="B994" s="9" t="s">
        <v>1301</v>
      </c>
      <c r="C994" s="9" t="s">
        <v>63</v>
      </c>
      <c r="D994" s="9" t="s">
        <v>89</v>
      </c>
      <c r="E994" s="9" t="s">
        <v>90</v>
      </c>
      <c r="F994" s="11">
        <v>8</v>
      </c>
      <c r="G994" s="10">
        <v>5</v>
      </c>
      <c r="H994" s="12">
        <v>0</v>
      </c>
      <c r="I994" s="10">
        <v>1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8</v>
      </c>
      <c r="V994" s="10">
        <v>5</v>
      </c>
      <c r="W994" s="12">
        <v>0</v>
      </c>
      <c r="X994" s="10">
        <v>1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1.6</v>
      </c>
      <c r="AL994" s="10">
        <v>1</v>
      </c>
      <c r="AM994" s="10">
        <v>4</v>
      </c>
      <c r="AN994" s="29">
        <v>0.52</v>
      </c>
    </row>
    <row r="995">
      <c r="A995" s="23">
        <v>12097</v>
      </c>
      <c r="B995" s="4" t="s">
        <v>1302</v>
      </c>
      <c r="C995" s="4" t="s">
        <v>63</v>
      </c>
      <c r="D995" s="4" t="s">
        <v>108</v>
      </c>
      <c r="E995" s="4" t="s">
        <v>1303</v>
      </c>
      <c r="F995" s="6">
        <v>6</v>
      </c>
      <c r="G995" s="5">
        <v>4</v>
      </c>
      <c r="H995" s="7">
        <v>0</v>
      </c>
      <c r="I995" s="7">
        <v>0</v>
      </c>
      <c r="J995" s="5">
        <v>2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5">
        <v>2</v>
      </c>
      <c r="W995" s="7">
        <v>0</v>
      </c>
      <c r="X995" s="7">
        <v>0</v>
      </c>
      <c r="Y995" s="5">
        <v>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3</v>
      </c>
      <c r="AL995" s="5">
        <v>3</v>
      </c>
      <c r="AM995" s="5">
        <v>4</v>
      </c>
      <c r="AN995" s="30">
        <v>0</v>
      </c>
    </row>
    <row r="996">
      <c r="A996" s="24">
        <v>12102</v>
      </c>
      <c r="B996" s="9" t="s">
        <v>1304</v>
      </c>
      <c r="C996" s="9" t="s">
        <v>63</v>
      </c>
      <c r="D996" s="9" t="s">
        <v>67</v>
      </c>
      <c r="E996" s="9" t="s">
        <v>168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3">
        <v>0</v>
      </c>
    </row>
    <row r="997">
      <c r="A997" s="23">
        <v>12110</v>
      </c>
      <c r="B997" s="4" t="s">
        <v>1305</v>
      </c>
      <c r="C997" s="4" t="s">
        <v>63</v>
      </c>
      <c r="D997" s="4" t="s">
        <v>73</v>
      </c>
      <c r="E997" s="4" t="s">
        <v>130</v>
      </c>
      <c r="F997" s="6">
        <v>3</v>
      </c>
      <c r="G997" s="7">
        <v>0</v>
      </c>
      <c r="H997" s="7">
        <v>0</v>
      </c>
      <c r="I997" s="5">
        <v>1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7">
        <v>0</v>
      </c>
      <c r="W997" s="7">
        <v>0</v>
      </c>
      <c r="X997" s="5">
        <v>1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0.78</v>
      </c>
    </row>
    <row r="998">
      <c r="A998" s="24">
        <v>12122</v>
      </c>
      <c r="B998" s="9" t="s">
        <v>1306</v>
      </c>
      <c r="C998" s="9" t="s">
        <v>63</v>
      </c>
      <c r="D998" s="9" t="s">
        <v>77</v>
      </c>
      <c r="E998" s="9" t="s">
        <v>78</v>
      </c>
      <c r="F998" s="11">
        <v>3</v>
      </c>
      <c r="G998" s="10">
        <v>2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3</v>
      </c>
      <c r="V998" s="10">
        <v>2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</v>
      </c>
      <c r="AL998" s="10">
        <v>1</v>
      </c>
      <c r="AM998" s="10">
        <v>2</v>
      </c>
      <c r="AN998" s="43">
        <v>0</v>
      </c>
    </row>
    <row r="999">
      <c r="A999" s="23">
        <v>12128</v>
      </c>
      <c r="B999" s="4" t="s">
        <v>1307</v>
      </c>
      <c r="C999" s="4" t="s">
        <v>63</v>
      </c>
      <c r="D999" s="4" t="s">
        <v>77</v>
      </c>
      <c r="E999" s="4" t="s">
        <v>78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12142</v>
      </c>
      <c r="B1000" s="9" t="s">
        <v>1308</v>
      </c>
      <c r="C1000" s="9" t="s">
        <v>63</v>
      </c>
      <c r="D1000" s="9" t="s">
        <v>111</v>
      </c>
      <c r="E1000" s="9" t="s">
        <v>112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3">
        <v>0</v>
      </c>
    </row>
    <row r="1001">
      <c r="A1001" s="23">
        <v>12176</v>
      </c>
      <c r="B1001" s="4" t="s">
        <v>1309</v>
      </c>
      <c r="C1001" s="4" t="s">
        <v>63</v>
      </c>
      <c r="D1001" s="4" t="s">
        <v>120</v>
      </c>
      <c r="E1001" s="4" t="s">
        <v>165</v>
      </c>
      <c r="F1001" s="6">
        <v>5</v>
      </c>
      <c r="G1001" s="7">
        <v>0</v>
      </c>
      <c r="H1001" s="5">
        <v>3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5</v>
      </c>
      <c r="V1001" s="7">
        <v>0</v>
      </c>
      <c r="W1001" s="5">
        <v>3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2.5</v>
      </c>
      <c r="AL1001" s="5">
        <v>2</v>
      </c>
      <c r="AM1001" s="5">
        <v>3</v>
      </c>
      <c r="AN1001" s="28">
        <v>1.25</v>
      </c>
    </row>
    <row r="1002">
      <c r="A1002" s="24">
        <v>12177</v>
      </c>
      <c r="B1002" s="9" t="s">
        <v>1310</v>
      </c>
      <c r="C1002" s="9" t="s">
        <v>63</v>
      </c>
      <c r="D1002" s="9" t="s">
        <v>120</v>
      </c>
      <c r="E1002" s="9" t="s">
        <v>165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0.26</v>
      </c>
    </row>
    <row r="1003">
      <c r="A1003" s="23">
        <v>12192</v>
      </c>
      <c r="B1003" s="4" t="s">
        <v>1311</v>
      </c>
      <c r="C1003" s="4" t="s">
        <v>179</v>
      </c>
      <c r="D1003" s="4" t="s">
        <v>180</v>
      </c>
      <c r="E1003" s="4" t="s">
        <v>191</v>
      </c>
      <c r="F1003" s="6">
        <v>1</v>
      </c>
      <c r="G1003" s="7">
        <v>0</v>
      </c>
      <c r="H1003" s="7">
        <v>0</v>
      </c>
      <c r="I1003" s="7">
        <v>0</v>
      </c>
      <c r="J1003" s="7">
        <v>0</v>
      </c>
      <c r="K1003" s="5">
        <v>1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7">
        <v>0</v>
      </c>
      <c r="Y1003" s="7">
        <v>0</v>
      </c>
      <c r="Z1003" s="5">
        <v>1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12218</v>
      </c>
      <c r="B1004" s="9" t="s">
        <v>1312</v>
      </c>
      <c r="C1004" s="9" t="s">
        <v>63</v>
      </c>
      <c r="D1004" s="9" t="s">
        <v>77</v>
      </c>
      <c r="E1004" s="9" t="s">
        <v>92</v>
      </c>
      <c r="F1004" s="11">
        <v>10</v>
      </c>
      <c r="G1004" s="12">
        <v>0</v>
      </c>
      <c r="H1004" s="12">
        <v>0</v>
      </c>
      <c r="I1004" s="12">
        <v>0</v>
      </c>
      <c r="J1004" s="10">
        <v>10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10</v>
      </c>
      <c r="V1004" s="12">
        <v>0</v>
      </c>
      <c r="W1004" s="12">
        <v>0</v>
      </c>
      <c r="X1004" s="12">
        <v>0</v>
      </c>
      <c r="Y1004" s="10">
        <v>10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10</v>
      </c>
      <c r="AK1004" s="13">
        <v>10</v>
      </c>
      <c r="AL1004" s="10">
        <v>10</v>
      </c>
      <c r="AM1004" s="10">
        <v>10</v>
      </c>
      <c r="AN1004" s="43">
        <v>0</v>
      </c>
    </row>
    <row r="1005">
      <c r="A1005" s="23">
        <v>12281</v>
      </c>
      <c r="B1005" s="4" t="s">
        <v>1313</v>
      </c>
      <c r="C1005" s="4" t="s">
        <v>264</v>
      </c>
      <c r="D1005" s="4" t="s">
        <v>1314</v>
      </c>
      <c r="E1005" s="4" t="s">
        <v>1315</v>
      </c>
      <c r="F1005" s="6">
        <v>2</v>
      </c>
      <c r="G1005" s="5">
        <v>1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1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12286</v>
      </c>
      <c r="B1006" s="9" t="s">
        <v>1316</v>
      </c>
      <c r="C1006" s="9" t="s">
        <v>700</v>
      </c>
      <c r="D1006" s="9" t="s">
        <v>714</v>
      </c>
      <c r="E1006" s="9" t="s">
        <v>374</v>
      </c>
      <c r="F1006" s="11">
        <v>3</v>
      </c>
      <c r="G1006" s="12">
        <v>0</v>
      </c>
      <c r="H1006" s="12">
        <v>0</v>
      </c>
      <c r="I1006" s="10">
        <v>2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2">
        <v>0</v>
      </c>
      <c r="W1006" s="12">
        <v>0</v>
      </c>
      <c r="X1006" s="10">
        <v>2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29">
        <v>0.26</v>
      </c>
    </row>
    <row r="1007">
      <c r="A1007" s="23">
        <v>12289</v>
      </c>
      <c r="B1007" s="4" t="s">
        <v>1317</v>
      </c>
      <c r="C1007" s="4" t="s">
        <v>630</v>
      </c>
      <c r="D1007" s="4" t="s">
        <v>631</v>
      </c>
      <c r="E1007" s="4" t="s">
        <v>1318</v>
      </c>
      <c r="F1007" s="6">
        <v>3</v>
      </c>
      <c r="G1007" s="7">
        <v>0</v>
      </c>
      <c r="H1007" s="7">
        <v>0</v>
      </c>
      <c r="I1007" s="7">
        <v>0</v>
      </c>
      <c r="J1007" s="5">
        <v>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7">
        <v>0</v>
      </c>
      <c r="W1007" s="7">
        <v>0</v>
      </c>
      <c r="X1007" s="7">
        <v>0</v>
      </c>
      <c r="Y1007" s="5">
        <v>3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3</v>
      </c>
      <c r="AK1007" s="8">
        <v>3</v>
      </c>
      <c r="AL1007" s="5">
        <v>3</v>
      </c>
      <c r="AM1007" s="5">
        <v>3</v>
      </c>
      <c r="AN1007" s="28">
        <v>0.78</v>
      </c>
    </row>
    <row r="1008">
      <c r="A1008" s="24">
        <v>12311</v>
      </c>
      <c r="B1008" s="9" t="s">
        <v>1319</v>
      </c>
      <c r="C1008" s="9" t="s">
        <v>63</v>
      </c>
      <c r="D1008" s="9" t="s">
        <v>67</v>
      </c>
      <c r="E1008" s="9" t="s">
        <v>271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3">
        <v>0</v>
      </c>
    </row>
    <row r="1009">
      <c r="A1009" s="23">
        <v>12370</v>
      </c>
      <c r="B1009" s="4" t="s">
        <v>1320</v>
      </c>
      <c r="C1009" s="4" t="s">
        <v>264</v>
      </c>
      <c r="D1009" s="4" t="s">
        <v>453</v>
      </c>
      <c r="E1009" s="4" t="s">
        <v>564</v>
      </c>
      <c r="F1009" s="6">
        <v>5</v>
      </c>
      <c r="G1009" s="7">
        <v>0</v>
      </c>
      <c r="H1009" s="5">
        <v>2</v>
      </c>
      <c r="I1009" s="5">
        <v>3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5</v>
      </c>
      <c r="V1009" s="7">
        <v>0</v>
      </c>
      <c r="W1009" s="5">
        <v>2</v>
      </c>
      <c r="X1009" s="5">
        <v>3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2.5</v>
      </c>
      <c r="AL1009" s="5">
        <v>2</v>
      </c>
      <c r="AM1009" s="5">
        <v>3</v>
      </c>
      <c r="AN1009" s="30">
        <v>0</v>
      </c>
    </row>
    <row r="1010">
      <c r="A1010" s="24">
        <v>12386</v>
      </c>
      <c r="B1010" s="9" t="s">
        <v>1321</v>
      </c>
      <c r="C1010" s="9" t="s">
        <v>63</v>
      </c>
      <c r="D1010" s="9" t="s">
        <v>115</v>
      </c>
      <c r="E1010" s="9" t="s">
        <v>878</v>
      </c>
      <c r="F1010" s="11">
        <v>2</v>
      </c>
      <c r="G1010" s="10">
        <v>1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0">
        <v>1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3">
        <v>0</v>
      </c>
    </row>
    <row r="1011">
      <c r="A1011" s="23">
        <v>12416</v>
      </c>
      <c r="B1011" s="4" t="s">
        <v>1322</v>
      </c>
      <c r="C1011" s="4" t="s">
        <v>264</v>
      </c>
      <c r="D1011" s="4" t="s">
        <v>692</v>
      </c>
      <c r="E1011" s="4" t="s">
        <v>374</v>
      </c>
      <c r="F1011" s="6">
        <v>1</v>
      </c>
      <c r="G1011" s="7">
        <v>0</v>
      </c>
      <c r="H1011" s="5">
        <v>1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5">
        <v>1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12453</v>
      </c>
      <c r="B1012" s="9" t="s">
        <v>1323</v>
      </c>
      <c r="C1012" s="9" t="s">
        <v>700</v>
      </c>
      <c r="D1012" s="9" t="s">
        <v>714</v>
      </c>
      <c r="E1012" s="9" t="s">
        <v>374</v>
      </c>
      <c r="F1012" s="11">
        <v>7</v>
      </c>
      <c r="G1012" s="12">
        <v>0</v>
      </c>
      <c r="H1012" s="12">
        <v>0</v>
      </c>
      <c r="I1012" s="10">
        <v>1</v>
      </c>
      <c r="J1012" s="10">
        <v>6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6</v>
      </c>
      <c r="V1012" s="12">
        <v>0</v>
      </c>
      <c r="W1012" s="12">
        <v>0</v>
      </c>
      <c r="X1012" s="10">
        <v>1</v>
      </c>
      <c r="Y1012" s="10">
        <v>5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3.5</v>
      </c>
      <c r="AL1012" s="10">
        <v>3</v>
      </c>
      <c r="AM1012" s="10">
        <v>6</v>
      </c>
      <c r="AN1012" s="29">
        <v>1.3</v>
      </c>
    </row>
    <row r="1013">
      <c r="A1013" s="23">
        <v>12483</v>
      </c>
      <c r="B1013" s="4" t="s">
        <v>1324</v>
      </c>
      <c r="C1013" s="4" t="s">
        <v>264</v>
      </c>
      <c r="D1013" s="4" t="s">
        <v>479</v>
      </c>
      <c r="E1013" s="4" t="s">
        <v>597</v>
      </c>
      <c r="F1013" s="6">
        <v>1</v>
      </c>
      <c r="G1013" s="7">
        <v>0</v>
      </c>
      <c r="H1013" s="7">
        <v>0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12490</v>
      </c>
      <c r="B1014" s="9" t="s">
        <v>1325</v>
      </c>
      <c r="C1014" s="9" t="s">
        <v>179</v>
      </c>
      <c r="D1014" s="9" t="s">
        <v>1142</v>
      </c>
      <c r="E1014" s="9" t="s">
        <v>1143</v>
      </c>
      <c r="F1014" s="11">
        <v>2</v>
      </c>
      <c r="G1014" s="12">
        <v>0</v>
      </c>
      <c r="H1014" s="12">
        <v>0</v>
      </c>
      <c r="I1014" s="10">
        <v>2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2">
        <v>0</v>
      </c>
      <c r="X1014" s="10">
        <v>2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29">
        <v>0.44</v>
      </c>
    </row>
    <row r="1015">
      <c r="A1015" s="23">
        <v>12518</v>
      </c>
      <c r="B1015" s="4" t="s">
        <v>1326</v>
      </c>
      <c r="C1015" s="4" t="s">
        <v>700</v>
      </c>
      <c r="D1015" s="4" t="s">
        <v>1151</v>
      </c>
      <c r="E1015" s="4" t="s">
        <v>374</v>
      </c>
      <c r="F1015" s="6">
        <v>1</v>
      </c>
      <c r="G1015" s="7">
        <v>0</v>
      </c>
      <c r="H1015" s="5">
        <v>1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5">
        <v>1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12614</v>
      </c>
      <c r="B1016" s="9" t="s">
        <v>1327</v>
      </c>
      <c r="C1016" s="9" t="s">
        <v>758</v>
      </c>
      <c r="D1016" s="9" t="s">
        <v>1328</v>
      </c>
      <c r="E1016" s="9" t="s">
        <v>374</v>
      </c>
      <c r="F1016" s="11">
        <v>3</v>
      </c>
      <c r="G1016" s="12">
        <v>0</v>
      </c>
      <c r="H1016" s="10">
        <v>2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2">
        <v>0</v>
      </c>
      <c r="W1016" s="10">
        <v>1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29">
        <v>0.62</v>
      </c>
    </row>
    <row r="1017">
      <c r="A1017" s="23">
        <v>12617</v>
      </c>
      <c r="B1017" s="4" t="s">
        <v>1329</v>
      </c>
      <c r="C1017" s="4" t="s">
        <v>264</v>
      </c>
      <c r="D1017" s="4" t="s">
        <v>745</v>
      </c>
      <c r="E1017" s="4" t="s">
        <v>843</v>
      </c>
      <c r="F1017" s="6">
        <v>2</v>
      </c>
      <c r="G1017" s="7">
        <v>0</v>
      </c>
      <c r="H1017" s="5">
        <v>1</v>
      </c>
      <c r="I1017" s="5">
        <v>1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7">
        <v>0</v>
      </c>
      <c r="W1017" s="5">
        <v>1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0.44</v>
      </c>
    </row>
    <row r="1018">
      <c r="A1018" s="24">
        <v>12619</v>
      </c>
      <c r="B1018" s="9" t="s">
        <v>1330</v>
      </c>
      <c r="C1018" s="9" t="s">
        <v>63</v>
      </c>
      <c r="D1018" s="9" t="s">
        <v>84</v>
      </c>
      <c r="E1018" s="9" t="s">
        <v>217</v>
      </c>
      <c r="F1018" s="11">
        <v>1</v>
      </c>
      <c r="G1018" s="12">
        <v>0</v>
      </c>
      <c r="H1018" s="10">
        <v>1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0">
        <v>1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3">
        <v>0</v>
      </c>
    </row>
    <row r="1019">
      <c r="A1019" s="23">
        <v>12631</v>
      </c>
      <c r="B1019" s="4" t="s">
        <v>1331</v>
      </c>
      <c r="C1019" s="4" t="s">
        <v>63</v>
      </c>
      <c r="D1019" s="4" t="s">
        <v>67</v>
      </c>
      <c r="E1019" s="4" t="s">
        <v>168</v>
      </c>
      <c r="F1019" s="6">
        <v>3</v>
      </c>
      <c r="G1019" s="7">
        <v>0</v>
      </c>
      <c r="H1019" s="5">
        <v>3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7">
        <v>0</v>
      </c>
      <c r="W1019" s="5">
        <v>3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3</v>
      </c>
      <c r="AK1019" s="8">
        <v>3</v>
      </c>
      <c r="AL1019" s="5">
        <v>3</v>
      </c>
      <c r="AM1019" s="5">
        <v>3</v>
      </c>
      <c r="AN1019" s="28">
        <v>0.66</v>
      </c>
    </row>
    <row r="1020">
      <c r="A1020" s="24">
        <v>12636</v>
      </c>
      <c r="B1020" s="9" t="s">
        <v>1332</v>
      </c>
      <c r="C1020" s="9" t="s">
        <v>63</v>
      </c>
      <c r="D1020" s="9" t="s">
        <v>120</v>
      </c>
      <c r="E1020" s="9" t="s">
        <v>121</v>
      </c>
      <c r="F1020" s="11">
        <v>2</v>
      </c>
      <c r="G1020" s="12">
        <v>0</v>
      </c>
      <c r="H1020" s="10">
        <v>2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2">
        <v>0</v>
      </c>
      <c r="W1020" s="10">
        <v>2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29">
        <v>0.48</v>
      </c>
    </row>
    <row r="1021">
      <c r="A1021" s="23">
        <v>12638</v>
      </c>
      <c r="B1021" s="4" t="s">
        <v>1333</v>
      </c>
      <c r="C1021" s="4" t="s">
        <v>63</v>
      </c>
      <c r="D1021" s="4" t="s">
        <v>73</v>
      </c>
      <c r="E1021" s="4" t="s">
        <v>74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0.22</v>
      </c>
    </row>
    <row r="1022">
      <c r="A1022" s="24">
        <v>12643</v>
      </c>
      <c r="B1022" s="9" t="s">
        <v>1334</v>
      </c>
      <c r="C1022" s="9" t="s">
        <v>63</v>
      </c>
      <c r="D1022" s="9" t="s">
        <v>77</v>
      </c>
      <c r="E1022" s="9" t="s">
        <v>92</v>
      </c>
      <c r="F1022" s="11">
        <v>2</v>
      </c>
      <c r="G1022" s="10">
        <v>1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1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0.26</v>
      </c>
    </row>
    <row r="1023">
      <c r="A1023" s="23">
        <v>12649</v>
      </c>
      <c r="B1023" s="4" t="s">
        <v>1335</v>
      </c>
      <c r="C1023" s="4" t="s">
        <v>700</v>
      </c>
      <c r="D1023" s="4" t="s">
        <v>714</v>
      </c>
      <c r="E1023" s="4" t="s">
        <v>374</v>
      </c>
      <c r="F1023" s="6">
        <v>5</v>
      </c>
      <c r="G1023" s="7">
        <v>0</v>
      </c>
      <c r="H1023" s="7">
        <v>0</v>
      </c>
      <c r="I1023" s="7">
        <v>0</v>
      </c>
      <c r="J1023" s="5">
        <v>5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5</v>
      </c>
      <c r="V1023" s="7">
        <v>0</v>
      </c>
      <c r="W1023" s="7">
        <v>0</v>
      </c>
      <c r="X1023" s="7">
        <v>0</v>
      </c>
      <c r="Y1023" s="5">
        <v>5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5</v>
      </c>
      <c r="AK1023" s="8">
        <v>5</v>
      </c>
      <c r="AL1023" s="5">
        <v>5</v>
      </c>
      <c r="AM1023" s="5">
        <v>5</v>
      </c>
      <c r="AN1023" s="28">
        <v>1.3</v>
      </c>
    </row>
    <row r="1024">
      <c r="A1024" s="24">
        <v>12681</v>
      </c>
      <c r="B1024" s="9" t="s">
        <v>1336</v>
      </c>
      <c r="C1024" s="9" t="s">
        <v>63</v>
      </c>
      <c r="D1024" s="9" t="s">
        <v>84</v>
      </c>
      <c r="E1024" s="9" t="s">
        <v>85</v>
      </c>
      <c r="F1024" s="11">
        <v>2</v>
      </c>
      <c r="G1024" s="12">
        <v>0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2">
        <v>0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29">
        <v>0.52</v>
      </c>
    </row>
    <row r="1025">
      <c r="A1025" s="23">
        <v>12724</v>
      </c>
      <c r="B1025" s="4" t="s">
        <v>1337</v>
      </c>
      <c r="C1025" s="4" t="s">
        <v>63</v>
      </c>
      <c r="D1025" s="4" t="s">
        <v>115</v>
      </c>
      <c r="E1025" s="4" t="s">
        <v>116</v>
      </c>
      <c r="F1025" s="6">
        <v>2</v>
      </c>
      <c r="G1025" s="5">
        <v>1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1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12799</v>
      </c>
      <c r="B1026" s="9" t="s">
        <v>1338</v>
      </c>
      <c r="C1026" s="9" t="s">
        <v>63</v>
      </c>
      <c r="D1026" s="9" t="s">
        <v>67</v>
      </c>
      <c r="E1026" s="9" t="s">
        <v>271</v>
      </c>
      <c r="F1026" s="11">
        <v>1</v>
      </c>
      <c r="G1026" s="12">
        <v>0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2">
        <v>0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0.26</v>
      </c>
    </row>
    <row r="1027">
      <c r="A1027" s="23">
        <v>12807</v>
      </c>
      <c r="B1027" s="4" t="s">
        <v>1339</v>
      </c>
      <c r="C1027" s="4" t="s">
        <v>63</v>
      </c>
      <c r="D1027" s="4" t="s">
        <v>70</v>
      </c>
      <c r="E1027" s="4" t="s">
        <v>495</v>
      </c>
      <c r="F1027" s="6">
        <v>3</v>
      </c>
      <c r="G1027" s="5">
        <v>2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3</v>
      </c>
      <c r="V1027" s="5">
        <v>2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1.5</v>
      </c>
      <c r="AL1027" s="5">
        <v>1</v>
      </c>
      <c r="AM1027" s="5">
        <v>2</v>
      </c>
      <c r="AN1027" s="28">
        <v>0.26</v>
      </c>
    </row>
    <row r="1028">
      <c r="A1028" s="24">
        <v>12808</v>
      </c>
      <c r="B1028" s="9" t="s">
        <v>1340</v>
      </c>
      <c r="C1028" s="9" t="s">
        <v>63</v>
      </c>
      <c r="D1028" s="9" t="s">
        <v>120</v>
      </c>
      <c r="E1028" s="9" t="s">
        <v>121</v>
      </c>
      <c r="F1028" s="11">
        <v>2</v>
      </c>
      <c r="G1028" s="10">
        <v>2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2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0.32</v>
      </c>
    </row>
    <row r="1029">
      <c r="A1029" s="23">
        <v>12822</v>
      </c>
      <c r="B1029" s="4" t="s">
        <v>1341</v>
      </c>
      <c r="C1029" s="4" t="s">
        <v>63</v>
      </c>
      <c r="D1029" s="4" t="s">
        <v>67</v>
      </c>
      <c r="E1029" s="4" t="s">
        <v>168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12836</v>
      </c>
      <c r="B1030" s="9" t="s">
        <v>1342</v>
      </c>
      <c r="C1030" s="9" t="s">
        <v>63</v>
      </c>
      <c r="D1030" s="9" t="s">
        <v>135</v>
      </c>
      <c r="E1030" s="9" t="s">
        <v>377</v>
      </c>
      <c r="F1030" s="11">
        <v>2</v>
      </c>
      <c r="G1030" s="10">
        <v>1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1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12858</v>
      </c>
      <c r="B1031" s="4" t="s">
        <v>1343</v>
      </c>
      <c r="C1031" s="4" t="s">
        <v>63</v>
      </c>
      <c r="D1031" s="4" t="s">
        <v>73</v>
      </c>
      <c r="E1031" s="4" t="s">
        <v>171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12894</v>
      </c>
      <c r="B1032" s="9" t="s">
        <v>1344</v>
      </c>
      <c r="C1032" s="9" t="s">
        <v>63</v>
      </c>
      <c r="D1032" s="9" t="s">
        <v>67</v>
      </c>
      <c r="E1032" s="9" t="s">
        <v>271</v>
      </c>
      <c r="F1032" s="11">
        <v>3</v>
      </c>
      <c r="G1032" s="10">
        <v>1</v>
      </c>
      <c r="H1032" s="10">
        <v>1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0">
        <v>1</v>
      </c>
      <c r="W1032" s="10">
        <v>1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12907</v>
      </c>
      <c r="B1033" s="4" t="s">
        <v>1345</v>
      </c>
      <c r="C1033" s="4" t="s">
        <v>63</v>
      </c>
      <c r="D1033" s="4" t="s">
        <v>84</v>
      </c>
      <c r="E1033" s="4" t="s">
        <v>96</v>
      </c>
      <c r="F1033" s="6">
        <v>3</v>
      </c>
      <c r="G1033" s="7">
        <v>0</v>
      </c>
      <c r="H1033" s="7">
        <v>0</v>
      </c>
      <c r="I1033" s="7">
        <v>0</v>
      </c>
      <c r="J1033" s="5">
        <v>3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7">
        <v>0</v>
      </c>
      <c r="W1033" s="7">
        <v>0</v>
      </c>
      <c r="X1033" s="7">
        <v>0</v>
      </c>
      <c r="Y1033" s="5">
        <v>3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2</v>
      </c>
      <c r="AN1033" s="28">
        <v>0.25</v>
      </c>
    </row>
    <row r="1034">
      <c r="A1034" s="24">
        <v>12910</v>
      </c>
      <c r="B1034" s="9" t="s">
        <v>1346</v>
      </c>
      <c r="C1034" s="9" t="s">
        <v>63</v>
      </c>
      <c r="D1034" s="9" t="s">
        <v>102</v>
      </c>
      <c r="E1034" s="9" t="s">
        <v>709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43">
        <v>0</v>
      </c>
    </row>
    <row r="1035">
      <c r="A1035" s="23">
        <v>12931</v>
      </c>
      <c r="B1035" s="4" t="s">
        <v>1347</v>
      </c>
      <c r="C1035" s="4" t="s">
        <v>179</v>
      </c>
      <c r="D1035" s="4" t="s">
        <v>180</v>
      </c>
      <c r="E1035" s="4" t="s">
        <v>789</v>
      </c>
      <c r="F1035" s="6">
        <v>1</v>
      </c>
      <c r="G1035" s="7">
        <v>0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7">
        <v>0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12932</v>
      </c>
      <c r="B1036" s="9" t="s">
        <v>1348</v>
      </c>
      <c r="C1036" s="9" t="s">
        <v>63</v>
      </c>
      <c r="D1036" s="9" t="s">
        <v>111</v>
      </c>
      <c r="E1036" s="9" t="s">
        <v>112</v>
      </c>
      <c r="F1036" s="11">
        <v>1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13142</v>
      </c>
      <c r="B1037" s="4" t="s">
        <v>1349</v>
      </c>
      <c r="C1037" s="4" t="s">
        <v>63</v>
      </c>
      <c r="D1037" s="4" t="s">
        <v>120</v>
      </c>
      <c r="E1037" s="4" t="s">
        <v>165</v>
      </c>
      <c r="F1037" s="6">
        <v>1</v>
      </c>
      <c r="G1037" s="7">
        <v>0</v>
      </c>
      <c r="H1037" s="7">
        <v>0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13168</v>
      </c>
      <c r="B1038" s="9" t="s">
        <v>1350</v>
      </c>
      <c r="C1038" s="9" t="s">
        <v>63</v>
      </c>
      <c r="D1038" s="9" t="s">
        <v>73</v>
      </c>
      <c r="E1038" s="9" t="s">
        <v>138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3">
        <v>0</v>
      </c>
    </row>
    <row r="1039">
      <c r="A1039" s="23">
        <v>13225</v>
      </c>
      <c r="B1039" s="4" t="s">
        <v>1351</v>
      </c>
      <c r="C1039" s="4" t="s">
        <v>63</v>
      </c>
      <c r="D1039" s="4" t="s">
        <v>89</v>
      </c>
      <c r="E1039" s="4" t="s">
        <v>161</v>
      </c>
      <c r="F1039" s="6">
        <v>6</v>
      </c>
      <c r="G1039" s="5">
        <v>1</v>
      </c>
      <c r="H1039" s="7">
        <v>0</v>
      </c>
      <c r="I1039" s="5">
        <v>3</v>
      </c>
      <c r="J1039" s="5">
        <v>2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4</v>
      </c>
      <c r="V1039" s="5">
        <v>1</v>
      </c>
      <c r="W1039" s="7">
        <v>0</v>
      </c>
      <c r="X1039" s="5">
        <v>1</v>
      </c>
      <c r="Y1039" s="5">
        <v>2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1.5</v>
      </c>
      <c r="AL1039" s="5">
        <v>1</v>
      </c>
      <c r="AM1039" s="5">
        <v>3</v>
      </c>
      <c r="AN1039" s="28">
        <v>0.75</v>
      </c>
    </row>
    <row r="1040">
      <c r="A1040" s="24">
        <v>13239</v>
      </c>
      <c r="B1040" s="9" t="s">
        <v>1352</v>
      </c>
      <c r="C1040" s="9" t="s">
        <v>63</v>
      </c>
      <c r="D1040" s="9" t="s">
        <v>70</v>
      </c>
      <c r="E1040" s="9" t="s">
        <v>71</v>
      </c>
      <c r="F1040" s="11">
        <v>2</v>
      </c>
      <c r="G1040" s="10">
        <v>2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43">
        <v>0</v>
      </c>
    </row>
    <row r="1041">
      <c r="A1041" s="23">
        <v>13261</v>
      </c>
      <c r="B1041" s="4" t="s">
        <v>1353</v>
      </c>
      <c r="C1041" s="4" t="s">
        <v>63</v>
      </c>
      <c r="D1041" s="4" t="s">
        <v>84</v>
      </c>
      <c r="E1041" s="4" t="s">
        <v>1354</v>
      </c>
      <c r="F1041" s="6">
        <v>3</v>
      </c>
      <c r="G1041" s="5">
        <v>2</v>
      </c>
      <c r="H1041" s="7">
        <v>0</v>
      </c>
      <c r="I1041" s="7">
        <v>0</v>
      </c>
      <c r="J1041" s="7">
        <v>0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5">
        <v>2</v>
      </c>
      <c r="W1041" s="7">
        <v>0</v>
      </c>
      <c r="X1041" s="7">
        <v>0</v>
      </c>
      <c r="Y1041" s="7">
        <v>0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0.39</v>
      </c>
    </row>
    <row r="1042">
      <c r="A1042" s="24">
        <v>13275</v>
      </c>
      <c r="B1042" s="9" t="s">
        <v>1355</v>
      </c>
      <c r="C1042" s="9" t="s">
        <v>63</v>
      </c>
      <c r="D1042" s="9" t="s">
        <v>84</v>
      </c>
      <c r="E1042" s="9" t="s">
        <v>106</v>
      </c>
      <c r="F1042" s="11">
        <v>1</v>
      </c>
      <c r="G1042" s="12">
        <v>0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43">
        <v>0</v>
      </c>
    </row>
    <row r="1043">
      <c r="A1043" s="23">
        <v>13355</v>
      </c>
      <c r="B1043" s="4" t="s">
        <v>1356</v>
      </c>
      <c r="C1043" s="4" t="s">
        <v>63</v>
      </c>
      <c r="D1043" s="4" t="s">
        <v>77</v>
      </c>
      <c r="E1043" s="4" t="s">
        <v>78</v>
      </c>
      <c r="F1043" s="6">
        <v>3</v>
      </c>
      <c r="G1043" s="5">
        <v>2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5">
        <v>1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28">
        <v>0.5</v>
      </c>
    </row>
    <row r="1044">
      <c r="A1044" s="24">
        <v>13356</v>
      </c>
      <c r="B1044" s="9" t="s">
        <v>1357</v>
      </c>
      <c r="C1044" s="9" t="s">
        <v>63</v>
      </c>
      <c r="D1044" s="9" t="s">
        <v>120</v>
      </c>
      <c r="E1044" s="9" t="s">
        <v>123</v>
      </c>
      <c r="F1044" s="11">
        <v>2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0">
        <v>1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0">
        <v>1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0.5</v>
      </c>
    </row>
    <row r="1045">
      <c r="A1045" s="23">
        <v>13361</v>
      </c>
      <c r="B1045" s="4" t="s">
        <v>1358</v>
      </c>
      <c r="C1045" s="4" t="s">
        <v>63</v>
      </c>
      <c r="D1045" s="4" t="s">
        <v>70</v>
      </c>
      <c r="E1045" s="4" t="s">
        <v>495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13362</v>
      </c>
      <c r="B1046" s="9" t="s">
        <v>1359</v>
      </c>
      <c r="C1046" s="9" t="s">
        <v>63</v>
      </c>
      <c r="D1046" s="9" t="s">
        <v>120</v>
      </c>
      <c r="E1046" s="9" t="s">
        <v>132</v>
      </c>
      <c r="F1046" s="11">
        <v>1</v>
      </c>
      <c r="G1046" s="12">
        <v>0</v>
      </c>
      <c r="H1046" s="10">
        <v>1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0">
        <v>1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0.25</v>
      </c>
    </row>
    <row r="1047">
      <c r="A1047" s="23">
        <v>13365</v>
      </c>
      <c r="B1047" s="4" t="s">
        <v>1360</v>
      </c>
      <c r="C1047" s="4" t="s">
        <v>63</v>
      </c>
      <c r="D1047" s="4" t="s">
        <v>73</v>
      </c>
      <c r="E1047" s="4" t="s">
        <v>138</v>
      </c>
      <c r="F1047" s="6">
        <v>3</v>
      </c>
      <c r="G1047" s="5">
        <v>1</v>
      </c>
      <c r="H1047" s="7">
        <v>0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1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0.75</v>
      </c>
    </row>
    <row r="1048">
      <c r="A1048" s="24">
        <v>13380</v>
      </c>
      <c r="B1048" s="9" t="s">
        <v>1361</v>
      </c>
      <c r="C1048" s="9" t="s">
        <v>264</v>
      </c>
      <c r="D1048" s="9" t="s">
        <v>398</v>
      </c>
      <c r="E1048" s="9" t="s">
        <v>399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0.24</v>
      </c>
    </row>
    <row r="1049">
      <c r="A1049" s="23">
        <v>13382</v>
      </c>
      <c r="B1049" s="4" t="s">
        <v>1362</v>
      </c>
      <c r="C1049" s="4" t="s">
        <v>63</v>
      </c>
      <c r="D1049" s="4" t="s">
        <v>120</v>
      </c>
      <c r="E1049" s="4" t="s">
        <v>121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13391</v>
      </c>
      <c r="B1050" s="9" t="s">
        <v>1363</v>
      </c>
      <c r="C1050" s="9" t="s">
        <v>63</v>
      </c>
      <c r="D1050" s="9" t="s">
        <v>73</v>
      </c>
      <c r="E1050" s="9" t="s">
        <v>82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3">
        <v>0</v>
      </c>
    </row>
    <row r="1051">
      <c r="A1051" s="23">
        <v>13398</v>
      </c>
      <c r="B1051" s="4" t="s">
        <v>1364</v>
      </c>
      <c r="C1051" s="4" t="s">
        <v>63</v>
      </c>
      <c r="D1051" s="4" t="s">
        <v>102</v>
      </c>
      <c r="E1051" s="4" t="s">
        <v>771</v>
      </c>
      <c r="F1051" s="6">
        <v>5</v>
      </c>
      <c r="G1051" s="5">
        <v>2</v>
      </c>
      <c r="H1051" s="7">
        <v>0</v>
      </c>
      <c r="I1051" s="5">
        <v>1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4</v>
      </c>
      <c r="V1051" s="5">
        <v>1</v>
      </c>
      <c r="W1051" s="7">
        <v>0</v>
      </c>
      <c r="X1051" s="5">
        <v>1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1.25</v>
      </c>
      <c r="AL1051" s="5">
        <v>1</v>
      </c>
      <c r="AM1051" s="5">
        <v>2</v>
      </c>
      <c r="AN1051" s="28">
        <v>0.26</v>
      </c>
    </row>
    <row r="1052">
      <c r="A1052" s="24">
        <v>13407</v>
      </c>
      <c r="B1052" s="9" t="s">
        <v>1365</v>
      </c>
      <c r="C1052" s="9" t="s">
        <v>63</v>
      </c>
      <c r="D1052" s="9" t="s">
        <v>111</v>
      </c>
      <c r="E1052" s="9" t="s">
        <v>112</v>
      </c>
      <c r="F1052" s="11">
        <v>1</v>
      </c>
      <c r="G1052" s="12">
        <v>0</v>
      </c>
      <c r="H1052" s="12">
        <v>0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13414</v>
      </c>
      <c r="B1053" s="4" t="s">
        <v>1366</v>
      </c>
      <c r="C1053" s="4" t="s">
        <v>63</v>
      </c>
      <c r="D1053" s="4" t="s">
        <v>111</v>
      </c>
      <c r="E1053" s="4" t="s">
        <v>112</v>
      </c>
      <c r="F1053" s="6">
        <v>2</v>
      </c>
      <c r="G1053" s="5">
        <v>2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5">
        <v>2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</v>
      </c>
      <c r="AL1053" s="5">
        <v>2</v>
      </c>
      <c r="AM1053" s="5">
        <v>2</v>
      </c>
      <c r="AN1053" s="30">
        <v>0</v>
      </c>
    </row>
    <row r="1054">
      <c r="A1054" s="24">
        <v>13417</v>
      </c>
      <c r="B1054" s="9" t="s">
        <v>1367</v>
      </c>
      <c r="C1054" s="9" t="s">
        <v>63</v>
      </c>
      <c r="D1054" s="9" t="s">
        <v>111</v>
      </c>
      <c r="E1054" s="9" t="s">
        <v>240</v>
      </c>
      <c r="F1054" s="11">
        <v>3</v>
      </c>
      <c r="G1054" s="10">
        <v>1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0">
        <v>1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1.5</v>
      </c>
      <c r="AL1054" s="10">
        <v>1</v>
      </c>
      <c r="AM1054" s="10">
        <v>2</v>
      </c>
      <c r="AN1054" s="29">
        <v>0.63</v>
      </c>
    </row>
    <row r="1055">
      <c r="A1055" s="23">
        <v>13433</v>
      </c>
      <c r="B1055" s="4" t="s">
        <v>1368</v>
      </c>
      <c r="C1055" s="4" t="s">
        <v>63</v>
      </c>
      <c r="D1055" s="4" t="s">
        <v>111</v>
      </c>
      <c r="E1055" s="4" t="s">
        <v>112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13475</v>
      </c>
      <c r="B1056" s="9" t="s">
        <v>1369</v>
      </c>
      <c r="C1056" s="9" t="s">
        <v>63</v>
      </c>
      <c r="D1056" s="9" t="s">
        <v>111</v>
      </c>
      <c r="E1056" s="9" t="s">
        <v>112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0.34</v>
      </c>
    </row>
    <row r="1057">
      <c r="A1057" s="23">
        <v>13478</v>
      </c>
      <c r="B1057" s="4" t="s">
        <v>1370</v>
      </c>
      <c r="C1057" s="4" t="s">
        <v>63</v>
      </c>
      <c r="D1057" s="4" t="s">
        <v>111</v>
      </c>
      <c r="E1057" s="4" t="s">
        <v>112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13489</v>
      </c>
      <c r="B1058" s="9" t="s">
        <v>1371</v>
      </c>
      <c r="C1058" s="9" t="s">
        <v>63</v>
      </c>
      <c r="D1058" s="9" t="s">
        <v>111</v>
      </c>
      <c r="E1058" s="9" t="s">
        <v>112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3">
        <v>0</v>
      </c>
    </row>
    <row r="1059">
      <c r="A1059" s="23">
        <v>13492</v>
      </c>
      <c r="B1059" s="4" t="s">
        <v>1372</v>
      </c>
      <c r="C1059" s="4" t="s">
        <v>63</v>
      </c>
      <c r="D1059" s="4" t="s">
        <v>73</v>
      </c>
      <c r="E1059" s="4" t="s">
        <v>171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0.26</v>
      </c>
    </row>
    <row r="1060">
      <c r="A1060" s="24">
        <v>13503</v>
      </c>
      <c r="B1060" s="9" t="s">
        <v>1373</v>
      </c>
      <c r="C1060" s="9" t="s">
        <v>63</v>
      </c>
      <c r="D1060" s="9" t="s">
        <v>102</v>
      </c>
      <c r="E1060" s="9" t="s">
        <v>1023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3">
        <v>0</v>
      </c>
    </row>
    <row r="1061">
      <c r="A1061" s="23">
        <v>13504</v>
      </c>
      <c r="B1061" s="4" t="s">
        <v>1374</v>
      </c>
      <c r="C1061" s="4" t="s">
        <v>63</v>
      </c>
      <c r="D1061" s="4" t="s">
        <v>89</v>
      </c>
      <c r="E1061" s="4" t="s">
        <v>1375</v>
      </c>
      <c r="F1061" s="6">
        <v>2</v>
      </c>
      <c r="G1061" s="5">
        <v>2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5">
        <v>2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0.37</v>
      </c>
    </row>
    <row r="1062">
      <c r="A1062" s="24">
        <v>13505</v>
      </c>
      <c r="B1062" s="9" t="s">
        <v>1376</v>
      </c>
      <c r="C1062" s="9" t="s">
        <v>63</v>
      </c>
      <c r="D1062" s="9" t="s">
        <v>73</v>
      </c>
      <c r="E1062" s="9" t="s">
        <v>74</v>
      </c>
      <c r="F1062" s="11">
        <v>2</v>
      </c>
      <c r="G1062" s="10">
        <v>1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1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3">
        <v>0</v>
      </c>
    </row>
    <row r="1063">
      <c r="A1063" s="23">
        <v>13532</v>
      </c>
      <c r="B1063" s="4" t="s">
        <v>1377</v>
      </c>
      <c r="C1063" s="4" t="s">
        <v>63</v>
      </c>
      <c r="D1063" s="4" t="s">
        <v>84</v>
      </c>
      <c r="E1063" s="4" t="s">
        <v>148</v>
      </c>
      <c r="F1063" s="6">
        <v>2</v>
      </c>
      <c r="G1063" s="5">
        <v>2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5">
        <v>2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0.24</v>
      </c>
    </row>
    <row r="1064">
      <c r="A1064" s="24">
        <v>13550</v>
      </c>
      <c r="B1064" s="9" t="s">
        <v>1378</v>
      </c>
      <c r="C1064" s="9" t="s">
        <v>1069</v>
      </c>
      <c r="D1064" s="9" t="s">
        <v>1070</v>
      </c>
      <c r="E1064" s="9" t="s">
        <v>1379</v>
      </c>
      <c r="F1064" s="11">
        <v>3</v>
      </c>
      <c r="G1064" s="10">
        <v>1</v>
      </c>
      <c r="H1064" s="12">
        <v>0</v>
      </c>
      <c r="I1064" s="10">
        <v>1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3</v>
      </c>
      <c r="V1064" s="10">
        <v>1</v>
      </c>
      <c r="W1064" s="12">
        <v>0</v>
      </c>
      <c r="X1064" s="10">
        <v>1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3">
        <v>0</v>
      </c>
    </row>
    <row r="1065">
      <c r="A1065" s="23">
        <v>13567</v>
      </c>
      <c r="B1065" s="4" t="s">
        <v>1380</v>
      </c>
      <c r="C1065" s="4" t="s">
        <v>179</v>
      </c>
      <c r="D1065" s="4" t="s">
        <v>471</v>
      </c>
      <c r="E1065" s="4" t="s">
        <v>528</v>
      </c>
      <c r="F1065" s="6">
        <v>3</v>
      </c>
      <c r="G1065" s="7">
        <v>0</v>
      </c>
      <c r="H1065" s="5">
        <v>1</v>
      </c>
      <c r="I1065" s="5">
        <v>1</v>
      </c>
      <c r="J1065" s="7">
        <v>0</v>
      </c>
      <c r="K1065" s="5">
        <v>1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7">
        <v>0</v>
      </c>
      <c r="W1065" s="5">
        <v>1</v>
      </c>
      <c r="X1065" s="5">
        <v>1</v>
      </c>
      <c r="Y1065" s="7">
        <v>0</v>
      </c>
      <c r="Z1065" s="5">
        <v>1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0.37</v>
      </c>
    </row>
    <row r="1066">
      <c r="A1066" s="24">
        <v>13577</v>
      </c>
      <c r="B1066" s="9" t="s">
        <v>1381</v>
      </c>
      <c r="C1066" s="9" t="s">
        <v>179</v>
      </c>
      <c r="D1066" s="9" t="s">
        <v>180</v>
      </c>
      <c r="E1066" s="9" t="s">
        <v>189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3">
        <v>0</v>
      </c>
    </row>
    <row r="1067">
      <c r="A1067" s="23">
        <v>13586</v>
      </c>
      <c r="B1067" s="4" t="s">
        <v>1382</v>
      </c>
      <c r="C1067" s="4" t="s">
        <v>63</v>
      </c>
      <c r="D1067" s="4" t="s">
        <v>84</v>
      </c>
      <c r="E1067" s="4" t="s">
        <v>522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28">
        <v>0.39</v>
      </c>
    </row>
    <row r="1068">
      <c r="A1068" s="24">
        <v>13675</v>
      </c>
      <c r="B1068" s="9" t="s">
        <v>1383</v>
      </c>
      <c r="C1068" s="9" t="s">
        <v>63</v>
      </c>
      <c r="D1068" s="9" t="s">
        <v>67</v>
      </c>
      <c r="E1068" s="9" t="s">
        <v>271</v>
      </c>
      <c r="F1068" s="11">
        <v>1</v>
      </c>
      <c r="G1068" s="12">
        <v>0</v>
      </c>
      <c r="H1068" s="10">
        <v>1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0">
        <v>1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0.26</v>
      </c>
    </row>
    <row r="1069">
      <c r="A1069" s="23">
        <v>13710</v>
      </c>
      <c r="B1069" s="4" t="s">
        <v>1384</v>
      </c>
      <c r="C1069" s="4" t="s">
        <v>63</v>
      </c>
      <c r="D1069" s="4" t="s">
        <v>67</v>
      </c>
      <c r="E1069" s="4" t="s">
        <v>271</v>
      </c>
      <c r="F1069" s="6">
        <v>1</v>
      </c>
      <c r="G1069" s="7">
        <v>0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7">
        <v>0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13715</v>
      </c>
      <c r="B1070" s="9" t="s">
        <v>1385</v>
      </c>
      <c r="C1070" s="9" t="s">
        <v>63</v>
      </c>
      <c r="D1070" s="9" t="s">
        <v>67</v>
      </c>
      <c r="E1070" s="9" t="s">
        <v>271</v>
      </c>
      <c r="F1070" s="11">
        <v>4</v>
      </c>
      <c r="G1070" s="10">
        <v>4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0">
        <v>3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4</v>
      </c>
      <c r="AK1070" s="13">
        <v>4</v>
      </c>
      <c r="AL1070" s="10">
        <v>4</v>
      </c>
      <c r="AM1070" s="10">
        <v>4</v>
      </c>
      <c r="AN1070" s="43">
        <v>0</v>
      </c>
    </row>
    <row r="1071">
      <c r="A1071" s="23">
        <v>13730</v>
      </c>
      <c r="B1071" s="4" t="s">
        <v>1386</v>
      </c>
      <c r="C1071" s="4" t="s">
        <v>63</v>
      </c>
      <c r="D1071" s="4" t="s">
        <v>111</v>
      </c>
      <c r="E1071" s="4" t="s">
        <v>112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0.24</v>
      </c>
    </row>
    <row r="1072">
      <c r="A1072" s="24">
        <v>13733</v>
      </c>
      <c r="B1072" s="9" t="s">
        <v>1387</v>
      </c>
      <c r="C1072" s="9" t="s">
        <v>63</v>
      </c>
      <c r="D1072" s="9" t="s">
        <v>120</v>
      </c>
      <c r="E1072" s="9" t="s">
        <v>121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13785</v>
      </c>
      <c r="B1073" s="4" t="s">
        <v>1388</v>
      </c>
      <c r="C1073" s="4" t="s">
        <v>63</v>
      </c>
      <c r="D1073" s="4" t="s">
        <v>73</v>
      </c>
      <c r="E1073" s="4" t="s">
        <v>237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13862</v>
      </c>
      <c r="B1074" s="9" t="s">
        <v>1389</v>
      </c>
      <c r="C1074" s="9" t="s">
        <v>63</v>
      </c>
      <c r="D1074" s="9" t="s">
        <v>120</v>
      </c>
      <c r="E1074" s="9" t="s">
        <v>123</v>
      </c>
      <c r="F1074" s="11">
        <v>2</v>
      </c>
      <c r="G1074" s="10">
        <v>2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</v>
      </c>
      <c r="AL1074" s="10">
        <v>2</v>
      </c>
      <c r="AM1074" s="10">
        <v>2</v>
      </c>
      <c r="AN1074" s="29">
        <v>0.26</v>
      </c>
    </row>
    <row r="1075">
      <c r="A1075" s="23">
        <v>13888</v>
      </c>
      <c r="B1075" s="4" t="s">
        <v>1390</v>
      </c>
      <c r="C1075" s="4" t="s">
        <v>63</v>
      </c>
      <c r="D1075" s="4" t="s">
        <v>84</v>
      </c>
      <c r="E1075" s="4" t="s">
        <v>217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13898</v>
      </c>
      <c r="B1076" s="9" t="s">
        <v>1391</v>
      </c>
      <c r="C1076" s="9" t="s">
        <v>63</v>
      </c>
      <c r="D1076" s="9" t="s">
        <v>84</v>
      </c>
      <c r="E1076" s="9" t="s">
        <v>85</v>
      </c>
      <c r="F1076" s="11">
        <v>1</v>
      </c>
      <c r="G1076" s="12">
        <v>0</v>
      </c>
      <c r="H1076" s="10">
        <v>1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2">
        <v>0</v>
      </c>
      <c r="W1076" s="10">
        <v>1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13905</v>
      </c>
      <c r="B1077" s="4" t="s">
        <v>1392</v>
      </c>
      <c r="C1077" s="4" t="s">
        <v>63</v>
      </c>
      <c r="D1077" s="4" t="s">
        <v>84</v>
      </c>
      <c r="E1077" s="4" t="s">
        <v>217</v>
      </c>
      <c r="F1077" s="6">
        <v>3</v>
      </c>
      <c r="G1077" s="7">
        <v>0</v>
      </c>
      <c r="H1077" s="7">
        <v>0</v>
      </c>
      <c r="I1077" s="5">
        <v>2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3</v>
      </c>
      <c r="V1077" s="7">
        <v>0</v>
      </c>
      <c r="W1077" s="7">
        <v>0</v>
      </c>
      <c r="X1077" s="5">
        <v>2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0.5</v>
      </c>
    </row>
    <row r="1078">
      <c r="A1078" s="24">
        <v>13913</v>
      </c>
      <c r="B1078" s="9" t="s">
        <v>1393</v>
      </c>
      <c r="C1078" s="9" t="s">
        <v>63</v>
      </c>
      <c r="D1078" s="9" t="s">
        <v>77</v>
      </c>
      <c r="E1078" s="9" t="s">
        <v>92</v>
      </c>
      <c r="F1078" s="11">
        <v>1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  <c r="L1078" s="10">
        <v>1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0">
        <v>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3">
        <v>0</v>
      </c>
    </row>
    <row r="1079">
      <c r="A1079" s="23">
        <v>13914</v>
      </c>
      <c r="B1079" s="4" t="s">
        <v>1394</v>
      </c>
      <c r="C1079" s="4" t="s">
        <v>63</v>
      </c>
      <c r="D1079" s="4" t="s">
        <v>135</v>
      </c>
      <c r="E1079" s="4" t="s">
        <v>377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14013</v>
      </c>
      <c r="B1080" s="9" t="s">
        <v>1395</v>
      </c>
      <c r="C1080" s="9" t="s">
        <v>63</v>
      </c>
      <c r="D1080" s="9" t="s">
        <v>70</v>
      </c>
      <c r="E1080" s="9" t="s">
        <v>495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3">
        <v>0</v>
      </c>
    </row>
    <row r="1081">
      <c r="A1081" s="23">
        <v>14023</v>
      </c>
      <c r="B1081" s="4" t="s">
        <v>1396</v>
      </c>
      <c r="C1081" s="4" t="s">
        <v>179</v>
      </c>
      <c r="D1081" s="4" t="s">
        <v>193</v>
      </c>
      <c r="E1081" s="4" t="s">
        <v>1397</v>
      </c>
      <c r="F1081" s="6">
        <v>2</v>
      </c>
      <c r="G1081" s="7">
        <v>0</v>
      </c>
      <c r="H1081" s="7">
        <v>0</v>
      </c>
      <c r="I1081" s="7">
        <v>0</v>
      </c>
      <c r="J1081" s="7">
        <v>0</v>
      </c>
      <c r="K1081" s="5">
        <v>2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7">
        <v>0</v>
      </c>
      <c r="W1081" s="7">
        <v>0</v>
      </c>
      <c r="X1081" s="7">
        <v>0</v>
      </c>
      <c r="Y1081" s="7">
        <v>0</v>
      </c>
      <c r="Z1081" s="5">
        <v>2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</v>
      </c>
      <c r="AL1081" s="5">
        <v>2</v>
      </c>
      <c r="AM1081" s="5">
        <v>2</v>
      </c>
      <c r="AN1081" s="30">
        <v>0</v>
      </c>
    </row>
    <row r="1082">
      <c r="A1082" s="24">
        <v>14065</v>
      </c>
      <c r="B1082" s="9" t="s">
        <v>1398</v>
      </c>
      <c r="C1082" s="9" t="s">
        <v>179</v>
      </c>
      <c r="D1082" s="9" t="s">
        <v>180</v>
      </c>
      <c r="E1082" s="9" t="s">
        <v>191</v>
      </c>
      <c r="F1082" s="11">
        <v>3</v>
      </c>
      <c r="G1082" s="12">
        <v>0</v>
      </c>
      <c r="H1082" s="12">
        <v>0</v>
      </c>
      <c r="I1082" s="12">
        <v>0</v>
      </c>
      <c r="J1082" s="12">
        <v>0</v>
      </c>
      <c r="K1082" s="10">
        <v>3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2">
        <v>0</v>
      </c>
      <c r="Y1082" s="12">
        <v>0</v>
      </c>
      <c r="Z1082" s="10">
        <v>2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1.5</v>
      </c>
      <c r="AL1082" s="10">
        <v>1</v>
      </c>
      <c r="AM1082" s="10">
        <v>2</v>
      </c>
      <c r="AN1082" s="43">
        <v>0</v>
      </c>
    </row>
    <row r="1083">
      <c r="A1083" s="23">
        <v>14069</v>
      </c>
      <c r="B1083" s="4" t="s">
        <v>1399</v>
      </c>
      <c r="C1083" s="4" t="s">
        <v>700</v>
      </c>
      <c r="D1083" s="4" t="s">
        <v>755</v>
      </c>
      <c r="E1083" s="4" t="s">
        <v>374</v>
      </c>
      <c r="F1083" s="6">
        <v>2</v>
      </c>
      <c r="G1083" s="7">
        <v>0</v>
      </c>
      <c r="H1083" s="7">
        <v>0</v>
      </c>
      <c r="I1083" s="5">
        <v>1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7">
        <v>0</v>
      </c>
      <c r="X1083" s="5">
        <v>1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14081</v>
      </c>
      <c r="B1084" s="9" t="s">
        <v>1400</v>
      </c>
      <c r="C1084" s="9" t="s">
        <v>63</v>
      </c>
      <c r="D1084" s="9" t="s">
        <v>77</v>
      </c>
      <c r="E1084" s="9" t="s">
        <v>87</v>
      </c>
      <c r="F1084" s="11">
        <v>2</v>
      </c>
      <c r="G1084" s="12">
        <v>0</v>
      </c>
      <c r="H1084" s="12">
        <v>0</v>
      </c>
      <c r="I1084" s="12">
        <v>0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29">
        <v>0.25</v>
      </c>
    </row>
    <row r="1085">
      <c r="A1085" s="23">
        <v>14089</v>
      </c>
      <c r="B1085" s="4" t="s">
        <v>1401</v>
      </c>
      <c r="C1085" s="4" t="s">
        <v>63</v>
      </c>
      <c r="D1085" s="4" t="s">
        <v>84</v>
      </c>
      <c r="E1085" s="4" t="s">
        <v>522</v>
      </c>
      <c r="F1085" s="6">
        <v>2</v>
      </c>
      <c r="G1085" s="7">
        <v>0</v>
      </c>
      <c r="H1085" s="7">
        <v>0</v>
      </c>
      <c r="I1085" s="7">
        <v>0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28">
        <v>0.25</v>
      </c>
    </row>
    <row r="1086">
      <c r="A1086" s="24">
        <v>14092</v>
      </c>
      <c r="B1086" s="9" t="s">
        <v>1402</v>
      </c>
      <c r="C1086" s="9" t="s">
        <v>63</v>
      </c>
      <c r="D1086" s="9" t="s">
        <v>89</v>
      </c>
      <c r="E1086" s="9" t="s">
        <v>161</v>
      </c>
      <c r="F1086" s="11">
        <v>1</v>
      </c>
      <c r="G1086" s="12">
        <v>0</v>
      </c>
      <c r="H1086" s="12">
        <v>0</v>
      </c>
      <c r="I1086" s="10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2">
        <v>0</v>
      </c>
      <c r="X1086" s="10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0.26</v>
      </c>
    </row>
    <row r="1087">
      <c r="A1087" s="23">
        <v>14171</v>
      </c>
      <c r="B1087" s="4" t="s">
        <v>1403</v>
      </c>
      <c r="C1087" s="4" t="s">
        <v>63</v>
      </c>
      <c r="D1087" s="4" t="s">
        <v>73</v>
      </c>
      <c r="E1087" s="4" t="s">
        <v>140</v>
      </c>
      <c r="F1087" s="6">
        <v>4</v>
      </c>
      <c r="G1087" s="7">
        <v>0</v>
      </c>
      <c r="H1087" s="7">
        <v>0</v>
      </c>
      <c r="I1087" s="7">
        <v>0</v>
      </c>
      <c r="J1087" s="5">
        <v>3</v>
      </c>
      <c r="K1087" s="7">
        <v>0</v>
      </c>
      <c r="L1087" s="5">
        <v>1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4</v>
      </c>
      <c r="V1087" s="7">
        <v>0</v>
      </c>
      <c r="W1087" s="7">
        <v>0</v>
      </c>
      <c r="X1087" s="7">
        <v>0</v>
      </c>
      <c r="Y1087" s="5">
        <v>3</v>
      </c>
      <c r="Z1087" s="7">
        <v>0</v>
      </c>
      <c r="AA1087" s="5">
        <v>1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2</v>
      </c>
      <c r="AM1087" s="5">
        <v>3</v>
      </c>
      <c r="AN1087" s="30">
        <v>0</v>
      </c>
    </row>
    <row r="1088">
      <c r="A1088" s="24">
        <v>14180</v>
      </c>
      <c r="B1088" s="9" t="s">
        <v>1404</v>
      </c>
      <c r="C1088" s="9" t="s">
        <v>63</v>
      </c>
      <c r="D1088" s="9" t="s">
        <v>102</v>
      </c>
      <c r="E1088" s="9" t="s">
        <v>1023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3">
        <v>0</v>
      </c>
    </row>
    <row r="1089">
      <c r="A1089" s="23">
        <v>14188</v>
      </c>
      <c r="B1089" s="4" t="s">
        <v>1405</v>
      </c>
      <c r="C1089" s="4" t="s">
        <v>63</v>
      </c>
      <c r="D1089" s="4" t="s">
        <v>120</v>
      </c>
      <c r="E1089" s="4" t="s">
        <v>499</v>
      </c>
      <c r="F1089" s="6">
        <v>2</v>
      </c>
      <c r="G1089" s="5">
        <v>2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2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30">
        <v>0</v>
      </c>
    </row>
    <row r="1090">
      <c r="A1090" s="24">
        <v>14191</v>
      </c>
      <c r="B1090" s="9" t="s">
        <v>1406</v>
      </c>
      <c r="C1090" s="9" t="s">
        <v>1069</v>
      </c>
      <c r="D1090" s="9" t="s">
        <v>1137</v>
      </c>
      <c r="E1090" s="9" t="s">
        <v>374</v>
      </c>
      <c r="F1090" s="11">
        <v>2</v>
      </c>
      <c r="G1090" s="12">
        <v>0</v>
      </c>
      <c r="H1090" s="12">
        <v>0</v>
      </c>
      <c r="I1090" s="10">
        <v>1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2">
        <v>0</v>
      </c>
      <c r="W1090" s="12">
        <v>0</v>
      </c>
      <c r="X1090" s="10">
        <v>1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14192</v>
      </c>
      <c r="B1091" s="4" t="s">
        <v>1407</v>
      </c>
      <c r="C1091" s="4" t="s">
        <v>63</v>
      </c>
      <c r="D1091" s="4" t="s">
        <v>120</v>
      </c>
      <c r="E1091" s="4" t="s">
        <v>121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14270</v>
      </c>
      <c r="B1092" s="9" t="s">
        <v>1408</v>
      </c>
      <c r="C1092" s="9" t="s">
        <v>63</v>
      </c>
      <c r="D1092" s="9" t="s">
        <v>120</v>
      </c>
      <c r="E1092" s="9" t="s">
        <v>132</v>
      </c>
      <c r="F1092" s="11">
        <v>2</v>
      </c>
      <c r="G1092" s="10">
        <v>1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0">
        <v>1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3">
        <v>0</v>
      </c>
    </row>
    <row r="1093">
      <c r="A1093" s="23">
        <v>14296</v>
      </c>
      <c r="B1093" s="4" t="s">
        <v>1409</v>
      </c>
      <c r="C1093" s="4" t="s">
        <v>63</v>
      </c>
      <c r="D1093" s="4" t="s">
        <v>73</v>
      </c>
      <c r="E1093" s="4" t="s">
        <v>74</v>
      </c>
      <c r="F1093" s="6">
        <v>2</v>
      </c>
      <c r="G1093" s="5">
        <v>1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1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14340</v>
      </c>
      <c r="B1094" s="9" t="s">
        <v>1410</v>
      </c>
      <c r="C1094" s="9" t="s">
        <v>63</v>
      </c>
      <c r="D1094" s="9" t="s">
        <v>70</v>
      </c>
      <c r="E1094" s="9" t="s">
        <v>495</v>
      </c>
      <c r="F1094" s="11">
        <v>1</v>
      </c>
      <c r="G1094" s="12">
        <v>0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3">
        <v>0</v>
      </c>
    </row>
    <row r="1095">
      <c r="A1095" s="23">
        <v>14409</v>
      </c>
      <c r="B1095" s="4" t="s">
        <v>1411</v>
      </c>
      <c r="C1095" s="4" t="s">
        <v>179</v>
      </c>
      <c r="D1095" s="4" t="s">
        <v>885</v>
      </c>
      <c r="E1095" s="4" t="s">
        <v>886</v>
      </c>
      <c r="F1095" s="6">
        <v>2</v>
      </c>
      <c r="G1095" s="5">
        <v>1</v>
      </c>
      <c r="H1095" s="5">
        <v>1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5">
        <v>1</v>
      </c>
      <c r="W1095" s="5">
        <v>1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14418</v>
      </c>
      <c r="B1096" s="9" t="s">
        <v>1412</v>
      </c>
      <c r="C1096" s="9" t="s">
        <v>63</v>
      </c>
      <c r="D1096" s="9" t="s">
        <v>89</v>
      </c>
      <c r="E1096" s="9" t="s">
        <v>161</v>
      </c>
      <c r="F1096" s="11">
        <v>3</v>
      </c>
      <c r="G1096" s="10">
        <v>1</v>
      </c>
      <c r="H1096" s="12">
        <v>0</v>
      </c>
      <c r="I1096" s="10">
        <v>1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0">
        <v>1</v>
      </c>
      <c r="W1096" s="12">
        <v>0</v>
      </c>
      <c r="X1096" s="10">
        <v>1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0.5</v>
      </c>
    </row>
    <row r="1097">
      <c r="A1097" s="23">
        <v>14439</v>
      </c>
      <c r="B1097" s="4" t="s">
        <v>1413</v>
      </c>
      <c r="C1097" s="4" t="s">
        <v>264</v>
      </c>
      <c r="D1097" s="4" t="s">
        <v>1194</v>
      </c>
      <c r="E1097" s="4" t="s">
        <v>1414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14446</v>
      </c>
      <c r="B1098" s="9" t="s">
        <v>1415</v>
      </c>
      <c r="C1098" s="9" t="s">
        <v>63</v>
      </c>
      <c r="D1098" s="9" t="s">
        <v>70</v>
      </c>
      <c r="E1098" s="9" t="s">
        <v>94</v>
      </c>
      <c r="F1098" s="11">
        <v>3</v>
      </c>
      <c r="G1098" s="12">
        <v>0</v>
      </c>
      <c r="H1098" s="12">
        <v>0</v>
      </c>
      <c r="I1098" s="12">
        <v>0</v>
      </c>
      <c r="J1098" s="10">
        <v>3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2">
        <v>0</v>
      </c>
      <c r="W1098" s="12">
        <v>0</v>
      </c>
      <c r="X1098" s="12">
        <v>0</v>
      </c>
      <c r="Y1098" s="10">
        <v>3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0.86</v>
      </c>
    </row>
    <row r="1099">
      <c r="A1099" s="23">
        <v>14526</v>
      </c>
      <c r="B1099" s="4" t="s">
        <v>1416</v>
      </c>
      <c r="C1099" s="4" t="s">
        <v>63</v>
      </c>
      <c r="D1099" s="4" t="s">
        <v>73</v>
      </c>
      <c r="E1099" s="4" t="s">
        <v>140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0.24</v>
      </c>
    </row>
    <row r="1100">
      <c r="A1100" s="24">
        <v>14601</v>
      </c>
      <c r="B1100" s="9" t="s">
        <v>1417</v>
      </c>
      <c r="C1100" s="9" t="s">
        <v>264</v>
      </c>
      <c r="D1100" s="9" t="s">
        <v>453</v>
      </c>
      <c r="E1100" s="9" t="s">
        <v>564</v>
      </c>
      <c r="F1100" s="11">
        <v>1</v>
      </c>
      <c r="G1100" s="12">
        <v>0</v>
      </c>
      <c r="H1100" s="12">
        <v>0</v>
      </c>
      <c r="I1100" s="12">
        <v>0</v>
      </c>
      <c r="J1100" s="12">
        <v>0</v>
      </c>
      <c r="K1100" s="12">
        <v>0</v>
      </c>
      <c r="L1100" s="10">
        <v>1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2">
        <v>0</v>
      </c>
      <c r="Z1100" s="12">
        <v>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3">
        <v>0</v>
      </c>
    </row>
    <row r="1101">
      <c r="A1101" s="23">
        <v>14613</v>
      </c>
      <c r="B1101" s="4" t="s">
        <v>1418</v>
      </c>
      <c r="C1101" s="4" t="s">
        <v>63</v>
      </c>
      <c r="D1101" s="4" t="s">
        <v>111</v>
      </c>
      <c r="E1101" s="4" t="s">
        <v>240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0.26</v>
      </c>
    </row>
    <row r="1102">
      <c r="A1102" s="24">
        <v>14614</v>
      </c>
      <c r="B1102" s="9" t="s">
        <v>1419</v>
      </c>
      <c r="C1102" s="9" t="s">
        <v>179</v>
      </c>
      <c r="D1102" s="9" t="s">
        <v>180</v>
      </c>
      <c r="E1102" s="9" t="s">
        <v>191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3">
        <v>0</v>
      </c>
    </row>
    <row r="1103">
      <c r="A1103" s="23">
        <v>14624</v>
      </c>
      <c r="B1103" s="4" t="s">
        <v>1420</v>
      </c>
      <c r="C1103" s="4" t="s">
        <v>264</v>
      </c>
      <c r="D1103" s="4" t="s">
        <v>398</v>
      </c>
      <c r="E1103" s="4" t="s">
        <v>741</v>
      </c>
      <c r="F1103" s="6">
        <v>6</v>
      </c>
      <c r="G1103" s="5">
        <v>1</v>
      </c>
      <c r="H1103" s="7">
        <v>0</v>
      </c>
      <c r="I1103" s="5">
        <v>1</v>
      </c>
      <c r="J1103" s="5">
        <v>2</v>
      </c>
      <c r="K1103" s="7">
        <v>0</v>
      </c>
      <c r="L1103" s="5">
        <v>2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6</v>
      </c>
      <c r="V1103" s="5">
        <v>1</v>
      </c>
      <c r="W1103" s="7">
        <v>0</v>
      </c>
      <c r="X1103" s="5">
        <v>1</v>
      </c>
      <c r="Y1103" s="5">
        <v>2</v>
      </c>
      <c r="Z1103" s="7">
        <v>0</v>
      </c>
      <c r="AA1103" s="5">
        <v>2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30">
        <v>0</v>
      </c>
    </row>
    <row r="1104">
      <c r="A1104" s="24">
        <v>14728</v>
      </c>
      <c r="B1104" s="9" t="s">
        <v>1421</v>
      </c>
      <c r="C1104" s="9" t="s">
        <v>372</v>
      </c>
      <c r="D1104" s="9" t="s">
        <v>1056</v>
      </c>
      <c r="E1104" s="9" t="s">
        <v>374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43">
        <v>0</v>
      </c>
    </row>
    <row r="1105">
      <c r="A1105" s="23">
        <v>14749</v>
      </c>
      <c r="B1105" s="4" t="s">
        <v>1422</v>
      </c>
      <c r="C1105" s="4" t="s">
        <v>700</v>
      </c>
      <c r="D1105" s="4" t="s">
        <v>714</v>
      </c>
      <c r="E1105" s="4" t="s">
        <v>374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7">
        <v>0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28">
        <v>0.52</v>
      </c>
    </row>
    <row r="1106">
      <c r="A1106" s="24">
        <v>14775</v>
      </c>
      <c r="B1106" s="9" t="s">
        <v>1423</v>
      </c>
      <c r="C1106" s="9" t="s">
        <v>63</v>
      </c>
      <c r="D1106" s="9" t="s">
        <v>73</v>
      </c>
      <c r="E1106" s="9" t="s">
        <v>74</v>
      </c>
      <c r="F1106" s="11">
        <v>2</v>
      </c>
      <c r="G1106" s="12">
        <v>0</v>
      </c>
      <c r="H1106" s="10">
        <v>2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0">
        <v>1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29">
        <v>0.25</v>
      </c>
    </row>
    <row r="1107">
      <c r="A1107" s="23">
        <v>14798</v>
      </c>
      <c r="B1107" s="4" t="s">
        <v>1424</v>
      </c>
      <c r="C1107" s="4" t="s">
        <v>63</v>
      </c>
      <c r="D1107" s="4" t="s">
        <v>115</v>
      </c>
      <c r="E1107" s="4" t="s">
        <v>404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0.25</v>
      </c>
    </row>
    <row r="1108">
      <c r="A1108" s="24">
        <v>14824</v>
      </c>
      <c r="B1108" s="9" t="s">
        <v>1425</v>
      </c>
      <c r="C1108" s="9" t="s">
        <v>264</v>
      </c>
      <c r="D1108" s="9" t="s">
        <v>545</v>
      </c>
      <c r="E1108" s="9" t="s">
        <v>1426</v>
      </c>
      <c r="F1108" s="11">
        <v>1</v>
      </c>
      <c r="G1108" s="12">
        <v>0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3">
        <v>0</v>
      </c>
    </row>
    <row r="1109">
      <c r="A1109" s="23">
        <v>14877</v>
      </c>
      <c r="B1109" s="4" t="s">
        <v>1427</v>
      </c>
      <c r="C1109" s="4" t="s">
        <v>63</v>
      </c>
      <c r="D1109" s="4" t="s">
        <v>73</v>
      </c>
      <c r="E1109" s="4" t="s">
        <v>138</v>
      </c>
      <c r="F1109" s="6">
        <v>2</v>
      </c>
      <c r="G1109" s="7">
        <v>0</v>
      </c>
      <c r="H1109" s="7">
        <v>0</v>
      </c>
      <c r="I1109" s="7">
        <v>0</v>
      </c>
      <c r="J1109" s="5">
        <v>2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28">
        <v>0.26</v>
      </c>
    </row>
    <row r="1110">
      <c r="A1110" s="24">
        <v>14883</v>
      </c>
      <c r="B1110" s="9" t="s">
        <v>1428</v>
      </c>
      <c r="C1110" s="9" t="s">
        <v>63</v>
      </c>
      <c r="D1110" s="9" t="s">
        <v>84</v>
      </c>
      <c r="E1110" s="9" t="s">
        <v>106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14901</v>
      </c>
      <c r="B1111" s="4" t="s">
        <v>1429</v>
      </c>
      <c r="C1111" s="4" t="s">
        <v>264</v>
      </c>
      <c r="D1111" s="4" t="s">
        <v>462</v>
      </c>
      <c r="E1111" s="4" t="s">
        <v>463</v>
      </c>
      <c r="F1111" s="6">
        <v>4</v>
      </c>
      <c r="G1111" s="5">
        <v>2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5">
        <v>1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1.33</v>
      </c>
      <c r="AL1111" s="5">
        <v>1</v>
      </c>
      <c r="AM1111" s="5">
        <v>2</v>
      </c>
      <c r="AN1111" s="28">
        <v>0.72</v>
      </c>
    </row>
    <row r="1112">
      <c r="A1112" s="24">
        <v>14931</v>
      </c>
      <c r="B1112" s="9" t="s">
        <v>1430</v>
      </c>
      <c r="C1112" s="9" t="s">
        <v>63</v>
      </c>
      <c r="D1112" s="9" t="s">
        <v>70</v>
      </c>
      <c r="E1112" s="9" t="s">
        <v>347</v>
      </c>
      <c r="F1112" s="11">
        <v>2</v>
      </c>
      <c r="G1112" s="10">
        <v>2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29">
        <v>0.25</v>
      </c>
    </row>
    <row r="1113">
      <c r="A1113" s="23">
        <v>14932</v>
      </c>
      <c r="B1113" s="4" t="s">
        <v>1431</v>
      </c>
      <c r="C1113" s="4" t="s">
        <v>264</v>
      </c>
      <c r="D1113" s="4" t="s">
        <v>398</v>
      </c>
      <c r="E1113" s="4" t="s">
        <v>410</v>
      </c>
      <c r="F1113" s="6">
        <v>3</v>
      </c>
      <c r="G1113" s="5">
        <v>2</v>
      </c>
      <c r="H1113" s="7">
        <v>0</v>
      </c>
      <c r="I1113" s="7">
        <v>0</v>
      </c>
      <c r="J1113" s="7">
        <v>0</v>
      </c>
      <c r="K1113" s="7">
        <v>0</v>
      </c>
      <c r="L1113" s="5">
        <v>1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5">
        <v>1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30">
        <v>0</v>
      </c>
    </row>
    <row r="1114">
      <c r="A1114" s="24">
        <v>15005</v>
      </c>
      <c r="B1114" s="9" t="s">
        <v>1432</v>
      </c>
      <c r="C1114" s="9" t="s">
        <v>63</v>
      </c>
      <c r="D1114" s="9" t="s">
        <v>84</v>
      </c>
      <c r="E1114" s="9" t="s">
        <v>85</v>
      </c>
      <c r="F1114" s="11">
        <v>3</v>
      </c>
      <c r="G1114" s="10">
        <v>3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3</v>
      </c>
      <c r="AK1114" s="13">
        <v>3</v>
      </c>
      <c r="AL1114" s="10">
        <v>3</v>
      </c>
      <c r="AM1114" s="10">
        <v>3</v>
      </c>
      <c r="AN1114" s="43">
        <v>0</v>
      </c>
    </row>
    <row r="1115">
      <c r="A1115" s="23">
        <v>15007</v>
      </c>
      <c r="B1115" s="4" t="s">
        <v>1433</v>
      </c>
      <c r="C1115" s="4" t="s">
        <v>63</v>
      </c>
      <c r="D1115" s="4" t="s">
        <v>73</v>
      </c>
      <c r="E1115" s="4" t="s">
        <v>171</v>
      </c>
      <c r="F1115" s="6">
        <v>3</v>
      </c>
      <c r="G1115" s="7">
        <v>0</v>
      </c>
      <c r="H1115" s="5">
        <v>2</v>
      </c>
      <c r="I1115" s="7">
        <v>0</v>
      </c>
      <c r="J1115" s="7">
        <v>0</v>
      </c>
      <c r="K1115" s="7">
        <v>0</v>
      </c>
      <c r="L1115" s="5">
        <v>1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7">
        <v>0</v>
      </c>
      <c r="W1115" s="5">
        <v>1</v>
      </c>
      <c r="X1115" s="7">
        <v>0</v>
      </c>
      <c r="Y1115" s="7">
        <v>0</v>
      </c>
      <c r="Z1115" s="7">
        <v>0</v>
      </c>
      <c r="AA1115" s="5">
        <v>1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2</v>
      </c>
      <c r="AN1115" s="28">
        <v>0.25</v>
      </c>
    </row>
    <row r="1116">
      <c r="A1116" s="24">
        <v>15020</v>
      </c>
      <c r="B1116" s="9" t="s">
        <v>1434</v>
      </c>
      <c r="C1116" s="9" t="s">
        <v>63</v>
      </c>
      <c r="D1116" s="9" t="s">
        <v>102</v>
      </c>
      <c r="E1116" s="9" t="s">
        <v>1435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3">
        <v>0</v>
      </c>
    </row>
    <row r="1117">
      <c r="A1117" s="23">
        <v>15027</v>
      </c>
      <c r="B1117" s="4" t="s">
        <v>1436</v>
      </c>
      <c r="C1117" s="4" t="s">
        <v>63</v>
      </c>
      <c r="D1117" s="4" t="s">
        <v>115</v>
      </c>
      <c r="E1117" s="4" t="s">
        <v>116</v>
      </c>
      <c r="F1117" s="6">
        <v>3</v>
      </c>
      <c r="G1117" s="7">
        <v>0</v>
      </c>
      <c r="H1117" s="5">
        <v>1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5">
        <v>1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28">
        <v>0.62</v>
      </c>
    </row>
    <row r="1118">
      <c r="A1118" s="24">
        <v>15033</v>
      </c>
      <c r="B1118" s="9" t="s">
        <v>1437</v>
      </c>
      <c r="C1118" s="9" t="s">
        <v>63</v>
      </c>
      <c r="D1118" s="9" t="s">
        <v>67</v>
      </c>
      <c r="E1118" s="9" t="s">
        <v>271</v>
      </c>
      <c r="F1118" s="11">
        <v>1</v>
      </c>
      <c r="G1118" s="12">
        <v>0</v>
      </c>
      <c r="H1118" s="12">
        <v>0</v>
      </c>
      <c r="I1118" s="10">
        <v>1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0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0.24</v>
      </c>
    </row>
    <row r="1119">
      <c r="A1119" s="23">
        <v>15091</v>
      </c>
      <c r="B1119" s="4" t="s">
        <v>1438</v>
      </c>
      <c r="C1119" s="4" t="s">
        <v>63</v>
      </c>
      <c r="D1119" s="4" t="s">
        <v>84</v>
      </c>
      <c r="E1119" s="4" t="s">
        <v>1158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0.26</v>
      </c>
    </row>
    <row r="1120">
      <c r="A1120" s="24">
        <v>15126</v>
      </c>
      <c r="B1120" s="9" t="s">
        <v>1439</v>
      </c>
      <c r="C1120" s="9" t="s">
        <v>63</v>
      </c>
      <c r="D1120" s="9" t="s">
        <v>77</v>
      </c>
      <c r="E1120" s="9" t="s">
        <v>87</v>
      </c>
      <c r="F1120" s="11">
        <v>11</v>
      </c>
      <c r="G1120" s="12">
        <v>0</v>
      </c>
      <c r="H1120" s="12">
        <v>0</v>
      </c>
      <c r="I1120" s="12">
        <v>0</v>
      </c>
      <c r="J1120" s="10">
        <v>11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8</v>
      </c>
      <c r="V1120" s="12">
        <v>0</v>
      </c>
      <c r="W1120" s="12">
        <v>0</v>
      </c>
      <c r="X1120" s="12">
        <v>0</v>
      </c>
      <c r="Y1120" s="10">
        <v>8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5.5</v>
      </c>
      <c r="AL1120" s="10">
        <v>5</v>
      </c>
      <c r="AM1120" s="10">
        <v>10</v>
      </c>
      <c r="AN1120" s="29">
        <v>1.75</v>
      </c>
    </row>
    <row r="1121">
      <c r="A1121" s="23">
        <v>15210</v>
      </c>
      <c r="B1121" s="4" t="s">
        <v>1440</v>
      </c>
      <c r="C1121" s="4" t="s">
        <v>63</v>
      </c>
      <c r="D1121" s="4" t="s">
        <v>120</v>
      </c>
      <c r="E1121" s="4" t="s">
        <v>165</v>
      </c>
      <c r="F1121" s="6">
        <v>1</v>
      </c>
      <c r="G1121" s="7">
        <v>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15322</v>
      </c>
      <c r="B1122" s="9" t="s">
        <v>1441</v>
      </c>
      <c r="C1122" s="9" t="s">
        <v>63</v>
      </c>
      <c r="D1122" s="9" t="s">
        <v>120</v>
      </c>
      <c r="E1122" s="9" t="s">
        <v>121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3">
        <v>0</v>
      </c>
    </row>
    <row r="1123">
      <c r="A1123" s="23">
        <v>15360</v>
      </c>
      <c r="B1123" s="4" t="s">
        <v>1442</v>
      </c>
      <c r="C1123" s="4" t="s">
        <v>63</v>
      </c>
      <c r="D1123" s="4" t="s">
        <v>120</v>
      </c>
      <c r="E1123" s="4" t="s">
        <v>132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15397</v>
      </c>
      <c r="B1124" s="9" t="s">
        <v>1443</v>
      </c>
      <c r="C1124" s="9" t="s">
        <v>264</v>
      </c>
      <c r="D1124" s="9" t="s">
        <v>430</v>
      </c>
      <c r="E1124" s="9" t="s">
        <v>431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3">
        <v>0</v>
      </c>
    </row>
    <row r="1125">
      <c r="A1125" s="23">
        <v>15408</v>
      </c>
      <c r="B1125" s="4" t="s">
        <v>1444</v>
      </c>
      <c r="C1125" s="4" t="s">
        <v>815</v>
      </c>
      <c r="D1125" s="4" t="s">
        <v>374</v>
      </c>
      <c r="E1125" s="4" t="s">
        <v>374</v>
      </c>
      <c r="F1125" s="6">
        <v>4</v>
      </c>
      <c r="G1125" s="7">
        <v>0</v>
      </c>
      <c r="H1125" s="5">
        <v>2</v>
      </c>
      <c r="I1125" s="7">
        <v>0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4</v>
      </c>
      <c r="V1125" s="7">
        <v>0</v>
      </c>
      <c r="W1125" s="5">
        <v>2</v>
      </c>
      <c r="X1125" s="7">
        <v>0</v>
      </c>
      <c r="Y1125" s="5">
        <v>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1.33</v>
      </c>
      <c r="AL1125" s="5">
        <v>1</v>
      </c>
      <c r="AM1125" s="5">
        <v>2</v>
      </c>
      <c r="AN1125" s="28">
        <v>1</v>
      </c>
    </row>
    <row r="1126">
      <c r="A1126" s="24">
        <v>15544</v>
      </c>
      <c r="B1126" s="9" t="s">
        <v>1445</v>
      </c>
      <c r="C1126" s="9" t="s">
        <v>63</v>
      </c>
      <c r="D1126" s="9" t="s">
        <v>120</v>
      </c>
      <c r="E1126" s="9" t="s">
        <v>165</v>
      </c>
      <c r="F1126" s="11">
        <v>5</v>
      </c>
      <c r="G1126" s="10">
        <v>1</v>
      </c>
      <c r="H1126" s="12">
        <v>0</v>
      </c>
      <c r="I1126" s="12">
        <v>0</v>
      </c>
      <c r="J1126" s="10">
        <v>4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0">
        <v>1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2.5</v>
      </c>
      <c r="AL1126" s="10">
        <v>2</v>
      </c>
      <c r="AM1126" s="10">
        <v>4</v>
      </c>
      <c r="AN1126" s="29">
        <v>0.24</v>
      </c>
    </row>
    <row r="1127">
      <c r="A1127" s="23">
        <v>15556</v>
      </c>
      <c r="B1127" s="4" t="s">
        <v>1446</v>
      </c>
      <c r="C1127" s="4" t="s">
        <v>700</v>
      </c>
      <c r="D1127" s="4" t="s">
        <v>1067</v>
      </c>
      <c r="E1127" s="4" t="s">
        <v>374</v>
      </c>
      <c r="F1127" s="6">
        <v>6</v>
      </c>
      <c r="G1127" s="7">
        <v>0</v>
      </c>
      <c r="H1127" s="7">
        <v>0</v>
      </c>
      <c r="I1127" s="5">
        <v>4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5</v>
      </c>
      <c r="V1127" s="7">
        <v>0</v>
      </c>
      <c r="W1127" s="7">
        <v>0</v>
      </c>
      <c r="X1127" s="5">
        <v>3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</v>
      </c>
      <c r="AL1127" s="5">
        <v>1</v>
      </c>
      <c r="AM1127" s="5">
        <v>4</v>
      </c>
      <c r="AN1127" s="28">
        <v>0.52</v>
      </c>
    </row>
    <row r="1128">
      <c r="A1128" s="24">
        <v>15726</v>
      </c>
      <c r="B1128" s="9" t="s">
        <v>1447</v>
      </c>
      <c r="C1128" s="9" t="s">
        <v>63</v>
      </c>
      <c r="D1128" s="9" t="s">
        <v>84</v>
      </c>
      <c r="E1128" s="9" t="s">
        <v>217</v>
      </c>
      <c r="F1128" s="11">
        <v>1</v>
      </c>
      <c r="G1128" s="12">
        <v>0</v>
      </c>
      <c r="H1128" s="12">
        <v>0</v>
      </c>
      <c r="I1128" s="10">
        <v>1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0">
        <v>1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43">
        <v>0</v>
      </c>
    </row>
    <row r="1129">
      <c r="A1129" s="23">
        <v>15730</v>
      </c>
      <c r="B1129" s="4" t="s">
        <v>1448</v>
      </c>
      <c r="C1129" s="4" t="s">
        <v>264</v>
      </c>
      <c r="D1129" s="4" t="s">
        <v>265</v>
      </c>
      <c r="E1129" s="4" t="s">
        <v>266</v>
      </c>
      <c r="F1129" s="6">
        <v>4</v>
      </c>
      <c r="G1129" s="5">
        <v>1</v>
      </c>
      <c r="H1129" s="7">
        <v>0</v>
      </c>
      <c r="I1129" s="5">
        <v>1</v>
      </c>
      <c r="J1129" s="5">
        <v>1</v>
      </c>
      <c r="K1129" s="7">
        <v>0</v>
      </c>
      <c r="L1129" s="5">
        <v>1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4</v>
      </c>
      <c r="V1129" s="5">
        <v>1</v>
      </c>
      <c r="W1129" s="7">
        <v>0</v>
      </c>
      <c r="X1129" s="5">
        <v>1</v>
      </c>
      <c r="Y1129" s="5">
        <v>1</v>
      </c>
      <c r="Z1129" s="7">
        <v>0</v>
      </c>
      <c r="AA1129" s="5">
        <v>1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0.5</v>
      </c>
    </row>
    <row r="1130">
      <c r="A1130" s="24">
        <v>15757</v>
      </c>
      <c r="B1130" s="9" t="s">
        <v>1449</v>
      </c>
      <c r="C1130" s="9" t="s">
        <v>1450</v>
      </c>
      <c r="D1130" s="9" t="s">
        <v>1451</v>
      </c>
      <c r="E1130" s="9" t="s">
        <v>374</v>
      </c>
      <c r="F1130" s="11">
        <v>6</v>
      </c>
      <c r="G1130" s="12">
        <v>0</v>
      </c>
      <c r="H1130" s="10">
        <v>5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5</v>
      </c>
      <c r="V1130" s="12">
        <v>0</v>
      </c>
      <c r="W1130" s="10">
        <v>4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</v>
      </c>
      <c r="AL1130" s="10">
        <v>3</v>
      </c>
      <c r="AM1130" s="10">
        <v>5</v>
      </c>
      <c r="AN1130" s="29">
        <v>1.3</v>
      </c>
    </row>
    <row r="1131">
      <c r="A1131" s="23">
        <v>15774</v>
      </c>
      <c r="B1131" s="4" t="s">
        <v>1452</v>
      </c>
      <c r="C1131" s="4" t="s">
        <v>63</v>
      </c>
      <c r="D1131" s="4" t="s">
        <v>120</v>
      </c>
      <c r="E1131" s="4" t="s">
        <v>499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15810</v>
      </c>
      <c r="B1132" s="9" t="s">
        <v>1453</v>
      </c>
      <c r="C1132" s="9" t="s">
        <v>63</v>
      </c>
      <c r="D1132" s="9" t="s">
        <v>70</v>
      </c>
      <c r="E1132" s="9" t="s">
        <v>495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0.24</v>
      </c>
    </row>
    <row r="1133">
      <c r="A1133" s="23">
        <v>15839</v>
      </c>
      <c r="B1133" s="4" t="s">
        <v>1454</v>
      </c>
      <c r="C1133" s="4" t="s">
        <v>700</v>
      </c>
      <c r="D1133" s="4" t="s">
        <v>1455</v>
      </c>
      <c r="E1133" s="4" t="s">
        <v>374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15867</v>
      </c>
      <c r="B1134" s="9" t="s">
        <v>1456</v>
      </c>
      <c r="C1134" s="9" t="s">
        <v>63</v>
      </c>
      <c r="D1134" s="9" t="s">
        <v>84</v>
      </c>
      <c r="E1134" s="9" t="s">
        <v>96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0.26</v>
      </c>
    </row>
    <row r="1135">
      <c r="A1135" s="23">
        <v>15870</v>
      </c>
      <c r="B1135" s="4" t="s">
        <v>1457</v>
      </c>
      <c r="C1135" s="4" t="s">
        <v>63</v>
      </c>
      <c r="D1135" s="4" t="s">
        <v>120</v>
      </c>
      <c r="E1135" s="4" t="s">
        <v>258</v>
      </c>
      <c r="F1135" s="6">
        <v>1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0.26</v>
      </c>
    </row>
    <row r="1136">
      <c r="A1136" s="24">
        <v>15881</v>
      </c>
      <c r="B1136" s="9" t="s">
        <v>1458</v>
      </c>
      <c r="C1136" s="9" t="s">
        <v>63</v>
      </c>
      <c r="D1136" s="9" t="s">
        <v>70</v>
      </c>
      <c r="E1136" s="9" t="s">
        <v>347</v>
      </c>
      <c r="F1136" s="11">
        <v>2</v>
      </c>
      <c r="G1136" s="10">
        <v>2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0">
        <v>2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43">
        <v>0</v>
      </c>
    </row>
    <row r="1137">
      <c r="A1137" s="23">
        <v>15917</v>
      </c>
      <c r="B1137" s="4" t="s">
        <v>1459</v>
      </c>
      <c r="C1137" s="4" t="s">
        <v>63</v>
      </c>
      <c r="D1137" s="4" t="s">
        <v>70</v>
      </c>
      <c r="E1137" s="4" t="s">
        <v>495</v>
      </c>
      <c r="F1137" s="6">
        <v>6</v>
      </c>
      <c r="G1137" s="5">
        <v>5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2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</v>
      </c>
      <c r="AL1137" s="5">
        <v>1</v>
      </c>
      <c r="AM1137" s="5">
        <v>4</v>
      </c>
      <c r="AN1137" s="28">
        <v>0.38</v>
      </c>
    </row>
    <row r="1138">
      <c r="A1138" s="24">
        <v>15955</v>
      </c>
      <c r="B1138" s="9" t="s">
        <v>1460</v>
      </c>
      <c r="C1138" s="9" t="s">
        <v>63</v>
      </c>
      <c r="D1138" s="9" t="s">
        <v>120</v>
      </c>
      <c r="E1138" s="9" t="s">
        <v>121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0.35</v>
      </c>
    </row>
    <row r="1139">
      <c r="A1139" s="23">
        <v>15982</v>
      </c>
      <c r="B1139" s="4" t="s">
        <v>1461</v>
      </c>
      <c r="C1139" s="4" t="s">
        <v>264</v>
      </c>
      <c r="D1139" s="4" t="s">
        <v>745</v>
      </c>
      <c r="E1139" s="4" t="s">
        <v>746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16015</v>
      </c>
      <c r="B1140" s="9" t="s">
        <v>1462</v>
      </c>
      <c r="C1140" s="9" t="s">
        <v>700</v>
      </c>
      <c r="D1140" s="9" t="s">
        <v>1463</v>
      </c>
      <c r="E1140" s="9" t="s">
        <v>374</v>
      </c>
      <c r="F1140" s="11">
        <v>2</v>
      </c>
      <c r="G1140" s="12">
        <v>0</v>
      </c>
      <c r="H1140" s="12">
        <v>0</v>
      </c>
      <c r="I1140" s="10">
        <v>2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2">
        <v>0</v>
      </c>
      <c r="W1140" s="12">
        <v>0</v>
      </c>
      <c r="X1140" s="10">
        <v>2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43">
        <v>0</v>
      </c>
    </row>
    <row r="1141">
      <c r="A1141" s="23">
        <v>16029</v>
      </c>
      <c r="B1141" s="4" t="s">
        <v>1464</v>
      </c>
      <c r="C1141" s="4" t="s">
        <v>815</v>
      </c>
      <c r="D1141" s="4" t="s">
        <v>1465</v>
      </c>
      <c r="E1141" s="4" t="s">
        <v>374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0.26</v>
      </c>
    </row>
    <row r="1142">
      <c r="A1142" s="24">
        <v>16032</v>
      </c>
      <c r="B1142" s="9" t="s">
        <v>1466</v>
      </c>
      <c r="C1142" s="9" t="s">
        <v>63</v>
      </c>
      <c r="D1142" s="9" t="s">
        <v>120</v>
      </c>
      <c r="E1142" s="9" t="s">
        <v>121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3">
        <v>0</v>
      </c>
    </row>
    <row r="1143">
      <c r="A1143" s="23">
        <v>16037</v>
      </c>
      <c r="B1143" s="4" t="s">
        <v>1467</v>
      </c>
      <c r="C1143" s="4" t="s">
        <v>248</v>
      </c>
      <c r="D1143" s="4" t="s">
        <v>1468</v>
      </c>
      <c r="E1143" s="4" t="s">
        <v>1469</v>
      </c>
      <c r="F1143" s="6">
        <v>3</v>
      </c>
      <c r="G1143" s="7">
        <v>0</v>
      </c>
      <c r="H1143" s="5">
        <v>3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7">
        <v>0</v>
      </c>
      <c r="W1143" s="5">
        <v>3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28">
        <v>0.75</v>
      </c>
    </row>
    <row r="1144">
      <c r="A1144" s="24">
        <v>16060</v>
      </c>
      <c r="B1144" s="9" t="s">
        <v>1470</v>
      </c>
      <c r="C1144" s="9" t="s">
        <v>63</v>
      </c>
      <c r="D1144" s="9" t="s">
        <v>135</v>
      </c>
      <c r="E1144" s="9" t="s">
        <v>377</v>
      </c>
      <c r="F1144" s="11">
        <v>1</v>
      </c>
      <c r="G1144" s="12">
        <v>0</v>
      </c>
      <c r="H1144" s="12">
        <v>0</v>
      </c>
      <c r="I1144" s="12">
        <v>0</v>
      </c>
      <c r="J1144" s="12">
        <v>0</v>
      </c>
      <c r="K1144" s="10">
        <v>1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2">
        <v>0</v>
      </c>
      <c r="Y1144" s="12">
        <v>0</v>
      </c>
      <c r="Z1144" s="10">
        <v>1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0.24</v>
      </c>
    </row>
    <row r="1145">
      <c r="A1145" s="23">
        <v>16081</v>
      </c>
      <c r="B1145" s="4" t="s">
        <v>1471</v>
      </c>
      <c r="C1145" s="4" t="s">
        <v>63</v>
      </c>
      <c r="D1145" s="4" t="s">
        <v>70</v>
      </c>
      <c r="E1145" s="4" t="s">
        <v>71</v>
      </c>
      <c r="F1145" s="6">
        <v>1</v>
      </c>
      <c r="G1145" s="7">
        <v>0</v>
      </c>
      <c r="H1145" s="5">
        <v>1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5">
        <v>1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0.22</v>
      </c>
    </row>
    <row r="1146">
      <c r="A1146" s="24">
        <v>16091</v>
      </c>
      <c r="B1146" s="9" t="s">
        <v>1472</v>
      </c>
      <c r="C1146" s="9" t="s">
        <v>63</v>
      </c>
      <c r="D1146" s="9" t="s">
        <v>135</v>
      </c>
      <c r="E1146" s="9" t="s">
        <v>377</v>
      </c>
      <c r="F1146" s="11">
        <v>5</v>
      </c>
      <c r="G1146" s="10">
        <v>4</v>
      </c>
      <c r="H1146" s="12">
        <v>0</v>
      </c>
      <c r="I1146" s="12">
        <v>0</v>
      </c>
      <c r="J1146" s="12">
        <v>0</v>
      </c>
      <c r="K1146" s="12">
        <v>0</v>
      </c>
      <c r="L1146" s="10">
        <v>1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5</v>
      </c>
      <c r="V1146" s="10">
        <v>4</v>
      </c>
      <c r="W1146" s="12">
        <v>0</v>
      </c>
      <c r="X1146" s="12">
        <v>0</v>
      </c>
      <c r="Y1146" s="12">
        <v>0</v>
      </c>
      <c r="Z1146" s="12">
        <v>0</v>
      </c>
      <c r="AA1146" s="10">
        <v>1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2.5</v>
      </c>
      <c r="AL1146" s="10">
        <v>2</v>
      </c>
      <c r="AM1146" s="10">
        <v>4</v>
      </c>
      <c r="AN1146" s="43">
        <v>0</v>
      </c>
    </row>
    <row r="1147">
      <c r="A1147" s="23">
        <v>16092</v>
      </c>
      <c r="B1147" s="4" t="s">
        <v>1473</v>
      </c>
      <c r="C1147" s="4" t="s">
        <v>63</v>
      </c>
      <c r="D1147" s="4" t="s">
        <v>135</v>
      </c>
      <c r="E1147" s="4" t="s">
        <v>377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16107</v>
      </c>
      <c r="B1148" s="9" t="s">
        <v>1474</v>
      </c>
      <c r="C1148" s="9" t="s">
        <v>63</v>
      </c>
      <c r="D1148" s="9" t="s">
        <v>89</v>
      </c>
      <c r="E1148" s="9" t="s">
        <v>90</v>
      </c>
      <c r="F1148" s="11">
        <v>2</v>
      </c>
      <c r="G1148" s="10">
        <v>2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0">
        <v>2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43">
        <v>0</v>
      </c>
    </row>
    <row r="1149">
      <c r="A1149" s="23">
        <v>16124</v>
      </c>
      <c r="B1149" s="4" t="s">
        <v>1475</v>
      </c>
      <c r="C1149" s="4" t="s">
        <v>179</v>
      </c>
      <c r="D1149" s="4" t="s">
        <v>201</v>
      </c>
      <c r="E1149" s="4" t="s">
        <v>202</v>
      </c>
      <c r="F1149" s="6">
        <v>3</v>
      </c>
      <c r="G1149" s="7">
        <v>0</v>
      </c>
      <c r="H1149" s="5">
        <v>2</v>
      </c>
      <c r="I1149" s="7">
        <v>0</v>
      </c>
      <c r="J1149" s="7">
        <v>0</v>
      </c>
      <c r="K1149" s="5">
        <v>1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3</v>
      </c>
      <c r="V1149" s="7">
        <v>0</v>
      </c>
      <c r="W1149" s="5">
        <v>2</v>
      </c>
      <c r="X1149" s="7">
        <v>0</v>
      </c>
      <c r="Y1149" s="7">
        <v>0</v>
      </c>
      <c r="Z1149" s="5">
        <v>1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1.5</v>
      </c>
      <c r="AL1149" s="5">
        <v>1</v>
      </c>
      <c r="AM1149" s="5">
        <v>2</v>
      </c>
      <c r="AN1149" s="30">
        <v>0</v>
      </c>
    </row>
    <row r="1150">
      <c r="A1150" s="24">
        <v>16129</v>
      </c>
      <c r="B1150" s="9" t="s">
        <v>1476</v>
      </c>
      <c r="C1150" s="9" t="s">
        <v>758</v>
      </c>
      <c r="D1150" s="9" t="s">
        <v>759</v>
      </c>
      <c r="E1150" s="9" t="s">
        <v>374</v>
      </c>
      <c r="F1150" s="11">
        <v>2</v>
      </c>
      <c r="G1150" s="12">
        <v>0</v>
      </c>
      <c r="H1150" s="12">
        <v>0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2">
        <v>0</v>
      </c>
      <c r="W1150" s="12">
        <v>0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29">
        <v>0.5</v>
      </c>
    </row>
    <row r="1151">
      <c r="A1151" s="23">
        <v>16140</v>
      </c>
      <c r="B1151" s="4" t="s">
        <v>1477</v>
      </c>
      <c r="C1151" s="4" t="s">
        <v>63</v>
      </c>
      <c r="D1151" s="4" t="s">
        <v>77</v>
      </c>
      <c r="E1151" s="4" t="s">
        <v>87</v>
      </c>
      <c r="F1151" s="6">
        <v>2</v>
      </c>
      <c r="G1151" s="5">
        <v>1</v>
      </c>
      <c r="H1151" s="7">
        <v>0</v>
      </c>
      <c r="I1151" s="5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1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0.52</v>
      </c>
    </row>
    <row r="1152">
      <c r="A1152" s="24">
        <v>16143</v>
      </c>
      <c r="B1152" s="9" t="s">
        <v>1478</v>
      </c>
      <c r="C1152" s="9" t="s">
        <v>63</v>
      </c>
      <c r="D1152" s="9" t="s">
        <v>89</v>
      </c>
      <c r="E1152" s="9" t="s">
        <v>161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43">
        <v>0</v>
      </c>
    </row>
    <row r="1153">
      <c r="A1153" s="23">
        <v>16206</v>
      </c>
      <c r="B1153" s="4" t="s">
        <v>1479</v>
      </c>
      <c r="C1153" s="4" t="s">
        <v>63</v>
      </c>
      <c r="D1153" s="4" t="s">
        <v>73</v>
      </c>
      <c r="E1153" s="4" t="s">
        <v>74</v>
      </c>
      <c r="F1153" s="6">
        <v>2</v>
      </c>
      <c r="G1153" s="7">
        <v>0</v>
      </c>
      <c r="H1153" s="5">
        <v>1</v>
      </c>
      <c r="I1153" s="5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2</v>
      </c>
      <c r="V1153" s="7">
        <v>0</v>
      </c>
      <c r="W1153" s="5">
        <v>1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0.44</v>
      </c>
    </row>
    <row r="1154">
      <c r="A1154" s="24">
        <v>16212</v>
      </c>
      <c r="B1154" s="9" t="s">
        <v>1480</v>
      </c>
      <c r="C1154" s="9" t="s">
        <v>63</v>
      </c>
      <c r="D1154" s="9" t="s">
        <v>73</v>
      </c>
      <c r="E1154" s="9" t="s">
        <v>130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0.35</v>
      </c>
    </row>
    <row r="1155">
      <c r="A1155" s="23">
        <v>16240</v>
      </c>
      <c r="B1155" s="4" t="s">
        <v>1481</v>
      </c>
      <c r="C1155" s="4" t="s">
        <v>63</v>
      </c>
      <c r="D1155" s="4" t="s">
        <v>111</v>
      </c>
      <c r="E1155" s="4" t="s">
        <v>243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0.36</v>
      </c>
    </row>
    <row r="1156">
      <c r="A1156" s="24">
        <v>16250</v>
      </c>
      <c r="B1156" s="9" t="s">
        <v>1482</v>
      </c>
      <c r="C1156" s="9" t="s">
        <v>630</v>
      </c>
      <c r="D1156" s="9" t="s">
        <v>684</v>
      </c>
      <c r="E1156" s="9" t="s">
        <v>685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0.26</v>
      </c>
    </row>
    <row r="1157">
      <c r="A1157" s="23">
        <v>16301</v>
      </c>
      <c r="B1157" s="4" t="s">
        <v>1483</v>
      </c>
      <c r="C1157" s="4" t="s">
        <v>63</v>
      </c>
      <c r="D1157" s="4" t="s">
        <v>111</v>
      </c>
      <c r="E1157" s="4" t="s">
        <v>243</v>
      </c>
      <c r="F1157" s="6">
        <v>11</v>
      </c>
      <c r="G1157" s="7">
        <v>0</v>
      </c>
      <c r="H1157" s="5">
        <v>2</v>
      </c>
      <c r="I1157" s="5">
        <v>1</v>
      </c>
      <c r="J1157" s="5">
        <v>8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11</v>
      </c>
      <c r="V1157" s="7">
        <v>0</v>
      </c>
      <c r="W1157" s="5">
        <v>2</v>
      </c>
      <c r="X1157" s="5">
        <v>1</v>
      </c>
      <c r="Y1157" s="5">
        <v>8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3.67</v>
      </c>
      <c r="AL1157" s="5">
        <v>2</v>
      </c>
      <c r="AM1157" s="5">
        <v>8</v>
      </c>
      <c r="AN1157" s="28">
        <v>2.6</v>
      </c>
    </row>
    <row r="1158">
      <c r="A1158" s="24">
        <v>16345</v>
      </c>
      <c r="B1158" s="9" t="s">
        <v>1484</v>
      </c>
      <c r="C1158" s="9" t="s">
        <v>264</v>
      </c>
      <c r="D1158" s="9" t="s">
        <v>453</v>
      </c>
      <c r="E1158" s="9" t="s">
        <v>564</v>
      </c>
      <c r="F1158" s="11">
        <v>2</v>
      </c>
      <c r="G1158" s="12">
        <v>0</v>
      </c>
      <c r="H1158" s="12">
        <v>0</v>
      </c>
      <c r="I1158" s="12">
        <v>0</v>
      </c>
      <c r="J1158" s="10">
        <v>1</v>
      </c>
      <c r="K1158" s="12">
        <v>0</v>
      </c>
      <c r="L1158" s="10">
        <v>1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2">
        <v>0</v>
      </c>
      <c r="W1158" s="12">
        <v>0</v>
      </c>
      <c r="X1158" s="12">
        <v>0</v>
      </c>
      <c r="Y1158" s="10">
        <v>1</v>
      </c>
      <c r="Z1158" s="12">
        <v>0</v>
      </c>
      <c r="AA1158" s="10">
        <v>1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0.6</v>
      </c>
    </row>
    <row r="1159">
      <c r="A1159" s="23">
        <v>16347</v>
      </c>
      <c r="B1159" s="4" t="s">
        <v>1485</v>
      </c>
      <c r="C1159" s="4" t="s">
        <v>815</v>
      </c>
      <c r="D1159" s="4" t="s">
        <v>374</v>
      </c>
      <c r="E1159" s="4" t="s">
        <v>374</v>
      </c>
      <c r="F1159" s="6">
        <v>13</v>
      </c>
      <c r="G1159" s="7">
        <v>0</v>
      </c>
      <c r="H1159" s="5">
        <v>3</v>
      </c>
      <c r="I1159" s="7">
        <v>0</v>
      </c>
      <c r="J1159" s="5">
        <v>10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12</v>
      </c>
      <c r="V1159" s="7">
        <v>0</v>
      </c>
      <c r="W1159" s="5">
        <v>3</v>
      </c>
      <c r="X1159" s="7">
        <v>0</v>
      </c>
      <c r="Y1159" s="5">
        <v>9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2.6</v>
      </c>
      <c r="AL1159" s="5">
        <v>3</v>
      </c>
      <c r="AM1159" s="5">
        <v>5</v>
      </c>
      <c r="AN1159" s="28">
        <v>3.12</v>
      </c>
    </row>
    <row r="1160">
      <c r="A1160" s="24">
        <v>16351</v>
      </c>
      <c r="B1160" s="9" t="s">
        <v>1486</v>
      </c>
      <c r="C1160" s="9" t="s">
        <v>63</v>
      </c>
      <c r="D1160" s="9" t="s">
        <v>108</v>
      </c>
      <c r="E1160" s="9" t="s">
        <v>922</v>
      </c>
      <c r="F1160" s="11">
        <v>1</v>
      </c>
      <c r="G1160" s="12">
        <v>0</v>
      </c>
      <c r="H1160" s="10">
        <v>1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0">
        <v>1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3">
        <v>0</v>
      </c>
    </row>
    <row r="1161">
      <c r="A1161" s="23">
        <v>16466</v>
      </c>
      <c r="B1161" s="4" t="s">
        <v>1487</v>
      </c>
      <c r="C1161" s="4" t="s">
        <v>63</v>
      </c>
      <c r="D1161" s="4" t="s">
        <v>73</v>
      </c>
      <c r="E1161" s="4" t="s">
        <v>130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0.35</v>
      </c>
    </row>
    <row r="1162">
      <c r="A1162" s="24">
        <v>16486</v>
      </c>
      <c r="B1162" s="9" t="s">
        <v>1488</v>
      </c>
      <c r="C1162" s="9" t="s">
        <v>264</v>
      </c>
      <c r="D1162" s="9" t="s">
        <v>479</v>
      </c>
      <c r="E1162" s="9" t="s">
        <v>597</v>
      </c>
      <c r="F1162" s="11">
        <v>1</v>
      </c>
      <c r="G1162" s="12">
        <v>0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2">
        <v>0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0.25</v>
      </c>
    </row>
    <row r="1163">
      <c r="A1163" s="23">
        <v>16494</v>
      </c>
      <c r="B1163" s="4" t="s">
        <v>1489</v>
      </c>
      <c r="C1163" s="4" t="s">
        <v>264</v>
      </c>
      <c r="D1163" s="4" t="s">
        <v>430</v>
      </c>
      <c r="E1163" s="4" t="s">
        <v>431</v>
      </c>
      <c r="F1163" s="6">
        <v>2</v>
      </c>
      <c r="G1163" s="7">
        <v>0</v>
      </c>
      <c r="H1163" s="7">
        <v>0</v>
      </c>
      <c r="I1163" s="5">
        <v>2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30">
        <v>0</v>
      </c>
    </row>
    <row r="1164">
      <c r="A1164" s="24">
        <v>16495</v>
      </c>
      <c r="B1164" s="9" t="s">
        <v>1490</v>
      </c>
      <c r="C1164" s="9" t="s">
        <v>264</v>
      </c>
      <c r="D1164" s="9" t="s">
        <v>430</v>
      </c>
      <c r="E1164" s="9" t="s">
        <v>431</v>
      </c>
      <c r="F1164" s="11">
        <v>1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3">
        <v>0</v>
      </c>
    </row>
    <row r="1165">
      <c r="A1165" s="23">
        <v>16504</v>
      </c>
      <c r="B1165" s="4" t="s">
        <v>1491</v>
      </c>
      <c r="C1165" s="4" t="s">
        <v>63</v>
      </c>
      <c r="D1165" s="4" t="s">
        <v>77</v>
      </c>
      <c r="E1165" s="4" t="s">
        <v>80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0.26</v>
      </c>
    </row>
    <row r="1166">
      <c r="A1166" s="24">
        <v>16551</v>
      </c>
      <c r="B1166" s="9" t="s">
        <v>1492</v>
      </c>
      <c r="C1166" s="9" t="s">
        <v>264</v>
      </c>
      <c r="D1166" s="9" t="s">
        <v>430</v>
      </c>
      <c r="E1166" s="9" t="s">
        <v>431</v>
      </c>
      <c r="F1166" s="11">
        <v>1</v>
      </c>
      <c r="G1166" s="12">
        <v>0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2">
        <v>0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0.24</v>
      </c>
    </row>
    <row r="1167">
      <c r="A1167" s="23">
        <v>16559</v>
      </c>
      <c r="B1167" s="4" t="s">
        <v>1493</v>
      </c>
      <c r="C1167" s="4" t="s">
        <v>758</v>
      </c>
      <c r="D1167" s="4" t="s">
        <v>777</v>
      </c>
      <c r="E1167" s="4" t="s">
        <v>374</v>
      </c>
      <c r="F1167" s="6">
        <v>1</v>
      </c>
      <c r="G1167" s="7">
        <v>0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16604</v>
      </c>
      <c r="B1168" s="9" t="s">
        <v>1494</v>
      </c>
      <c r="C1168" s="9" t="s">
        <v>179</v>
      </c>
      <c r="D1168" s="9" t="s">
        <v>196</v>
      </c>
      <c r="E1168" s="9" t="s">
        <v>1495</v>
      </c>
      <c r="F1168" s="11">
        <v>1</v>
      </c>
      <c r="G1168" s="12">
        <v>0</v>
      </c>
      <c r="H1168" s="10">
        <v>1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0">
        <v>1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0.37</v>
      </c>
    </row>
    <row r="1169">
      <c r="A1169" s="23">
        <v>16622</v>
      </c>
      <c r="B1169" s="4" t="s">
        <v>1496</v>
      </c>
      <c r="C1169" s="4" t="s">
        <v>1497</v>
      </c>
      <c r="D1169" s="4" t="s">
        <v>374</v>
      </c>
      <c r="E1169" s="4" t="s">
        <v>1498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30">
        <v>0</v>
      </c>
    </row>
    <row r="1170">
      <c r="A1170" s="24">
        <v>16641</v>
      </c>
      <c r="B1170" s="9" t="s">
        <v>1499</v>
      </c>
      <c r="C1170" s="9" t="s">
        <v>63</v>
      </c>
      <c r="D1170" s="9" t="s">
        <v>73</v>
      </c>
      <c r="E1170" s="9" t="s">
        <v>138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3">
        <v>0</v>
      </c>
    </row>
    <row r="1171">
      <c r="A1171" s="23">
        <v>16646</v>
      </c>
      <c r="B1171" s="4" t="s">
        <v>656</v>
      </c>
      <c r="C1171" s="4" t="s">
        <v>63</v>
      </c>
      <c r="D1171" s="4" t="s">
        <v>120</v>
      </c>
      <c r="E1171" s="4" t="s">
        <v>499</v>
      </c>
      <c r="F1171" s="6">
        <v>2</v>
      </c>
      <c r="G1171" s="5">
        <v>1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5">
        <v>1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16767</v>
      </c>
      <c r="B1172" s="9" t="s">
        <v>1500</v>
      </c>
      <c r="C1172" s="9" t="s">
        <v>630</v>
      </c>
      <c r="D1172" s="9" t="s">
        <v>720</v>
      </c>
      <c r="E1172" s="9" t="s">
        <v>1501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0.26</v>
      </c>
    </row>
    <row r="1173">
      <c r="A1173" s="23">
        <v>16845</v>
      </c>
      <c r="B1173" s="4" t="s">
        <v>1502</v>
      </c>
      <c r="C1173" s="4" t="s">
        <v>63</v>
      </c>
      <c r="D1173" s="4" t="s">
        <v>77</v>
      </c>
      <c r="E1173" s="4" t="s">
        <v>78</v>
      </c>
      <c r="F1173" s="6">
        <v>1</v>
      </c>
      <c r="G1173" s="7">
        <v>0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16904</v>
      </c>
      <c r="B1174" s="9" t="s">
        <v>1503</v>
      </c>
      <c r="C1174" s="9" t="s">
        <v>63</v>
      </c>
      <c r="D1174" s="9" t="s">
        <v>108</v>
      </c>
      <c r="E1174" s="9" t="s">
        <v>1189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16907</v>
      </c>
      <c r="B1175" s="4" t="s">
        <v>1504</v>
      </c>
      <c r="C1175" s="4" t="s">
        <v>63</v>
      </c>
      <c r="D1175" s="4" t="s">
        <v>73</v>
      </c>
      <c r="E1175" s="4" t="s">
        <v>237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0.36</v>
      </c>
    </row>
    <row r="1176">
      <c r="A1176" s="24">
        <v>16922</v>
      </c>
      <c r="B1176" s="9" t="s">
        <v>1505</v>
      </c>
      <c r="C1176" s="9" t="s">
        <v>179</v>
      </c>
      <c r="D1176" s="9" t="s">
        <v>196</v>
      </c>
      <c r="E1176" s="9" t="s">
        <v>199</v>
      </c>
      <c r="F1176" s="11">
        <v>1</v>
      </c>
      <c r="G1176" s="12">
        <v>0</v>
      </c>
      <c r="H1176" s="10">
        <v>1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2">
        <v>0</v>
      </c>
      <c r="W1176" s="10">
        <v>1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43">
        <v>0</v>
      </c>
    </row>
    <row r="1177">
      <c r="A1177" s="23">
        <v>16978</v>
      </c>
      <c r="B1177" s="4" t="s">
        <v>1506</v>
      </c>
      <c r="C1177" s="4" t="s">
        <v>63</v>
      </c>
      <c r="D1177" s="4" t="s">
        <v>135</v>
      </c>
      <c r="E1177" s="4" t="s">
        <v>136</v>
      </c>
      <c r="F1177" s="6">
        <v>5</v>
      </c>
      <c r="G1177" s="5">
        <v>2</v>
      </c>
      <c r="H1177" s="7">
        <v>0</v>
      </c>
      <c r="I1177" s="5">
        <v>2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5</v>
      </c>
      <c r="V1177" s="5">
        <v>2</v>
      </c>
      <c r="W1177" s="7">
        <v>0</v>
      </c>
      <c r="X1177" s="5">
        <v>2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1.67</v>
      </c>
      <c r="AL1177" s="5">
        <v>2</v>
      </c>
      <c r="AM1177" s="5">
        <v>2</v>
      </c>
      <c r="AN1177" s="28">
        <v>1.25</v>
      </c>
    </row>
    <row r="1178">
      <c r="A1178" s="24">
        <v>16979</v>
      </c>
      <c r="B1178" s="9" t="s">
        <v>1507</v>
      </c>
      <c r="C1178" s="9" t="s">
        <v>63</v>
      </c>
      <c r="D1178" s="9" t="s">
        <v>120</v>
      </c>
      <c r="E1178" s="9" t="s">
        <v>132</v>
      </c>
      <c r="F1178" s="11">
        <v>1</v>
      </c>
      <c r="G1178" s="12">
        <v>0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16980</v>
      </c>
      <c r="B1179" s="4" t="s">
        <v>1508</v>
      </c>
      <c r="C1179" s="4" t="s">
        <v>63</v>
      </c>
      <c r="D1179" s="4" t="s">
        <v>111</v>
      </c>
      <c r="E1179" s="4" t="s">
        <v>112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0.24</v>
      </c>
    </row>
    <row r="1180">
      <c r="A1180" s="24">
        <v>16992</v>
      </c>
      <c r="B1180" s="9" t="s">
        <v>1509</v>
      </c>
      <c r="C1180" s="9" t="s">
        <v>63</v>
      </c>
      <c r="D1180" s="9" t="s">
        <v>84</v>
      </c>
      <c r="E1180" s="9" t="s">
        <v>85</v>
      </c>
      <c r="F1180" s="11">
        <v>1</v>
      </c>
      <c r="G1180" s="12">
        <v>0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0.26</v>
      </c>
    </row>
    <row r="1181">
      <c r="A1181" s="23">
        <v>17030</v>
      </c>
      <c r="B1181" s="4" t="s">
        <v>1510</v>
      </c>
      <c r="C1181" s="4" t="s">
        <v>63</v>
      </c>
      <c r="D1181" s="4" t="s">
        <v>135</v>
      </c>
      <c r="E1181" s="4" t="s">
        <v>377</v>
      </c>
      <c r="F1181" s="6">
        <v>1</v>
      </c>
      <c r="G1181" s="7">
        <v>0</v>
      </c>
      <c r="H1181" s="5">
        <v>1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5">
        <v>1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0.25</v>
      </c>
    </row>
    <row r="1182">
      <c r="A1182" s="24">
        <v>17040</v>
      </c>
      <c r="B1182" s="9" t="s">
        <v>1511</v>
      </c>
      <c r="C1182" s="9" t="s">
        <v>63</v>
      </c>
      <c r="D1182" s="9" t="s">
        <v>111</v>
      </c>
      <c r="E1182" s="9" t="s">
        <v>240</v>
      </c>
      <c r="F1182" s="11">
        <v>5</v>
      </c>
      <c r="G1182" s="10">
        <v>2</v>
      </c>
      <c r="H1182" s="12">
        <v>0</v>
      </c>
      <c r="I1182" s="10">
        <v>3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5</v>
      </c>
      <c r="V1182" s="10">
        <v>2</v>
      </c>
      <c r="W1182" s="12">
        <v>0</v>
      </c>
      <c r="X1182" s="10">
        <v>3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2.5</v>
      </c>
      <c r="AL1182" s="10">
        <v>2</v>
      </c>
      <c r="AM1182" s="10">
        <v>3</v>
      </c>
      <c r="AN1182" s="29">
        <v>1.56</v>
      </c>
    </row>
    <row r="1183">
      <c r="A1183" s="23">
        <v>17064</v>
      </c>
      <c r="B1183" s="4" t="s">
        <v>1512</v>
      </c>
      <c r="C1183" s="4" t="s">
        <v>63</v>
      </c>
      <c r="D1183" s="4" t="s">
        <v>102</v>
      </c>
      <c r="E1183" s="4" t="s">
        <v>144</v>
      </c>
      <c r="F1183" s="6">
        <v>3</v>
      </c>
      <c r="G1183" s="5">
        <v>2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5">
        <v>2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0.75</v>
      </c>
    </row>
    <row r="1184">
      <c r="A1184" s="24">
        <v>17105</v>
      </c>
      <c r="B1184" s="9" t="s">
        <v>1513</v>
      </c>
      <c r="C1184" s="9" t="s">
        <v>264</v>
      </c>
      <c r="D1184" s="9" t="s">
        <v>831</v>
      </c>
      <c r="E1184" s="9" t="s">
        <v>1514</v>
      </c>
      <c r="F1184" s="11">
        <v>3</v>
      </c>
      <c r="G1184" s="12">
        <v>0</v>
      </c>
      <c r="H1184" s="12">
        <v>0</v>
      </c>
      <c r="I1184" s="10">
        <v>1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3</v>
      </c>
      <c r="V1184" s="12">
        <v>0</v>
      </c>
      <c r="W1184" s="12">
        <v>0</v>
      </c>
      <c r="X1184" s="10">
        <v>1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1.5</v>
      </c>
      <c r="AL1184" s="10">
        <v>1</v>
      </c>
      <c r="AM1184" s="10">
        <v>2</v>
      </c>
      <c r="AN1184" s="29">
        <v>0.72</v>
      </c>
    </row>
    <row r="1185">
      <c r="A1185" s="23">
        <v>17213</v>
      </c>
      <c r="B1185" s="4" t="s">
        <v>1515</v>
      </c>
      <c r="C1185" s="4" t="s">
        <v>63</v>
      </c>
      <c r="D1185" s="4" t="s">
        <v>73</v>
      </c>
      <c r="E1185" s="4" t="s">
        <v>74</v>
      </c>
      <c r="F1185" s="6">
        <v>1</v>
      </c>
      <c r="G1185" s="7">
        <v>0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17214</v>
      </c>
      <c r="B1186" s="9" t="s">
        <v>1516</v>
      </c>
      <c r="C1186" s="9" t="s">
        <v>63</v>
      </c>
      <c r="D1186" s="9" t="s">
        <v>111</v>
      </c>
      <c r="E1186" s="9" t="s">
        <v>112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43">
        <v>0</v>
      </c>
    </row>
    <row r="1187">
      <c r="A1187" s="23">
        <v>17215</v>
      </c>
      <c r="B1187" s="4" t="s">
        <v>1517</v>
      </c>
      <c r="C1187" s="4" t="s">
        <v>63</v>
      </c>
      <c r="D1187" s="4" t="s">
        <v>67</v>
      </c>
      <c r="E1187" s="4" t="s">
        <v>168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30">
        <v>0</v>
      </c>
    </row>
    <row r="1188">
      <c r="A1188" s="24">
        <v>17217</v>
      </c>
      <c r="B1188" s="9" t="s">
        <v>1518</v>
      </c>
      <c r="C1188" s="9" t="s">
        <v>63</v>
      </c>
      <c r="D1188" s="9" t="s">
        <v>73</v>
      </c>
      <c r="E1188" s="9" t="s">
        <v>74</v>
      </c>
      <c r="F1188" s="11">
        <v>2</v>
      </c>
      <c r="G1188" s="10">
        <v>2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2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43">
        <v>0</v>
      </c>
    </row>
    <row r="1189">
      <c r="A1189" s="23">
        <v>17244</v>
      </c>
      <c r="B1189" s="4" t="s">
        <v>1519</v>
      </c>
      <c r="C1189" s="4" t="s">
        <v>264</v>
      </c>
      <c r="D1189" s="4" t="s">
        <v>430</v>
      </c>
      <c r="E1189" s="4" t="s">
        <v>1520</v>
      </c>
      <c r="F1189" s="6">
        <v>2</v>
      </c>
      <c r="G1189" s="7">
        <v>0</v>
      </c>
      <c r="H1189" s="7">
        <v>0</v>
      </c>
      <c r="I1189" s="5">
        <v>1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7">
        <v>0</v>
      </c>
      <c r="W1189" s="7">
        <v>0</v>
      </c>
      <c r="X1189" s="5">
        <v>1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17310</v>
      </c>
      <c r="B1190" s="9" t="s">
        <v>1521</v>
      </c>
      <c r="C1190" s="9" t="s">
        <v>700</v>
      </c>
      <c r="D1190" s="9" t="s">
        <v>1067</v>
      </c>
      <c r="E1190" s="9" t="s">
        <v>374</v>
      </c>
      <c r="F1190" s="11">
        <v>2</v>
      </c>
      <c r="G1190" s="12">
        <v>0</v>
      </c>
      <c r="H1190" s="12">
        <v>0</v>
      </c>
      <c r="I1190" s="10">
        <v>2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2">
        <v>0</v>
      </c>
      <c r="W1190" s="12">
        <v>0</v>
      </c>
      <c r="X1190" s="10">
        <v>2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0.5</v>
      </c>
    </row>
    <row r="1191">
      <c r="A1191" s="23">
        <v>17315</v>
      </c>
      <c r="B1191" s="4" t="s">
        <v>1522</v>
      </c>
      <c r="C1191" s="4" t="s">
        <v>63</v>
      </c>
      <c r="D1191" s="4" t="s">
        <v>89</v>
      </c>
      <c r="E1191" s="4" t="s">
        <v>90</v>
      </c>
      <c r="F1191" s="6">
        <v>3</v>
      </c>
      <c r="G1191" s="5">
        <v>2</v>
      </c>
      <c r="H1191" s="7">
        <v>0</v>
      </c>
      <c r="I1191" s="5">
        <v>1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</v>
      </c>
      <c r="V1191" s="5">
        <v>2</v>
      </c>
      <c r="W1191" s="7">
        <v>0</v>
      </c>
      <c r="X1191" s="5">
        <v>1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1.5</v>
      </c>
      <c r="AL1191" s="5">
        <v>1</v>
      </c>
      <c r="AM1191" s="5">
        <v>2</v>
      </c>
      <c r="AN1191" s="30">
        <v>0</v>
      </c>
    </row>
    <row r="1192">
      <c r="A1192" s="24">
        <v>17318</v>
      </c>
      <c r="B1192" s="9" t="s">
        <v>1523</v>
      </c>
      <c r="C1192" s="9" t="s">
        <v>63</v>
      </c>
      <c r="D1192" s="9" t="s">
        <v>111</v>
      </c>
      <c r="E1192" s="9" t="s">
        <v>112</v>
      </c>
      <c r="F1192" s="11">
        <v>1</v>
      </c>
      <c r="G1192" s="12">
        <v>0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2">
        <v>0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0.22</v>
      </c>
    </row>
    <row r="1193">
      <c r="A1193" s="23">
        <v>17359</v>
      </c>
      <c r="B1193" s="4" t="s">
        <v>1524</v>
      </c>
      <c r="C1193" s="4" t="s">
        <v>63</v>
      </c>
      <c r="D1193" s="4" t="s">
        <v>120</v>
      </c>
      <c r="E1193" s="4" t="s">
        <v>132</v>
      </c>
      <c r="F1193" s="6">
        <v>4</v>
      </c>
      <c r="G1193" s="7">
        <v>0</v>
      </c>
      <c r="H1193" s="7">
        <v>0</v>
      </c>
      <c r="I1193" s="5">
        <v>1</v>
      </c>
      <c r="J1193" s="5">
        <v>3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7">
        <v>0</v>
      </c>
      <c r="W1193" s="7">
        <v>0</v>
      </c>
      <c r="X1193" s="5">
        <v>1</v>
      </c>
      <c r="Y1193" s="5">
        <v>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1.33</v>
      </c>
      <c r="AL1193" s="5">
        <v>1</v>
      </c>
      <c r="AM1193" s="5">
        <v>2</v>
      </c>
      <c r="AN1193" s="28">
        <v>0.66</v>
      </c>
    </row>
    <row r="1194">
      <c r="A1194" s="24">
        <v>17365</v>
      </c>
      <c r="B1194" s="9" t="s">
        <v>1525</v>
      </c>
      <c r="C1194" s="9" t="s">
        <v>63</v>
      </c>
      <c r="D1194" s="9" t="s">
        <v>73</v>
      </c>
      <c r="E1194" s="9" t="s">
        <v>130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17416</v>
      </c>
      <c r="B1195" s="4" t="s">
        <v>1526</v>
      </c>
      <c r="C1195" s="4" t="s">
        <v>63</v>
      </c>
      <c r="D1195" s="4" t="s">
        <v>120</v>
      </c>
      <c r="E1195" s="4" t="s">
        <v>132</v>
      </c>
      <c r="F1195" s="6">
        <v>1</v>
      </c>
      <c r="G1195" s="7">
        <v>0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17469</v>
      </c>
      <c r="B1196" s="9" t="s">
        <v>1527</v>
      </c>
      <c r="C1196" s="9" t="s">
        <v>264</v>
      </c>
      <c r="D1196" s="9" t="s">
        <v>383</v>
      </c>
      <c r="E1196" s="9" t="s">
        <v>1528</v>
      </c>
      <c r="F1196" s="11">
        <v>2</v>
      </c>
      <c r="G1196" s="12">
        <v>0</v>
      </c>
      <c r="H1196" s="12">
        <v>0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2">
        <v>0</v>
      </c>
      <c r="W1196" s="12">
        <v>0</v>
      </c>
      <c r="X1196" s="12">
        <v>0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29">
        <v>0.52</v>
      </c>
    </row>
    <row r="1197">
      <c r="A1197" s="23">
        <v>17486</v>
      </c>
      <c r="B1197" s="4" t="s">
        <v>1529</v>
      </c>
      <c r="C1197" s="4" t="s">
        <v>264</v>
      </c>
      <c r="D1197" s="4" t="s">
        <v>453</v>
      </c>
      <c r="E1197" s="4" t="s">
        <v>564</v>
      </c>
      <c r="F1197" s="6">
        <v>3</v>
      </c>
      <c r="G1197" s="7">
        <v>0</v>
      </c>
      <c r="H1197" s="5">
        <v>3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</v>
      </c>
      <c r="V1197" s="7">
        <v>0</v>
      </c>
      <c r="W1197" s="5">
        <v>3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3</v>
      </c>
      <c r="AK1197" s="8">
        <v>3</v>
      </c>
      <c r="AL1197" s="5">
        <v>3</v>
      </c>
      <c r="AM1197" s="5">
        <v>3</v>
      </c>
      <c r="AN1197" s="28">
        <v>0.72</v>
      </c>
    </row>
    <row r="1198">
      <c r="A1198" s="24">
        <v>17491</v>
      </c>
      <c r="B1198" s="9" t="s">
        <v>1530</v>
      </c>
      <c r="C1198" s="9" t="s">
        <v>179</v>
      </c>
      <c r="D1198" s="9" t="s">
        <v>180</v>
      </c>
      <c r="E1198" s="9" t="s">
        <v>191</v>
      </c>
      <c r="F1198" s="11">
        <v>1</v>
      </c>
      <c r="G1198" s="12">
        <v>0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0">
        <v>1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0">
        <v>1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3">
        <v>0</v>
      </c>
    </row>
    <row r="1199">
      <c r="A1199" s="23">
        <v>17492</v>
      </c>
      <c r="B1199" s="4" t="s">
        <v>1531</v>
      </c>
      <c r="C1199" s="4" t="s">
        <v>179</v>
      </c>
      <c r="D1199" s="4" t="s">
        <v>180</v>
      </c>
      <c r="E1199" s="4" t="s">
        <v>181</v>
      </c>
      <c r="F1199" s="6">
        <v>3</v>
      </c>
      <c r="G1199" s="5">
        <v>1</v>
      </c>
      <c r="H1199" s="7">
        <v>0</v>
      </c>
      <c r="I1199" s="7">
        <v>0</v>
      </c>
      <c r="J1199" s="5">
        <v>1</v>
      </c>
      <c r="K1199" s="5">
        <v>1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3</v>
      </c>
      <c r="V1199" s="5">
        <v>1</v>
      </c>
      <c r="W1199" s="7">
        <v>0</v>
      </c>
      <c r="X1199" s="7">
        <v>0</v>
      </c>
      <c r="Y1199" s="5">
        <v>1</v>
      </c>
      <c r="Z1199" s="5">
        <v>1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17563</v>
      </c>
      <c r="B1200" s="9" t="s">
        <v>1532</v>
      </c>
      <c r="C1200" s="9" t="s">
        <v>63</v>
      </c>
      <c r="D1200" s="9" t="s">
        <v>120</v>
      </c>
      <c r="E1200" s="9" t="s">
        <v>123</v>
      </c>
      <c r="F1200" s="11">
        <v>1</v>
      </c>
      <c r="G1200" s="12">
        <v>0</v>
      </c>
      <c r="H1200" s="12">
        <v>0</v>
      </c>
      <c r="I1200" s="12">
        <v>0</v>
      </c>
      <c r="J1200" s="12">
        <v>0</v>
      </c>
      <c r="K1200" s="10">
        <v>1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2">
        <v>0</v>
      </c>
      <c r="Z1200" s="10">
        <v>1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43">
        <v>0</v>
      </c>
    </row>
    <row r="1201">
      <c r="A1201" s="23">
        <v>17564</v>
      </c>
      <c r="B1201" s="4" t="s">
        <v>1533</v>
      </c>
      <c r="C1201" s="4" t="s">
        <v>63</v>
      </c>
      <c r="D1201" s="4" t="s">
        <v>120</v>
      </c>
      <c r="E1201" s="4" t="s">
        <v>123</v>
      </c>
      <c r="F1201" s="6">
        <v>1</v>
      </c>
      <c r="G1201" s="7">
        <v>0</v>
      </c>
      <c r="H1201" s="5">
        <v>1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5">
        <v>1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17571</v>
      </c>
      <c r="B1202" s="9" t="s">
        <v>1534</v>
      </c>
      <c r="C1202" s="9" t="s">
        <v>179</v>
      </c>
      <c r="D1202" s="9" t="s">
        <v>180</v>
      </c>
      <c r="E1202" s="9" t="s">
        <v>181</v>
      </c>
      <c r="F1202" s="11">
        <v>9</v>
      </c>
      <c r="G1202" s="10">
        <v>2</v>
      </c>
      <c r="H1202" s="10">
        <v>5</v>
      </c>
      <c r="I1202" s="12">
        <v>0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9</v>
      </c>
      <c r="V1202" s="10">
        <v>2</v>
      </c>
      <c r="W1202" s="10">
        <v>5</v>
      </c>
      <c r="X1202" s="12">
        <v>0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2.25</v>
      </c>
      <c r="AL1202" s="10">
        <v>1</v>
      </c>
      <c r="AM1202" s="10">
        <v>5</v>
      </c>
      <c r="AN1202" s="29">
        <v>1.5</v>
      </c>
    </row>
    <row r="1203">
      <c r="A1203" s="23">
        <v>17572</v>
      </c>
      <c r="B1203" s="4" t="s">
        <v>1535</v>
      </c>
      <c r="C1203" s="4" t="s">
        <v>179</v>
      </c>
      <c r="D1203" s="4" t="s">
        <v>180</v>
      </c>
      <c r="E1203" s="4" t="s">
        <v>181</v>
      </c>
      <c r="F1203" s="6">
        <v>2</v>
      </c>
      <c r="G1203" s="7">
        <v>0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7">
        <v>0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28">
        <v>0.5</v>
      </c>
    </row>
    <row r="1204">
      <c r="A1204" s="24">
        <v>17575</v>
      </c>
      <c r="B1204" s="9" t="s">
        <v>1536</v>
      </c>
      <c r="C1204" s="9" t="s">
        <v>372</v>
      </c>
      <c r="D1204" s="9" t="s">
        <v>820</v>
      </c>
      <c r="E1204" s="9" t="s">
        <v>374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0.26</v>
      </c>
    </row>
    <row r="1205">
      <c r="A1205" s="23">
        <v>17580</v>
      </c>
      <c r="B1205" s="4" t="s">
        <v>1537</v>
      </c>
      <c r="C1205" s="4" t="s">
        <v>63</v>
      </c>
      <c r="D1205" s="4" t="s">
        <v>73</v>
      </c>
      <c r="E1205" s="4" t="s">
        <v>74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17651</v>
      </c>
      <c r="B1206" s="9" t="s">
        <v>1538</v>
      </c>
      <c r="C1206" s="9" t="s">
        <v>63</v>
      </c>
      <c r="D1206" s="9" t="s">
        <v>135</v>
      </c>
      <c r="E1206" s="9" t="s">
        <v>377</v>
      </c>
      <c r="F1206" s="11">
        <v>2</v>
      </c>
      <c r="G1206" s="10">
        <v>2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0">
        <v>2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43">
        <v>0</v>
      </c>
    </row>
    <row r="1207">
      <c r="A1207" s="23">
        <v>17674</v>
      </c>
      <c r="B1207" s="4" t="s">
        <v>1539</v>
      </c>
      <c r="C1207" s="4" t="s">
        <v>63</v>
      </c>
      <c r="D1207" s="4" t="s">
        <v>120</v>
      </c>
      <c r="E1207" s="4" t="s">
        <v>499</v>
      </c>
      <c r="F1207" s="6">
        <v>1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0.25</v>
      </c>
    </row>
    <row r="1208">
      <c r="A1208" s="24">
        <v>17680</v>
      </c>
      <c r="B1208" s="9" t="s">
        <v>1540</v>
      </c>
      <c r="C1208" s="9" t="s">
        <v>700</v>
      </c>
      <c r="D1208" s="9" t="s">
        <v>755</v>
      </c>
      <c r="E1208" s="9" t="s">
        <v>374</v>
      </c>
      <c r="F1208" s="11">
        <v>3</v>
      </c>
      <c r="G1208" s="12">
        <v>0</v>
      </c>
      <c r="H1208" s="10">
        <v>1</v>
      </c>
      <c r="I1208" s="10">
        <v>2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2">
        <v>0</v>
      </c>
      <c r="W1208" s="10">
        <v>1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43">
        <v>0</v>
      </c>
    </row>
    <row r="1209">
      <c r="A1209" s="23">
        <v>17705</v>
      </c>
      <c r="B1209" s="4" t="s">
        <v>1541</v>
      </c>
      <c r="C1209" s="4" t="s">
        <v>63</v>
      </c>
      <c r="D1209" s="4" t="s">
        <v>120</v>
      </c>
      <c r="E1209" s="4" t="s">
        <v>132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17712</v>
      </c>
      <c r="B1210" s="9" t="s">
        <v>1542</v>
      </c>
      <c r="C1210" s="9" t="s">
        <v>63</v>
      </c>
      <c r="D1210" s="9" t="s">
        <v>70</v>
      </c>
      <c r="E1210" s="9" t="s">
        <v>495</v>
      </c>
      <c r="F1210" s="11">
        <v>1</v>
      </c>
      <c r="G1210" s="12">
        <v>0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17737</v>
      </c>
      <c r="B1211" s="4" t="s">
        <v>1543</v>
      </c>
      <c r="C1211" s="4" t="s">
        <v>63</v>
      </c>
      <c r="D1211" s="4" t="s">
        <v>135</v>
      </c>
      <c r="E1211" s="4" t="s">
        <v>377</v>
      </c>
      <c r="F1211" s="6">
        <v>5</v>
      </c>
      <c r="G1211" s="5">
        <v>4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5</v>
      </c>
      <c r="V1211" s="5">
        <v>4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2.5</v>
      </c>
      <c r="AL1211" s="5">
        <v>2</v>
      </c>
      <c r="AM1211" s="5">
        <v>4</v>
      </c>
      <c r="AN1211" s="28">
        <v>0.25</v>
      </c>
    </row>
    <row r="1212">
      <c r="A1212" s="24">
        <v>17738</v>
      </c>
      <c r="B1212" s="9" t="s">
        <v>1544</v>
      </c>
      <c r="C1212" s="9" t="s">
        <v>63</v>
      </c>
      <c r="D1212" s="9" t="s">
        <v>70</v>
      </c>
      <c r="E1212" s="9" t="s">
        <v>495</v>
      </c>
      <c r="F1212" s="11">
        <v>5</v>
      </c>
      <c r="G1212" s="10">
        <v>4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4</v>
      </c>
      <c r="V1212" s="10">
        <v>3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2.5</v>
      </c>
      <c r="AL1212" s="10">
        <v>2</v>
      </c>
      <c r="AM1212" s="10">
        <v>4</v>
      </c>
      <c r="AN1212" s="29">
        <v>0.24</v>
      </c>
    </row>
    <row r="1213">
      <c r="A1213" s="23">
        <v>17781</v>
      </c>
      <c r="B1213" s="4" t="s">
        <v>1545</v>
      </c>
      <c r="C1213" s="4" t="s">
        <v>63</v>
      </c>
      <c r="D1213" s="4" t="s">
        <v>111</v>
      </c>
      <c r="E1213" s="4" t="s">
        <v>240</v>
      </c>
      <c r="F1213" s="6">
        <v>3</v>
      </c>
      <c r="G1213" s="5">
        <v>2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2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30">
        <v>0</v>
      </c>
    </row>
    <row r="1214">
      <c r="A1214" s="24">
        <v>17788</v>
      </c>
      <c r="B1214" s="9" t="s">
        <v>1546</v>
      </c>
      <c r="C1214" s="9" t="s">
        <v>63</v>
      </c>
      <c r="D1214" s="9" t="s">
        <v>70</v>
      </c>
      <c r="E1214" s="9" t="s">
        <v>495</v>
      </c>
      <c r="F1214" s="11">
        <v>2</v>
      </c>
      <c r="G1214" s="12">
        <v>0</v>
      </c>
      <c r="H1214" s="12">
        <v>0</v>
      </c>
      <c r="I1214" s="12">
        <v>0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2">
        <v>0</v>
      </c>
      <c r="W1214" s="12">
        <v>0</v>
      </c>
      <c r="X1214" s="12">
        <v>0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0.52</v>
      </c>
    </row>
    <row r="1215">
      <c r="A1215" s="23">
        <v>17792</v>
      </c>
      <c r="B1215" s="4" t="s">
        <v>1547</v>
      </c>
      <c r="C1215" s="4" t="s">
        <v>264</v>
      </c>
      <c r="D1215" s="4" t="s">
        <v>398</v>
      </c>
      <c r="E1215" s="4" t="s">
        <v>399</v>
      </c>
      <c r="F1215" s="6">
        <v>3</v>
      </c>
      <c r="G1215" s="7">
        <v>0</v>
      </c>
      <c r="H1215" s="5">
        <v>3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</v>
      </c>
      <c r="V1215" s="7">
        <v>0</v>
      </c>
      <c r="W1215" s="5">
        <v>3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3</v>
      </c>
      <c r="AK1215" s="8">
        <v>3</v>
      </c>
      <c r="AL1215" s="5">
        <v>3</v>
      </c>
      <c r="AM1215" s="5">
        <v>3</v>
      </c>
      <c r="AN1215" s="28">
        <v>0.72</v>
      </c>
    </row>
    <row r="1216">
      <c r="A1216" s="24">
        <v>17804</v>
      </c>
      <c r="B1216" s="9" t="s">
        <v>1548</v>
      </c>
      <c r="C1216" s="9" t="s">
        <v>700</v>
      </c>
      <c r="D1216" s="9" t="s">
        <v>714</v>
      </c>
      <c r="E1216" s="9" t="s">
        <v>374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3">
        <v>0</v>
      </c>
    </row>
    <row r="1217">
      <c r="A1217" s="23">
        <v>17845</v>
      </c>
      <c r="B1217" s="4" t="s">
        <v>1549</v>
      </c>
      <c r="C1217" s="4" t="s">
        <v>63</v>
      </c>
      <c r="D1217" s="4" t="s">
        <v>135</v>
      </c>
      <c r="E1217" s="4" t="s">
        <v>136</v>
      </c>
      <c r="F1217" s="6">
        <v>3</v>
      </c>
      <c r="G1217" s="5">
        <v>2</v>
      </c>
      <c r="H1217" s="7">
        <v>0</v>
      </c>
      <c r="I1217" s="7">
        <v>0</v>
      </c>
      <c r="J1217" s="7">
        <v>0</v>
      </c>
      <c r="K1217" s="7">
        <v>0</v>
      </c>
      <c r="L1217" s="5">
        <v>1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3</v>
      </c>
      <c r="V1217" s="5">
        <v>2</v>
      </c>
      <c r="W1217" s="7">
        <v>0</v>
      </c>
      <c r="X1217" s="7">
        <v>0</v>
      </c>
      <c r="Y1217" s="7">
        <v>0</v>
      </c>
      <c r="Z1217" s="7">
        <v>0</v>
      </c>
      <c r="AA1217" s="5">
        <v>1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2</v>
      </c>
      <c r="AN1217" s="28">
        <v>0.78</v>
      </c>
    </row>
    <row r="1218">
      <c r="A1218" s="24">
        <v>17881</v>
      </c>
      <c r="B1218" s="9" t="s">
        <v>1550</v>
      </c>
      <c r="C1218" s="9" t="s">
        <v>619</v>
      </c>
      <c r="D1218" s="9" t="s">
        <v>623</v>
      </c>
      <c r="E1218" s="9" t="s">
        <v>1030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17932</v>
      </c>
      <c r="B1219" s="4" t="s">
        <v>1551</v>
      </c>
      <c r="C1219" s="4" t="s">
        <v>179</v>
      </c>
      <c r="D1219" s="4" t="s">
        <v>471</v>
      </c>
      <c r="E1219" s="4" t="s">
        <v>1552</v>
      </c>
      <c r="F1219" s="6">
        <v>2</v>
      </c>
      <c r="G1219" s="7">
        <v>0</v>
      </c>
      <c r="H1219" s="7">
        <v>0</v>
      </c>
      <c r="I1219" s="5">
        <v>2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28">
        <v>0.25</v>
      </c>
    </row>
    <row r="1220">
      <c r="A1220" s="24">
        <v>17933</v>
      </c>
      <c r="B1220" s="9" t="s">
        <v>1553</v>
      </c>
      <c r="C1220" s="9" t="s">
        <v>63</v>
      </c>
      <c r="D1220" s="9" t="s">
        <v>111</v>
      </c>
      <c r="E1220" s="9" t="s">
        <v>240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17997</v>
      </c>
      <c r="B1221" s="4" t="s">
        <v>1554</v>
      </c>
      <c r="C1221" s="4" t="s">
        <v>63</v>
      </c>
      <c r="D1221" s="4" t="s">
        <v>89</v>
      </c>
      <c r="E1221" s="4" t="s">
        <v>161</v>
      </c>
      <c r="F1221" s="6">
        <v>1</v>
      </c>
      <c r="G1221" s="7">
        <v>0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18068</v>
      </c>
      <c r="B1222" s="9" t="s">
        <v>1555</v>
      </c>
      <c r="C1222" s="9" t="s">
        <v>264</v>
      </c>
      <c r="D1222" s="9" t="s">
        <v>479</v>
      </c>
      <c r="E1222" s="9" t="s">
        <v>597</v>
      </c>
      <c r="F1222" s="11">
        <v>1</v>
      </c>
      <c r="G1222" s="12">
        <v>0</v>
      </c>
      <c r="H1222" s="10">
        <v>1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0">
        <v>1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0.25</v>
      </c>
    </row>
    <row r="1223">
      <c r="A1223" s="23">
        <v>18076</v>
      </c>
      <c r="B1223" s="4" t="s">
        <v>1556</v>
      </c>
      <c r="C1223" s="4" t="s">
        <v>179</v>
      </c>
      <c r="D1223" s="4" t="s">
        <v>180</v>
      </c>
      <c r="E1223" s="4" t="s">
        <v>181</v>
      </c>
      <c r="F1223" s="6">
        <v>3</v>
      </c>
      <c r="G1223" s="7">
        <v>0</v>
      </c>
      <c r="H1223" s="7">
        <v>0</v>
      </c>
      <c r="I1223" s="5">
        <v>1</v>
      </c>
      <c r="J1223" s="7">
        <v>0</v>
      </c>
      <c r="K1223" s="5">
        <v>1</v>
      </c>
      <c r="L1223" s="7">
        <v>0</v>
      </c>
      <c r="M1223" s="7">
        <v>0</v>
      </c>
      <c r="N1223" s="5">
        <v>1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3</v>
      </c>
      <c r="V1223" s="7">
        <v>0</v>
      </c>
      <c r="W1223" s="7">
        <v>0</v>
      </c>
      <c r="X1223" s="5">
        <v>1</v>
      </c>
      <c r="Y1223" s="7">
        <v>0</v>
      </c>
      <c r="Z1223" s="5">
        <v>1</v>
      </c>
      <c r="AA1223" s="7">
        <v>0</v>
      </c>
      <c r="AB1223" s="7">
        <v>0</v>
      </c>
      <c r="AC1223" s="5">
        <v>1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18150</v>
      </c>
      <c r="B1224" s="9" t="s">
        <v>1557</v>
      </c>
      <c r="C1224" s="9" t="s">
        <v>264</v>
      </c>
      <c r="D1224" s="9" t="s">
        <v>265</v>
      </c>
      <c r="E1224" s="9" t="s">
        <v>266</v>
      </c>
      <c r="F1224" s="11">
        <v>7</v>
      </c>
      <c r="G1224" s="10">
        <v>1</v>
      </c>
      <c r="H1224" s="12">
        <v>0</v>
      </c>
      <c r="I1224" s="12">
        <v>0</v>
      </c>
      <c r="J1224" s="10">
        <v>5</v>
      </c>
      <c r="K1224" s="12">
        <v>0</v>
      </c>
      <c r="L1224" s="10">
        <v>1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7</v>
      </c>
      <c r="V1224" s="10">
        <v>1</v>
      </c>
      <c r="W1224" s="12">
        <v>0</v>
      </c>
      <c r="X1224" s="12">
        <v>0</v>
      </c>
      <c r="Y1224" s="10">
        <v>5</v>
      </c>
      <c r="Z1224" s="12">
        <v>0</v>
      </c>
      <c r="AA1224" s="10">
        <v>1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1.75</v>
      </c>
      <c r="AL1224" s="10">
        <v>1</v>
      </c>
      <c r="AM1224" s="10">
        <v>3</v>
      </c>
      <c r="AN1224" s="29">
        <v>1.25</v>
      </c>
    </row>
    <row r="1225">
      <c r="A1225" s="23">
        <v>18151</v>
      </c>
      <c r="B1225" s="4" t="s">
        <v>1558</v>
      </c>
      <c r="C1225" s="4" t="s">
        <v>63</v>
      </c>
      <c r="D1225" s="4" t="s">
        <v>108</v>
      </c>
      <c r="E1225" s="4" t="s">
        <v>158</v>
      </c>
      <c r="F1225" s="6">
        <v>1</v>
      </c>
      <c r="G1225" s="7">
        <v>0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0.25</v>
      </c>
    </row>
    <row r="1226">
      <c r="A1226" s="24">
        <v>18232</v>
      </c>
      <c r="B1226" s="9" t="s">
        <v>1559</v>
      </c>
      <c r="C1226" s="9" t="s">
        <v>63</v>
      </c>
      <c r="D1226" s="9" t="s">
        <v>73</v>
      </c>
      <c r="E1226" s="9" t="s">
        <v>138</v>
      </c>
      <c r="F1226" s="11">
        <v>2</v>
      </c>
      <c r="G1226" s="12">
        <v>0</v>
      </c>
      <c r="H1226" s="12">
        <v>0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2">
        <v>0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29">
        <v>0.48</v>
      </c>
    </row>
    <row r="1227">
      <c r="A1227" s="23">
        <v>18234</v>
      </c>
      <c r="B1227" s="4" t="s">
        <v>1560</v>
      </c>
      <c r="C1227" s="4" t="s">
        <v>179</v>
      </c>
      <c r="D1227" s="4" t="s">
        <v>1207</v>
      </c>
      <c r="E1227" s="4" t="s">
        <v>1561</v>
      </c>
      <c r="F1227" s="6">
        <v>1</v>
      </c>
      <c r="G1227" s="7">
        <v>0</v>
      </c>
      <c r="H1227" s="5">
        <v>1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5">
        <v>1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30">
        <v>0</v>
      </c>
    </row>
    <row r="1228">
      <c r="A1228" s="24">
        <v>18252</v>
      </c>
      <c r="B1228" s="9" t="s">
        <v>1562</v>
      </c>
      <c r="C1228" s="9" t="s">
        <v>63</v>
      </c>
      <c r="D1228" s="9" t="s">
        <v>84</v>
      </c>
      <c r="E1228" s="9" t="s">
        <v>152</v>
      </c>
      <c r="F1228" s="11">
        <v>62</v>
      </c>
      <c r="G1228" s="12">
        <v>0</v>
      </c>
      <c r="H1228" s="12">
        <v>0</v>
      </c>
      <c r="I1228" s="12">
        <v>0</v>
      </c>
      <c r="J1228" s="10">
        <v>62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50</v>
      </c>
      <c r="V1228" s="12">
        <v>0</v>
      </c>
      <c r="W1228" s="12">
        <v>0</v>
      </c>
      <c r="X1228" s="12">
        <v>0</v>
      </c>
      <c r="Y1228" s="10">
        <v>50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20.67</v>
      </c>
      <c r="AL1228" s="10">
        <v>9</v>
      </c>
      <c r="AM1228" s="10">
        <v>52</v>
      </c>
      <c r="AN1228" s="29">
        <v>12.5</v>
      </c>
    </row>
    <row r="1229">
      <c r="A1229" s="23">
        <v>18276</v>
      </c>
      <c r="B1229" s="4" t="s">
        <v>1563</v>
      </c>
      <c r="C1229" s="4" t="s">
        <v>700</v>
      </c>
      <c r="D1229" s="4" t="s">
        <v>701</v>
      </c>
      <c r="E1229" s="4" t="s">
        <v>374</v>
      </c>
      <c r="F1229" s="6">
        <v>3</v>
      </c>
      <c r="G1229" s="7">
        <v>0</v>
      </c>
      <c r="H1229" s="7">
        <v>0</v>
      </c>
      <c r="I1229" s="5">
        <v>3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</v>
      </c>
      <c r="V1229" s="7">
        <v>0</v>
      </c>
      <c r="W1229" s="7">
        <v>0</v>
      </c>
      <c r="X1229" s="5">
        <v>2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1.5</v>
      </c>
      <c r="AL1229" s="5">
        <v>1</v>
      </c>
      <c r="AM1229" s="5">
        <v>2</v>
      </c>
      <c r="AN1229" s="30">
        <v>0</v>
      </c>
    </row>
    <row r="1230">
      <c r="A1230" s="24">
        <v>18343</v>
      </c>
      <c r="B1230" s="9" t="s">
        <v>1564</v>
      </c>
      <c r="C1230" s="9" t="s">
        <v>264</v>
      </c>
      <c r="D1230" s="9" t="s">
        <v>398</v>
      </c>
      <c r="E1230" s="9" t="s">
        <v>399</v>
      </c>
      <c r="F1230" s="11">
        <v>1</v>
      </c>
      <c r="G1230" s="12">
        <v>0</v>
      </c>
      <c r="H1230" s="12">
        <v>0</v>
      </c>
      <c r="I1230" s="12">
        <v>0</v>
      </c>
      <c r="J1230" s="12">
        <v>0</v>
      </c>
      <c r="K1230" s="12">
        <v>0</v>
      </c>
      <c r="L1230" s="10">
        <v>1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2">
        <v>0</v>
      </c>
      <c r="Z1230" s="12">
        <v>0</v>
      </c>
      <c r="AA1230" s="10">
        <v>1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3">
        <v>0</v>
      </c>
    </row>
    <row r="1231">
      <c r="A1231" s="23">
        <v>18345</v>
      </c>
      <c r="B1231" s="4" t="s">
        <v>1565</v>
      </c>
      <c r="C1231" s="4" t="s">
        <v>63</v>
      </c>
      <c r="D1231" s="4" t="s">
        <v>111</v>
      </c>
      <c r="E1231" s="4" t="s">
        <v>240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18348</v>
      </c>
      <c r="B1232" s="9" t="s">
        <v>1566</v>
      </c>
      <c r="C1232" s="9" t="s">
        <v>264</v>
      </c>
      <c r="D1232" s="9" t="s">
        <v>479</v>
      </c>
      <c r="E1232" s="9" t="s">
        <v>480</v>
      </c>
      <c r="F1232" s="11">
        <v>2</v>
      </c>
      <c r="G1232" s="12">
        <v>0</v>
      </c>
      <c r="H1232" s="10">
        <v>2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2">
        <v>0</v>
      </c>
      <c r="W1232" s="10">
        <v>2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29">
        <v>0.5</v>
      </c>
    </row>
    <row r="1233">
      <c r="A1233" s="23">
        <v>18354</v>
      </c>
      <c r="B1233" s="4" t="s">
        <v>1567</v>
      </c>
      <c r="C1233" s="4" t="s">
        <v>264</v>
      </c>
      <c r="D1233" s="4" t="s">
        <v>1314</v>
      </c>
      <c r="E1233" s="4" t="s">
        <v>1315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0.24</v>
      </c>
    </row>
    <row r="1234">
      <c r="A1234" s="24">
        <v>18425</v>
      </c>
      <c r="B1234" s="9" t="s">
        <v>1568</v>
      </c>
      <c r="C1234" s="9" t="s">
        <v>700</v>
      </c>
      <c r="D1234" s="9" t="s">
        <v>1067</v>
      </c>
      <c r="E1234" s="9" t="s">
        <v>374</v>
      </c>
      <c r="F1234" s="11">
        <v>2</v>
      </c>
      <c r="G1234" s="12">
        <v>0</v>
      </c>
      <c r="H1234" s="12">
        <v>0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2">
        <v>0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29">
        <v>0.26</v>
      </c>
    </row>
    <row r="1235">
      <c r="A1235" s="23">
        <v>18428</v>
      </c>
      <c r="B1235" s="4" t="s">
        <v>1569</v>
      </c>
      <c r="C1235" s="4" t="s">
        <v>63</v>
      </c>
      <c r="D1235" s="4" t="s">
        <v>73</v>
      </c>
      <c r="E1235" s="4" t="s">
        <v>312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18434</v>
      </c>
      <c r="B1236" s="9" t="s">
        <v>1570</v>
      </c>
      <c r="C1236" s="9" t="s">
        <v>179</v>
      </c>
      <c r="D1236" s="9" t="s">
        <v>180</v>
      </c>
      <c r="E1236" s="9" t="s">
        <v>789</v>
      </c>
      <c r="F1236" s="11">
        <v>1</v>
      </c>
      <c r="G1236" s="12">
        <v>0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2">
        <v>0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18460</v>
      </c>
      <c r="B1237" s="4" t="s">
        <v>1571</v>
      </c>
      <c r="C1237" s="4" t="s">
        <v>179</v>
      </c>
      <c r="D1237" s="4" t="s">
        <v>196</v>
      </c>
      <c r="E1237" s="4" t="s">
        <v>199</v>
      </c>
      <c r="F1237" s="6">
        <v>2</v>
      </c>
      <c r="G1237" s="5">
        <v>1</v>
      </c>
      <c r="H1237" s="5">
        <v>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5">
        <v>1</v>
      </c>
      <c r="W1237" s="5">
        <v>1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18487</v>
      </c>
      <c r="B1238" s="9" t="s">
        <v>1572</v>
      </c>
      <c r="C1238" s="9" t="s">
        <v>179</v>
      </c>
      <c r="D1238" s="9" t="s">
        <v>196</v>
      </c>
      <c r="E1238" s="9" t="s">
        <v>204</v>
      </c>
      <c r="F1238" s="11">
        <v>3</v>
      </c>
      <c r="G1238" s="10">
        <v>1</v>
      </c>
      <c r="H1238" s="12">
        <v>0</v>
      </c>
      <c r="I1238" s="10">
        <v>1</v>
      </c>
      <c r="J1238" s="12">
        <v>0</v>
      </c>
      <c r="K1238" s="10">
        <v>1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0">
        <v>1</v>
      </c>
      <c r="W1238" s="12">
        <v>0</v>
      </c>
      <c r="X1238" s="10">
        <v>1</v>
      </c>
      <c r="Y1238" s="12">
        <v>0</v>
      </c>
      <c r="Z1238" s="10">
        <v>1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3">
        <v>0</v>
      </c>
    </row>
    <row r="1239">
      <c r="A1239" s="23">
        <v>18510</v>
      </c>
      <c r="B1239" s="4" t="s">
        <v>1573</v>
      </c>
      <c r="C1239" s="4" t="s">
        <v>63</v>
      </c>
      <c r="D1239" s="4" t="s">
        <v>111</v>
      </c>
      <c r="E1239" s="4" t="s">
        <v>243</v>
      </c>
      <c r="F1239" s="6">
        <v>2</v>
      </c>
      <c r="G1239" s="7">
        <v>0</v>
      </c>
      <c r="H1239" s="5">
        <v>2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5">
        <v>1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28">
        <v>0.36</v>
      </c>
    </row>
    <row r="1240">
      <c r="A1240" s="24">
        <v>18531</v>
      </c>
      <c r="B1240" s="9" t="s">
        <v>1574</v>
      </c>
      <c r="C1240" s="9" t="s">
        <v>264</v>
      </c>
      <c r="D1240" s="9" t="s">
        <v>831</v>
      </c>
      <c r="E1240" s="9" t="s">
        <v>1575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18546</v>
      </c>
      <c r="B1241" s="4" t="s">
        <v>1576</v>
      </c>
      <c r="C1241" s="4" t="s">
        <v>63</v>
      </c>
      <c r="D1241" s="4" t="s">
        <v>89</v>
      </c>
      <c r="E1241" s="4" t="s">
        <v>1375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18561</v>
      </c>
      <c r="B1242" s="9" t="s">
        <v>1577</v>
      </c>
      <c r="C1242" s="9" t="s">
        <v>63</v>
      </c>
      <c r="D1242" s="9" t="s">
        <v>89</v>
      </c>
      <c r="E1242" s="9" t="s">
        <v>90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3">
        <v>0</v>
      </c>
    </row>
    <row r="1243">
      <c r="A1243" s="23">
        <v>18699</v>
      </c>
      <c r="B1243" s="4" t="s">
        <v>1578</v>
      </c>
      <c r="C1243" s="4" t="s">
        <v>63</v>
      </c>
      <c r="D1243" s="4" t="s">
        <v>120</v>
      </c>
      <c r="E1243" s="4" t="s">
        <v>121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18701</v>
      </c>
      <c r="B1244" s="9" t="s">
        <v>1579</v>
      </c>
      <c r="C1244" s="9" t="s">
        <v>63</v>
      </c>
      <c r="D1244" s="9" t="s">
        <v>120</v>
      </c>
      <c r="E1244" s="9" t="s">
        <v>121</v>
      </c>
      <c r="F1244" s="11">
        <v>1</v>
      </c>
      <c r="G1244" s="12">
        <v>0</v>
      </c>
      <c r="H1244" s="12">
        <v>0</v>
      </c>
      <c r="I1244" s="12">
        <v>0</v>
      </c>
      <c r="J1244" s="12">
        <v>0</v>
      </c>
      <c r="K1244" s="10">
        <v>1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2">
        <v>0</v>
      </c>
      <c r="Y1244" s="12">
        <v>0</v>
      </c>
      <c r="Z1244" s="10">
        <v>1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3">
        <v>0</v>
      </c>
    </row>
    <row r="1245">
      <c r="A1245" s="23">
        <v>18722</v>
      </c>
      <c r="B1245" s="4" t="s">
        <v>1580</v>
      </c>
      <c r="C1245" s="4" t="s">
        <v>179</v>
      </c>
      <c r="D1245" s="4" t="s">
        <v>1142</v>
      </c>
      <c r="E1245" s="4" t="s">
        <v>1581</v>
      </c>
      <c r="F1245" s="6">
        <v>1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5">
        <v>1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5">
        <v>1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18731</v>
      </c>
      <c r="B1246" s="9" t="s">
        <v>1582</v>
      </c>
      <c r="C1246" s="9" t="s">
        <v>63</v>
      </c>
      <c r="D1246" s="9" t="s">
        <v>84</v>
      </c>
      <c r="E1246" s="9" t="s">
        <v>96</v>
      </c>
      <c r="F1246" s="11">
        <v>1</v>
      </c>
      <c r="G1246" s="12">
        <v>0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43">
        <v>0</v>
      </c>
    </row>
    <row r="1247">
      <c r="A1247" s="23">
        <v>18736</v>
      </c>
      <c r="B1247" s="4" t="s">
        <v>1583</v>
      </c>
      <c r="C1247" s="4" t="s">
        <v>630</v>
      </c>
      <c r="D1247" s="4" t="s">
        <v>1584</v>
      </c>
      <c r="E1247" s="4" t="s">
        <v>1585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0.26</v>
      </c>
    </row>
    <row r="1248">
      <c r="A1248" s="24">
        <v>18754</v>
      </c>
      <c r="B1248" s="9" t="s">
        <v>1586</v>
      </c>
      <c r="C1248" s="9" t="s">
        <v>63</v>
      </c>
      <c r="D1248" s="9" t="s">
        <v>120</v>
      </c>
      <c r="E1248" s="9" t="s">
        <v>165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18850</v>
      </c>
      <c r="B1249" s="4" t="s">
        <v>1587</v>
      </c>
      <c r="C1249" s="4" t="s">
        <v>700</v>
      </c>
      <c r="D1249" s="4" t="s">
        <v>1151</v>
      </c>
      <c r="E1249" s="4" t="s">
        <v>374</v>
      </c>
      <c r="F1249" s="6">
        <v>1</v>
      </c>
      <c r="G1249" s="7">
        <v>0</v>
      </c>
      <c r="H1249" s="7">
        <v>0</v>
      </c>
      <c r="I1249" s="5">
        <v>1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5">
        <v>1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18852</v>
      </c>
      <c r="B1250" s="9" t="s">
        <v>1588</v>
      </c>
      <c r="C1250" s="9" t="s">
        <v>63</v>
      </c>
      <c r="D1250" s="9" t="s">
        <v>73</v>
      </c>
      <c r="E1250" s="9" t="s">
        <v>130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3">
        <v>0</v>
      </c>
    </row>
    <row r="1251">
      <c r="A1251" s="23">
        <v>18874</v>
      </c>
      <c r="B1251" s="4" t="s">
        <v>1589</v>
      </c>
      <c r="C1251" s="4" t="s">
        <v>63</v>
      </c>
      <c r="D1251" s="4" t="s">
        <v>77</v>
      </c>
      <c r="E1251" s="4" t="s">
        <v>78</v>
      </c>
      <c r="F1251" s="6">
        <v>2</v>
      </c>
      <c r="G1251" s="7">
        <v>0</v>
      </c>
      <c r="H1251" s="7">
        <v>0</v>
      </c>
      <c r="I1251" s="5">
        <v>1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7">
        <v>0</v>
      </c>
      <c r="W1251" s="7">
        <v>0</v>
      </c>
      <c r="X1251" s="5">
        <v>1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0.5</v>
      </c>
    </row>
    <row r="1252">
      <c r="A1252" s="24">
        <v>18878</v>
      </c>
      <c r="B1252" s="9" t="s">
        <v>1590</v>
      </c>
      <c r="C1252" s="9" t="s">
        <v>264</v>
      </c>
      <c r="D1252" s="9" t="s">
        <v>398</v>
      </c>
      <c r="E1252" s="9" t="s">
        <v>410</v>
      </c>
      <c r="F1252" s="11">
        <v>5</v>
      </c>
      <c r="G1252" s="10">
        <v>1</v>
      </c>
      <c r="H1252" s="12">
        <v>0</v>
      </c>
      <c r="I1252" s="10">
        <v>2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5</v>
      </c>
      <c r="V1252" s="10">
        <v>1</v>
      </c>
      <c r="W1252" s="12">
        <v>0</v>
      </c>
      <c r="X1252" s="10">
        <v>2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0.75</v>
      </c>
    </row>
    <row r="1253">
      <c r="A1253" s="23">
        <v>18933</v>
      </c>
      <c r="B1253" s="4" t="s">
        <v>1591</v>
      </c>
      <c r="C1253" s="4" t="s">
        <v>63</v>
      </c>
      <c r="D1253" s="4" t="s">
        <v>70</v>
      </c>
      <c r="E1253" s="4" t="s">
        <v>71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30">
        <v>0</v>
      </c>
    </row>
    <row r="1254">
      <c r="A1254" s="24">
        <v>19034</v>
      </c>
      <c r="B1254" s="9" t="s">
        <v>1592</v>
      </c>
      <c r="C1254" s="9" t="s">
        <v>700</v>
      </c>
      <c r="D1254" s="9" t="s">
        <v>1151</v>
      </c>
      <c r="E1254" s="9" t="s">
        <v>374</v>
      </c>
      <c r="F1254" s="11">
        <v>4</v>
      </c>
      <c r="G1254" s="12">
        <v>0</v>
      </c>
      <c r="H1254" s="12">
        <v>0</v>
      </c>
      <c r="I1254" s="10">
        <v>4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4</v>
      </c>
      <c r="V1254" s="12">
        <v>0</v>
      </c>
      <c r="W1254" s="12">
        <v>0</v>
      </c>
      <c r="X1254" s="10">
        <v>4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1.33</v>
      </c>
      <c r="AL1254" s="10">
        <v>1</v>
      </c>
      <c r="AM1254" s="10">
        <v>2</v>
      </c>
      <c r="AN1254" s="29">
        <v>0.26</v>
      </c>
    </row>
    <row r="1255">
      <c r="A1255" s="23">
        <v>19107</v>
      </c>
      <c r="B1255" s="4" t="s">
        <v>1593</v>
      </c>
      <c r="C1255" s="4" t="s">
        <v>63</v>
      </c>
      <c r="D1255" s="4" t="s">
        <v>120</v>
      </c>
      <c r="E1255" s="4" t="s">
        <v>123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19110</v>
      </c>
      <c r="B1256" s="9" t="s">
        <v>1594</v>
      </c>
      <c r="C1256" s="9" t="s">
        <v>264</v>
      </c>
      <c r="D1256" s="9" t="s">
        <v>453</v>
      </c>
      <c r="E1256" s="9" t="s">
        <v>564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43">
        <v>0</v>
      </c>
    </row>
    <row r="1257">
      <c r="A1257" s="23">
        <v>19185</v>
      </c>
      <c r="B1257" s="4" t="s">
        <v>1595</v>
      </c>
      <c r="C1257" s="4" t="s">
        <v>63</v>
      </c>
      <c r="D1257" s="4" t="s">
        <v>102</v>
      </c>
      <c r="E1257" s="4" t="s">
        <v>868</v>
      </c>
      <c r="F1257" s="6">
        <v>1</v>
      </c>
      <c r="G1257" s="7">
        <v>0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0.25</v>
      </c>
    </row>
    <row r="1258">
      <c r="A1258" s="24">
        <v>19191</v>
      </c>
      <c r="B1258" s="9" t="s">
        <v>1596</v>
      </c>
      <c r="C1258" s="9" t="s">
        <v>264</v>
      </c>
      <c r="D1258" s="9" t="s">
        <v>694</v>
      </c>
      <c r="E1258" s="9" t="s">
        <v>695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0.24</v>
      </c>
    </row>
    <row r="1259">
      <c r="A1259" s="23">
        <v>19226</v>
      </c>
      <c r="B1259" s="4" t="s">
        <v>1597</v>
      </c>
      <c r="C1259" s="4" t="s">
        <v>63</v>
      </c>
      <c r="D1259" s="4" t="s">
        <v>67</v>
      </c>
      <c r="E1259" s="4" t="s">
        <v>271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19308</v>
      </c>
      <c r="B1260" s="9" t="s">
        <v>1201</v>
      </c>
      <c r="C1260" s="9" t="s">
        <v>63</v>
      </c>
      <c r="D1260" s="9" t="s">
        <v>120</v>
      </c>
      <c r="E1260" s="9" t="s">
        <v>121</v>
      </c>
      <c r="F1260" s="11">
        <v>1</v>
      </c>
      <c r="G1260" s="12">
        <v>0</v>
      </c>
      <c r="H1260" s="10">
        <v>1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0">
        <v>1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19322</v>
      </c>
      <c r="B1261" s="4" t="s">
        <v>1598</v>
      </c>
      <c r="C1261" s="4" t="s">
        <v>63</v>
      </c>
      <c r="D1261" s="4" t="s">
        <v>67</v>
      </c>
      <c r="E1261" s="4" t="s">
        <v>271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19348</v>
      </c>
      <c r="B1262" s="9" t="s">
        <v>1599</v>
      </c>
      <c r="C1262" s="9" t="s">
        <v>179</v>
      </c>
      <c r="D1262" s="9" t="s">
        <v>180</v>
      </c>
      <c r="E1262" s="9" t="s">
        <v>189</v>
      </c>
      <c r="F1262" s="11">
        <v>2</v>
      </c>
      <c r="G1262" s="10">
        <v>1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1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3">
        <v>0</v>
      </c>
    </row>
    <row r="1263">
      <c r="A1263" s="23">
        <v>19393</v>
      </c>
      <c r="B1263" s="4" t="s">
        <v>1600</v>
      </c>
      <c r="C1263" s="4" t="s">
        <v>63</v>
      </c>
      <c r="D1263" s="4" t="s">
        <v>102</v>
      </c>
      <c r="E1263" s="4" t="s">
        <v>709</v>
      </c>
      <c r="F1263" s="6">
        <v>1</v>
      </c>
      <c r="G1263" s="7">
        <v>0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30">
        <v>0</v>
      </c>
    </row>
    <row r="1264">
      <c r="A1264" s="24">
        <v>19421</v>
      </c>
      <c r="B1264" s="9" t="s">
        <v>1601</v>
      </c>
      <c r="C1264" s="9" t="s">
        <v>63</v>
      </c>
      <c r="D1264" s="9" t="s">
        <v>70</v>
      </c>
      <c r="E1264" s="9" t="s">
        <v>71</v>
      </c>
      <c r="F1264" s="11">
        <v>1</v>
      </c>
      <c r="G1264" s="12">
        <v>0</v>
      </c>
      <c r="H1264" s="12">
        <v>0</v>
      </c>
      <c r="I1264" s="10">
        <v>1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0.25</v>
      </c>
    </row>
    <row r="1265">
      <c r="A1265" s="23">
        <v>19422</v>
      </c>
      <c r="B1265" s="4" t="s">
        <v>1602</v>
      </c>
      <c r="C1265" s="4" t="s">
        <v>63</v>
      </c>
      <c r="D1265" s="4" t="s">
        <v>102</v>
      </c>
      <c r="E1265" s="4" t="s">
        <v>1023</v>
      </c>
      <c r="F1265" s="6">
        <v>5</v>
      </c>
      <c r="G1265" s="5">
        <v>3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5">
        <v>2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5</v>
      </c>
      <c r="V1265" s="5">
        <v>3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5">
        <v>2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2.5</v>
      </c>
      <c r="AL1265" s="5">
        <v>2</v>
      </c>
      <c r="AM1265" s="5">
        <v>3</v>
      </c>
      <c r="AN1265" s="28">
        <v>1.25</v>
      </c>
    </row>
    <row r="1266">
      <c r="A1266" s="24">
        <v>19426</v>
      </c>
      <c r="B1266" s="9" t="s">
        <v>1603</v>
      </c>
      <c r="C1266" s="9" t="s">
        <v>63</v>
      </c>
      <c r="D1266" s="9" t="s">
        <v>84</v>
      </c>
      <c r="E1266" s="9" t="s">
        <v>217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19427</v>
      </c>
      <c r="B1267" s="4" t="s">
        <v>1604</v>
      </c>
      <c r="C1267" s="4" t="s">
        <v>63</v>
      </c>
      <c r="D1267" s="4" t="s">
        <v>89</v>
      </c>
      <c r="E1267" s="4" t="s">
        <v>90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19430</v>
      </c>
      <c r="B1268" s="9" t="s">
        <v>1605</v>
      </c>
      <c r="C1268" s="9" t="s">
        <v>63</v>
      </c>
      <c r="D1268" s="9" t="s">
        <v>111</v>
      </c>
      <c r="E1268" s="9" t="s">
        <v>223</v>
      </c>
      <c r="F1268" s="11">
        <v>2</v>
      </c>
      <c r="G1268" s="12">
        <v>0</v>
      </c>
      <c r="H1268" s="12">
        <v>0</v>
      </c>
      <c r="I1268" s="12">
        <v>0</v>
      </c>
      <c r="J1268" s="10">
        <v>2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2</v>
      </c>
      <c r="V1268" s="12">
        <v>0</v>
      </c>
      <c r="W1268" s="12">
        <v>0</v>
      </c>
      <c r="X1268" s="12">
        <v>0</v>
      </c>
      <c r="Y1268" s="10">
        <v>2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0.5</v>
      </c>
    </row>
    <row r="1269">
      <c r="A1269" s="25">
        <v>19468</v>
      </c>
      <c r="B1269" s="16" t="s">
        <v>1606</v>
      </c>
      <c r="C1269" s="16" t="s">
        <v>619</v>
      </c>
      <c r="D1269" s="16" t="s">
        <v>620</v>
      </c>
      <c r="E1269" s="16" t="s">
        <v>627</v>
      </c>
      <c r="F1269" s="18">
        <v>1</v>
      </c>
      <c r="G1269" s="19">
        <v>0</v>
      </c>
      <c r="H1269" s="19">
        <v>0</v>
      </c>
      <c r="I1269" s="17">
        <v>1</v>
      </c>
      <c r="J1269" s="19">
        <v>0</v>
      </c>
      <c r="K1269" s="19">
        <v>0</v>
      </c>
      <c r="L1269" s="19">
        <v>0</v>
      </c>
      <c r="M1269" s="19">
        <v>0</v>
      </c>
      <c r="N1269" s="19">
        <v>0</v>
      </c>
      <c r="O1269" s="19">
        <v>0</v>
      </c>
      <c r="P1269" s="19">
        <v>0</v>
      </c>
      <c r="Q1269" s="19">
        <v>0</v>
      </c>
      <c r="R1269" s="19">
        <v>0</v>
      </c>
      <c r="S1269" s="19">
        <v>0</v>
      </c>
      <c r="T1269" s="36">
        <v>0</v>
      </c>
      <c r="U1269" s="18">
        <v>1</v>
      </c>
      <c r="V1269" s="19">
        <v>0</v>
      </c>
      <c r="W1269" s="19">
        <v>0</v>
      </c>
      <c r="X1269" s="17">
        <v>1</v>
      </c>
      <c r="Y1269" s="19">
        <v>0</v>
      </c>
      <c r="Z1269" s="19">
        <v>0</v>
      </c>
      <c r="AA1269" s="19">
        <v>0</v>
      </c>
      <c r="AB1269" s="19">
        <v>0</v>
      </c>
      <c r="AC1269" s="19">
        <v>0</v>
      </c>
      <c r="AD1269" s="19">
        <v>0</v>
      </c>
      <c r="AE1269" s="19">
        <v>0</v>
      </c>
      <c r="AF1269" s="19">
        <v>0</v>
      </c>
      <c r="AG1269" s="19">
        <v>0</v>
      </c>
      <c r="AH1269" s="19">
        <v>0</v>
      </c>
      <c r="AI1269" s="19">
        <v>0</v>
      </c>
      <c r="AJ1269" s="17">
        <v>1</v>
      </c>
      <c r="AK1269" s="20">
        <v>1</v>
      </c>
      <c r="AL1269" s="17">
        <v>1</v>
      </c>
      <c r="AM1269" s="17">
        <v>1</v>
      </c>
      <c r="AN1269" s="44">
        <v>0</v>
      </c>
    </row>
    <row r="1271">
      <c r="A1271" s="45" t="s">
        <v>0</v>
      </c>
      <c r="B1271" s="45" t="s">
        <v>0</v>
      </c>
      <c r="C1271" s="45" t="s">
        <v>0</v>
      </c>
      <c r="D1271" s="45" t="s">
        <v>0</v>
      </c>
      <c r="E1271" s="37" t="s">
        <v>56</v>
      </c>
      <c r="F1271" s="39">
        <f>SUM(F3:F1269)</f>
      </c>
      <c r="G1271" s="38">
        <f>SUM(G3:G1269)</f>
      </c>
      <c r="H1271" s="38">
        <f>SUM(H3:H1269)</f>
      </c>
      <c r="I1271" s="38">
        <f>SUM(I3:I1269)</f>
      </c>
      <c r="J1271" s="38">
        <f>SUM(J3:J1269)</f>
      </c>
      <c r="K1271" s="38">
        <f>SUM(K3:K1269)</f>
      </c>
      <c r="L1271" s="38">
        <f>SUM(L3:L1269)</f>
      </c>
      <c r="M1271" s="38">
        <f>SUM(M3:M1269)</f>
      </c>
      <c r="N1271" s="38">
        <f>SUM(N3:N1269)</f>
      </c>
      <c r="O1271" s="38">
        <f>SUM(O3:O1269)</f>
      </c>
      <c r="P1271" s="38">
        <f>SUM(P3:P1269)</f>
      </c>
      <c r="Q1271" s="38">
        <f>SUM(Q3:Q1269)</f>
      </c>
      <c r="R1271" s="38">
        <f>SUM(R3:R1269)</f>
      </c>
      <c r="S1271" s="38">
        <f>SUM(S3:S1269)</f>
      </c>
      <c r="T1271" s="38">
        <f>SUM(T3:T1269)</f>
      </c>
      <c r="U1271" s="39">
        <f>SUM(U3:U1269)</f>
      </c>
      <c r="V1271" s="38">
        <f>SUM(V3:V1269)</f>
      </c>
      <c r="W1271" s="38">
        <f>SUM(W3:W1269)</f>
      </c>
      <c r="X1271" s="38">
        <f>SUM(X3:X1269)</f>
      </c>
      <c r="Y1271" s="38">
        <f>SUM(Y3:Y1269)</f>
      </c>
      <c r="Z1271" s="38">
        <f>SUM(Z3:Z1269)</f>
      </c>
      <c r="AA1271" s="38">
        <f>SUM(AA3:AA1269)</f>
      </c>
      <c r="AB1271" s="38">
        <f>SUM(AB3:AB1269)</f>
      </c>
      <c r="AC1271" s="38">
        <f>SUM(AC3:AC1269)</f>
      </c>
      <c r="AD1271" s="38">
        <f>SUM(AD3:AD1269)</f>
      </c>
      <c r="AE1271" s="38">
        <f>SUM(AE3:AE1269)</f>
      </c>
      <c r="AF1271" s="38">
        <f>SUM(AF3:AF1269)</f>
      </c>
      <c r="AG1271" s="38">
        <f>SUM(AG3:AG1269)</f>
      </c>
      <c r="AH1271" s="38">
        <f>SUM(AH3:AH1269)</f>
      </c>
      <c r="AI1271" s="38">
        <f>SUM(AI3:AI1269)</f>
      </c>
      <c r="AJ1271" s="38">
        <f>MIN(AJ3:AJ1269)</f>
      </c>
      <c r="AK1271" s="38">
        <f>AVERAGE(AK3:AK1269)</f>
      </c>
      <c r="AL1271" s="38">
        <f>MEDIAN(AL3:AL1269)</f>
      </c>
      <c r="AM1271" s="38">
        <f>Max(AM3:AM1269)</f>
      </c>
      <c r="AN1271" s="40">
        <f>SUM(AN3:AN1269)</f>
      </c>
    </row>
  </sheetData>
  <autoFilter ref="A2:AN1269"/>
  <mergeCells>
    <mergeCell ref="A1:E1"/>
    <mergeCell ref="F1:T1"/>
    <mergeCell ref="U1:AI1"/>
    <mergeCell ref="AJ1:AN1"/>
    <mergeCell ref="A1271:D127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1607</v>
      </c>
      <c r="B1" s="47" t="s">
        <v>1608</v>
      </c>
    </row>
    <row r="2">
      <c r="A2" s="46" t="s">
        <v>1609</v>
      </c>
      <c r="B2" s="47" t="s">
        <v>1610</v>
      </c>
    </row>
    <row r="3">
      <c r="A3" s="1"/>
      <c r="B3" s="1"/>
    </row>
    <row r="4">
      <c r="A4" s="46" t="s">
        <v>1611</v>
      </c>
      <c r="B4" s="47" t="s">
        <v>1612</v>
      </c>
    </row>
    <row r="5">
      <c r="A5" s="46" t="s">
        <v>1613</v>
      </c>
      <c r="B5" s="47" t="s">
        <v>1614</v>
      </c>
    </row>
    <row r="6">
      <c r="A6" s="46" t="s">
        <v>1615</v>
      </c>
      <c r="B6" s="47"/>
    </row>
    <row r="7">
      <c r="A7" s="46" t="s">
        <v>1616</v>
      </c>
      <c r="B7" s="47"/>
    </row>
    <row r="8">
      <c r="A8" s="46" t="s">
        <v>1617</v>
      </c>
      <c r="B8" s="47" t="s">
        <v>1618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1619</v>
      </c>
      <c r="B12" s="47" t="s">
        <v>1620</v>
      </c>
    </row>
    <row r="13">
      <c r="A13" s="46" t="s">
        <v>1621</v>
      </c>
      <c r="B13" s="47" t="s">
        <v>1622</v>
      </c>
    </row>
    <row r="14">
      <c r="A14" s="46" t="s">
        <v>1623</v>
      </c>
      <c r="B14" s="47" t="s">
        <v>1624</v>
      </c>
    </row>
    <row r="15">
      <c r="A15" s="46" t="s">
        <v>1625</v>
      </c>
      <c r="B15" s="47" t="s">
        <v>1626</v>
      </c>
    </row>
    <row r="16">
      <c r="A16" s="46" t="s">
        <v>1627</v>
      </c>
      <c r="B16" s="47" t="s">
        <v>1628</v>
      </c>
    </row>
  </sheetData>
  <headerFooter/>
</worksheet>
</file>