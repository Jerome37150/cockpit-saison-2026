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Establishment!$A$2:$AN$1076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<sst xmlns="http://schemas.openxmlformats.org/spreadsheetml/2006/main" count="1424" uniqueCount="1424">
  <si>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</si>
  <si>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</si>
  <si>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</si>
  <si>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</si>
  <si>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</si>
  <si>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</si>
  <si>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</si>
  <si>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</si>
  <si>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</si>
  <si>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</si>
  <si>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</si>
  <si>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</si>
  <si>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</si>
  <si>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</si>
  <si>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</si>
  <si>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</si>
  <si>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</si>
  <si>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</si>
  <si>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</si>
  <si>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</si>
  <si>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</si>
  <si>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</si>
  <si>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</si>
  <si>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</si>
  <si>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</si>
  <si>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</si>
  <si>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</si>
  <si>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</si>
  <si>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</si>
  <si>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</si>
  <si>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</si>
  <si>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</si>
  <si>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</si>
  <si>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</si>
  <si>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</si>
  <si>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</si>
  <si>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</si>
  <si>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</si>
  <si>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</si>
  <si>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</si>
  <si>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</si>
  <si>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</si>
  <si>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</si>
  <si>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</si>
  <si>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</si>
  <si>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</si>
  <si>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</si>
  <si>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</si>
  <si>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</si>
  <si>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Mamma in Viaggio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</si>
  <si>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</si>
  <si>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</si>
  <si>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</si>
  <si>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</si>
  <si>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</si>
  <si>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</si>
  <si>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</si>
  <si>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</si>
  <si>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</si>
  <si>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</si>
  <si>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</si>
  <si>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</si>
  <si>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</si>
  <si>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</si>
  <si>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Flower Camping L'Ile d'Offard</t>
  </si>
  <si>
    <t>France</t>
  </si>
  <si>
    <t>Pays de la Loire</t>
  </si>
  <si>
    <t>Maine-et-Loire</t>
  </si>
  <si>
    <t>Castel Camping La Garangeoire</t>
  </si>
  <si>
    <t>Vendée</t>
  </si>
  <si>
    <t>Camping Le Serignan Plage Nature</t>
  </si>
  <si>
    <t>Occitanie</t>
  </si>
  <si>
    <t>Hérault</t>
  </si>
  <si>
    <t xml:space="preserve">Camping  Holiday Green</t>
  </si>
  <si>
    <t>Provence-Alpes-Côte d'Azur</t>
  </si>
  <si>
    <t>Var</t>
  </si>
  <si>
    <t>Domaine de Bélézy</t>
  </si>
  <si>
    <t>Vaucluse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</si>
  <si>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</si>
  <si>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</si>
  <si>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</si>
  <si>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</si>
  <si>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</si>
  <si>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</si>
  <si>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</si>
  <si>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</si>
  <si>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Sites et Paysages Domaine de la Catinière</t>
  </si>
  <si>
    <t>Normandie</t>
  </si>
  <si>
    <t>Eure</t>
  </si>
  <si>
    <t>Le Coin Tranquille C'est Si Bon</t>
  </si>
  <si>
    <t>Isère</t>
  </si>
  <si>
    <t xml:space="preserve">Flower Camping  A La Rencontre du Soleil</t>
  </si>
  <si>
    <t>Camping Le Grand Large</t>
  </si>
  <si>
    <t>Manche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</si>
  <si>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</si>
  <si>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</si>
  <si>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</si>
  <si>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</si>
  <si>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</si>
  <si>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</si>
  <si>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</si>
  <si>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</si>
  <si>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</si>
  <si>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ROMANEE La Citadelle</t>
  </si>
  <si>
    <t>Centre-Val de Loire</t>
  </si>
  <si>
    <t>Indre-et-Loire</t>
  </si>
  <si>
    <t>Camping La Grande Tortue</t>
  </si>
  <si>
    <t>Loir-et-Cher</t>
  </si>
  <si>
    <t>Camping Les Genêts</t>
  </si>
  <si>
    <t>Aveyron</t>
  </si>
  <si>
    <t>Camping Naturiste Arnaoutchot</t>
  </si>
  <si>
    <t>Nouvelle-Aquitaine</t>
  </si>
  <si>
    <t>Landes</t>
  </si>
  <si>
    <t>Chateau Guiton</t>
  </si>
  <si>
    <t>Gironde</t>
  </si>
  <si>
    <t>YELLOH! VILLAGE - LE BRASILIA</t>
  </si>
  <si>
    <t>Pyrénées-Orientales</t>
  </si>
  <si>
    <t>Camping naturiste Les Lauzons</t>
  </si>
  <si>
    <t>Alpes-de-Haute-Provence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</si>
  <si>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</si>
  <si>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</si>
  <si>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</si>
  <si>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</si>
  <si>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</si>
  <si>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</si>
  <si>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</si>
  <si>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</si>
  <si>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Grand Est</t>
  </si>
  <si>
    <t>Vosges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</si>
  <si>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</si>
  <si>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</si>
  <si>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</si>
  <si>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</si>
  <si>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</si>
  <si>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</si>
  <si>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</si>
  <si>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</si>
  <si>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</si>
  <si>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</si>
  <si>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</si>
  <si>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</si>
  <si>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</si>
  <si>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</si>
  <si>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</si>
  <si>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</si>
  <si>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L'Escale Village</t>
  </si>
  <si>
    <t>Flower Camping Caravaning Les Aubépines</t>
  </si>
  <si>
    <t>Somme</t>
  </si>
  <si>
    <t>Camping Village Vacances Naturiste Bagheera</t>
  </si>
  <si>
    <t>Euronat Village Naturiste</t>
  </si>
  <si>
    <t>Camping Sandaya Séquoia Parc</t>
  </si>
  <si>
    <t>Charente-Maritime</t>
  </si>
  <si>
    <t>Airotel Camping de La Côte d'Argent</t>
  </si>
  <si>
    <t>Origan Village</t>
  </si>
  <si>
    <t>Camping Sandaya Les Rivages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</si>
  <si>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</si>
  <si>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</si>
  <si>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</si>
  <si>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</si>
  <si>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</si>
  <si>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</si>
  <si>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</si>
  <si>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Siblu - Le Marisol</t>
  </si>
  <si>
    <t>Camping Coeur d'Ardèche</t>
  </si>
  <si>
    <t>Castel Camping Château de Lez-Eaux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</si>
  <si>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</si>
  <si>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</si>
  <si>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</si>
  <si>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</si>
  <si>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</si>
  <si>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</si>
  <si>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Roche</t>
  </si>
  <si>
    <t>Andalousie</t>
  </si>
  <si>
    <t>Cadix</t>
  </si>
  <si>
    <t>Camping La Rueda</t>
  </si>
  <si>
    <t>Camping Cabopino</t>
  </si>
  <si>
    <t>Malaga</t>
  </si>
  <si>
    <t>Camping El Molino de Mendigorria</t>
  </si>
  <si>
    <t>Navarre</t>
  </si>
  <si>
    <t>Orbaibar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</si>
  <si>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</si>
  <si>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</si>
  <si>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</si>
  <si>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</si>
  <si>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</si>
  <si>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</si>
  <si>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Camping Le Caussanel</t>
  </si>
  <si>
    <t>Yelloh! Village Domaine Berrua</t>
  </si>
  <si>
    <t>Pyrénées-Atlantiques</t>
  </si>
  <si>
    <t>Camping Les Gorges du Chambon</t>
  </si>
  <si>
    <t>Charente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</si>
  <si>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</si>
  <si>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</si>
  <si>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</si>
  <si>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</si>
  <si>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</si>
  <si>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</si>
  <si>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Le Moulin</t>
  </si>
  <si>
    <t>Haute-Garonne</t>
  </si>
  <si>
    <t>Camping Le Paradis</t>
  </si>
  <si>
    <t>Dordogne</t>
  </si>
  <si>
    <t>Camping Sunêlia Le Séquoia</t>
  </si>
  <si>
    <t>Lot</t>
  </si>
  <si>
    <t>Camping La Torre del Sol</t>
  </si>
  <si>
    <t>Sandaya Domaine du Colombier</t>
  </si>
  <si>
    <t>Campasun Camping Mas de Pierredon</t>
  </si>
  <si>
    <t>CHM Monta</t>
  </si>
  <si>
    <t>Camping Urbasa Bioitza</t>
  </si>
  <si>
    <t>Flower Camping Les Terrasses de Dordogne</t>
  </si>
  <si>
    <t>Camping le Futuriste</t>
  </si>
  <si>
    <t>Vienne</t>
  </si>
  <si>
    <t>Esterel Caravaning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</si>
  <si>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</si>
  <si>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</si>
  <si>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</si>
  <si>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</si>
  <si>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</si>
  <si>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</si>
  <si>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</si>
  <si>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</si>
  <si>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</si>
  <si>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Siblu – Le Bois Dormant</t>
  </si>
  <si>
    <t>Siblu – Les Charmettes</t>
  </si>
  <si>
    <t>Camping du Lac de Saint Cyr</t>
  </si>
  <si>
    <t>Camping Parc Bellevue</t>
  </si>
  <si>
    <t>Camping les Lacs d'Armagnac</t>
  </si>
  <si>
    <t>Gers</t>
  </si>
  <si>
    <t>Camping Le Lac de Thoux</t>
  </si>
  <si>
    <t>Le Camp de Florence</t>
  </si>
  <si>
    <t>Flower Camping Le Haut Dick</t>
  </si>
  <si>
    <t>Camping de Mindin - Camping Qualité</t>
  </si>
  <si>
    <t>Loire-Atlantique</t>
  </si>
  <si>
    <t>Camping Le Welcome</t>
  </si>
  <si>
    <t>Camping Homair - Domaine de la Brèche</t>
  </si>
  <si>
    <t>Camping Village de La Guyonnière</t>
  </si>
  <si>
    <t>Flower Camping Le Petit Paris</t>
  </si>
  <si>
    <t>Camping Eden Villages Le Caravan'Ile</t>
  </si>
  <si>
    <t>Ushuaïa Villages - Camping Le Port de Lacombe ***</t>
  </si>
  <si>
    <t>Flower Camping Le Lac aux Oiseaux</t>
  </si>
  <si>
    <t>Camping Les Bords du Tarn</t>
  </si>
  <si>
    <t>Camping LA MUSE</t>
  </si>
  <si>
    <t>Camping LES PRADES</t>
  </si>
  <si>
    <t>Camping du Lac de Bonnefon</t>
  </si>
  <si>
    <t>Camping La Peyrade</t>
  </si>
  <si>
    <t>Camping Canoë Gorges Du Tarn</t>
  </si>
  <si>
    <t>Flower Camping PEYRELADE</t>
  </si>
  <si>
    <t>Flower Camping La Marmotte</t>
  </si>
  <si>
    <t>Ariège</t>
  </si>
  <si>
    <t>Yelloh ! Village Les Mouettes</t>
  </si>
  <si>
    <t>Finistère</t>
  </si>
  <si>
    <t>Centre naturiste Terme d'Astor</t>
  </si>
  <si>
    <t>Camping la Prade</t>
  </si>
  <si>
    <t>Tarn</t>
  </si>
  <si>
    <t>Camping Des 3 Lacs</t>
  </si>
  <si>
    <t>Les Chalets de Fiolles</t>
  </si>
  <si>
    <t>Camping Le Plan d'Eau Saint Charles</t>
  </si>
  <si>
    <t>Camping Le Plô</t>
  </si>
  <si>
    <t>Les Rives du Lac de Laouzas</t>
  </si>
  <si>
    <t>Camping les Monts d'Albi</t>
  </si>
  <si>
    <t>Sites et Paysages Camping et Gîtes du FAILLAL</t>
  </si>
  <si>
    <t>Tarn-et-Garonne</t>
  </si>
  <si>
    <t>Camping écovillage SOLEIL DU PIBESTE</t>
  </si>
  <si>
    <t xml:space="preserve"> AZUN NATURE Chalets-Camping &amp; Spa</t>
  </si>
  <si>
    <t>Camping LA BOURIE</t>
  </si>
  <si>
    <t>Camping D'ARROUACH Lourdes</t>
  </si>
  <si>
    <t>Camping LE VIEUX BERGER</t>
  </si>
  <si>
    <t>Camping PLEIN SOLEIL</t>
  </si>
  <si>
    <t>Camping LE HOUNTA</t>
  </si>
  <si>
    <t>Flower Camping Du Lac De Thésauque</t>
  </si>
  <si>
    <t>Camping LE PYRENEEN</t>
  </si>
  <si>
    <t>Camping RIVIERE DE CABESSUT</t>
  </si>
  <si>
    <t>Flower Camping l'Escale du Perthuis</t>
  </si>
  <si>
    <t>DOMAINE DU SURGIE</t>
  </si>
  <si>
    <t>Camping LA RIVIERE</t>
  </si>
  <si>
    <t>Domaine Papillon</t>
  </si>
  <si>
    <t>Camping PADIMADOUR **** à ROCAMADOUR</t>
  </si>
  <si>
    <t>Flower Camping Les Ondines</t>
  </si>
  <si>
    <t>Flower Camping LA PLAGE à St Cirq Lapopie</t>
  </si>
  <si>
    <t>Camping Jardins de Kergal</t>
  </si>
  <si>
    <t>Camping La Pineda de Salou</t>
  </si>
  <si>
    <t>Camping de la Liez</t>
  </si>
  <si>
    <t>Haute-Marne</t>
  </si>
  <si>
    <t>Camping Sandaya Les Vagues</t>
  </si>
  <si>
    <t>YELLOH! VILLAGE - LA PLAGE</t>
  </si>
  <si>
    <t>Camping Sandaya L'Escale Saint Gilles</t>
  </si>
  <si>
    <t>Siblu – Le Conguel</t>
  </si>
  <si>
    <t>Camping Homair - Les Menhirs</t>
  </si>
  <si>
    <t>Camping DOMAINE D'INLY</t>
  </si>
  <si>
    <t>ROMANEE Chatelet</t>
  </si>
  <si>
    <t>Côtes-d'Armor</t>
  </si>
  <si>
    <t>RCN Port L'Epine</t>
  </si>
  <si>
    <t>Camping de la Plage</t>
  </si>
  <si>
    <t>Camping Château Le Haget</t>
  </si>
  <si>
    <t>Camping Homair - La Chapelle</t>
  </si>
  <si>
    <t>Capfun - Camping Les Falaises</t>
  </si>
  <si>
    <t>Calvados</t>
  </si>
  <si>
    <t>Camping Des Trois Tilleuls</t>
  </si>
  <si>
    <t>Camping Lloret Blau</t>
  </si>
  <si>
    <t>Village de gîtes et de vacances*** Les Hauts de Saint Privat</t>
  </si>
  <si>
    <t>Lozère</t>
  </si>
  <si>
    <t>Chadotel Les Jardins Catalans</t>
  </si>
  <si>
    <t>Camping L'Orangerie de Beauregard</t>
  </si>
  <si>
    <t>Camping Vransko Jezero Crkvine</t>
  </si>
  <si>
    <t>Croatie</t>
  </si>
  <si>
    <t>Comitat de Zadar</t>
  </si>
  <si>
    <t>UNKNOWN</t>
  </si>
  <si>
    <t>Camping Village Costa Verde</t>
  </si>
  <si>
    <t>Marches</t>
  </si>
  <si>
    <t>Macerata</t>
  </si>
  <si>
    <t>Hermitage des Dunes</t>
  </si>
  <si>
    <t>Village Vacances Camboussel</t>
  </si>
  <si>
    <t>Camping Clair Matin</t>
  </si>
  <si>
    <t>Camping le Vercors</t>
  </si>
  <si>
    <t>Camping Le Colporteur</t>
  </si>
  <si>
    <t>Camping Le Château de Rochetaillée</t>
  </si>
  <si>
    <t>Camping Domaine Beauséjour</t>
  </si>
  <si>
    <t>Camping Harrobia</t>
  </si>
  <si>
    <t>Camping Duna Munguy</t>
  </si>
  <si>
    <t>Camping Au Pré Du Lac</t>
  </si>
  <si>
    <t>Camping Les 7 Laux</t>
  </si>
  <si>
    <t>Camping D'Herbelon</t>
  </si>
  <si>
    <t>Camping Le Bontemps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</si>
  <si>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</si>
  <si>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</si>
  <si>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</si>
  <si>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</si>
  <si>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</si>
  <si>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</si>
  <si>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</si>
  <si>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</si>
  <si>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</si>
  <si>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</si>
  <si>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</si>
  <si>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</si>
  <si>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</si>
  <si>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</si>
  <si>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</si>
  <si>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</si>
  <si>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</si>
  <si>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Camping Les Galets</t>
  </si>
  <si>
    <t>Sites et Paysages Domaine de l'Ecluse</t>
  </si>
  <si>
    <t>Castel Camping Les Ormes, Domaine &amp; Resort</t>
  </si>
  <si>
    <t>Ille-et-Vilaine</t>
  </si>
  <si>
    <t>Flower Camping Le Val de la Marquise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</si>
  <si>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</si>
  <si>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</si>
  <si>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</si>
  <si>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</si>
  <si>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</si>
  <si>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Camping Etang des Haizes</t>
  </si>
  <si>
    <t>Flower Camping le FONDESPIERRE</t>
  </si>
  <si>
    <t>Capfun - Camping Le Fréjus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</si>
  <si>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</si>
  <si>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</si>
  <si>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</si>
  <si>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</si>
  <si>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</si>
  <si>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</si>
  <si>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</si>
  <si>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</si>
  <si>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</si>
  <si>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</si>
  <si>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Le Domaine de Champé</t>
  </si>
  <si>
    <t>Camping Les Marsouins - Ciela Village</t>
  </si>
  <si>
    <t>Camping La Sirène</t>
  </si>
  <si>
    <t>Camping MARIUS</t>
  </si>
  <si>
    <t>Bouches-du-Rhône</t>
  </si>
  <si>
    <t>Camping Robinson</t>
  </si>
  <si>
    <t>Camping Cala Gogo</t>
  </si>
  <si>
    <t>Camping de l'Océan</t>
  </si>
  <si>
    <t>Camping Seasonova Saint Michel</t>
  </si>
  <si>
    <t>Camping La Baume La Palmeraie</t>
  </si>
  <si>
    <t>Camping Sun Océan</t>
  </si>
  <si>
    <t>Yukadi Village Le Moteno</t>
  </si>
  <si>
    <t>Camping Village Rocchette</t>
  </si>
  <si>
    <t>Toscane</t>
  </si>
  <si>
    <t>Grosseto</t>
  </si>
  <si>
    <t>Flower Camping La Chataigneraie</t>
  </si>
  <si>
    <t>Toscana Holiday Village</t>
  </si>
  <si>
    <t>Pisa</t>
  </si>
  <si>
    <t>INTERNATIONAL GLAMPING LAGO DI BRACCIANO</t>
  </si>
  <si>
    <t>Latium</t>
  </si>
  <si>
    <t>Roma Capitale</t>
  </si>
  <si>
    <t>ROMANEE Grottes de Roffy</t>
  </si>
  <si>
    <t>Alannia Guardamar</t>
  </si>
  <si>
    <t>Communauté Valencienne</t>
  </si>
  <si>
    <t>Alicante</t>
  </si>
  <si>
    <t>Villaggio Camping Valdeiva</t>
  </si>
  <si>
    <t>Flower Camping Cap Finistère</t>
  </si>
  <si>
    <t>Camping Ile de la Comtesse</t>
  </si>
  <si>
    <t>Ain</t>
  </si>
  <si>
    <t>Flower Camping Mas de Champel</t>
  </si>
  <si>
    <t>Camping Les Bords de Loue</t>
  </si>
  <si>
    <t>Miramare Camping Village</t>
  </si>
  <si>
    <t>Venise</t>
  </si>
  <si>
    <t>Slow Village | Les-Ponts-de-Cé</t>
  </si>
  <si>
    <t>Camping L'Atlantys</t>
  </si>
  <si>
    <t>Homair - Mayotte Vacances</t>
  </si>
  <si>
    <t>Château Camping La Grange Fort</t>
  </si>
  <si>
    <t>CAMPING DES ABERS</t>
  </si>
  <si>
    <t>Camping Le Jardin des Cévennes</t>
  </si>
  <si>
    <t>Camping Village Le Diomedee</t>
  </si>
  <si>
    <t>Pouilles</t>
  </si>
  <si>
    <t>Foggia</t>
  </si>
  <si>
    <t>Camping Bel'époque du Pilat</t>
  </si>
  <si>
    <t>Loire</t>
  </si>
  <si>
    <t>Camping Le Lac Bleu</t>
  </si>
  <si>
    <t>Domaine des Chênes</t>
  </si>
  <si>
    <t>Flower Camping Vitamin</t>
  </si>
  <si>
    <t>Seine-Maritime</t>
  </si>
  <si>
    <t>Clico Chic - Camping les Seulières</t>
  </si>
  <si>
    <t>Camping Le Pequelet</t>
  </si>
  <si>
    <t>Camping Merko Lacarra</t>
  </si>
  <si>
    <t>Camping Le Moulin d'Onclaire</t>
  </si>
  <si>
    <t>Camping Barétous-Pyrénées</t>
  </si>
  <si>
    <t>Camping Mas Nou</t>
  </si>
  <si>
    <t>TAIGA Costa Calida</t>
  </si>
  <si>
    <t>Région de Murcie</t>
  </si>
  <si>
    <t>Camping Village Mugello Verde</t>
  </si>
  <si>
    <t>Firenze</t>
  </si>
  <si>
    <t>YELLOH! VILLAGE - DOMAINE DE L'OREE</t>
  </si>
  <si>
    <t>Camping Du Vieux Château</t>
  </si>
  <si>
    <t>CAMPING LA DIGUE</t>
  </si>
  <si>
    <t>CAMPING ISERAND CALME et NATURE***</t>
  </si>
  <si>
    <t>Base de Loisirs - Camping du Lac Cormoranche</t>
  </si>
  <si>
    <t>Village Camping Les Pêcheurs</t>
  </si>
  <si>
    <t>Camping de l'Hermitage</t>
  </si>
  <si>
    <t>Domaine de la Plage</t>
  </si>
  <si>
    <t>Ushuaïa Villages - Camping Les 4 Saisons ****</t>
  </si>
  <si>
    <t>Camping Le Glandasse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</si>
  <si>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</si>
  <si>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</si>
  <si>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</si>
  <si>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</si>
  <si>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</si>
  <si>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</si>
  <si>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</si>
  <si>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Bravoplaya</t>
  </si>
  <si>
    <t>Castellón</t>
  </si>
  <si>
    <t xml:space="preserve">Camping  &amp; Village Rais Gerbi</t>
  </si>
  <si>
    <t>Sicile</t>
  </si>
  <si>
    <t>Palerme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</si>
  <si>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</si>
  <si>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</si>
  <si>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</si>
  <si>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</si>
  <si>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</si>
  <si>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</si>
  <si>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Village Punta Navaccia</t>
  </si>
  <si>
    <t>Ombrie</t>
  </si>
  <si>
    <t>Perugia</t>
  </si>
  <si>
    <t>Camping les Charmilles</t>
  </si>
  <si>
    <t>Camping CAVALLO MORTO</t>
  </si>
  <si>
    <t>Corse-du-Sud</t>
  </si>
  <si>
    <t>Camping du Lac de Carouge</t>
  </si>
  <si>
    <t>Camping Les Sous Bois du Lac</t>
  </si>
  <si>
    <t>Camping Molino a Fuoco</t>
  </si>
  <si>
    <t>Livorno</t>
  </si>
  <si>
    <t>Riva di Ugento Beach Camping Resort</t>
  </si>
  <si>
    <t>Lecce</t>
  </si>
  <si>
    <t>Campasun Camping Du Soleil</t>
  </si>
  <si>
    <t>Flower Camping La Rivière</t>
  </si>
  <si>
    <t>CAMPING de KERALOUET</t>
  </si>
  <si>
    <t>Holiday Village &amp; Camping Nettuno</t>
  </si>
  <si>
    <t>Campanie</t>
  </si>
  <si>
    <t>Napoli</t>
  </si>
  <si>
    <t>Camping Homair - La Vallée</t>
  </si>
  <si>
    <t>Camping Beauregard Plage</t>
  </si>
  <si>
    <t>CAMPING BON PORT</t>
  </si>
  <si>
    <t xml:space="preserve">Camping de Belle Hutte </t>
  </si>
  <si>
    <t>Camping Belle Etoile</t>
  </si>
  <si>
    <t>Flower Camping Les Verguettes</t>
  </si>
  <si>
    <t>Chadotel Le Domaine de Beaulieu</t>
  </si>
  <si>
    <t>Camping Rioclar</t>
  </si>
  <si>
    <t>Camping Sunêlia L'Aiguille Creuse</t>
  </si>
  <si>
    <t>Camping de Graniers</t>
  </si>
  <si>
    <t>Gard</t>
  </si>
  <si>
    <t>Camping Le Tampico</t>
  </si>
  <si>
    <t>La Rocca Camping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</si>
  <si>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</si>
  <si>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</si>
  <si>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</si>
  <si>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</si>
  <si>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</si>
  <si>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</si>
  <si>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Camping &amp; Spa CAP SOLEIL</t>
  </si>
  <si>
    <t>Camping - Caravaning Les Peupliers</t>
  </si>
  <si>
    <t>Camping OLVA LES EUCALYPTUS</t>
  </si>
  <si>
    <t>Camping Village Spinnaker</t>
  </si>
  <si>
    <t>Sardaigne</t>
  </si>
  <si>
    <t>Oristano</t>
  </si>
  <si>
    <t>Camping La Cascade</t>
  </si>
  <si>
    <t>Camping COUDERC</t>
  </si>
  <si>
    <t>Papillon Country Resort</t>
  </si>
  <si>
    <t>Pays-Bas</t>
  </si>
  <si>
    <t>Overijssel</t>
  </si>
  <si>
    <t xml:space="preserve">Camping Emmen </t>
  </si>
  <si>
    <t>Drenthe</t>
  </si>
  <si>
    <t>Flower Camping Le Pont du Tarn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</si>
  <si>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</si>
  <si>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</si>
  <si>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</si>
  <si>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</si>
  <si>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</si>
  <si>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</si>
  <si>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</si>
  <si>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</si>
  <si>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</si>
  <si>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>Camping Trevélez</t>
  </si>
  <si>
    <t>Ferienparadies Natterer See</t>
  </si>
  <si>
    <t>Autriche</t>
  </si>
  <si>
    <t>Tyrol</t>
  </si>
  <si>
    <t>Bezirk Innsbruck-Land</t>
  </si>
  <si>
    <t>Camping*** Le Repos du Baladin</t>
  </si>
  <si>
    <t>Camping Les Tilleuls</t>
  </si>
  <si>
    <t>Flower Camping les Gorges de l'Aveyron</t>
  </si>
  <si>
    <t>Delftse Hout</t>
  </si>
  <si>
    <t>Camping Beauregard</t>
  </si>
  <si>
    <t>Camping Homair - Domaine de Chaussy</t>
  </si>
  <si>
    <t>YELLOH! VILLAGE - Camping Plage du Dramont</t>
  </si>
  <si>
    <t>Fontaine d'Annibal</t>
  </si>
  <si>
    <t>Camping de Tournus</t>
  </si>
  <si>
    <t>Saône-et-Loire</t>
  </si>
  <si>
    <t>Huttopia La Plage Blanche</t>
  </si>
  <si>
    <t>Flower Camping Le Bel Air</t>
  </si>
  <si>
    <t>Camping Les Mouettes</t>
  </si>
  <si>
    <t>Flower Camping La Canadienne</t>
  </si>
  <si>
    <t>CAMPING LA GARENNE</t>
  </si>
  <si>
    <t>Flower Camping Le Mas de Mourgues</t>
  </si>
  <si>
    <t>Camping Le BeauVezé ****</t>
  </si>
  <si>
    <t>Camping des Etangs</t>
  </si>
  <si>
    <t>Cher</t>
  </si>
  <si>
    <t>Camping Sierra de Albarracín "Las Corralizas 1.727m"</t>
  </si>
  <si>
    <t>Aragon</t>
  </si>
  <si>
    <t>Teruel</t>
  </si>
  <si>
    <t>Flower Camping Le Jardin de Sully</t>
  </si>
  <si>
    <t>Loiret</t>
  </si>
  <si>
    <t>Chadotel L'Océano d'Or</t>
  </si>
  <si>
    <t>De Schatberg</t>
  </si>
  <si>
    <t>Limbourg</t>
  </si>
  <si>
    <t>Camping Aluna Vacances</t>
  </si>
  <si>
    <t>Camping La Plage de Treguer</t>
  </si>
  <si>
    <t>Camping Beau Rivage</t>
  </si>
  <si>
    <t>Stel Camping &amp;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</si>
  <si>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</si>
  <si>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</si>
  <si>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</si>
  <si>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</si>
  <si>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</si>
  <si>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Sites et Paysages La Torche</t>
  </si>
  <si>
    <t>Camping Le Rocher de la Cave</t>
  </si>
  <si>
    <t>DOMAINE DU HAUT DES BLUCHES</t>
  </si>
  <si>
    <t>Camping Homair - Les Gorges de Provence</t>
  </si>
  <si>
    <t>Flower Camping Brantôme Peyrelevade</t>
  </si>
  <si>
    <t>Camping Mirabel Les Prairies de la Mer</t>
  </si>
  <si>
    <t>Camping Les Tamaris</t>
  </si>
  <si>
    <t>Camping de la Plage Bénodet</t>
  </si>
  <si>
    <t>Camping Le Cernie</t>
  </si>
  <si>
    <t>Nuoro</t>
  </si>
  <si>
    <t>Camping du lac d'Aydat</t>
  </si>
  <si>
    <t>Residence Punta Spin</t>
  </si>
  <si>
    <t>Frioul-Vénétie julienne</t>
  </si>
  <si>
    <t>Camping Les Charmes</t>
  </si>
  <si>
    <t>CAMPING LE PARC</t>
  </si>
  <si>
    <t>Camping Homair - Rivages des Landes</t>
  </si>
  <si>
    <t>Camping am Waldbad</t>
  </si>
  <si>
    <t>Carinthie</t>
  </si>
  <si>
    <t>Bezirk Spittal an der Drau</t>
  </si>
  <si>
    <t>Camping Homair - La Grande Métairie</t>
  </si>
  <si>
    <t>Camping Seasonova Vittel</t>
  </si>
  <si>
    <t>Camping Le Vaurette</t>
  </si>
  <si>
    <t>Corrèze</t>
  </si>
  <si>
    <t>Campingplatz Schwarzwaldhorn</t>
  </si>
  <si>
    <t>Allemagne</t>
  </si>
  <si>
    <t>Bade-Wurtemberg</t>
  </si>
  <si>
    <t>Baia Holiday Cavallino</t>
  </si>
  <si>
    <t>Baia Holiday Mare Pineta</t>
  </si>
  <si>
    <t>Baia Holiday Piccola Gardiola</t>
  </si>
  <si>
    <t>Baia Holiday Poljana</t>
  </si>
  <si>
    <t>Comitat de Primorje-Gorski Kotar</t>
  </si>
  <si>
    <t>Domaine du Lac de Champos</t>
  </si>
  <si>
    <t>FKK Campingplatz am Rätzsee</t>
  </si>
  <si>
    <t>Mecklembourg-Poméranie-Occidentale</t>
  </si>
  <si>
    <t>Campingplatz am Leppinsee</t>
  </si>
  <si>
    <t>Campingplatz Zwenzower Ufer</t>
  </si>
  <si>
    <t>Campingplatz am Drewensee</t>
  </si>
  <si>
    <t>Camping La Croix du Bois Sacker</t>
  </si>
  <si>
    <t>Moselle</t>
  </si>
  <si>
    <t>Alpen-Caravanpark Tennsee</t>
  </si>
  <si>
    <t>Bavière</t>
  </si>
  <si>
    <t>Haute-Bavière</t>
  </si>
  <si>
    <t>Camping Sunêlia Le Florida</t>
  </si>
  <si>
    <t>Complejo Turístico Puente de las Herrerías</t>
  </si>
  <si>
    <t>Jaén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</si>
  <si>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</si>
  <si>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</si>
  <si>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</si>
  <si>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</si>
  <si>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</si>
  <si>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</si>
  <si>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</si>
  <si>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Lot-et-Garonne</t>
  </si>
  <si>
    <t>CAMPING DE L'ARCHE</t>
  </si>
  <si>
    <t>Camping la Charderie</t>
  </si>
  <si>
    <t>Camping Les Arches</t>
  </si>
  <si>
    <t>Camping Le Moulin de Gournier</t>
  </si>
  <si>
    <t>Ushuaïa Villages - Camping Le Viaduc ***</t>
  </si>
  <si>
    <t>CAMPING DU LION</t>
  </si>
  <si>
    <t>CAMPING LE CHASSEZAC</t>
  </si>
  <si>
    <t>Camping Arc en Ciel</t>
  </si>
  <si>
    <t>Camping Le Barutel</t>
  </si>
  <si>
    <t>Camping Le Clapas</t>
  </si>
  <si>
    <t>CAMPING DE BELOS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</si>
  <si>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</si>
  <si>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</si>
  <si>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</si>
  <si>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</si>
  <si>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</si>
  <si>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</si>
  <si>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</si>
  <si>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Cevedale</t>
  </si>
  <si>
    <t>Baia Holiday San Nicola</t>
  </si>
  <si>
    <t>Camping La douce 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</si>
  <si>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</si>
  <si>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</si>
  <si>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</si>
  <si>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</si>
  <si>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Le Sous-Bois Ardèche</t>
  </si>
  <si>
    <t>Camping La Grand'Terre</t>
  </si>
  <si>
    <t>CAMPING LA DROBIE</t>
  </si>
  <si>
    <t>Camping Les Bö-Bains ****</t>
  </si>
  <si>
    <t>Camping Les Cerisiers du Jaur</t>
  </si>
  <si>
    <t>Camping du Grand Fay</t>
  </si>
  <si>
    <t>Camping dei Fiori</t>
  </si>
  <si>
    <t>Baia Holiday Isuledda</t>
  </si>
  <si>
    <t>Sassari</t>
  </si>
  <si>
    <t>Camping du Pont de Bourgogne</t>
  </si>
  <si>
    <t>Camping Le Bois Fleuri</t>
  </si>
  <si>
    <t>Eure-et-Loir</t>
  </si>
  <si>
    <t>Les Hameaux des Marines - Terres de France</t>
  </si>
  <si>
    <t>Camping Homair - Parc des 7 Fonts</t>
  </si>
  <si>
    <t>Siblu - Les Oyats</t>
  </si>
  <si>
    <t>Camping Kost-Ar-Moor</t>
  </si>
  <si>
    <t>Camping Del Sole Village</t>
  </si>
  <si>
    <t>Flower Camping L'Abri-Côtier</t>
  </si>
  <si>
    <t>Camping Sandaya La Nublière</t>
  </si>
  <si>
    <t>Au Clos de la Chaume Sites et Paysages</t>
  </si>
  <si>
    <t>Flower Camping LA STENIOLE</t>
  </si>
  <si>
    <t>Maistra Camping Koversada Covered Campsite</t>
  </si>
  <si>
    <t>Comitat d'Istrie</t>
  </si>
  <si>
    <t>Flower Camping Les Paillotes en Ardèche (Adults Only 16+)</t>
  </si>
  <si>
    <t>Camping du Buisson</t>
  </si>
  <si>
    <t>Camping Les Alizés</t>
  </si>
  <si>
    <t>Camping Champ Tillet</t>
  </si>
  <si>
    <t>Riva Nuova Camping Village</t>
  </si>
  <si>
    <t>Abruzzes</t>
  </si>
  <si>
    <t>Teramo</t>
  </si>
  <si>
    <t>Camping Chadeyron</t>
  </si>
  <si>
    <t>Camping Montagne des Vosges</t>
  </si>
  <si>
    <t>Camping Les Rives du Lac</t>
  </si>
  <si>
    <t>Hautes-Alpes</t>
  </si>
  <si>
    <t>Les Etangs du Moulin</t>
  </si>
  <si>
    <t>Aisne</t>
  </si>
  <si>
    <t>Camp du Domaine</t>
  </si>
  <si>
    <t>Camping Les Parcs</t>
  </si>
  <si>
    <t>Chadotel La Trévillière</t>
  </si>
  <si>
    <t>Camping La Bouysse</t>
  </si>
  <si>
    <t>Camping Le Garrit</t>
  </si>
  <si>
    <t>Camping Le Pech de Caumont</t>
  </si>
  <si>
    <t>Camping La Rivière</t>
  </si>
  <si>
    <t>Slow Village | Séveilles</t>
  </si>
  <si>
    <t>Ushuaïa Villages - Camping les Poutiroux ****</t>
  </si>
  <si>
    <t>Camping Le Port de Limeuil</t>
  </si>
  <si>
    <t xml:space="preserve">Camping Les Jardins du Morbihan </t>
  </si>
  <si>
    <t xml:space="preserve">Sites et Paysages Domaine de  La Grande Veyière</t>
  </si>
  <si>
    <t>Domaine de Loisirs Le Montant</t>
  </si>
  <si>
    <t>Camping La Butte</t>
  </si>
  <si>
    <t>Camping Domaine de Fromengal</t>
  </si>
  <si>
    <t>Camping la Ferme de Perdigat</t>
  </si>
  <si>
    <t>Camping Le Domaine du Bois Coquet</t>
  </si>
  <si>
    <t>Camping Sandaya Le Grand Dague</t>
  </si>
  <si>
    <t>Camping Lestaubière</t>
  </si>
  <si>
    <t>Le Plein Air des Bories</t>
  </si>
  <si>
    <t>Camping Cabo de Gata</t>
  </si>
  <si>
    <t>Camping Les Bonnets</t>
  </si>
  <si>
    <t>Camp Redon</t>
  </si>
  <si>
    <t>Camping Municipal Le Bourniou</t>
  </si>
  <si>
    <t>Camping Village Glamping Torre del Porticciolo</t>
  </si>
  <si>
    <t>Camping Les Cascades</t>
  </si>
  <si>
    <t>Le Domaine du CASTEX - Camping &amp; Hébergement</t>
  </si>
  <si>
    <t xml:space="preserve">Domaine Camping  Les Roches</t>
  </si>
  <si>
    <t>CAMPING LES VIOLETTES</t>
  </si>
  <si>
    <t>Camping Homair - Le Val d'Ussel</t>
  </si>
  <si>
    <t>Camping Le Champ Neuf</t>
  </si>
  <si>
    <t>Camping Le Beaulieu</t>
  </si>
  <si>
    <t>Camping La Rocca</t>
  </si>
  <si>
    <t>Camping Les Fougères - Le Domaine du Marais</t>
  </si>
  <si>
    <t>Camping Arizona</t>
  </si>
  <si>
    <t>Émilie-Romagne</t>
  </si>
  <si>
    <t>Parma</t>
  </si>
  <si>
    <t>Baia Holiday Laguna Blu</t>
  </si>
  <si>
    <t>Camping les 3 Sablières</t>
  </si>
  <si>
    <t>Camping L'Evasion</t>
  </si>
  <si>
    <t>Camping Les Dunes</t>
  </si>
  <si>
    <t>Flower Camping Orly d'Azur</t>
  </si>
  <si>
    <t>Camping Santa Maria di Leuca</t>
  </si>
  <si>
    <t>Camping Les Playes</t>
  </si>
  <si>
    <t>Flower Camping La Vidaresse</t>
  </si>
  <si>
    <t>Camping de Zeehoeve</t>
  </si>
  <si>
    <t>Frise</t>
  </si>
  <si>
    <t>Camping-Village Marina d'Erba Rossa</t>
  </si>
  <si>
    <t>Camping des Neiges</t>
  </si>
  <si>
    <t>Camping les Rives du Lac</t>
  </si>
  <si>
    <t>Camplodge 3 Vallées</t>
  </si>
  <si>
    <t>Camping Covelo</t>
  </si>
  <si>
    <t>Camping Zum Oertzewinkel</t>
  </si>
  <si>
    <t>Basse-Saxe</t>
  </si>
  <si>
    <t>Camping Le Relais du Léman</t>
  </si>
  <si>
    <t>Camping Vieille Église</t>
  </si>
  <si>
    <t>Camping de Saumont</t>
  </si>
  <si>
    <t>Nibelungen-Camping Am Schwimmbad</t>
  </si>
  <si>
    <t>Hesse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</si>
  <si>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</si>
  <si>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</si>
  <si>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</si>
  <si>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</si>
  <si>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</si>
  <si>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Siena</t>
  </si>
  <si>
    <t>Camping Le Ventadour</t>
  </si>
  <si>
    <t>Camping Maremma Sans Souci</t>
  </si>
  <si>
    <t>Le Lac d'Orient</t>
  </si>
  <si>
    <t>Aube</t>
  </si>
  <si>
    <t>Le Val du Gave d'Aspe</t>
  </si>
  <si>
    <t>Camping de la Route d'Or</t>
  </si>
  <si>
    <t>Sarthe</t>
  </si>
  <si>
    <t>Camping La Farigoulette</t>
  </si>
  <si>
    <t>Camping Le Colombier</t>
  </si>
  <si>
    <t>Camping Domaine de Mépillat</t>
  </si>
  <si>
    <t>Campeggio Smeraldo</t>
  </si>
  <si>
    <t>Camping Village Baia Azzurra</t>
  </si>
  <si>
    <t>Recreatiepark De Achterste Hoef</t>
  </si>
  <si>
    <t>Brabant-Septentrional</t>
  </si>
  <si>
    <t>Zaragoza Camping</t>
  </si>
  <si>
    <t>Saragosse</t>
  </si>
  <si>
    <t>Camping Tunnel International</t>
  </si>
  <si>
    <t>Vallée d'Aoste</t>
  </si>
  <si>
    <t>Camping Clair de Lune</t>
  </si>
  <si>
    <t>Camping Itxaspe</t>
  </si>
  <si>
    <t>Pays basque autonome</t>
  </si>
  <si>
    <t>Guipuscoa</t>
  </si>
  <si>
    <t>Camping Acacias</t>
  </si>
  <si>
    <t>Camping MARINA PLAGE</t>
  </si>
  <si>
    <t>Camping &amp; Resort Sangulí Salou</t>
  </si>
  <si>
    <t>Camping Les Pinasses</t>
  </si>
  <si>
    <t>Camping des Alouettes</t>
  </si>
  <si>
    <t>Haute-Vienne</t>
  </si>
  <si>
    <t>Domaine des Mimosas</t>
  </si>
  <si>
    <t>Camping Internazionale Castelfusano</t>
  </si>
  <si>
    <t>Fornella Camping &amp; Wellness Family Resort</t>
  </si>
  <si>
    <t>Camping Playa de Poniente</t>
  </si>
  <si>
    <t>Camping Village Le Capanne</t>
  </si>
  <si>
    <t>RCN Vakantiepark de Roggeberg</t>
  </si>
  <si>
    <t>Baia di Gallipoli Camping Village</t>
  </si>
  <si>
    <t>CAMPING ETCHE ZAHAR</t>
  </si>
  <si>
    <t>RCN Vakantiepark het Grote Bos</t>
  </si>
  <si>
    <t>Utrecht</t>
  </si>
  <si>
    <t>Camping L'Escapade</t>
  </si>
  <si>
    <t>RCN Toppershoedje</t>
  </si>
  <si>
    <t>Camping Eden Villages Le Domaine de Bréhadour</t>
  </si>
  <si>
    <t>CAMPING LES FOULONS</t>
  </si>
  <si>
    <t>Flower Camping des Lacs</t>
  </si>
  <si>
    <t>Camping Domein de Schuur</t>
  </si>
  <si>
    <t>Flandre</t>
  </si>
  <si>
    <t>Anvers</t>
  </si>
  <si>
    <t>Sites et Paysages Camping La Pinède</t>
  </si>
  <si>
    <t>Flower Camping la Vallée Verte</t>
  </si>
  <si>
    <t>Camping Tamaris Plage</t>
  </si>
  <si>
    <t>Camping Aquarius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</si>
  <si>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</si>
  <si>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</si>
  <si>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</si>
  <si>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</si>
  <si>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</si>
  <si>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</si>
  <si>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 Garrigon</t>
  </si>
  <si>
    <t>Camping Reine Mathilde</t>
  </si>
  <si>
    <t>Le Bois Guillaume</t>
  </si>
  <si>
    <t>Yonne</t>
  </si>
  <si>
    <t>Castel Domaine de Sévenier &amp; Spa</t>
  </si>
  <si>
    <t>Flower Camping Les Chevaliers de Malte</t>
  </si>
  <si>
    <t>Camping les Dômes</t>
  </si>
  <si>
    <t>Flower Camping Le Clos Auroy</t>
  </si>
  <si>
    <t>Le Hameau des Genêts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</si>
  <si>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</si>
  <si>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</si>
  <si>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</si>
  <si>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</si>
  <si>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Le Gallo Romain</t>
  </si>
  <si>
    <t>Camping Les Ephélides</t>
  </si>
  <si>
    <t>Camping Fusina</t>
  </si>
  <si>
    <t>Camping Le Brégoux</t>
  </si>
  <si>
    <t>Camping Castell Montgrí</t>
  </si>
  <si>
    <t>Camping des Glaciers</t>
  </si>
  <si>
    <t>Suisse</t>
  </si>
  <si>
    <t>Valais</t>
  </si>
  <si>
    <t>Entremont</t>
  </si>
  <si>
    <t>Camping Saint Gabriel</t>
  </si>
  <si>
    <t>Camping de Ceyreste</t>
  </si>
  <si>
    <t>Camping LE CABELLOU PLAGE*****</t>
  </si>
  <si>
    <t>Camping Homair - La Pommeraie de l'Océan</t>
  </si>
  <si>
    <t>Camping La Clé de Saône</t>
  </si>
  <si>
    <t>Camping La Brande</t>
  </si>
  <si>
    <t>Camping de la Pelouse</t>
  </si>
  <si>
    <t>Meurthe-et-Moselle</t>
  </si>
  <si>
    <t>Camping La Ferme de Lann Hoedic</t>
  </si>
  <si>
    <t>Le Petit Trianon</t>
  </si>
  <si>
    <t>Camping Sandaya Amis De La Plage</t>
  </si>
  <si>
    <t>La Dune de Jade - Camping Qualité</t>
  </si>
  <si>
    <t>Camping Le Clos du Blavet</t>
  </si>
  <si>
    <t>Camping Bois Soleil</t>
  </si>
  <si>
    <t>Slow Village | Saint Martin de Ré</t>
  </si>
  <si>
    <t>Camping Homair - La Pinède</t>
  </si>
  <si>
    <t>Camping Sandaya Deux Fontaines</t>
  </si>
  <si>
    <t>Camping Les Terrasses de Bertheaume</t>
  </si>
  <si>
    <t>Camping LA CHAPOULIÈRE</t>
  </si>
  <si>
    <t>COUNTRY PARK TOUQUIN</t>
  </si>
  <si>
    <t>Île-de-France</t>
  </si>
  <si>
    <t>Seine-et-Marne</t>
  </si>
  <si>
    <t>Camping Lou Pantaï</t>
  </si>
  <si>
    <t>Flower Camping l'Ile des Trois Rois</t>
  </si>
  <si>
    <t>Capfun - Camping Hautes Coutures</t>
  </si>
  <si>
    <t>Camping Pegomas</t>
  </si>
  <si>
    <t>Camping Le Paradis - Sea Green by Sunêlia</t>
  </si>
  <si>
    <t>Camping Le Village du Port</t>
  </si>
  <si>
    <t>Camping Le Pommier</t>
  </si>
  <si>
    <t>Camping des Favards</t>
  </si>
  <si>
    <t xml:space="preserve">Flower Camping Le Kerleyou </t>
  </si>
  <si>
    <t>Camping Emeraude - Sea Green by Sunêlia</t>
  </si>
  <si>
    <t>Camping de la Baie de Somme</t>
  </si>
  <si>
    <t>Camping ERREKA - Sea Green by Sunêlia</t>
  </si>
  <si>
    <t>Camping La Régate</t>
  </si>
  <si>
    <t>Camping Le Parc de Vaux</t>
  </si>
  <si>
    <t>Mayenne</t>
  </si>
  <si>
    <t>Camping Yelloh! Village Saint Pabu Plage</t>
  </si>
  <si>
    <t>YELLOH VILLAGE La Plage Fleurie</t>
  </si>
  <si>
    <t xml:space="preserve">Camping Risle et  Seine - Domaine des Etangs</t>
  </si>
  <si>
    <t>Camping La Source</t>
  </si>
  <si>
    <t>Camping Les Fontaines</t>
  </si>
  <si>
    <t>Château des Tilleuls</t>
  </si>
  <si>
    <t>Camping Belle Roche</t>
  </si>
  <si>
    <t>Camping la Roseraie d'Omaha</t>
  </si>
  <si>
    <t>Camping de Contrexeville</t>
  </si>
  <si>
    <t>Flower Camping La Chênaie</t>
  </si>
  <si>
    <t>Castel Camping Domaine de La Bien-Assise</t>
  </si>
  <si>
    <t>Camping de La Roche Percée</t>
  </si>
  <si>
    <t>Camping Lou Paradou</t>
  </si>
  <si>
    <t>Camping La Rouillère</t>
  </si>
  <si>
    <t>Camping La Berge Fleurie</t>
  </si>
  <si>
    <t>Camping Les Castors</t>
  </si>
  <si>
    <t>Camping Sunêlia La Clémentine</t>
  </si>
  <si>
    <t xml:space="preserve">Camping Le Panoramique </t>
  </si>
  <si>
    <t>Camping Le Ranch</t>
  </si>
  <si>
    <t>CAMPING YELLOH! VILLAGE LA CAPRICIEUSE</t>
  </si>
  <si>
    <t>Camping La Ferme de Bouzencourt</t>
  </si>
  <si>
    <t>Camping du Mettey****</t>
  </si>
  <si>
    <t>MIRAMARE Village - Apartments - Camping</t>
  </si>
  <si>
    <t>Camping du Pont de Mercier</t>
  </si>
  <si>
    <t>Camping Les Bords du Guiers</t>
  </si>
  <si>
    <t>Camping La Ferme</t>
  </si>
  <si>
    <t>Campasun Camping Le Clos du Pin</t>
  </si>
  <si>
    <t>Camping Kerabus</t>
  </si>
  <si>
    <t>Camping Neptune</t>
  </si>
  <si>
    <t>Charme Camping Heidepark</t>
  </si>
  <si>
    <t>Flower Camping La Sagne</t>
  </si>
  <si>
    <t>Camping Le Coin Charmant</t>
  </si>
  <si>
    <t>Campasun Camping Parc Mogador</t>
  </si>
  <si>
    <t>Flower Camping Le Martinet Rouge</t>
  </si>
  <si>
    <t>Domaine des BLACHAS</t>
  </si>
  <si>
    <t>Camping Carrefour de l'Ardèche</t>
  </si>
  <si>
    <t>CAMPING LES PLATANES</t>
  </si>
  <si>
    <t>Camping Lou Rouchetou</t>
  </si>
  <si>
    <t>Camping de Retourtour</t>
  </si>
  <si>
    <t>Camping L'Ombrage</t>
  </si>
  <si>
    <t>Flower Camping Les Bouleaux</t>
  </si>
  <si>
    <t>Haut-Rhin</t>
  </si>
  <si>
    <t>Camping de Locouarn</t>
  </si>
  <si>
    <t>Le Pascalounet</t>
  </si>
  <si>
    <t>Camping de la Treille</t>
  </si>
  <si>
    <t>Camping de Montréal</t>
  </si>
  <si>
    <t>Camping La Fontaine du Hallate en Morbihan</t>
  </si>
  <si>
    <t>Camping Homair - La Grainetière</t>
  </si>
  <si>
    <t>Camping Nature L'Airial****</t>
  </si>
  <si>
    <t>Camping Le Floride</t>
  </si>
  <si>
    <t>Camping Park Er Lann ***</t>
  </si>
  <si>
    <t>Tiliguerta Glamping &amp; Camping Village</t>
  </si>
  <si>
    <t>Sud Sardegna</t>
  </si>
  <si>
    <t>Camping Les Eychecadous</t>
  </si>
  <si>
    <t>Camping Moulin de Piot</t>
  </si>
  <si>
    <t>CAMPING DE LA ROUVRE</t>
  </si>
  <si>
    <t>Orne</t>
  </si>
  <si>
    <t>Camping Delle Rose</t>
  </si>
  <si>
    <t>CAMPING DE LA CLAIRETTE</t>
  </si>
  <si>
    <t>Camping LANN BRICK</t>
  </si>
  <si>
    <t>Camping Les Vernières</t>
  </si>
  <si>
    <t>Flower Camping Le Conleau</t>
  </si>
  <si>
    <t>Camping Le Bernier</t>
  </si>
  <si>
    <t>CAMPING LA COMBE D'OYANS</t>
  </si>
  <si>
    <t>Camping Le Kervastard</t>
  </si>
  <si>
    <t>Camping de la Haute Sioule</t>
  </si>
  <si>
    <t>Baia Holiday Capo d’Orso</t>
  </si>
  <si>
    <t>Camping L'Hippocampe - Les Chalets de la Mer</t>
  </si>
  <si>
    <t>Camping Vinkenhof</t>
  </si>
  <si>
    <t>Recreatiepark de Leistert</t>
  </si>
  <si>
    <t>Camping De Heldense Bossen</t>
  </si>
  <si>
    <t>Vakantieoord De Bronzen Emmer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</si>
  <si>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</si>
  <si>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</si>
  <si>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</si>
  <si>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</si>
  <si>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</si>
  <si>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</si>
  <si>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</si>
  <si>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</si>
  <si>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</si>
  <si>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</si>
  <si>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</si>
  <si>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Flower Camping Le Vorlen</t>
  </si>
  <si>
    <t>Camping Moulin de Chaules</t>
  </si>
  <si>
    <t>Camping Seiser Alm</t>
  </si>
  <si>
    <t>Haut-Adige</t>
  </si>
  <si>
    <t>Domaine De La Vingeanne</t>
  </si>
  <si>
    <t>Camping &amp; Gîtes PORT CARRERE</t>
  </si>
  <si>
    <t>Camping Kleinenzhof</t>
  </si>
  <si>
    <t>Camping Seespitz</t>
  </si>
  <si>
    <t>Château du Gibanel - Sea Green by Sunêlia</t>
  </si>
  <si>
    <t>Camping de L'Arche</t>
  </si>
  <si>
    <t>Camping La Clairière</t>
  </si>
  <si>
    <t>Camping Les Sables Vignier Plage</t>
  </si>
  <si>
    <t>Camping Bellsol</t>
  </si>
  <si>
    <t>Camping La Corniche***</t>
  </si>
  <si>
    <t>Camping Mas de la Cam</t>
  </si>
  <si>
    <t>Camping du Puy-en-Velay</t>
  </si>
  <si>
    <t>Haute-Loire</t>
  </si>
  <si>
    <t>CAMP MondSeeLand</t>
  </si>
  <si>
    <t>Haute-Autriche</t>
  </si>
  <si>
    <t>Vöcklabruck</t>
  </si>
  <si>
    <t>Flower Camping Le Saint Michelet</t>
  </si>
  <si>
    <t>Campasun Camping Les Hautes Prairies</t>
  </si>
  <si>
    <t>Wecamp Pirineos</t>
  </si>
  <si>
    <t>Huesca</t>
  </si>
  <si>
    <t>Campasun Camping Les Lauriers Roses</t>
  </si>
  <si>
    <t>Camping Les Vagues</t>
  </si>
  <si>
    <t>Camping Eden Villages Manoir de Ker An Poul</t>
  </si>
  <si>
    <t>Camping Ötztal Längenfeld</t>
  </si>
  <si>
    <t>Bezirk Imst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</si>
  <si>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</si>
  <si>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</si>
  <si>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</si>
  <si>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</si>
  <si>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</si>
  <si>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Olachgut</t>
  </si>
  <si>
    <t>Styrie</t>
  </si>
  <si>
    <t>Bezirk Murau</t>
  </si>
  <si>
    <t>Camping de Boÿse</t>
  </si>
  <si>
    <t>Camping de Kersentic</t>
  </si>
  <si>
    <t>Camping APV L'Anse des Pins</t>
  </si>
  <si>
    <t>Les Ilots d'Or</t>
  </si>
  <si>
    <t>Camping Royal Océan</t>
  </si>
  <si>
    <t>Baia Domizia Villaggio Camping</t>
  </si>
  <si>
    <t>Caserta</t>
  </si>
  <si>
    <t>Centro Vacanze Villaggio San Francesco</t>
  </si>
  <si>
    <t>Centro Vacanze Pra' delle Torri</t>
  </si>
  <si>
    <t>Hjarbæk Fjord Camping</t>
  </si>
  <si>
    <t>Danemark</t>
  </si>
  <si>
    <t>Jutland central</t>
  </si>
  <si>
    <t>Viborg Kommune</t>
  </si>
  <si>
    <t>Vedersø Strand Camping</t>
  </si>
  <si>
    <t>Holstebro Kommune</t>
  </si>
  <si>
    <t>Langstone Manor Holiday Park</t>
  </si>
  <si>
    <t>Angleterre</t>
  </si>
  <si>
    <t>Devon</t>
  </si>
  <si>
    <t>Camping Adria</t>
  </si>
  <si>
    <t>Slovénie</t>
  </si>
  <si>
    <t>Camping Village Mar Y Sierra</t>
  </si>
  <si>
    <t>Pesaro e Urbino</t>
  </si>
  <si>
    <t>Camping Les Albères</t>
  </si>
  <si>
    <t>Alfsee Ferien- und Erlebnispark</t>
  </si>
  <si>
    <t>Camping Les Templiers</t>
  </si>
  <si>
    <t>Flower Camping Les Granges</t>
  </si>
  <si>
    <t>Camping L'Espérance</t>
  </si>
  <si>
    <t>Camping des Dunes</t>
  </si>
  <si>
    <t>Camping Sabbiadoro</t>
  </si>
  <si>
    <t>Sandaya Europa Village</t>
  </si>
  <si>
    <t>Camping Les Casteillets</t>
  </si>
  <si>
    <t>Domaine du Moulin Neuf - Terres de France</t>
  </si>
  <si>
    <t>Camping Des 2 Rives</t>
  </si>
  <si>
    <t>Camping Eden Villages Bela Basque</t>
  </si>
  <si>
    <t>Camping La Sapinette</t>
  </si>
  <si>
    <t>Flower Camping Des 2 Rivières</t>
  </si>
  <si>
    <t>Camping Les Peupliers</t>
  </si>
  <si>
    <t>Vestbirk Camping</t>
  </si>
  <si>
    <t>Horsens Kommune</t>
  </si>
  <si>
    <t>Wecamp San Sebastián</t>
  </si>
  <si>
    <t>Camping L'Esplanade</t>
  </si>
  <si>
    <t>Camping Simplonblick</t>
  </si>
  <si>
    <t>Rarogne occidental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</si>
  <si>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</si>
  <si>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</si>
  <si>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</si>
  <si>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</si>
  <si>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De Haro</t>
  </si>
  <si>
    <t>La Rioja</t>
  </si>
  <si>
    <t>Camping Les Mouettes devient Camping L'écrin de la baie</t>
  </si>
  <si>
    <t>Camping La Touesse</t>
  </si>
  <si>
    <t>Camping Playa de Oyambre</t>
  </si>
  <si>
    <t>Cantabrie</t>
  </si>
  <si>
    <t>Cantabria</t>
  </si>
  <si>
    <t>TAIGA Puerto Santa María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</si>
  <si>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</si>
  <si>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</si>
  <si>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</si>
  <si>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</si>
  <si>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</si>
  <si>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</si>
  <si>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Canton Diekirch</t>
  </si>
  <si>
    <t>Camping Les Chemins Du Mont St Michel</t>
  </si>
  <si>
    <t>Camping Les Chèvrefeuilles</t>
  </si>
  <si>
    <t>Camping Saintes Grandes Rives</t>
  </si>
  <si>
    <t>Le Hameau de L'Océan</t>
  </si>
  <si>
    <t>Camping de L'Hérein</t>
  </si>
  <si>
    <t>Camping La Trillonnière</t>
  </si>
  <si>
    <t>Rhône</t>
  </si>
  <si>
    <t>Camping Le Schlossberg</t>
  </si>
  <si>
    <t>Camping Río Mundo</t>
  </si>
  <si>
    <t>Castille-La Manche</t>
  </si>
  <si>
    <t>Albacete</t>
  </si>
  <si>
    <t>Camping Brione</t>
  </si>
  <si>
    <t>Flower Camping Les Reflets du Val d'Argent</t>
  </si>
  <si>
    <t>Détente et Clapotis</t>
  </si>
  <si>
    <t>Domaine du Lac de Condé</t>
  </si>
  <si>
    <t>Camping Les Rivières</t>
  </si>
  <si>
    <t>Moselcamping Kröver Berg</t>
  </si>
  <si>
    <t>Camping La Ferme du Bord de Mer</t>
  </si>
  <si>
    <t>Camping Nature Le Valenty</t>
  </si>
  <si>
    <t>Camping Le Moulin à Vent</t>
  </si>
  <si>
    <t>Camping Au Paradis des Campeurs</t>
  </si>
  <si>
    <t>Camping Ferme Pédagogique de Prunay</t>
  </si>
  <si>
    <t>Camping Le Mouretou</t>
  </si>
  <si>
    <t>Faaborg Camping</t>
  </si>
  <si>
    <t>Danemark-du-Sud</t>
  </si>
  <si>
    <t>Camping Porte des Vosges</t>
  </si>
  <si>
    <t>Camping Le Repaire</t>
  </si>
  <si>
    <t>Camping Des Hautes Grées</t>
  </si>
  <si>
    <t>Camping Le Picard</t>
  </si>
  <si>
    <t>Camping Mas Llinas</t>
  </si>
  <si>
    <t>Camping Qualité l'Eden de la Vanoise</t>
  </si>
  <si>
    <t>Le Florenville – Camping</t>
  </si>
  <si>
    <t>Camping Im Aal</t>
  </si>
  <si>
    <t>Drau Camping Sachsenburg</t>
  </si>
  <si>
    <t>Camping Faè</t>
  </si>
  <si>
    <t>Camping Punta Lunga</t>
  </si>
  <si>
    <t>Camping Órgiva</t>
  </si>
  <si>
    <t>Camping Au Mica</t>
  </si>
  <si>
    <t>Flower Camping Les Micocouliers</t>
  </si>
  <si>
    <t>Camping Les 2 Plages</t>
  </si>
  <si>
    <t>Camping Lido</t>
  </si>
  <si>
    <t>Camping Atlantica</t>
  </si>
  <si>
    <t>Aminess Sirena Campsite</t>
  </si>
  <si>
    <t>Camping Du Colombier</t>
  </si>
  <si>
    <t>Kompas Camping Westende</t>
  </si>
  <si>
    <t>Flandre-Occidentale</t>
  </si>
  <si>
    <t>Camping Geelenhoof</t>
  </si>
  <si>
    <t>Ballum Camping</t>
  </si>
  <si>
    <t>Tønder Kommune</t>
  </si>
  <si>
    <t>La Vallée des Vignes</t>
  </si>
  <si>
    <t>Camping du Brec</t>
  </si>
  <si>
    <t>YELLOH! VILLAGE - LES BALEARES SON BOU</t>
  </si>
  <si>
    <t>Camping Lentemaheerd</t>
  </si>
  <si>
    <t>Groningue</t>
  </si>
  <si>
    <t>Flower Camping La Forêt</t>
  </si>
  <si>
    <t>Marne</t>
  </si>
  <si>
    <t>Camping de la Bucherie</t>
  </si>
  <si>
    <t>Camping Laspaúles</t>
  </si>
  <si>
    <t>Camping Joncar Mar</t>
  </si>
  <si>
    <t>Flower Camping La Beaume</t>
  </si>
  <si>
    <t>Waldbad Isny GmbH &amp; Co. KG</t>
  </si>
  <si>
    <t>Camping Arquin</t>
  </si>
  <si>
    <t>Camping La Corconne</t>
  </si>
  <si>
    <t>Camping La Belle Etoile</t>
  </si>
  <si>
    <t>Camping Terme 3000</t>
  </si>
  <si>
    <t>Camping Plitvice</t>
  </si>
  <si>
    <t>Comitat de Lika-Senj</t>
  </si>
  <si>
    <t>Camping Castillo de Baños</t>
  </si>
  <si>
    <t>Camping Begur</t>
  </si>
  <si>
    <t xml:space="preserve">Sandaya Etruria </t>
  </si>
  <si>
    <t>Camping de la Mottelette</t>
  </si>
  <si>
    <t>Campingplatz Eulenburg</t>
  </si>
  <si>
    <t>Camping de la Forêt</t>
  </si>
  <si>
    <t>Doubs</t>
  </si>
  <si>
    <t>Camping La Masseria</t>
  </si>
  <si>
    <t>Camping Le Diben</t>
  </si>
  <si>
    <t>Camping La Grande Vallée</t>
  </si>
  <si>
    <t>CAMPING MENDI AZPIAN</t>
  </si>
  <si>
    <t>Camping Les Chapelains</t>
  </si>
  <si>
    <t>YELLOH! VILLAGE - LA ROCHE POSAY VACANCES</t>
  </si>
  <si>
    <t>Domaine du Trappeur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</si>
  <si>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</si>
  <si>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</si>
  <si>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</si>
  <si>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</si>
  <si>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Camping de Brouel ***</t>
  </si>
  <si>
    <t>Camping Le Val de Cesse</t>
  </si>
  <si>
    <t>Camping Homair - Le Soleil de la Méditerranée</t>
  </si>
  <si>
    <t>CAMPING LE NID DU PARC</t>
  </si>
  <si>
    <t>Camping Les Arbousiers</t>
  </si>
  <si>
    <t>Camping Les Terrasses</t>
  </si>
  <si>
    <t>LES HAUTS D'ALBAS</t>
  </si>
  <si>
    <t>Camping La Simioune Vaucluse et Drome Provencale</t>
  </si>
  <si>
    <t>CAMPING LES ECRINS</t>
  </si>
  <si>
    <t>Flower Camping La Pointe du Talud</t>
  </si>
  <si>
    <t>Camping Entre Terre et Mer</t>
  </si>
  <si>
    <t>La Forêt Stella-Plage</t>
  </si>
  <si>
    <t>Camping D'Étival</t>
  </si>
  <si>
    <t>NANTES CAMPING</t>
  </si>
  <si>
    <t>Camping Naturiste La Tuquette</t>
  </si>
  <si>
    <t>Camping &amp; Bungalows Estanyet</t>
  </si>
  <si>
    <t>Camping La Forêt</t>
  </si>
  <si>
    <t>Camping Les Pérouses du Phare</t>
  </si>
  <si>
    <t>Camping Paradies Franken</t>
  </si>
  <si>
    <t>Nationalpark Camping Kals</t>
  </si>
  <si>
    <t>Bezirk Lienz</t>
  </si>
  <si>
    <t>Elbadoc Camping Village</t>
  </si>
  <si>
    <t>Vital CAMP Bayerbach</t>
  </si>
  <si>
    <t>Butterfly Camping Village</t>
  </si>
  <si>
    <t>Camping Calpemar</t>
  </si>
  <si>
    <t>TAIGA Lake Caspe</t>
  </si>
  <si>
    <t>Camping Bor</t>
  </si>
  <si>
    <t>Camping Stein am Simssee</t>
  </si>
  <si>
    <t>Camping Rialto Village</t>
  </si>
  <si>
    <t>Village Nature Zen</t>
  </si>
  <si>
    <t>Camping L'Etang de Sologne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</si>
  <si>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</si>
  <si>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</si>
  <si>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</si>
  <si>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</si>
  <si>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</si>
  <si>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</si>
  <si>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de La Falaise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</si>
  <si>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</si>
  <si>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</si>
  <si>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</si>
  <si>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</si>
  <si>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</si>
  <si>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</si>
  <si>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</si>
  <si>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Eco-camping du Larzac</t>
  </si>
  <si>
    <t>Camping Le Mas de l'Isle</t>
  </si>
  <si>
    <t>Camping Homair - Le Petit Mousse</t>
  </si>
  <si>
    <t>Camping Homair - Le Saint Louis</t>
  </si>
  <si>
    <t xml:space="preserve">Camping Homair -  Le Palavas</t>
  </si>
  <si>
    <t>Camping LA CHENAIE</t>
  </si>
  <si>
    <t>LieuDieu, Domaine de Campagne</t>
  </si>
  <si>
    <t>Camping des Barolles</t>
  </si>
  <si>
    <t>Métropole de Lyon</t>
  </si>
  <si>
    <t>Camping du Vélodrome Albert</t>
  </si>
  <si>
    <t>Camping Les Garennes de la Mer</t>
  </si>
  <si>
    <t>Camping Les 12 Cols</t>
  </si>
  <si>
    <t>Les Ventoulines Village &amp; Spa</t>
  </si>
  <si>
    <t>Iron Gate Marina 3B</t>
  </si>
  <si>
    <t>Camping de la Moselle</t>
  </si>
  <si>
    <t>Slow Village | Belle-Île-en-Mer</t>
  </si>
  <si>
    <t>Camping CROMENACH</t>
  </si>
  <si>
    <t>Camping TY NENEZ</t>
  </si>
  <si>
    <t>Camping KERLAY</t>
  </si>
  <si>
    <t>WEST CAMPING</t>
  </si>
  <si>
    <t>Flower Camping La Blanche Hermine</t>
  </si>
  <si>
    <t>Camping Gouelet Ker</t>
  </si>
  <si>
    <t>Camping Le Dolmen</t>
  </si>
  <si>
    <t>Camping PRESQU'ILE DE PENERF</t>
  </si>
  <si>
    <t>Station Touristique le ValJoly</t>
  </si>
  <si>
    <t>Nord</t>
  </si>
  <si>
    <t>Camping Le Mas de la Plage</t>
  </si>
  <si>
    <t>Les Chalets de Dordogne</t>
  </si>
  <si>
    <t>Village Vacances du Lac de Menet</t>
  </si>
  <si>
    <t>Camping Alegría del Mar</t>
  </si>
  <si>
    <t>Camping Resort Els Pins</t>
  </si>
  <si>
    <t>Camping Kanopée Village</t>
  </si>
  <si>
    <t>Camping Homair - Dunes et Soleil</t>
  </si>
  <si>
    <t>Camping du Perche Bellemois</t>
  </si>
  <si>
    <t xml:space="preserve">Camping  Paradis L'Ile de Kernodet</t>
  </si>
  <si>
    <t>CAMPING DE L'AUZANCE</t>
  </si>
  <si>
    <t>Village de Vacances Aux Portes des Monts d'Aubrac</t>
  </si>
  <si>
    <t>Camping L'Ambois</t>
  </si>
  <si>
    <t>Camping Le Soulhol</t>
  </si>
  <si>
    <t>Camping Les Samaras</t>
  </si>
  <si>
    <t>Domaine Aigoual Cévennes</t>
  </si>
  <si>
    <t>Huttopia Parque de Doñana</t>
  </si>
  <si>
    <t>Huelva</t>
  </si>
  <si>
    <t>Siblu - Mimizan Le Lac</t>
  </si>
  <si>
    <t>Les Chamberts camping et lodges</t>
  </si>
  <si>
    <t>Les Cabanes de Cornillon</t>
  </si>
  <si>
    <t>Camping de la Colline</t>
  </si>
  <si>
    <t>Camping le Damier</t>
  </si>
  <si>
    <t>ROMANEE L'Evasion</t>
  </si>
  <si>
    <t>Camping Cala Gogo - J'aime le camping</t>
  </si>
  <si>
    <t>Camping Maupassant</t>
  </si>
  <si>
    <t>Camping Fuentes Carrionas</t>
  </si>
  <si>
    <t>Castille-et-León</t>
  </si>
  <si>
    <t>Palencia</t>
  </si>
  <si>
    <t>Flower Camping Les Plages de l'Ain</t>
  </si>
  <si>
    <t>Camping Seasonova Les Marguerites</t>
  </si>
  <si>
    <t>Camping Mirabel de l'Ermitage</t>
  </si>
  <si>
    <t>Camping Le Bois de Valmarie</t>
  </si>
  <si>
    <t>Aux Lodges du Mas de Nadal</t>
  </si>
  <si>
    <t>Camping L'Arlésienne</t>
  </si>
  <si>
    <t>Camping Antton</t>
  </si>
  <si>
    <t>Horsens City camping ApS</t>
  </si>
  <si>
    <t>Plein Air Locations - Camping Palmyre Loisirs</t>
  </si>
  <si>
    <t>Camping Papillon Rochefort</t>
  </si>
  <si>
    <t>Namur</t>
  </si>
  <si>
    <t>Camping Bleu Marine</t>
  </si>
  <si>
    <t>Camping Domaine Le Vernis</t>
  </si>
  <si>
    <t>Camping du Lac</t>
  </si>
  <si>
    <t>Camping &amp; Bungalows Zumaia</t>
  </si>
  <si>
    <t>Camping le Picardy</t>
  </si>
  <si>
    <t>Clico Chic - Village Vacances Le Petit Bec</t>
  </si>
  <si>
    <t>Camping Des Familles</t>
  </si>
  <si>
    <t>Flower Camping LES BERGES DE LA DORDOGNE</t>
  </si>
  <si>
    <t>Camping du Grand Etang de Saint-Estèphe</t>
  </si>
  <si>
    <t>Recreatiepark d'n Mastendol</t>
  </si>
  <si>
    <t>Camping Campo dei Fiori</t>
  </si>
  <si>
    <t>Camping Seasonova Les 7 Iles</t>
  </si>
  <si>
    <t>Tigullio Camping Resort</t>
  </si>
  <si>
    <t>Camping Domaine La Plage du Garoustel</t>
  </si>
  <si>
    <t>Rosenvold Strand Camping</t>
  </si>
  <si>
    <t>Hedensted Kommune</t>
  </si>
  <si>
    <t>Domaine Larlapean ***</t>
  </si>
  <si>
    <t>Lilybeo Village Camping &amp; Residence</t>
  </si>
  <si>
    <t>Trapani</t>
  </si>
  <si>
    <t>Camping de l'Ile</t>
  </si>
  <si>
    <t>Camping des Chavannes</t>
  </si>
  <si>
    <t>Camping Park Mara</t>
  </si>
  <si>
    <t>Camping Des Randonneurs</t>
  </si>
  <si>
    <t>Camping Domaine Sainte Veziane</t>
  </si>
  <si>
    <t>Camping Le Bois des Ecureuils</t>
  </si>
  <si>
    <t>Camping Pinar de San José</t>
  </si>
  <si>
    <t>Lodges de Blois-Chambord</t>
  </si>
  <si>
    <t>Buytenplaets Suydersee</t>
  </si>
  <si>
    <t>Flevoland</t>
  </si>
  <si>
    <t>Camping Vittoria</t>
  </si>
  <si>
    <t>Rovigo</t>
  </si>
  <si>
    <t>Camping Bleu Mer</t>
  </si>
  <si>
    <t>Camping le Sabia</t>
  </si>
  <si>
    <t>Calapineta Villaggio Camping</t>
  </si>
  <si>
    <t>Camping Le Pavillon Bleu</t>
  </si>
  <si>
    <t>Camping Parc de la Dranse</t>
  </si>
  <si>
    <t>Saxida Wine &amp; Camping Resort</t>
  </si>
  <si>
    <t>Plein Air Locations - camping Les Tamaris</t>
  </si>
  <si>
    <t>Paradies-Camp</t>
  </si>
  <si>
    <t>Village Vacances Chanteduc</t>
  </si>
  <si>
    <t>Camping Park Baita Dolomiti Village</t>
  </si>
  <si>
    <t>Clico Chic - Camping Chancia</t>
  </si>
  <si>
    <t>Camping la Ferme des 4 Chênes</t>
  </si>
  <si>
    <t>Appart'Hotel Quimper - Terres de France</t>
  </si>
  <si>
    <t>Camping Du Lac Terre d'Auge, Pont-L'Evêque</t>
  </si>
  <si>
    <t>Camping Village Spiaggia Lunga</t>
  </si>
  <si>
    <t>Campingpark im Bergischen Land</t>
  </si>
  <si>
    <t>Rhénanie-du-Nord-Westphalie</t>
  </si>
  <si>
    <t>Forest Camping Mozirje</t>
  </si>
  <si>
    <t>Mozirje</t>
  </si>
  <si>
    <t>Flower Camping Monplaisir</t>
  </si>
  <si>
    <t xml:space="preserve">Flower Camping Tamarins Plage </t>
  </si>
  <si>
    <t>Camping Moulin du Bel Air</t>
  </si>
  <si>
    <t>Camping Milella</t>
  </si>
  <si>
    <t>Camping Les Patis</t>
  </si>
  <si>
    <t>Camping Cantabria</t>
  </si>
  <si>
    <t>Camping Ugljan Resort</t>
  </si>
  <si>
    <t>Campingplatz HOCHoben</t>
  </si>
  <si>
    <t>Camping de L'Eden</t>
  </si>
  <si>
    <t>Camping les Vals</t>
  </si>
  <si>
    <t>Camping Les Portes du Canigou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</si>
  <si>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</si>
  <si>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</si>
  <si>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</si>
  <si>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</si>
  <si>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</si>
  <si>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</si>
  <si>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</si>
  <si>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</si>
  <si>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Camping Borepo</t>
  </si>
  <si>
    <t>Opatija Camping</t>
  </si>
  <si>
    <t>Campasun Camping de l’Etang de La Bonde</t>
  </si>
  <si>
    <t>Domaine de Kerioche - Terres de France</t>
  </si>
  <si>
    <t>Camper Park Playas de Luz</t>
  </si>
  <si>
    <t>Camping Miremer</t>
  </si>
  <si>
    <t>MCM Beach &amp; Camping</t>
  </si>
  <si>
    <t>Monténégro</t>
  </si>
  <si>
    <t>Ulcinj</t>
  </si>
  <si>
    <t>Camping Les Gravelets</t>
  </si>
  <si>
    <t>Camping Les Cerisiers</t>
  </si>
  <si>
    <t>Hoeve Linnerveld</t>
  </si>
  <si>
    <t>Colombaia Village</t>
  </si>
  <si>
    <t>Pielachtal Camping</t>
  </si>
  <si>
    <t>Bezirk St. Pölten</t>
  </si>
  <si>
    <t>Camping Tikayan Beauséjour</t>
  </si>
  <si>
    <t>Écodomaine "La Rêverie"</t>
  </si>
  <si>
    <t>Côte-d'Or</t>
  </si>
  <si>
    <t>TAIGA Conil</t>
  </si>
  <si>
    <t>Camping La Vaugelette</t>
  </si>
  <si>
    <t>La Forêt Enchantée</t>
  </si>
  <si>
    <t>Domaine des Vans - Terres de France</t>
  </si>
  <si>
    <t>Camping Homair - Les Rives du Luberon</t>
  </si>
  <si>
    <t>Camping-Village Sole di Sari</t>
  </si>
  <si>
    <t>Camping-Village Kallisté</t>
  </si>
  <si>
    <t>Camping Homair - Le Domaine de la Yole</t>
  </si>
  <si>
    <t>Camping Homair - Les Sablines</t>
  </si>
  <si>
    <t>Huttopia Forêt des Vosges</t>
  </si>
  <si>
    <t>Camping et Lodges de Coucouzac</t>
  </si>
  <si>
    <t>Camping la'bel balagne</t>
  </si>
  <si>
    <t>Domaine de la Grenatière</t>
  </si>
  <si>
    <t xml:space="preserve">Le Village Perrosien </t>
  </si>
  <si>
    <t>The Green Park Hotel / Tenuta Ca’ del Pioppo</t>
  </si>
  <si>
    <t>Camping Montorfano</t>
  </si>
  <si>
    <t>Côme</t>
  </si>
  <si>
    <t>Macugnaga Natural Camping</t>
  </si>
  <si>
    <t>Piémont</t>
  </si>
  <si>
    <t>Verbano-Cusio-Ossola</t>
  </si>
  <si>
    <t>Camping Cala Pola</t>
  </si>
  <si>
    <t xml:space="preserve">Moselcampingplatz Alf </t>
  </si>
  <si>
    <t>Camping l’Eglantier</t>
  </si>
  <si>
    <t>Camping Manu</t>
  </si>
  <si>
    <t xml:space="preserve"> Domaine Saint-Amand </t>
  </si>
  <si>
    <t>camping Le Petit Canada</t>
  </si>
  <si>
    <t>Slow Village | Saint-Cybranet</t>
  </si>
  <si>
    <t>Résidence de La Cabre d'Or - Terres de France</t>
  </si>
  <si>
    <t>Agricampeggio Abbruzzetti</t>
  </si>
  <si>
    <t>Fermo</t>
  </si>
  <si>
    <t>Campeggio Bocca di Cecina</t>
  </si>
  <si>
    <t>Camping Le Pinada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</si>
  <si>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</si>
  <si>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</si>
  <si>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</si>
  <si>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</si>
  <si>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</si>
  <si>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</si>
  <si>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Camping Homair - Green Park</t>
  </si>
  <si>
    <t>Camping Homair - La Baie des Anges</t>
  </si>
  <si>
    <t xml:space="preserve"> Camping Le Clos de Savoye </t>
  </si>
  <si>
    <t>Camping La Vallée</t>
  </si>
  <si>
    <t xml:space="preserve"> Camping les Voiles </t>
  </si>
  <si>
    <t>TAIGA Tarifa Punta Paloma</t>
  </si>
  <si>
    <t>Clico Chic - Camping Les Chevaliers</t>
  </si>
  <si>
    <t>Camping Du Littoral</t>
  </si>
  <si>
    <t>Camping Homair - Le Domaine de Massereau</t>
  </si>
  <si>
    <t>Basecamps</t>
  </si>
  <si>
    <t>Wecamp Cádiz</t>
  </si>
  <si>
    <t xml:space="preserve">Camping Peñíscola </t>
  </si>
  <si>
    <t>Camping Essenza Alpina</t>
  </si>
  <si>
    <t>Camping Los Arenales</t>
  </si>
  <si>
    <t>Ciudad Real</t>
  </si>
  <si>
    <t xml:space="preserve">Flower Camping Les Iles </t>
  </si>
  <si>
    <t xml:space="preserve">Prima Camping Resort Ostsee-Boddenblick </t>
  </si>
  <si>
    <t>Camping Framura</t>
  </si>
  <si>
    <t>Solcio Village</t>
  </si>
  <si>
    <t>Novare</t>
  </si>
  <si>
    <t>Wecamp Sao Miguel</t>
  </si>
  <si>
    <t>Portugal</t>
  </si>
  <si>
    <t>Beja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</si>
  <si>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</si>
  <si>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</si>
  <si>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</si>
  <si>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</si>
  <si>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</si>
  <si>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Plein Air Locations - Camping Ur Onea</t>
  </si>
  <si>
    <t>Camping Le Village du Bosc</t>
  </si>
  <si>
    <t>Camping Homair - Lou Souleï</t>
  </si>
  <si>
    <t>Camping Naturiste du Port</t>
  </si>
  <si>
    <t>Huttopia Caminos de Galicia</t>
  </si>
  <si>
    <t>Galice</t>
  </si>
  <si>
    <t>Pontevedra</t>
  </si>
  <si>
    <t>Campingresort Hinterstoder</t>
  </si>
  <si>
    <t>Bezirk Kirchdorf</t>
  </si>
  <si>
    <t>Campings Liberté - Lacanau</t>
  </si>
  <si>
    <t>Campings Liberté - Verdon</t>
  </si>
  <si>
    <t xml:space="preserve"> Camping Dörpen </t>
  </si>
  <si>
    <t>Agricamping La Pietra e l'Ulivo</t>
  </si>
  <si>
    <t>VVF Créances</t>
  </si>
  <si>
    <t>Campingplatz Dümmersee</t>
  </si>
  <si>
    <t>Les chalets de Booz</t>
  </si>
  <si>
    <t>Camping Homair - La Marine</t>
  </si>
  <si>
    <t>Baia Holiday La Gallura</t>
  </si>
  <si>
    <t>Camping Homair - Le Domaine du Clarys</t>
  </si>
  <si>
    <t>Indre</t>
  </si>
  <si>
    <t>HolaCamp La Franca</t>
  </si>
  <si>
    <t>Asturies</t>
  </si>
  <si>
    <t xml:space="preserve">Camping El Toro Azul </t>
  </si>
  <si>
    <t>Camping Homair - Le Phare d'Opale</t>
  </si>
  <si>
    <t>Camping Homair - Les Pommiers du Mont Saint Michel</t>
  </si>
  <si>
    <t>Camping Homair - L'Ile du Rhin</t>
  </si>
  <si>
    <t>Camping Homair - Domaine de la Sainte Baume</t>
  </si>
  <si>
    <t>Camping Homair - La Dune Blanche</t>
  </si>
  <si>
    <t>Camping Homair - Domaine du Logis</t>
  </si>
  <si>
    <t>UserName</t>
  </si>
  <si>
    <t>superuser.jeromeNax</t>
  </si>
  <si>
    <t>Extraction Date</t>
  </si>
  <si>
    <t>24/10/2026 11:13:48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</si>
  <si>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</si>
  <si>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</si>
  <si>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</si>
  <si>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</si>
  <si>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</si>
  <si>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</si>
  <si>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</si>
  <si>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23/10/2026 00h00 - 23/10/2026 23h59</t>
  </si>
  <si>
    <t>Database PsLineIn</t>
  </si>
  <si>
    <t>2894</t>
  </si>
  <si>
    <t>Database PsLineOut</t>
  </si>
  <si>
    <t>1504</t>
  </si>
  <si>
    <t>Database Extraction Duration</t>
  </si>
  <si>
    <t>1,110 seconds</t>
  </si>
  <si>
    <t>C# Calcul Duration</t>
  </si>
  <si>
    <t>0,03 seconds</t>
  </si>
  <si>
    <t>C# ExcelFormating Duration</t>
  </si>
  <si>
    <t>1,719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</si>
</sst>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551</v>
      </c>
      <c r="D3" s="5">
        <v>56</v>
      </c>
      <c r="E3" s="6">
        <v>949</v>
      </c>
      <c r="F3" s="5">
        <v>603</v>
      </c>
      <c r="G3" s="5">
        <v>27</v>
      </c>
      <c r="H3" s="5">
        <v>212</v>
      </c>
      <c r="I3" s="5">
        <v>40</v>
      </c>
      <c r="J3" s="5">
        <v>41</v>
      </c>
      <c r="K3" s="5">
        <v>26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896</v>
      </c>
      <c r="U3" s="5">
        <v>568</v>
      </c>
      <c r="V3" s="5">
        <v>27</v>
      </c>
      <c r="W3" s="5">
        <v>199</v>
      </c>
      <c r="X3" s="5">
        <v>39</v>
      </c>
      <c r="Y3" s="5">
        <v>39</v>
      </c>
      <c r="Z3" s="5">
        <v>24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1.43</v>
      </c>
      <c r="AK3" s="5">
        <v>1</v>
      </c>
      <c r="AL3" s="5">
        <v>8</v>
      </c>
      <c r="AM3" s="28">
        <v>22.54</v>
      </c>
    </row>
    <row r="4">
      <c r="A4" s="24">
        <v>850</v>
      </c>
      <c r="B4" s="9" t="s">
        <v>28</v>
      </c>
      <c r="C4" s="10">
        <v>8</v>
      </c>
      <c r="D4" s="10">
        <v>8</v>
      </c>
      <c r="E4" s="11">
        <v>8</v>
      </c>
      <c r="F4" s="10">
        <v>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8</v>
      </c>
      <c r="U4" s="10">
        <v>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</v>
      </c>
      <c r="AK4" s="10">
        <v>1</v>
      </c>
      <c r="AL4" s="10">
        <v>1</v>
      </c>
      <c r="AM4" s="29">
        <v>2.85</v>
      </c>
    </row>
    <row r="5">
      <c r="A5" s="23">
        <v>892</v>
      </c>
      <c r="B5" s="4" t="s">
        <v>29</v>
      </c>
      <c r="C5" s="5">
        <v>38</v>
      </c>
      <c r="D5" s="5">
        <v>36</v>
      </c>
      <c r="E5" s="6">
        <v>41</v>
      </c>
      <c r="F5" s="5">
        <v>41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39</v>
      </c>
      <c r="U5" s="5">
        <v>39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1.08</v>
      </c>
      <c r="AK5" s="5">
        <v>1</v>
      </c>
      <c r="AL5" s="5">
        <v>3</v>
      </c>
      <c r="AM5" s="28">
        <v>10.23</v>
      </c>
    </row>
    <row r="6">
      <c r="A6" s="24">
        <v>1104</v>
      </c>
      <c r="B6" s="9" t="s">
        <v>30</v>
      </c>
      <c r="C6" s="10">
        <v>17</v>
      </c>
      <c r="D6" s="12">
        <v>0</v>
      </c>
      <c r="E6" s="11">
        <v>20</v>
      </c>
      <c r="F6" s="10">
        <v>11</v>
      </c>
      <c r="G6" s="12">
        <v>0</v>
      </c>
      <c r="H6" s="10">
        <v>5</v>
      </c>
      <c r="I6" s="10">
        <v>4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19</v>
      </c>
      <c r="U6" s="10">
        <v>11</v>
      </c>
      <c r="V6" s="12">
        <v>0</v>
      </c>
      <c r="W6" s="10">
        <v>5</v>
      </c>
      <c r="X6" s="10">
        <v>3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1.18</v>
      </c>
      <c r="AK6" s="10">
        <v>1</v>
      </c>
      <c r="AL6" s="10">
        <v>2</v>
      </c>
      <c r="AM6" s="30">
        <v>0</v>
      </c>
    </row>
    <row r="7">
      <c r="A7" s="23">
        <v>1139</v>
      </c>
      <c r="B7" s="4" t="s">
        <v>31</v>
      </c>
      <c r="C7" s="5">
        <v>27</v>
      </c>
      <c r="D7" s="5">
        <v>26</v>
      </c>
      <c r="E7" s="6">
        <v>49</v>
      </c>
      <c r="F7" s="7">
        <v>0</v>
      </c>
      <c r="G7" s="5">
        <v>1</v>
      </c>
      <c r="H7" s="7">
        <v>0</v>
      </c>
      <c r="I7" s="5">
        <v>48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46</v>
      </c>
      <c r="U7" s="7">
        <v>0</v>
      </c>
      <c r="V7" s="5">
        <v>1</v>
      </c>
      <c r="W7" s="7">
        <v>0</v>
      </c>
      <c r="X7" s="5">
        <v>45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1.81</v>
      </c>
      <c r="AK7" s="5">
        <v>1</v>
      </c>
      <c r="AL7" s="5">
        <v>19</v>
      </c>
      <c r="AM7" s="28">
        <v>11.19</v>
      </c>
    </row>
    <row r="8">
      <c r="A8" s="24">
        <v>1141</v>
      </c>
      <c r="B8" s="9" t="s">
        <v>32</v>
      </c>
      <c r="C8" s="10">
        <v>2</v>
      </c>
      <c r="D8" s="10">
        <v>2</v>
      </c>
      <c r="E8" s="11">
        <v>2</v>
      </c>
      <c r="F8" s="12">
        <v>0</v>
      </c>
      <c r="G8" s="12">
        <v>0</v>
      </c>
      <c r="H8" s="12">
        <v>0</v>
      </c>
      <c r="I8" s="10">
        <v>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2</v>
      </c>
      <c r="U8" s="12">
        <v>0</v>
      </c>
      <c r="V8" s="12">
        <v>0</v>
      </c>
      <c r="W8" s="12">
        <v>0</v>
      </c>
      <c r="X8" s="10">
        <v>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0.73</v>
      </c>
    </row>
    <row r="9">
      <c r="A9" s="23">
        <v>1172</v>
      </c>
      <c r="B9" s="4" t="s">
        <v>33</v>
      </c>
      <c r="C9" s="5">
        <v>23</v>
      </c>
      <c r="D9" s="5">
        <v>1</v>
      </c>
      <c r="E9" s="6">
        <v>24</v>
      </c>
      <c r="F9" s="5">
        <v>24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23</v>
      </c>
      <c r="U9" s="5">
        <v>23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1.04</v>
      </c>
      <c r="AK9" s="5">
        <v>1</v>
      </c>
      <c r="AL9" s="5">
        <v>2</v>
      </c>
      <c r="AM9" s="28">
        <v>0.22</v>
      </c>
    </row>
    <row r="10">
      <c r="A10" s="24">
        <v>1199</v>
      </c>
      <c r="B10" s="9" t="s">
        <v>34</v>
      </c>
      <c r="C10" s="10">
        <v>116</v>
      </c>
      <c r="D10" s="10">
        <v>116</v>
      </c>
      <c r="E10" s="11">
        <v>134</v>
      </c>
      <c r="F10" s="12">
        <v>0</v>
      </c>
      <c r="G10" s="12">
        <v>0</v>
      </c>
      <c r="H10" s="10">
        <v>134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134</v>
      </c>
      <c r="U10" s="12">
        <v>0</v>
      </c>
      <c r="V10" s="12">
        <v>0</v>
      </c>
      <c r="W10" s="10">
        <v>134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1.16</v>
      </c>
      <c r="AK10" s="10">
        <v>1</v>
      </c>
      <c r="AL10" s="10">
        <v>3</v>
      </c>
      <c r="AM10" s="29">
        <v>32.25</v>
      </c>
    </row>
    <row r="11">
      <c r="A11" s="23">
        <v>1213</v>
      </c>
      <c r="B11" s="4" t="s">
        <v>35</v>
      </c>
      <c r="C11" s="5">
        <v>167</v>
      </c>
      <c r="D11" s="5">
        <v>160</v>
      </c>
      <c r="E11" s="6">
        <v>241</v>
      </c>
      <c r="F11" s="7">
        <v>0</v>
      </c>
      <c r="G11" s="7">
        <v>0</v>
      </c>
      <c r="H11" s="7">
        <v>0</v>
      </c>
      <c r="I11" s="5">
        <v>241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229</v>
      </c>
      <c r="U11" s="7">
        <v>0</v>
      </c>
      <c r="V11" s="7">
        <v>0</v>
      </c>
      <c r="W11" s="7">
        <v>0</v>
      </c>
      <c r="X11" s="5">
        <v>229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1.44</v>
      </c>
      <c r="AK11" s="5">
        <v>1</v>
      </c>
      <c r="AL11" s="5">
        <v>9</v>
      </c>
      <c r="AM11" s="28">
        <v>54.4</v>
      </c>
    </row>
    <row r="12">
      <c r="A12" s="24">
        <v>1221</v>
      </c>
      <c r="B12" s="9" t="s">
        <v>36</v>
      </c>
      <c r="C12" s="10">
        <v>34</v>
      </c>
      <c r="D12" s="10">
        <v>34</v>
      </c>
      <c r="E12" s="11">
        <v>40</v>
      </c>
      <c r="F12" s="10">
        <v>1</v>
      </c>
      <c r="G12" s="12">
        <v>0</v>
      </c>
      <c r="H12" s="10">
        <v>2</v>
      </c>
      <c r="I12" s="10">
        <v>37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37</v>
      </c>
      <c r="U12" s="10">
        <v>1</v>
      </c>
      <c r="V12" s="12">
        <v>0</v>
      </c>
      <c r="W12" s="10">
        <v>2</v>
      </c>
      <c r="X12" s="10">
        <v>34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1.14</v>
      </c>
      <c r="AK12" s="10">
        <v>1</v>
      </c>
      <c r="AL12" s="10">
        <v>3</v>
      </c>
      <c r="AM12" s="29">
        <v>9.19</v>
      </c>
    </row>
    <row r="13">
      <c r="A13" s="23">
        <v>1222</v>
      </c>
      <c r="B13" s="4" t="s">
        <v>37</v>
      </c>
      <c r="C13" s="5">
        <v>13</v>
      </c>
      <c r="D13" s="5">
        <v>11</v>
      </c>
      <c r="E13" s="6">
        <v>13</v>
      </c>
      <c r="F13" s="5">
        <v>13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13</v>
      </c>
      <c r="U13" s="5">
        <v>13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</v>
      </c>
      <c r="AK13" s="5">
        <v>1</v>
      </c>
      <c r="AL13" s="5">
        <v>1</v>
      </c>
      <c r="AM13" s="28">
        <v>3.98</v>
      </c>
    </row>
    <row r="14">
      <c r="A14" s="24">
        <v>1254</v>
      </c>
      <c r="B14" s="9" t="s">
        <v>38</v>
      </c>
      <c r="C14" s="10">
        <v>23</v>
      </c>
      <c r="D14" s="10">
        <v>23</v>
      </c>
      <c r="E14" s="11">
        <v>41</v>
      </c>
      <c r="F14" s="12">
        <v>0</v>
      </c>
      <c r="G14" s="12">
        <v>0</v>
      </c>
      <c r="H14" s="12">
        <v>0</v>
      </c>
      <c r="I14" s="10">
        <v>41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41</v>
      </c>
      <c r="U14" s="12">
        <v>0</v>
      </c>
      <c r="V14" s="12">
        <v>0</v>
      </c>
      <c r="W14" s="12">
        <v>0</v>
      </c>
      <c r="X14" s="10">
        <v>41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1.78</v>
      </c>
      <c r="AK14" s="10">
        <v>1</v>
      </c>
      <c r="AL14" s="10">
        <v>7</v>
      </c>
      <c r="AM14" s="29">
        <v>9.93</v>
      </c>
    </row>
    <row r="15">
      <c r="A15" s="23">
        <v>1293</v>
      </c>
      <c r="B15" s="4" t="s">
        <v>39</v>
      </c>
      <c r="C15" s="5">
        <v>4</v>
      </c>
      <c r="D15" s="5">
        <v>4</v>
      </c>
      <c r="E15" s="6">
        <v>4</v>
      </c>
      <c r="F15" s="7">
        <v>0</v>
      </c>
      <c r="G15" s="7">
        <v>0</v>
      </c>
      <c r="H15" s="7">
        <v>0</v>
      </c>
      <c r="I15" s="5">
        <v>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4</v>
      </c>
      <c r="U15" s="7">
        <v>0</v>
      </c>
      <c r="V15" s="7">
        <v>0</v>
      </c>
      <c r="W15" s="7">
        <v>0</v>
      </c>
      <c r="X15" s="5">
        <v>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1.02</v>
      </c>
    </row>
    <row r="16">
      <c r="A16" s="24">
        <v>1379</v>
      </c>
      <c r="B16" s="9" t="s">
        <v>40</v>
      </c>
      <c r="C16" s="10">
        <v>159</v>
      </c>
      <c r="D16" s="10">
        <v>159</v>
      </c>
      <c r="E16" s="11">
        <v>837</v>
      </c>
      <c r="F16" s="12">
        <v>0</v>
      </c>
      <c r="G16" s="12">
        <v>0</v>
      </c>
      <c r="H16" s="12">
        <v>0</v>
      </c>
      <c r="I16" s="10">
        <v>837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780</v>
      </c>
      <c r="U16" s="12">
        <v>0</v>
      </c>
      <c r="V16" s="12">
        <v>0</v>
      </c>
      <c r="W16" s="12">
        <v>0</v>
      </c>
      <c r="X16" s="10">
        <v>780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5.26</v>
      </c>
      <c r="AK16" s="10">
        <v>1</v>
      </c>
      <c r="AL16" s="10">
        <v>405</v>
      </c>
      <c r="AM16" s="29">
        <v>199.99</v>
      </c>
    </row>
    <row r="17">
      <c r="A17" s="23">
        <v>1422</v>
      </c>
      <c r="B17" s="4" t="s">
        <v>41</v>
      </c>
      <c r="C17" s="5">
        <v>2</v>
      </c>
      <c r="D17" s="7">
        <v>0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1">
        <v>0</v>
      </c>
    </row>
    <row r="18">
      <c r="A18" s="24">
        <v>1423</v>
      </c>
      <c r="B18" s="9" t="s">
        <v>42</v>
      </c>
      <c r="C18" s="10">
        <v>7</v>
      </c>
      <c r="D18" s="10">
        <v>7</v>
      </c>
      <c r="E18" s="11">
        <v>29</v>
      </c>
      <c r="F18" s="12">
        <v>0</v>
      </c>
      <c r="G18" s="12">
        <v>0</v>
      </c>
      <c r="H18" s="12">
        <v>0</v>
      </c>
      <c r="I18" s="10">
        <v>29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28</v>
      </c>
      <c r="U18" s="12">
        <v>0</v>
      </c>
      <c r="V18" s="12">
        <v>0</v>
      </c>
      <c r="W18" s="12">
        <v>0</v>
      </c>
      <c r="X18" s="10">
        <v>28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4.14</v>
      </c>
      <c r="AK18" s="10">
        <v>1</v>
      </c>
      <c r="AL18" s="10">
        <v>18</v>
      </c>
      <c r="AM18" s="29">
        <v>6.77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0.26</v>
      </c>
    </row>
    <row r="20">
      <c r="A20" s="24">
        <v>1445</v>
      </c>
      <c r="B20" s="9" t="s">
        <v>44</v>
      </c>
      <c r="C20" s="10">
        <v>3</v>
      </c>
      <c r="D20" s="12">
        <v>0</v>
      </c>
      <c r="E20" s="11">
        <v>3</v>
      </c>
      <c r="F20" s="12">
        <v>0</v>
      </c>
      <c r="G20" s="12">
        <v>0</v>
      </c>
      <c r="H20" s="12">
        <v>0</v>
      </c>
      <c r="I20" s="12">
        <v>0</v>
      </c>
      <c r="J20" s="10">
        <v>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3</v>
      </c>
      <c r="U20" s="12">
        <v>0</v>
      </c>
      <c r="V20" s="12">
        <v>0</v>
      </c>
      <c r="W20" s="12">
        <v>0</v>
      </c>
      <c r="X20" s="12">
        <v>0</v>
      </c>
      <c r="Y20" s="10">
        <v>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30">
        <v>0</v>
      </c>
    </row>
    <row r="21">
      <c r="A21" s="23">
        <v>1538</v>
      </c>
      <c r="B21" s="4" t="s">
        <v>45</v>
      </c>
      <c r="C21" s="5">
        <v>36</v>
      </c>
      <c r="D21" s="5">
        <v>36</v>
      </c>
      <c r="E21" s="6">
        <v>102</v>
      </c>
      <c r="F21" s="7">
        <v>0</v>
      </c>
      <c r="G21" s="7">
        <v>0</v>
      </c>
      <c r="H21" s="7">
        <v>0</v>
      </c>
      <c r="I21" s="5">
        <v>102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86</v>
      </c>
      <c r="U21" s="7">
        <v>0</v>
      </c>
      <c r="V21" s="7">
        <v>0</v>
      </c>
      <c r="W21" s="7">
        <v>0</v>
      </c>
      <c r="X21" s="5">
        <v>86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2.83</v>
      </c>
      <c r="AK21" s="5">
        <v>1</v>
      </c>
      <c r="AL21" s="5">
        <v>55</v>
      </c>
      <c r="AM21" s="28">
        <v>21.58</v>
      </c>
    </row>
    <row r="22">
      <c r="A22" s="24">
        <v>1552</v>
      </c>
      <c r="B22" s="9" t="s">
        <v>46</v>
      </c>
      <c r="C22" s="10">
        <v>13</v>
      </c>
      <c r="D22" s="12">
        <v>0</v>
      </c>
      <c r="E22" s="11">
        <v>14</v>
      </c>
      <c r="F22" s="12">
        <v>0</v>
      </c>
      <c r="G22" s="12">
        <v>0</v>
      </c>
      <c r="H22" s="10">
        <v>14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13</v>
      </c>
      <c r="U22" s="12">
        <v>0</v>
      </c>
      <c r="V22" s="12">
        <v>0</v>
      </c>
      <c r="W22" s="10">
        <v>13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1.08</v>
      </c>
      <c r="AK22" s="10">
        <v>1</v>
      </c>
      <c r="AL22" s="10">
        <v>2</v>
      </c>
      <c r="AM22" s="30">
        <v>0</v>
      </c>
    </row>
    <row r="23">
      <c r="A23" s="23">
        <v>1559</v>
      </c>
      <c r="B23" s="4" t="s">
        <v>47</v>
      </c>
      <c r="C23" s="5">
        <v>33</v>
      </c>
      <c r="D23" s="5">
        <v>33</v>
      </c>
      <c r="E23" s="6">
        <v>40</v>
      </c>
      <c r="F23" s="7">
        <v>0</v>
      </c>
      <c r="G23" s="5">
        <v>2</v>
      </c>
      <c r="H23" s="7">
        <v>0</v>
      </c>
      <c r="I23" s="5">
        <v>38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37</v>
      </c>
      <c r="U23" s="7">
        <v>0</v>
      </c>
      <c r="V23" s="5">
        <v>2</v>
      </c>
      <c r="W23" s="7">
        <v>0</v>
      </c>
      <c r="X23" s="5">
        <v>35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1.21</v>
      </c>
      <c r="AK23" s="5">
        <v>1</v>
      </c>
      <c r="AL23" s="5">
        <v>2</v>
      </c>
      <c r="AM23" s="28">
        <v>9.24</v>
      </c>
    </row>
    <row r="24">
      <c r="A24" s="24">
        <v>1603</v>
      </c>
      <c r="B24" s="9" t="s">
        <v>48</v>
      </c>
      <c r="C24" s="10">
        <v>2</v>
      </c>
      <c r="D24" s="12">
        <v>0</v>
      </c>
      <c r="E24" s="11">
        <v>2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2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2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2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30">
        <v>0</v>
      </c>
    </row>
    <row r="25">
      <c r="A25" s="23">
        <v>1714</v>
      </c>
      <c r="B25" s="4" t="s">
        <v>49</v>
      </c>
      <c r="C25" s="5">
        <v>2</v>
      </c>
      <c r="D25" s="5">
        <v>2</v>
      </c>
      <c r="E25" s="6">
        <v>2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2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2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2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0.48</v>
      </c>
    </row>
    <row r="26">
      <c r="A26" s="24">
        <v>1761</v>
      </c>
      <c r="B26" s="9" t="s">
        <v>50</v>
      </c>
      <c r="C26" s="10">
        <v>6</v>
      </c>
      <c r="D26" s="10">
        <v>6</v>
      </c>
      <c r="E26" s="11">
        <v>7</v>
      </c>
      <c r="F26" s="12">
        <v>0</v>
      </c>
      <c r="G26" s="12">
        <v>0</v>
      </c>
      <c r="H26" s="12">
        <v>0</v>
      </c>
      <c r="I26" s="10">
        <v>7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6</v>
      </c>
      <c r="U26" s="12">
        <v>0</v>
      </c>
      <c r="V26" s="12">
        <v>0</v>
      </c>
      <c r="W26" s="12">
        <v>0</v>
      </c>
      <c r="X26" s="10">
        <v>6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1.17</v>
      </c>
      <c r="AK26" s="10">
        <v>1</v>
      </c>
      <c r="AL26" s="10">
        <v>2</v>
      </c>
      <c r="AM26" s="29">
        <v>1.53</v>
      </c>
    </row>
    <row r="27">
      <c r="A27" s="23">
        <v>1779</v>
      </c>
      <c r="B27" s="4" t="s">
        <v>51</v>
      </c>
      <c r="C27" s="5">
        <v>18</v>
      </c>
      <c r="D27" s="5">
        <v>17</v>
      </c>
      <c r="E27" s="6">
        <v>171</v>
      </c>
      <c r="F27" s="7">
        <v>0</v>
      </c>
      <c r="G27" s="7">
        <v>0</v>
      </c>
      <c r="H27" s="7">
        <v>0</v>
      </c>
      <c r="I27" s="5">
        <v>171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155</v>
      </c>
      <c r="U27" s="7">
        <v>0</v>
      </c>
      <c r="V27" s="7">
        <v>0</v>
      </c>
      <c r="W27" s="7">
        <v>0</v>
      </c>
      <c r="X27" s="5">
        <v>155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9.5</v>
      </c>
      <c r="AK27" s="5">
        <v>1</v>
      </c>
      <c r="AL27" s="5">
        <v>76</v>
      </c>
      <c r="AM27" s="28">
        <v>39.64</v>
      </c>
    </row>
    <row r="28">
      <c r="A28" s="24">
        <v>1937</v>
      </c>
      <c r="B28" s="9" t="s">
        <v>52</v>
      </c>
      <c r="C28" s="10">
        <v>7</v>
      </c>
      <c r="D28" s="10">
        <v>4</v>
      </c>
      <c r="E28" s="11">
        <v>10</v>
      </c>
      <c r="F28" s="10">
        <v>10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7</v>
      </c>
      <c r="U28" s="10">
        <v>7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1.43</v>
      </c>
      <c r="AK28" s="10">
        <v>1</v>
      </c>
      <c r="AL28" s="10">
        <v>4</v>
      </c>
      <c r="AM28" s="29">
        <v>1.03</v>
      </c>
    </row>
    <row r="29">
      <c r="A29" s="23">
        <v>1939</v>
      </c>
      <c r="B29" s="4" t="s">
        <v>53</v>
      </c>
      <c r="C29" s="5">
        <v>3</v>
      </c>
      <c r="D29" s="5">
        <v>1</v>
      </c>
      <c r="E29" s="6">
        <v>3</v>
      </c>
      <c r="F29" s="7">
        <v>0</v>
      </c>
      <c r="G29" s="7">
        <v>0</v>
      </c>
      <c r="H29" s="5">
        <v>3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3</v>
      </c>
      <c r="U29" s="7">
        <v>0</v>
      </c>
      <c r="V29" s="7">
        <v>0</v>
      </c>
      <c r="W29" s="5">
        <v>3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0.26</v>
      </c>
    </row>
    <row r="30">
      <c r="A30" s="24">
        <v>1985</v>
      </c>
      <c r="B30" s="9" t="s">
        <v>54</v>
      </c>
      <c r="C30" s="10">
        <v>13</v>
      </c>
      <c r="D30" s="10">
        <v>10</v>
      </c>
      <c r="E30" s="11">
        <v>13</v>
      </c>
      <c r="F30" s="10">
        <v>13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13</v>
      </c>
      <c r="U30" s="10">
        <v>13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2.51</v>
      </c>
    </row>
    <row r="31">
      <c r="A31" s="23">
        <v>1988</v>
      </c>
      <c r="B31" s="4" t="s">
        <v>55</v>
      </c>
      <c r="C31" s="5">
        <v>39</v>
      </c>
      <c r="D31" s="5">
        <v>33</v>
      </c>
      <c r="E31" s="6">
        <v>43</v>
      </c>
      <c r="F31" s="7">
        <v>0</v>
      </c>
      <c r="G31" s="5">
        <v>43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41</v>
      </c>
      <c r="U31" s="7">
        <v>0</v>
      </c>
      <c r="V31" s="5">
        <v>41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</v>
      </c>
      <c r="AK31" s="5">
        <v>1</v>
      </c>
      <c r="AL31" s="5">
        <v>3</v>
      </c>
      <c r="AM31" s="28">
        <v>9.66</v>
      </c>
    </row>
    <row r="32">
      <c r="A32" s="24">
        <v>2063</v>
      </c>
      <c r="B32" s="9" t="s">
        <v>56</v>
      </c>
      <c r="C32" s="10">
        <v>3</v>
      </c>
      <c r="D32" s="10">
        <v>3</v>
      </c>
      <c r="E32" s="11">
        <v>28</v>
      </c>
      <c r="F32" s="12">
        <v>0</v>
      </c>
      <c r="G32" s="12">
        <v>0</v>
      </c>
      <c r="H32" s="12">
        <v>0</v>
      </c>
      <c r="I32" s="10">
        <v>28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25</v>
      </c>
      <c r="U32" s="12">
        <v>0</v>
      </c>
      <c r="V32" s="12">
        <v>0</v>
      </c>
      <c r="W32" s="12">
        <v>0</v>
      </c>
      <c r="X32" s="10">
        <v>25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2</v>
      </c>
      <c r="AJ32" s="13">
        <v>9.33</v>
      </c>
      <c r="AK32" s="10">
        <v>5</v>
      </c>
      <c r="AL32" s="10">
        <v>21</v>
      </c>
      <c r="AM32" s="29">
        <v>6.31</v>
      </c>
    </row>
    <row r="33">
      <c r="A33" s="25">
        <v>2072</v>
      </c>
      <c r="B33" s="16" t="s">
        <v>57</v>
      </c>
      <c r="C33" s="17">
        <v>20</v>
      </c>
      <c r="D33" s="17">
        <v>20</v>
      </c>
      <c r="E33" s="18">
        <v>21</v>
      </c>
      <c r="F33" s="19">
        <v>0</v>
      </c>
      <c r="G33" s="17">
        <v>21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7">
        <v>0</v>
      </c>
      <c r="T33" s="18">
        <v>21</v>
      </c>
      <c r="U33" s="19">
        <v>0</v>
      </c>
      <c r="V33" s="17">
        <v>21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1.05</v>
      </c>
      <c r="AK33" s="17">
        <v>1</v>
      </c>
      <c r="AL33" s="17">
        <v>2</v>
      </c>
      <c r="AM33" s="32">
        <v>5.09</v>
      </c>
    </row>
    <row r="35">
      <c r="A35" s="0" t="s">
        <v>0</v>
      </c>
      <c r="B35" s="38" t="s">
        <v>58</v>
      </c>
      <c r="C35" s="39">
        <f>SUM(C3:C33)</f>
      </c>
      <c r="D35" s="39">
        <f>SUM(D3:D33)</f>
      </c>
      <c r="E35" s="40">
        <f>SUM(E3:E33)</f>
      </c>
      <c r="F35" s="39">
        <f>SUM(F3:F33)</f>
      </c>
      <c r="G35" s="39">
        <f>SUM(G3:G33)</f>
      </c>
      <c r="H35" s="39">
        <f>SUM(H3:H33)</f>
      </c>
      <c r="I35" s="39">
        <f>SUM(I3:I33)</f>
      </c>
      <c r="J35" s="39">
        <f>SUM(J3:J33)</f>
      </c>
      <c r="K35" s="39">
        <f>SUM(K3:K33)</f>
      </c>
      <c r="L35" s="39">
        <f>SUM(L3:L33)</f>
      </c>
      <c r="M35" s="39">
        <f>SUM(M3:M33)</f>
      </c>
      <c r="N35" s="39">
        <f>SUM(N3:N33)</f>
      </c>
      <c r="O35" s="39">
        <f>SUM(O3:O33)</f>
      </c>
      <c r="P35" s="39">
        <f>SUM(P3:P33)</f>
      </c>
      <c r="Q35" s="39">
        <f>SUM(Q3:Q33)</f>
      </c>
      <c r="R35" s="39">
        <f>SUM(R3:R33)</f>
      </c>
      <c r="S35" s="39">
        <f>SUM(S3:S33)</f>
      </c>
      <c r="T35" s="40">
        <f>SUM(T3:T33)</f>
      </c>
      <c r="U35" s="39">
        <f>SUM(U3:U33)</f>
      </c>
      <c r="V35" s="39">
        <f>SUM(V3:V33)</f>
      </c>
      <c r="W35" s="39">
        <f>SUM(W3:W33)</f>
      </c>
      <c r="X35" s="39">
        <f>SUM(X3:X33)</f>
      </c>
      <c r="Y35" s="39">
        <f>SUM(Y3:Y33)</f>
      </c>
      <c r="Z35" s="39">
        <f>SUM(Z3:Z33)</f>
      </c>
      <c r="AA35" s="39">
        <f>SUM(AA3:AA33)</f>
      </c>
      <c r="AB35" s="39">
        <f>SUM(AB3:AB33)</f>
      </c>
      <c r="AC35" s="39">
        <f>SUM(AC3:AC33)</f>
      </c>
      <c r="AD35" s="39">
        <f>SUM(AD3:AD33)</f>
      </c>
      <c r="AE35" s="39">
        <f>SUM(AE3:AE33)</f>
      </c>
      <c r="AF35" s="39">
        <f>SUM(AF3:AF33)</f>
      </c>
      <c r="AG35" s="39">
        <f>SUM(AG3:AG33)</f>
      </c>
      <c r="AH35" s="39">
        <f>SUM(AH3:AH33)</f>
      </c>
      <c r="AI35" s="39">
        <f>MIN(AI3:AI33)</f>
      </c>
      <c r="AJ35" s="39">
        <f>AVERAGE(AJ3:AJ33)</f>
      </c>
      <c r="AK35" s="39">
        <f>MEDIAN(AK3:AK33)</f>
      </c>
      <c r="AL35" s="39">
        <f>Max(AL3:AL33)</f>
      </c>
      <c r="AM35" s="41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07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5043907165527" customWidth="1"/>
    <col min="3" max="3" width="11.7260332107544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56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2</v>
      </c>
      <c r="G3" s="5">
        <v>2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2</v>
      </c>
      <c r="V3" s="5">
        <v>2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2</v>
      </c>
      <c r="AK3" s="8">
        <v>2</v>
      </c>
      <c r="AL3" s="5">
        <v>2</v>
      </c>
      <c r="AM3" s="5">
        <v>2</v>
      </c>
      <c r="AN3" s="31">
        <v>0</v>
      </c>
    </row>
    <row r="4">
      <c r="A4" s="24">
        <v>57</v>
      </c>
      <c r="B4" s="9" t="s">
        <v>68</v>
      </c>
      <c r="C4" s="9" t="s">
        <v>65</v>
      </c>
      <c r="D4" s="9" t="s">
        <v>66</v>
      </c>
      <c r="E4" s="9" t="s">
        <v>69</v>
      </c>
      <c r="F4" s="11">
        <v>2</v>
      </c>
      <c r="G4" s="10">
        <v>1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2</v>
      </c>
      <c r="V4" s="10">
        <v>1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0.6</v>
      </c>
    </row>
    <row r="5">
      <c r="A5" s="23">
        <v>111</v>
      </c>
      <c r="B5" s="4" t="s">
        <v>70</v>
      </c>
      <c r="C5" s="4" t="s">
        <v>65</v>
      </c>
      <c r="D5" s="4" t="s">
        <v>71</v>
      </c>
      <c r="E5" s="4" t="s">
        <v>72</v>
      </c>
      <c r="F5" s="6">
        <v>4</v>
      </c>
      <c r="G5" s="5">
        <v>1</v>
      </c>
      <c r="H5" s="7">
        <v>0</v>
      </c>
      <c r="I5" s="5">
        <v>1</v>
      </c>
      <c r="J5" s="5">
        <v>1</v>
      </c>
      <c r="K5" s="7">
        <v>0</v>
      </c>
      <c r="L5" s="5">
        <v>1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4</v>
      </c>
      <c r="V5" s="5">
        <v>1</v>
      </c>
      <c r="W5" s="7">
        <v>0</v>
      </c>
      <c r="X5" s="5">
        <v>1</v>
      </c>
      <c r="Y5" s="5">
        <v>1</v>
      </c>
      <c r="Z5" s="7">
        <v>0</v>
      </c>
      <c r="AA5" s="5">
        <v>1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130</v>
      </c>
      <c r="B6" s="9" t="s">
        <v>73</v>
      </c>
      <c r="C6" s="9" t="s">
        <v>65</v>
      </c>
      <c r="D6" s="9" t="s">
        <v>74</v>
      </c>
      <c r="E6" s="9" t="s">
        <v>75</v>
      </c>
      <c r="F6" s="11">
        <v>2</v>
      </c>
      <c r="G6" s="10">
        <v>1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2</v>
      </c>
      <c r="V6" s="10">
        <v>1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0.26</v>
      </c>
    </row>
    <row r="7">
      <c r="A7" s="23">
        <v>142</v>
      </c>
      <c r="B7" s="4" t="s">
        <v>76</v>
      </c>
      <c r="C7" s="4" t="s">
        <v>65</v>
      </c>
      <c r="D7" s="4" t="s">
        <v>74</v>
      </c>
      <c r="E7" s="4" t="s">
        <v>77</v>
      </c>
      <c r="F7" s="6">
        <v>2</v>
      </c>
      <c r="G7" s="7">
        <v>0</v>
      </c>
      <c r="H7" s="7">
        <v>0</v>
      </c>
      <c r="I7" s="7">
        <v>0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2</v>
      </c>
      <c r="V7" s="7">
        <v>0</v>
      </c>
      <c r="W7" s="7">
        <v>0</v>
      </c>
      <c r="X7" s="7">
        <v>0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2</v>
      </c>
      <c r="AL7" s="5">
        <v>2</v>
      </c>
      <c r="AM7" s="5">
        <v>2</v>
      </c>
      <c r="AN7" s="28">
        <v>0.5</v>
      </c>
    </row>
    <row r="8">
      <c r="A8" s="24">
        <v>152</v>
      </c>
      <c r="B8" s="9" t="s">
        <v>78</v>
      </c>
      <c r="C8" s="9" t="s">
        <v>65</v>
      </c>
      <c r="D8" s="9" t="s">
        <v>79</v>
      </c>
      <c r="E8" s="9" t="s">
        <v>80</v>
      </c>
      <c r="F8" s="11">
        <v>13</v>
      </c>
      <c r="G8" s="12">
        <v>0</v>
      </c>
      <c r="H8" s="12">
        <v>0</v>
      </c>
      <c r="I8" s="12">
        <v>0</v>
      </c>
      <c r="J8" s="10">
        <v>13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13</v>
      </c>
      <c r="V8" s="12">
        <v>0</v>
      </c>
      <c r="W8" s="12">
        <v>0</v>
      </c>
      <c r="X8" s="12">
        <v>0</v>
      </c>
      <c r="Y8" s="10">
        <v>13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6.5</v>
      </c>
      <c r="AL8" s="10">
        <v>6</v>
      </c>
      <c r="AM8" s="10">
        <v>11</v>
      </c>
      <c r="AN8" s="29">
        <v>3.25</v>
      </c>
    </row>
    <row r="9">
      <c r="A9" s="23">
        <v>154</v>
      </c>
      <c r="B9" s="4" t="s">
        <v>81</v>
      </c>
      <c r="C9" s="4" t="s">
        <v>65</v>
      </c>
      <c r="D9" s="4" t="s">
        <v>74</v>
      </c>
      <c r="E9" s="4" t="s">
        <v>82</v>
      </c>
      <c r="F9" s="6">
        <v>2</v>
      </c>
      <c r="G9" s="7">
        <v>0</v>
      </c>
      <c r="H9" s="7">
        <v>0</v>
      </c>
      <c r="I9" s="5">
        <v>1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2</v>
      </c>
      <c r="V9" s="7">
        <v>0</v>
      </c>
      <c r="W9" s="7">
        <v>0</v>
      </c>
      <c r="X9" s="5">
        <v>1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0.48</v>
      </c>
    </row>
    <row r="10">
      <c r="A10" s="24">
        <v>159</v>
      </c>
      <c r="B10" s="9" t="s">
        <v>83</v>
      </c>
      <c r="C10" s="9" t="s">
        <v>65</v>
      </c>
      <c r="D10" s="9" t="s">
        <v>84</v>
      </c>
      <c r="E10" s="9" t="s">
        <v>85</v>
      </c>
      <c r="F10" s="11">
        <v>1</v>
      </c>
      <c r="G10" s="10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30">
        <v>0</v>
      </c>
    </row>
    <row r="11">
      <c r="A11" s="23">
        <v>162</v>
      </c>
      <c r="B11" s="4" t="s">
        <v>86</v>
      </c>
      <c r="C11" s="4" t="s">
        <v>65</v>
      </c>
      <c r="D11" s="4" t="s">
        <v>87</v>
      </c>
      <c r="E11" s="4" t="s">
        <v>88</v>
      </c>
      <c r="F11" s="6">
        <v>4</v>
      </c>
      <c r="G11" s="5">
        <v>4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3</v>
      </c>
      <c r="V11" s="5">
        <v>3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4</v>
      </c>
      <c r="AK11" s="8">
        <v>4</v>
      </c>
      <c r="AL11" s="5">
        <v>4</v>
      </c>
      <c r="AM11" s="5">
        <v>4</v>
      </c>
      <c r="AN11" s="31">
        <v>0</v>
      </c>
    </row>
    <row r="12">
      <c r="A12" s="24">
        <v>164</v>
      </c>
      <c r="B12" s="9" t="s">
        <v>89</v>
      </c>
      <c r="C12" s="9" t="s">
        <v>65</v>
      </c>
      <c r="D12" s="9" t="s">
        <v>79</v>
      </c>
      <c r="E12" s="9" t="s">
        <v>90</v>
      </c>
      <c r="F12" s="11">
        <v>2</v>
      </c>
      <c r="G12" s="10">
        <v>1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2</v>
      </c>
      <c r="V12" s="10">
        <v>1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0.62</v>
      </c>
    </row>
    <row r="13">
      <c r="A13" s="23">
        <v>168</v>
      </c>
      <c r="B13" s="4" t="s">
        <v>91</v>
      </c>
      <c r="C13" s="4" t="s">
        <v>65</v>
      </c>
      <c r="D13" s="4" t="s">
        <v>79</v>
      </c>
      <c r="E13" s="4" t="s">
        <v>90</v>
      </c>
      <c r="F13" s="6">
        <v>2</v>
      </c>
      <c r="G13" s="7">
        <v>0</v>
      </c>
      <c r="H13" s="7">
        <v>0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2</v>
      </c>
      <c r="V13" s="7">
        <v>0</v>
      </c>
      <c r="W13" s="7">
        <v>0</v>
      </c>
      <c r="X13" s="7">
        <v>0</v>
      </c>
      <c r="Y13" s="5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0.5</v>
      </c>
    </row>
    <row r="14">
      <c r="A14" s="24">
        <v>171</v>
      </c>
      <c r="B14" s="9" t="s">
        <v>92</v>
      </c>
      <c r="C14" s="9" t="s">
        <v>65</v>
      </c>
      <c r="D14" s="9" t="s">
        <v>87</v>
      </c>
      <c r="E14" s="9" t="s">
        <v>93</v>
      </c>
      <c r="F14" s="11">
        <v>1</v>
      </c>
      <c r="G14" s="12">
        <v>0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2">
        <v>0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0.26</v>
      </c>
    </row>
    <row r="15">
      <c r="A15" s="23">
        <v>178</v>
      </c>
      <c r="B15" s="4" t="s">
        <v>94</v>
      </c>
      <c r="C15" s="4" t="s">
        <v>65</v>
      </c>
      <c r="D15" s="4" t="s">
        <v>74</v>
      </c>
      <c r="E15" s="4" t="s">
        <v>75</v>
      </c>
      <c r="F15" s="6">
        <v>1</v>
      </c>
      <c r="G15" s="5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1">
        <v>0</v>
      </c>
    </row>
    <row r="16">
      <c r="A16" s="24">
        <v>179</v>
      </c>
      <c r="B16" s="9" t="s">
        <v>95</v>
      </c>
      <c r="C16" s="9" t="s">
        <v>65</v>
      </c>
      <c r="D16" s="9" t="s">
        <v>79</v>
      </c>
      <c r="E16" s="9" t="s">
        <v>96</v>
      </c>
      <c r="F16" s="11">
        <v>1</v>
      </c>
      <c r="G16" s="12">
        <v>0</v>
      </c>
      <c r="H16" s="12">
        <v>0</v>
      </c>
      <c r="I16" s="12">
        <v>0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1</v>
      </c>
      <c r="V16" s="12">
        <v>0</v>
      </c>
      <c r="W16" s="12">
        <v>0</v>
      </c>
      <c r="X16" s="12">
        <v>0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0.26</v>
      </c>
    </row>
    <row r="17">
      <c r="A17" s="23">
        <v>186</v>
      </c>
      <c r="B17" s="4" t="s">
        <v>97</v>
      </c>
      <c r="C17" s="4" t="s">
        <v>65</v>
      </c>
      <c r="D17" s="4" t="s">
        <v>98</v>
      </c>
      <c r="E17" s="4" t="s">
        <v>99</v>
      </c>
      <c r="F17" s="6">
        <v>2</v>
      </c>
      <c r="G17" s="5">
        <v>1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2</v>
      </c>
      <c r="V17" s="5">
        <v>1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0.5</v>
      </c>
    </row>
    <row r="18">
      <c r="A18" s="24">
        <v>187</v>
      </c>
      <c r="B18" s="9" t="s">
        <v>100</v>
      </c>
      <c r="C18" s="9" t="s">
        <v>65</v>
      </c>
      <c r="D18" s="9" t="s">
        <v>101</v>
      </c>
      <c r="E18" s="9" t="s">
        <v>102</v>
      </c>
      <c r="F18" s="11">
        <v>5</v>
      </c>
      <c r="G18" s="10">
        <v>4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5</v>
      </c>
      <c r="V18" s="10">
        <v>4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2.5</v>
      </c>
      <c r="AL18" s="10">
        <v>2</v>
      </c>
      <c r="AM18" s="10">
        <v>4</v>
      </c>
      <c r="AN18" s="29">
        <v>0.22</v>
      </c>
    </row>
    <row r="19">
      <c r="A19" s="23">
        <v>191</v>
      </c>
      <c r="B19" s="4" t="s">
        <v>103</v>
      </c>
      <c r="C19" s="4" t="s">
        <v>65</v>
      </c>
      <c r="D19" s="4" t="s">
        <v>104</v>
      </c>
      <c r="E19" s="4" t="s">
        <v>105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200</v>
      </c>
      <c r="B20" s="9" t="s">
        <v>106</v>
      </c>
      <c r="C20" s="9" t="s">
        <v>65</v>
      </c>
      <c r="D20" s="9" t="s">
        <v>104</v>
      </c>
      <c r="E20" s="9" t="s">
        <v>107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203</v>
      </c>
      <c r="B21" s="4" t="s">
        <v>108</v>
      </c>
      <c r="C21" s="4" t="s">
        <v>65</v>
      </c>
      <c r="D21" s="4" t="s">
        <v>71</v>
      </c>
      <c r="E21" s="4" t="s">
        <v>109</v>
      </c>
      <c r="F21" s="6">
        <v>7</v>
      </c>
      <c r="G21" s="7">
        <v>0</v>
      </c>
      <c r="H21" s="7">
        <v>0</v>
      </c>
      <c r="I21" s="7">
        <v>0</v>
      </c>
      <c r="J21" s="5">
        <v>7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6</v>
      </c>
      <c r="V21" s="7">
        <v>0</v>
      </c>
      <c r="W21" s="7">
        <v>0</v>
      </c>
      <c r="X21" s="7">
        <v>0</v>
      </c>
      <c r="Y21" s="5">
        <v>6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7</v>
      </c>
      <c r="AK21" s="8">
        <v>7</v>
      </c>
      <c r="AL21" s="5">
        <v>7</v>
      </c>
      <c r="AM21" s="5">
        <v>7</v>
      </c>
      <c r="AN21" s="28">
        <v>1.5</v>
      </c>
    </row>
    <row r="22">
      <c r="A22" s="24">
        <v>208</v>
      </c>
      <c r="B22" s="9" t="s">
        <v>110</v>
      </c>
      <c r="C22" s="9" t="s">
        <v>65</v>
      </c>
      <c r="D22" s="9" t="s">
        <v>111</v>
      </c>
      <c r="E22" s="9" t="s">
        <v>112</v>
      </c>
      <c r="F22" s="11">
        <v>5</v>
      </c>
      <c r="G22" s="10">
        <v>3</v>
      </c>
      <c r="H22" s="12">
        <v>0</v>
      </c>
      <c r="I22" s="10">
        <v>1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5</v>
      </c>
      <c r="V22" s="10">
        <v>3</v>
      </c>
      <c r="W22" s="12">
        <v>0</v>
      </c>
      <c r="X22" s="10">
        <v>1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0.5</v>
      </c>
    </row>
    <row r="23">
      <c r="A23" s="23">
        <v>213</v>
      </c>
      <c r="B23" s="4" t="s">
        <v>113</v>
      </c>
      <c r="C23" s="4" t="s">
        <v>65</v>
      </c>
      <c r="D23" s="4" t="s">
        <v>111</v>
      </c>
      <c r="E23" s="4" t="s">
        <v>114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214</v>
      </c>
      <c r="B24" s="9" t="s">
        <v>115</v>
      </c>
      <c r="C24" s="9" t="s">
        <v>65</v>
      </c>
      <c r="D24" s="9" t="s">
        <v>71</v>
      </c>
      <c r="E24" s="9" t="s">
        <v>116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0">
        <v>0</v>
      </c>
    </row>
    <row r="25">
      <c r="A25" s="23">
        <v>218</v>
      </c>
      <c r="B25" s="4" t="s">
        <v>117</v>
      </c>
      <c r="C25" s="4" t="s">
        <v>65</v>
      </c>
      <c r="D25" s="4" t="s">
        <v>74</v>
      </c>
      <c r="E25" s="4" t="s">
        <v>118</v>
      </c>
      <c r="F25" s="6">
        <v>2</v>
      </c>
      <c r="G25" s="7">
        <v>0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</v>
      </c>
      <c r="V25" s="7">
        <v>0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0.5</v>
      </c>
    </row>
    <row r="26">
      <c r="A26" s="24">
        <v>221</v>
      </c>
      <c r="B26" s="9" t="s">
        <v>119</v>
      </c>
      <c r="C26" s="9" t="s">
        <v>65</v>
      </c>
      <c r="D26" s="9" t="s">
        <v>120</v>
      </c>
      <c r="E26" s="9" t="s">
        <v>121</v>
      </c>
      <c r="F26" s="11">
        <v>2</v>
      </c>
      <c r="G26" s="12">
        <v>0</v>
      </c>
      <c r="H26" s="12">
        <v>0</v>
      </c>
      <c r="I26" s="12">
        <v>0</v>
      </c>
      <c r="J26" s="10">
        <v>1</v>
      </c>
      <c r="K26" s="12">
        <v>0</v>
      </c>
      <c r="L26" s="10">
        <v>1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2</v>
      </c>
      <c r="V26" s="12">
        <v>0</v>
      </c>
      <c r="W26" s="12">
        <v>0</v>
      </c>
      <c r="X26" s="12">
        <v>0</v>
      </c>
      <c r="Y26" s="10">
        <v>1</v>
      </c>
      <c r="Z26" s="12">
        <v>0</v>
      </c>
      <c r="AA26" s="10">
        <v>1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222</v>
      </c>
      <c r="B27" s="4" t="s">
        <v>122</v>
      </c>
      <c r="C27" s="4" t="s">
        <v>65</v>
      </c>
      <c r="D27" s="4" t="s">
        <v>71</v>
      </c>
      <c r="E27" s="4" t="s">
        <v>123</v>
      </c>
      <c r="F27" s="6">
        <v>1</v>
      </c>
      <c r="G27" s="7">
        <v>0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</v>
      </c>
      <c r="V27" s="7">
        <v>0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0.25</v>
      </c>
    </row>
    <row r="28">
      <c r="A28" s="24">
        <v>226</v>
      </c>
      <c r="B28" s="9" t="s">
        <v>124</v>
      </c>
      <c r="C28" s="9" t="s">
        <v>65</v>
      </c>
      <c r="D28" s="9" t="s">
        <v>111</v>
      </c>
      <c r="E28" s="9" t="s">
        <v>125</v>
      </c>
      <c r="F28" s="11">
        <v>2</v>
      </c>
      <c r="G28" s="10">
        <v>1</v>
      </c>
      <c r="H28" s="12">
        <v>0</v>
      </c>
      <c r="I28" s="10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2</v>
      </c>
      <c r="V28" s="10">
        <v>1</v>
      </c>
      <c r="W28" s="12">
        <v>0</v>
      </c>
      <c r="X28" s="10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0.25</v>
      </c>
    </row>
    <row r="29">
      <c r="A29" s="23">
        <v>227</v>
      </c>
      <c r="B29" s="4" t="s">
        <v>126</v>
      </c>
      <c r="C29" s="4" t="s">
        <v>65</v>
      </c>
      <c r="D29" s="4" t="s">
        <v>127</v>
      </c>
      <c r="E29" s="4" t="s">
        <v>128</v>
      </c>
      <c r="F29" s="6">
        <v>6</v>
      </c>
      <c r="G29" s="5">
        <v>5</v>
      </c>
      <c r="H29" s="7">
        <v>0</v>
      </c>
      <c r="I29" s="5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6</v>
      </c>
      <c r="V29" s="5">
        <v>5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</v>
      </c>
      <c r="AL29" s="5">
        <v>3</v>
      </c>
      <c r="AM29" s="5">
        <v>5</v>
      </c>
      <c r="AN29" s="31">
        <v>0</v>
      </c>
    </row>
    <row r="30">
      <c r="A30" s="24">
        <v>234</v>
      </c>
      <c r="B30" s="9" t="s">
        <v>129</v>
      </c>
      <c r="C30" s="9" t="s">
        <v>65</v>
      </c>
      <c r="D30" s="9" t="s">
        <v>71</v>
      </c>
      <c r="E30" s="9" t="s">
        <v>109</v>
      </c>
      <c r="F30" s="11">
        <v>1</v>
      </c>
      <c r="G30" s="12">
        <v>0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</v>
      </c>
      <c r="V30" s="12">
        <v>0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236</v>
      </c>
      <c r="B31" s="4" t="s">
        <v>130</v>
      </c>
      <c r="C31" s="4" t="s">
        <v>65</v>
      </c>
      <c r="D31" s="4" t="s">
        <v>79</v>
      </c>
      <c r="E31" s="4" t="s">
        <v>131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31">
        <v>0</v>
      </c>
    </row>
    <row r="32">
      <c r="A32" s="24">
        <v>240</v>
      </c>
      <c r="B32" s="9" t="s">
        <v>132</v>
      </c>
      <c r="C32" s="9" t="s">
        <v>65</v>
      </c>
      <c r="D32" s="9" t="s">
        <v>79</v>
      </c>
      <c r="E32" s="9" t="s">
        <v>133</v>
      </c>
      <c r="F32" s="11">
        <v>1</v>
      </c>
      <c r="G32" s="12">
        <v>0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2">
        <v>0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245</v>
      </c>
      <c r="B33" s="4" t="s">
        <v>134</v>
      </c>
      <c r="C33" s="4" t="s">
        <v>135</v>
      </c>
      <c r="D33" s="4" t="s">
        <v>136</v>
      </c>
      <c r="E33" s="4" t="s">
        <v>137</v>
      </c>
      <c r="F33" s="6">
        <v>2</v>
      </c>
      <c r="G33" s="7">
        <v>0</v>
      </c>
      <c r="H33" s="5">
        <v>1</v>
      </c>
      <c r="I33" s="7">
        <v>0</v>
      </c>
      <c r="J33" s="7">
        <v>0</v>
      </c>
      <c r="K33" s="7">
        <v>0</v>
      </c>
      <c r="L33" s="5">
        <v>1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2</v>
      </c>
      <c r="V33" s="7">
        <v>0</v>
      </c>
      <c r="W33" s="5">
        <v>1</v>
      </c>
      <c r="X33" s="7">
        <v>0</v>
      </c>
      <c r="Y33" s="7">
        <v>0</v>
      </c>
      <c r="Z33" s="7">
        <v>0</v>
      </c>
      <c r="AA33" s="5">
        <v>1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0.58</v>
      </c>
    </row>
    <row r="34">
      <c r="A34" s="24">
        <v>249</v>
      </c>
      <c r="B34" s="9" t="s">
        <v>138</v>
      </c>
      <c r="C34" s="9" t="s">
        <v>65</v>
      </c>
      <c r="D34" s="9" t="s">
        <v>98</v>
      </c>
      <c r="E34" s="9" t="s">
        <v>139</v>
      </c>
      <c r="F34" s="11">
        <v>2</v>
      </c>
      <c r="G34" s="10">
        <v>1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2</v>
      </c>
      <c r="V34" s="10">
        <v>1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0.26</v>
      </c>
    </row>
    <row r="35">
      <c r="A35" s="23">
        <v>250</v>
      </c>
      <c r="B35" s="4" t="s">
        <v>140</v>
      </c>
      <c r="C35" s="4" t="s">
        <v>65</v>
      </c>
      <c r="D35" s="4" t="s">
        <v>79</v>
      </c>
      <c r="E35" s="4" t="s">
        <v>141</v>
      </c>
      <c r="F35" s="6">
        <v>6</v>
      </c>
      <c r="G35" s="5">
        <v>3</v>
      </c>
      <c r="H35" s="7">
        <v>0</v>
      </c>
      <c r="I35" s="7">
        <v>0</v>
      </c>
      <c r="J35" s="5">
        <v>3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5</v>
      </c>
      <c r="V35" s="5">
        <v>3</v>
      </c>
      <c r="W35" s="7">
        <v>0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3</v>
      </c>
      <c r="AK35" s="8">
        <v>3</v>
      </c>
      <c r="AL35" s="5">
        <v>3</v>
      </c>
      <c r="AM35" s="5">
        <v>3</v>
      </c>
      <c r="AN35" s="28">
        <v>0.5</v>
      </c>
    </row>
    <row r="36">
      <c r="A36" s="24">
        <v>253</v>
      </c>
      <c r="B36" s="9" t="s">
        <v>142</v>
      </c>
      <c r="C36" s="9" t="s">
        <v>65</v>
      </c>
      <c r="D36" s="9" t="s">
        <v>111</v>
      </c>
      <c r="E36" s="9" t="s">
        <v>114</v>
      </c>
      <c r="F36" s="11">
        <v>2</v>
      </c>
      <c r="G36" s="12">
        <v>0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2</v>
      </c>
      <c r="V36" s="12">
        <v>0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0.5</v>
      </c>
    </row>
    <row r="37">
      <c r="A37" s="23">
        <v>255</v>
      </c>
      <c r="B37" s="4" t="s">
        <v>143</v>
      </c>
      <c r="C37" s="4" t="s">
        <v>65</v>
      </c>
      <c r="D37" s="4" t="s">
        <v>74</v>
      </c>
      <c r="E37" s="4" t="s">
        <v>118</v>
      </c>
      <c r="F37" s="6">
        <v>3</v>
      </c>
      <c r="G37" s="5">
        <v>1</v>
      </c>
      <c r="H37" s="7">
        <v>0</v>
      </c>
      <c r="I37" s="5">
        <v>1</v>
      </c>
      <c r="J37" s="7">
        <v>0</v>
      </c>
      <c r="K37" s="7">
        <v>0</v>
      </c>
      <c r="L37" s="5">
        <v>1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3</v>
      </c>
      <c r="V37" s="5">
        <v>1</v>
      </c>
      <c r="W37" s="7">
        <v>0</v>
      </c>
      <c r="X37" s="5">
        <v>1</v>
      </c>
      <c r="Y37" s="7">
        <v>0</v>
      </c>
      <c r="Z37" s="7">
        <v>0</v>
      </c>
      <c r="AA37" s="5">
        <v>1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1">
        <v>0</v>
      </c>
    </row>
    <row r="38">
      <c r="A38" s="24">
        <v>257</v>
      </c>
      <c r="B38" s="9" t="s">
        <v>144</v>
      </c>
      <c r="C38" s="9" t="s">
        <v>65</v>
      </c>
      <c r="D38" s="9" t="s">
        <v>74</v>
      </c>
      <c r="E38" s="9" t="s">
        <v>75</v>
      </c>
      <c r="F38" s="11">
        <v>5</v>
      </c>
      <c r="G38" s="10">
        <v>3</v>
      </c>
      <c r="H38" s="12">
        <v>0</v>
      </c>
      <c r="I38" s="10">
        <v>2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5</v>
      </c>
      <c r="V38" s="10">
        <v>3</v>
      </c>
      <c r="W38" s="12">
        <v>0</v>
      </c>
      <c r="X38" s="10">
        <v>2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2</v>
      </c>
      <c r="AK38" s="13">
        <v>2.5</v>
      </c>
      <c r="AL38" s="10">
        <v>2</v>
      </c>
      <c r="AM38" s="10">
        <v>3</v>
      </c>
      <c r="AN38" s="30">
        <v>0</v>
      </c>
    </row>
    <row r="39">
      <c r="A39" s="23">
        <v>265</v>
      </c>
      <c r="B39" s="4" t="s">
        <v>145</v>
      </c>
      <c r="C39" s="4" t="s">
        <v>65</v>
      </c>
      <c r="D39" s="4" t="s">
        <v>79</v>
      </c>
      <c r="E39" s="4" t="s">
        <v>141</v>
      </c>
      <c r="F39" s="6">
        <v>2</v>
      </c>
      <c r="G39" s="5">
        <v>1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</v>
      </c>
      <c r="V39" s="5">
        <v>1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1">
        <v>0</v>
      </c>
    </row>
    <row r="40">
      <c r="A40" s="24">
        <v>268</v>
      </c>
      <c r="B40" s="9" t="s">
        <v>146</v>
      </c>
      <c r="C40" s="9" t="s">
        <v>65</v>
      </c>
      <c r="D40" s="9" t="s">
        <v>84</v>
      </c>
      <c r="E40" s="9" t="s">
        <v>147</v>
      </c>
      <c r="F40" s="11">
        <v>1</v>
      </c>
      <c r="G40" s="12">
        <v>0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</v>
      </c>
      <c r="V40" s="12">
        <v>0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269</v>
      </c>
      <c r="B41" s="4" t="s">
        <v>148</v>
      </c>
      <c r="C41" s="4" t="s">
        <v>65</v>
      </c>
      <c r="D41" s="4" t="s">
        <v>120</v>
      </c>
      <c r="E41" s="4" t="s">
        <v>121</v>
      </c>
      <c r="F41" s="6">
        <v>3</v>
      </c>
      <c r="G41" s="5">
        <v>1</v>
      </c>
      <c r="H41" s="7">
        <v>0</v>
      </c>
      <c r="I41" s="5">
        <v>1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3</v>
      </c>
      <c r="V41" s="5">
        <v>1</v>
      </c>
      <c r="W41" s="7">
        <v>0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274</v>
      </c>
      <c r="B42" s="9" t="s">
        <v>149</v>
      </c>
      <c r="C42" s="9" t="s">
        <v>65</v>
      </c>
      <c r="D42" s="9" t="s">
        <v>111</v>
      </c>
      <c r="E42" s="9" t="s">
        <v>114</v>
      </c>
      <c r="F42" s="11">
        <v>2</v>
      </c>
      <c r="G42" s="10">
        <v>1</v>
      </c>
      <c r="H42" s="12">
        <v>0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2</v>
      </c>
      <c r="V42" s="10">
        <v>1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282</v>
      </c>
      <c r="B43" s="4" t="s">
        <v>150</v>
      </c>
      <c r="C43" s="4" t="s">
        <v>65</v>
      </c>
      <c r="D43" s="4" t="s">
        <v>111</v>
      </c>
      <c r="E43" s="4" t="s">
        <v>151</v>
      </c>
      <c r="F43" s="6">
        <v>3</v>
      </c>
      <c r="G43" s="7">
        <v>0</v>
      </c>
      <c r="H43" s="7">
        <v>0</v>
      </c>
      <c r="I43" s="7">
        <v>0</v>
      </c>
      <c r="J43" s="5">
        <v>3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3</v>
      </c>
      <c r="V43" s="7">
        <v>0</v>
      </c>
      <c r="W43" s="7">
        <v>0</v>
      </c>
      <c r="X43" s="7">
        <v>0</v>
      </c>
      <c r="Y43" s="5">
        <v>3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2</v>
      </c>
      <c r="AN43" s="28">
        <v>0.66</v>
      </c>
    </row>
    <row r="44">
      <c r="A44" s="24">
        <v>288</v>
      </c>
      <c r="B44" s="9" t="s">
        <v>152</v>
      </c>
      <c r="C44" s="9" t="s">
        <v>65</v>
      </c>
      <c r="D44" s="9" t="s">
        <v>111</v>
      </c>
      <c r="E44" s="9" t="s">
        <v>114</v>
      </c>
      <c r="F44" s="11">
        <v>4</v>
      </c>
      <c r="G44" s="12">
        <v>0</v>
      </c>
      <c r="H44" s="12">
        <v>0</v>
      </c>
      <c r="I44" s="10">
        <v>2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3</v>
      </c>
      <c r="V44" s="12">
        <v>0</v>
      </c>
      <c r="W44" s="12">
        <v>0</v>
      </c>
      <c r="X44" s="10">
        <v>1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1.33</v>
      </c>
      <c r="AL44" s="10">
        <v>1</v>
      </c>
      <c r="AM44" s="10">
        <v>2</v>
      </c>
      <c r="AN44" s="29">
        <v>0.6</v>
      </c>
    </row>
    <row r="45">
      <c r="A45" s="23">
        <v>293</v>
      </c>
      <c r="B45" s="4" t="s">
        <v>153</v>
      </c>
      <c r="C45" s="4" t="s">
        <v>65</v>
      </c>
      <c r="D45" s="4" t="s">
        <v>74</v>
      </c>
      <c r="E45" s="4" t="s">
        <v>82</v>
      </c>
      <c r="F45" s="6">
        <v>1</v>
      </c>
      <c r="G45" s="7">
        <v>0</v>
      </c>
      <c r="H45" s="7">
        <v>0</v>
      </c>
      <c r="I45" s="5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</v>
      </c>
      <c r="V45" s="7">
        <v>0</v>
      </c>
      <c r="W45" s="7">
        <v>0</v>
      </c>
      <c r="X45" s="5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31">
        <v>0</v>
      </c>
    </row>
    <row r="46">
      <c r="A46" s="24">
        <v>295</v>
      </c>
      <c r="B46" s="9" t="s">
        <v>154</v>
      </c>
      <c r="C46" s="9" t="s">
        <v>65</v>
      </c>
      <c r="D46" s="9" t="s">
        <v>71</v>
      </c>
      <c r="E46" s="9" t="s">
        <v>109</v>
      </c>
      <c r="F46" s="11">
        <v>2</v>
      </c>
      <c r="G46" s="10">
        <v>1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2</v>
      </c>
      <c r="V46" s="10">
        <v>1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30">
        <v>0</v>
      </c>
    </row>
    <row r="47">
      <c r="A47" s="23">
        <v>299</v>
      </c>
      <c r="B47" s="4" t="s">
        <v>155</v>
      </c>
      <c r="C47" s="4" t="s">
        <v>65</v>
      </c>
      <c r="D47" s="4" t="s">
        <v>79</v>
      </c>
      <c r="E47" s="4" t="s">
        <v>80</v>
      </c>
      <c r="F47" s="6">
        <v>1</v>
      </c>
      <c r="G47" s="7">
        <v>0</v>
      </c>
      <c r="H47" s="5">
        <v>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7">
        <v>0</v>
      </c>
      <c r="W47" s="5">
        <v>1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1">
        <v>0</v>
      </c>
    </row>
    <row r="48">
      <c r="A48" s="24">
        <v>303</v>
      </c>
      <c r="B48" s="9" t="s">
        <v>156</v>
      </c>
      <c r="C48" s="9" t="s">
        <v>65</v>
      </c>
      <c r="D48" s="9" t="s">
        <v>71</v>
      </c>
      <c r="E48" s="9" t="s">
        <v>157</v>
      </c>
      <c r="F48" s="11">
        <v>2</v>
      </c>
      <c r="G48" s="10">
        <v>1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2</v>
      </c>
      <c r="V48" s="10">
        <v>1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309</v>
      </c>
      <c r="B49" s="4" t="s">
        <v>158</v>
      </c>
      <c r="C49" s="4" t="s">
        <v>159</v>
      </c>
      <c r="D49" s="4" t="s">
        <v>160</v>
      </c>
      <c r="E49" s="4" t="s">
        <v>161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1">
        <v>0</v>
      </c>
    </row>
    <row r="50">
      <c r="A50" s="24">
        <v>311</v>
      </c>
      <c r="B50" s="9" t="s">
        <v>162</v>
      </c>
      <c r="C50" s="9" t="s">
        <v>65</v>
      </c>
      <c r="D50" s="9" t="s">
        <v>71</v>
      </c>
      <c r="E50" s="9" t="s">
        <v>116</v>
      </c>
      <c r="F50" s="11">
        <v>1</v>
      </c>
      <c r="G50" s="10">
        <v>1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0.26</v>
      </c>
    </row>
    <row r="51">
      <c r="A51" s="23">
        <v>317</v>
      </c>
      <c r="B51" s="4" t="s">
        <v>163</v>
      </c>
      <c r="C51" s="4" t="s">
        <v>65</v>
      </c>
      <c r="D51" s="4" t="s">
        <v>79</v>
      </c>
      <c r="E51" s="4" t="s">
        <v>80</v>
      </c>
      <c r="F51" s="6">
        <v>1</v>
      </c>
      <c r="G51" s="7">
        <v>0</v>
      </c>
      <c r="H51" s="7">
        <v>0</v>
      </c>
      <c r="I51" s="5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1</v>
      </c>
      <c r="V51" s="7">
        <v>0</v>
      </c>
      <c r="W51" s="7">
        <v>0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0.24</v>
      </c>
    </row>
    <row r="52">
      <c r="A52" s="24">
        <v>321</v>
      </c>
      <c r="B52" s="9" t="s">
        <v>164</v>
      </c>
      <c r="C52" s="9" t="s">
        <v>65</v>
      </c>
      <c r="D52" s="9" t="s">
        <v>87</v>
      </c>
      <c r="E52" s="9" t="s">
        <v>93</v>
      </c>
      <c r="F52" s="11">
        <v>2</v>
      </c>
      <c r="G52" s="10">
        <v>2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2</v>
      </c>
      <c r="V52" s="10">
        <v>2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2</v>
      </c>
      <c r="AK52" s="13">
        <v>2</v>
      </c>
      <c r="AL52" s="10">
        <v>2</v>
      </c>
      <c r="AM52" s="10">
        <v>2</v>
      </c>
      <c r="AN52" s="30">
        <v>0</v>
      </c>
    </row>
    <row r="53">
      <c r="A53" s="23">
        <v>325</v>
      </c>
      <c r="B53" s="4" t="s">
        <v>165</v>
      </c>
      <c r="C53" s="4" t="s">
        <v>65</v>
      </c>
      <c r="D53" s="4" t="s">
        <v>87</v>
      </c>
      <c r="E53" s="4" t="s">
        <v>93</v>
      </c>
      <c r="F53" s="6">
        <v>2</v>
      </c>
      <c r="G53" s="5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2</v>
      </c>
      <c r="V53" s="5">
        <v>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2</v>
      </c>
      <c r="AL53" s="5">
        <v>2</v>
      </c>
      <c r="AM53" s="5">
        <v>2</v>
      </c>
      <c r="AN53" s="31">
        <v>0</v>
      </c>
    </row>
    <row r="54">
      <c r="A54" s="24">
        <v>326</v>
      </c>
      <c r="B54" s="9" t="s">
        <v>166</v>
      </c>
      <c r="C54" s="9" t="s">
        <v>65</v>
      </c>
      <c r="D54" s="9" t="s">
        <v>87</v>
      </c>
      <c r="E54" s="9" t="s">
        <v>93</v>
      </c>
      <c r="F54" s="11">
        <v>3</v>
      </c>
      <c r="G54" s="10">
        <v>2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3</v>
      </c>
      <c r="V54" s="10">
        <v>2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1.5</v>
      </c>
      <c r="AL54" s="10">
        <v>1</v>
      </c>
      <c r="AM54" s="10">
        <v>2</v>
      </c>
      <c r="AN54" s="30">
        <v>0</v>
      </c>
    </row>
    <row r="55">
      <c r="A55" s="23">
        <v>328</v>
      </c>
      <c r="B55" s="4" t="s">
        <v>167</v>
      </c>
      <c r="C55" s="4" t="s">
        <v>159</v>
      </c>
      <c r="D55" s="4" t="s">
        <v>160</v>
      </c>
      <c r="E55" s="4" t="s">
        <v>168</v>
      </c>
      <c r="F55" s="6">
        <v>2</v>
      </c>
      <c r="G55" s="7">
        <v>0</v>
      </c>
      <c r="H55" s="7">
        <v>0</v>
      </c>
      <c r="I55" s="5">
        <v>2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2</v>
      </c>
      <c r="V55" s="7">
        <v>0</v>
      </c>
      <c r="W55" s="7">
        <v>0</v>
      </c>
      <c r="X55" s="5">
        <v>2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2</v>
      </c>
      <c r="AL55" s="5">
        <v>2</v>
      </c>
      <c r="AM55" s="5">
        <v>2</v>
      </c>
      <c r="AN55" s="31">
        <v>0</v>
      </c>
    </row>
    <row r="56">
      <c r="A56" s="24">
        <v>329</v>
      </c>
      <c r="B56" s="9" t="s">
        <v>169</v>
      </c>
      <c r="C56" s="9" t="s">
        <v>159</v>
      </c>
      <c r="D56" s="9" t="s">
        <v>160</v>
      </c>
      <c r="E56" s="9" t="s">
        <v>170</v>
      </c>
      <c r="F56" s="11">
        <v>2</v>
      </c>
      <c r="G56" s="10">
        <v>2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2</v>
      </c>
      <c r="V56" s="10">
        <v>2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2</v>
      </c>
      <c r="AL56" s="10">
        <v>2</v>
      </c>
      <c r="AM56" s="10">
        <v>2</v>
      </c>
      <c r="AN56" s="30">
        <v>0</v>
      </c>
    </row>
    <row r="57">
      <c r="A57" s="23">
        <v>336</v>
      </c>
      <c r="B57" s="4" t="s">
        <v>171</v>
      </c>
      <c r="C57" s="4" t="s">
        <v>159</v>
      </c>
      <c r="D57" s="4" t="s">
        <v>172</v>
      </c>
      <c r="E57" s="4" t="s">
        <v>173</v>
      </c>
      <c r="F57" s="6">
        <v>1</v>
      </c>
      <c r="G57" s="7">
        <v>0</v>
      </c>
      <c r="H57" s="7">
        <v>0</v>
      </c>
      <c r="I57" s="5">
        <v>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7">
        <v>0</v>
      </c>
      <c r="W57" s="7">
        <v>0</v>
      </c>
      <c r="X57" s="5">
        <v>1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1">
        <v>0</v>
      </c>
    </row>
    <row r="58">
      <c r="A58" s="24">
        <v>337</v>
      </c>
      <c r="B58" s="9" t="s">
        <v>174</v>
      </c>
      <c r="C58" s="9" t="s">
        <v>159</v>
      </c>
      <c r="D58" s="9" t="s">
        <v>160</v>
      </c>
      <c r="E58" s="9" t="s">
        <v>168</v>
      </c>
      <c r="F58" s="11">
        <v>2</v>
      </c>
      <c r="G58" s="12">
        <v>0</v>
      </c>
      <c r="H58" s="10">
        <v>1</v>
      </c>
      <c r="I58" s="12">
        <v>0</v>
      </c>
      <c r="J58" s="12">
        <v>0</v>
      </c>
      <c r="K58" s="10">
        <v>1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2</v>
      </c>
      <c r="V58" s="12">
        <v>0</v>
      </c>
      <c r="W58" s="10">
        <v>1</v>
      </c>
      <c r="X58" s="12">
        <v>0</v>
      </c>
      <c r="Y58" s="12">
        <v>0</v>
      </c>
      <c r="Z58" s="10">
        <v>1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30">
        <v>0</v>
      </c>
    </row>
    <row r="59">
      <c r="A59" s="23">
        <v>344</v>
      </c>
      <c r="B59" s="4" t="s">
        <v>175</v>
      </c>
      <c r="C59" s="4" t="s">
        <v>159</v>
      </c>
      <c r="D59" s="4" t="s">
        <v>172</v>
      </c>
      <c r="E59" s="4" t="s">
        <v>176</v>
      </c>
      <c r="F59" s="6">
        <v>2</v>
      </c>
      <c r="G59" s="5">
        <v>1</v>
      </c>
      <c r="H59" s="7">
        <v>0</v>
      </c>
      <c r="I59" s="5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2</v>
      </c>
      <c r="V59" s="5">
        <v>1</v>
      </c>
      <c r="W59" s="7">
        <v>0</v>
      </c>
      <c r="X59" s="5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1">
        <v>0</v>
      </c>
    </row>
    <row r="60">
      <c r="A60" s="24">
        <v>345</v>
      </c>
      <c r="B60" s="9" t="s">
        <v>177</v>
      </c>
      <c r="C60" s="9" t="s">
        <v>159</v>
      </c>
      <c r="D60" s="9" t="s">
        <v>178</v>
      </c>
      <c r="E60" s="9" t="s">
        <v>179</v>
      </c>
      <c r="F60" s="11">
        <v>1</v>
      </c>
      <c r="G60" s="12">
        <v>0</v>
      </c>
      <c r="H60" s="12">
        <v>0</v>
      </c>
      <c r="I60" s="12">
        <v>0</v>
      </c>
      <c r="J60" s="12">
        <v>0</v>
      </c>
      <c r="K60" s="10">
        <v>1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2">
        <v>0</v>
      </c>
      <c r="W60" s="12">
        <v>0</v>
      </c>
      <c r="X60" s="12">
        <v>0</v>
      </c>
      <c r="Y60" s="12">
        <v>0</v>
      </c>
      <c r="Z60" s="10">
        <v>1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30">
        <v>0</v>
      </c>
    </row>
    <row r="61">
      <c r="A61" s="23">
        <v>359</v>
      </c>
      <c r="B61" s="4" t="s">
        <v>180</v>
      </c>
      <c r="C61" s="4" t="s">
        <v>159</v>
      </c>
      <c r="D61" s="4" t="s">
        <v>172</v>
      </c>
      <c r="E61" s="4" t="s">
        <v>181</v>
      </c>
      <c r="F61" s="6">
        <v>3</v>
      </c>
      <c r="G61" s="7">
        <v>0</v>
      </c>
      <c r="H61" s="5">
        <v>1</v>
      </c>
      <c r="I61" s="7">
        <v>0</v>
      </c>
      <c r="J61" s="7">
        <v>0</v>
      </c>
      <c r="K61" s="5">
        <v>2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3</v>
      </c>
      <c r="V61" s="7">
        <v>0</v>
      </c>
      <c r="W61" s="5">
        <v>1</v>
      </c>
      <c r="X61" s="7">
        <v>0</v>
      </c>
      <c r="Y61" s="7">
        <v>0</v>
      </c>
      <c r="Z61" s="5">
        <v>2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2</v>
      </c>
      <c r="AN61" s="28">
        <v>0.25</v>
      </c>
    </row>
    <row r="62">
      <c r="A62" s="24">
        <v>363</v>
      </c>
      <c r="B62" s="9" t="s">
        <v>182</v>
      </c>
      <c r="C62" s="9" t="s">
        <v>159</v>
      </c>
      <c r="D62" s="9" t="s">
        <v>172</v>
      </c>
      <c r="E62" s="9" t="s">
        <v>183</v>
      </c>
      <c r="F62" s="11">
        <v>3</v>
      </c>
      <c r="G62" s="12">
        <v>0</v>
      </c>
      <c r="H62" s="12">
        <v>0</v>
      </c>
      <c r="I62" s="12">
        <v>0</v>
      </c>
      <c r="J62" s="12">
        <v>0</v>
      </c>
      <c r="K62" s="10">
        <v>3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2</v>
      </c>
      <c r="V62" s="12">
        <v>0</v>
      </c>
      <c r="W62" s="12">
        <v>0</v>
      </c>
      <c r="X62" s="12">
        <v>0</v>
      </c>
      <c r="Y62" s="12">
        <v>0</v>
      </c>
      <c r="Z62" s="10">
        <v>2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3</v>
      </c>
      <c r="AK62" s="13">
        <v>3</v>
      </c>
      <c r="AL62" s="10">
        <v>3</v>
      </c>
      <c r="AM62" s="10">
        <v>3</v>
      </c>
      <c r="AN62" s="30">
        <v>0</v>
      </c>
    </row>
    <row r="63">
      <c r="A63" s="23">
        <v>364</v>
      </c>
      <c r="B63" s="4" t="s">
        <v>184</v>
      </c>
      <c r="C63" s="4" t="s">
        <v>159</v>
      </c>
      <c r="D63" s="4" t="s">
        <v>172</v>
      </c>
      <c r="E63" s="4" t="s">
        <v>176</v>
      </c>
      <c r="F63" s="6">
        <v>5</v>
      </c>
      <c r="G63" s="5">
        <v>4</v>
      </c>
      <c r="H63" s="7">
        <v>0</v>
      </c>
      <c r="I63" s="5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4</v>
      </c>
      <c r="V63" s="5">
        <v>3</v>
      </c>
      <c r="W63" s="7">
        <v>0</v>
      </c>
      <c r="X63" s="5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2.5</v>
      </c>
      <c r="AL63" s="5">
        <v>2</v>
      </c>
      <c r="AM63" s="5">
        <v>4</v>
      </c>
      <c r="AN63" s="31">
        <v>0</v>
      </c>
    </row>
    <row r="64">
      <c r="A64" s="24">
        <v>367</v>
      </c>
      <c r="B64" s="9" t="s">
        <v>185</v>
      </c>
      <c r="C64" s="9" t="s">
        <v>65</v>
      </c>
      <c r="D64" s="9" t="s">
        <v>111</v>
      </c>
      <c r="E64" s="9" t="s">
        <v>112</v>
      </c>
      <c r="F64" s="11">
        <v>6</v>
      </c>
      <c r="G64" s="12">
        <v>0</v>
      </c>
      <c r="H64" s="12">
        <v>0</v>
      </c>
      <c r="I64" s="10">
        <v>2</v>
      </c>
      <c r="J64" s="10">
        <v>2</v>
      </c>
      <c r="K64" s="10">
        <v>2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5</v>
      </c>
      <c r="V64" s="12">
        <v>0</v>
      </c>
      <c r="W64" s="12">
        <v>0</v>
      </c>
      <c r="X64" s="10">
        <v>2</v>
      </c>
      <c r="Y64" s="10">
        <v>1</v>
      </c>
      <c r="Z64" s="10">
        <v>2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2</v>
      </c>
      <c r="AL64" s="10">
        <v>2</v>
      </c>
      <c r="AM64" s="10">
        <v>2</v>
      </c>
      <c r="AN64" s="29">
        <v>1.35</v>
      </c>
    </row>
    <row r="65">
      <c r="A65" s="23">
        <v>405</v>
      </c>
      <c r="B65" s="4" t="s">
        <v>186</v>
      </c>
      <c r="C65" s="4" t="s">
        <v>65</v>
      </c>
      <c r="D65" s="4" t="s">
        <v>71</v>
      </c>
      <c r="E65" s="4" t="s">
        <v>109</v>
      </c>
      <c r="F65" s="6">
        <v>1</v>
      </c>
      <c r="G65" s="5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5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1">
        <v>0</v>
      </c>
    </row>
    <row r="66">
      <c r="A66" s="24">
        <v>414</v>
      </c>
      <c r="B66" s="9" t="s">
        <v>187</v>
      </c>
      <c r="C66" s="9" t="s">
        <v>65</v>
      </c>
      <c r="D66" s="9" t="s">
        <v>111</v>
      </c>
      <c r="E66" s="9" t="s">
        <v>188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30">
        <v>0</v>
      </c>
    </row>
    <row r="67">
      <c r="A67" s="23">
        <v>420</v>
      </c>
      <c r="B67" s="4" t="s">
        <v>189</v>
      </c>
      <c r="C67" s="4" t="s">
        <v>65</v>
      </c>
      <c r="D67" s="4" t="s">
        <v>111</v>
      </c>
      <c r="E67" s="4" t="s">
        <v>190</v>
      </c>
      <c r="F67" s="6">
        <v>2</v>
      </c>
      <c r="G67" s="7">
        <v>0</v>
      </c>
      <c r="H67" s="7">
        <v>0</v>
      </c>
      <c r="I67" s="7">
        <v>0</v>
      </c>
      <c r="J67" s="5">
        <v>2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2</v>
      </c>
      <c r="V67" s="7">
        <v>0</v>
      </c>
      <c r="W67" s="7">
        <v>0</v>
      </c>
      <c r="X67" s="7">
        <v>0</v>
      </c>
      <c r="Y67" s="5">
        <v>2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2</v>
      </c>
      <c r="AK67" s="8">
        <v>2</v>
      </c>
      <c r="AL67" s="5">
        <v>2</v>
      </c>
      <c r="AM67" s="5">
        <v>2</v>
      </c>
      <c r="AN67" s="28">
        <v>0.52</v>
      </c>
    </row>
    <row r="68">
      <c r="A68" s="24">
        <v>425</v>
      </c>
      <c r="B68" s="9" t="s">
        <v>191</v>
      </c>
      <c r="C68" s="9" t="s">
        <v>65</v>
      </c>
      <c r="D68" s="9" t="s">
        <v>111</v>
      </c>
      <c r="E68" s="9" t="s">
        <v>192</v>
      </c>
      <c r="F68" s="11">
        <v>1</v>
      </c>
      <c r="G68" s="10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0">
        <v>0</v>
      </c>
    </row>
    <row r="69">
      <c r="A69" s="23">
        <v>427</v>
      </c>
      <c r="B69" s="4" t="s">
        <v>193</v>
      </c>
      <c r="C69" s="4" t="s">
        <v>65</v>
      </c>
      <c r="D69" s="4" t="s">
        <v>111</v>
      </c>
      <c r="E69" s="4" t="s">
        <v>151</v>
      </c>
      <c r="F69" s="6">
        <v>6</v>
      </c>
      <c r="G69" s="5">
        <v>5</v>
      </c>
      <c r="H69" s="7">
        <v>0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6</v>
      </c>
      <c r="V69" s="5">
        <v>5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3</v>
      </c>
      <c r="AL69" s="5">
        <v>3</v>
      </c>
      <c r="AM69" s="5">
        <v>5</v>
      </c>
      <c r="AN69" s="31">
        <v>0</v>
      </c>
    </row>
    <row r="70">
      <c r="A70" s="24">
        <v>428</v>
      </c>
      <c r="B70" s="9" t="s">
        <v>194</v>
      </c>
      <c r="C70" s="9" t="s">
        <v>65</v>
      </c>
      <c r="D70" s="9" t="s">
        <v>79</v>
      </c>
      <c r="E70" s="9" t="s">
        <v>195</v>
      </c>
      <c r="F70" s="11">
        <v>5</v>
      </c>
      <c r="G70" s="12">
        <v>0</v>
      </c>
      <c r="H70" s="12">
        <v>0</v>
      </c>
      <c r="I70" s="12">
        <v>0</v>
      </c>
      <c r="J70" s="10">
        <v>5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5</v>
      </c>
      <c r="V70" s="12">
        <v>0</v>
      </c>
      <c r="W70" s="12">
        <v>0</v>
      </c>
      <c r="X70" s="12">
        <v>0</v>
      </c>
      <c r="Y70" s="10">
        <v>5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2.5</v>
      </c>
      <c r="AL70" s="10">
        <v>2</v>
      </c>
      <c r="AM70" s="10">
        <v>3</v>
      </c>
      <c r="AN70" s="29">
        <v>1.3</v>
      </c>
    </row>
    <row r="71">
      <c r="A71" s="23">
        <v>430</v>
      </c>
      <c r="B71" s="4" t="s">
        <v>196</v>
      </c>
      <c r="C71" s="4" t="s">
        <v>65</v>
      </c>
      <c r="D71" s="4" t="s">
        <v>74</v>
      </c>
      <c r="E71" s="4" t="s">
        <v>75</v>
      </c>
      <c r="F71" s="6">
        <v>1</v>
      </c>
      <c r="G71" s="5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</v>
      </c>
      <c r="V71" s="5">
        <v>1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0.37</v>
      </c>
    </row>
    <row r="72">
      <c r="A72" s="24">
        <v>434</v>
      </c>
      <c r="B72" s="9" t="s">
        <v>197</v>
      </c>
      <c r="C72" s="9" t="s">
        <v>65</v>
      </c>
      <c r="D72" s="9" t="s">
        <v>71</v>
      </c>
      <c r="E72" s="9" t="s">
        <v>198</v>
      </c>
      <c r="F72" s="11">
        <v>1</v>
      </c>
      <c r="G72" s="12">
        <v>0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</v>
      </c>
      <c r="V72" s="12">
        <v>0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0.22</v>
      </c>
    </row>
    <row r="73">
      <c r="A73" s="23">
        <v>435</v>
      </c>
      <c r="B73" s="4" t="s">
        <v>199</v>
      </c>
      <c r="C73" s="4" t="s">
        <v>65</v>
      </c>
      <c r="D73" s="4" t="s">
        <v>111</v>
      </c>
      <c r="E73" s="4" t="s">
        <v>200</v>
      </c>
      <c r="F73" s="6">
        <v>1</v>
      </c>
      <c r="G73" s="7">
        <v>0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</v>
      </c>
      <c r="V73" s="7">
        <v>0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0.26</v>
      </c>
    </row>
    <row r="74">
      <c r="A74" s="24">
        <v>437</v>
      </c>
      <c r="B74" s="9" t="s">
        <v>201</v>
      </c>
      <c r="C74" s="9" t="s">
        <v>65</v>
      </c>
      <c r="D74" s="9" t="s">
        <v>71</v>
      </c>
      <c r="E74" s="9" t="s">
        <v>202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0.25</v>
      </c>
    </row>
    <row r="75">
      <c r="A75" s="23">
        <v>438</v>
      </c>
      <c r="B75" s="4" t="s">
        <v>203</v>
      </c>
      <c r="C75" s="4" t="s">
        <v>159</v>
      </c>
      <c r="D75" s="4" t="s">
        <v>160</v>
      </c>
      <c r="E75" s="4" t="s">
        <v>170</v>
      </c>
      <c r="F75" s="6">
        <v>2</v>
      </c>
      <c r="G75" s="5">
        <v>1</v>
      </c>
      <c r="H75" s="7">
        <v>0</v>
      </c>
      <c r="I75" s="5">
        <v>1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2</v>
      </c>
      <c r="V75" s="5">
        <v>1</v>
      </c>
      <c r="W75" s="7">
        <v>0</v>
      </c>
      <c r="X75" s="5">
        <v>1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1">
        <v>0</v>
      </c>
    </row>
    <row r="76">
      <c r="A76" s="24">
        <v>449</v>
      </c>
      <c r="B76" s="9" t="s">
        <v>204</v>
      </c>
      <c r="C76" s="9" t="s">
        <v>65</v>
      </c>
      <c r="D76" s="9" t="s">
        <v>74</v>
      </c>
      <c r="E76" s="9" t="s">
        <v>75</v>
      </c>
      <c r="F76" s="11">
        <v>1</v>
      </c>
      <c r="G76" s="12">
        <v>0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</v>
      </c>
      <c r="V76" s="12">
        <v>0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0">
        <v>0</v>
      </c>
    </row>
    <row r="77">
      <c r="A77" s="23">
        <v>450</v>
      </c>
      <c r="B77" s="4" t="s">
        <v>205</v>
      </c>
      <c r="C77" s="4" t="s">
        <v>65</v>
      </c>
      <c r="D77" s="4" t="s">
        <v>74</v>
      </c>
      <c r="E77" s="4" t="s">
        <v>75</v>
      </c>
      <c r="F77" s="6">
        <v>1</v>
      </c>
      <c r="G77" s="7">
        <v>0</v>
      </c>
      <c r="H77" s="7">
        <v>0</v>
      </c>
      <c r="I77" s="5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7">
        <v>0</v>
      </c>
      <c r="W77" s="7">
        <v>0</v>
      </c>
      <c r="X77" s="5">
        <v>1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0.24</v>
      </c>
    </row>
    <row r="78">
      <c r="A78" s="24">
        <v>458</v>
      </c>
      <c r="B78" s="9" t="s">
        <v>206</v>
      </c>
      <c r="C78" s="9" t="s">
        <v>65</v>
      </c>
      <c r="D78" s="9" t="s">
        <v>111</v>
      </c>
      <c r="E78" s="9" t="s">
        <v>114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473</v>
      </c>
      <c r="B79" s="4" t="s">
        <v>207</v>
      </c>
      <c r="C79" s="4" t="s">
        <v>159</v>
      </c>
      <c r="D79" s="4" t="s">
        <v>178</v>
      </c>
      <c r="E79" s="4" t="s">
        <v>179</v>
      </c>
      <c r="F79" s="6">
        <v>2</v>
      </c>
      <c r="G79" s="7">
        <v>0</v>
      </c>
      <c r="H79" s="7">
        <v>0</v>
      </c>
      <c r="I79" s="5">
        <v>2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7">
        <v>0</v>
      </c>
      <c r="W79" s="7">
        <v>0</v>
      </c>
      <c r="X79" s="5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</v>
      </c>
      <c r="AL79" s="5">
        <v>2</v>
      </c>
      <c r="AM79" s="5">
        <v>2</v>
      </c>
      <c r="AN79" s="31">
        <v>0</v>
      </c>
    </row>
    <row r="80">
      <c r="A80" s="24">
        <v>478</v>
      </c>
      <c r="B80" s="9" t="s">
        <v>208</v>
      </c>
      <c r="C80" s="9" t="s">
        <v>65</v>
      </c>
      <c r="D80" s="9" t="s">
        <v>111</v>
      </c>
      <c r="E80" s="9" t="s">
        <v>200</v>
      </c>
      <c r="F80" s="11">
        <v>1</v>
      </c>
      <c r="G80" s="12">
        <v>0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1</v>
      </c>
      <c r="V80" s="12">
        <v>0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0.25</v>
      </c>
    </row>
    <row r="81">
      <c r="A81" s="23">
        <v>482</v>
      </c>
      <c r="B81" s="4" t="s">
        <v>209</v>
      </c>
      <c r="C81" s="4" t="s">
        <v>65</v>
      </c>
      <c r="D81" s="4" t="s">
        <v>111</v>
      </c>
      <c r="E81" s="4" t="s">
        <v>210</v>
      </c>
      <c r="F81" s="6">
        <v>3</v>
      </c>
      <c r="G81" s="5">
        <v>3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5">
        <v>2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3</v>
      </c>
      <c r="AK81" s="8">
        <v>3</v>
      </c>
      <c r="AL81" s="5">
        <v>3</v>
      </c>
      <c r="AM81" s="5">
        <v>3</v>
      </c>
      <c r="AN81" s="31">
        <v>0</v>
      </c>
    </row>
    <row r="82">
      <c r="A82" s="24">
        <v>486</v>
      </c>
      <c r="B82" s="9" t="s">
        <v>211</v>
      </c>
      <c r="C82" s="9" t="s">
        <v>65</v>
      </c>
      <c r="D82" s="9" t="s">
        <v>74</v>
      </c>
      <c r="E82" s="9" t="s">
        <v>75</v>
      </c>
      <c r="F82" s="11">
        <v>3</v>
      </c>
      <c r="G82" s="10">
        <v>2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2</v>
      </c>
      <c r="V82" s="10">
        <v>1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2</v>
      </c>
      <c r="AN82" s="29">
        <v>0.25</v>
      </c>
    </row>
    <row r="83">
      <c r="A83" s="23">
        <v>490</v>
      </c>
      <c r="B83" s="4" t="s">
        <v>212</v>
      </c>
      <c r="C83" s="4" t="s">
        <v>65</v>
      </c>
      <c r="D83" s="4" t="s">
        <v>74</v>
      </c>
      <c r="E83" s="4" t="s">
        <v>75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1">
        <v>0</v>
      </c>
    </row>
    <row r="84">
      <c r="A84" s="24">
        <v>493</v>
      </c>
      <c r="B84" s="9" t="s">
        <v>213</v>
      </c>
      <c r="C84" s="9" t="s">
        <v>65</v>
      </c>
      <c r="D84" s="9" t="s">
        <v>101</v>
      </c>
      <c r="E84" s="9" t="s">
        <v>102</v>
      </c>
      <c r="F84" s="11">
        <v>1</v>
      </c>
      <c r="G84" s="12">
        <v>0</v>
      </c>
      <c r="H84" s="12">
        <v>0</v>
      </c>
      <c r="I84" s="10">
        <v>1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</v>
      </c>
      <c r="V84" s="12">
        <v>0</v>
      </c>
      <c r="W84" s="12">
        <v>0</v>
      </c>
      <c r="X84" s="10">
        <v>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0.25</v>
      </c>
    </row>
    <row r="85">
      <c r="A85" s="23">
        <v>495</v>
      </c>
      <c r="B85" s="4" t="s">
        <v>214</v>
      </c>
      <c r="C85" s="4" t="s">
        <v>65</v>
      </c>
      <c r="D85" s="4" t="s">
        <v>79</v>
      </c>
      <c r="E85" s="4" t="s">
        <v>80</v>
      </c>
      <c r="F85" s="6">
        <v>7</v>
      </c>
      <c r="G85" s="7">
        <v>0</v>
      </c>
      <c r="H85" s="7">
        <v>0</v>
      </c>
      <c r="I85" s="7">
        <v>0</v>
      </c>
      <c r="J85" s="5">
        <v>7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7</v>
      </c>
      <c r="V85" s="7">
        <v>0</v>
      </c>
      <c r="W85" s="7">
        <v>0</v>
      </c>
      <c r="X85" s="7">
        <v>0</v>
      </c>
      <c r="Y85" s="5">
        <v>7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7</v>
      </c>
      <c r="AK85" s="8">
        <v>7</v>
      </c>
      <c r="AL85" s="5">
        <v>7</v>
      </c>
      <c r="AM85" s="5">
        <v>7</v>
      </c>
      <c r="AN85" s="28">
        <v>1.82</v>
      </c>
    </row>
    <row r="86">
      <c r="A86" s="24">
        <v>496</v>
      </c>
      <c r="B86" s="9" t="s">
        <v>215</v>
      </c>
      <c r="C86" s="9" t="s">
        <v>65</v>
      </c>
      <c r="D86" s="9" t="s">
        <v>71</v>
      </c>
      <c r="E86" s="9" t="s">
        <v>109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0">
        <v>0</v>
      </c>
    </row>
    <row r="87">
      <c r="A87" s="23">
        <v>500</v>
      </c>
      <c r="B87" s="4" t="s">
        <v>216</v>
      </c>
      <c r="C87" s="4" t="s">
        <v>135</v>
      </c>
      <c r="D87" s="4" t="s">
        <v>217</v>
      </c>
      <c r="E87" s="4" t="s">
        <v>218</v>
      </c>
      <c r="F87" s="6">
        <v>2</v>
      </c>
      <c r="G87" s="7">
        <v>0</v>
      </c>
      <c r="H87" s="7">
        <v>0</v>
      </c>
      <c r="I87" s="5">
        <v>1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2</v>
      </c>
      <c r="V87" s="7">
        <v>0</v>
      </c>
      <c r="W87" s="7">
        <v>0</v>
      </c>
      <c r="X87" s="5">
        <v>1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0.52</v>
      </c>
    </row>
    <row r="88">
      <c r="A88" s="24">
        <v>508</v>
      </c>
      <c r="B88" s="9" t="s">
        <v>219</v>
      </c>
      <c r="C88" s="9" t="s">
        <v>65</v>
      </c>
      <c r="D88" s="9" t="s">
        <v>111</v>
      </c>
      <c r="E88" s="9" t="s">
        <v>125</v>
      </c>
      <c r="F88" s="11">
        <v>2</v>
      </c>
      <c r="G88" s="10">
        <v>1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2</v>
      </c>
      <c r="V88" s="10">
        <v>1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0.26</v>
      </c>
    </row>
    <row r="89">
      <c r="A89" s="23">
        <v>511</v>
      </c>
      <c r="B89" s="4" t="s">
        <v>220</v>
      </c>
      <c r="C89" s="4" t="s">
        <v>65</v>
      </c>
      <c r="D89" s="4" t="s">
        <v>74</v>
      </c>
      <c r="E89" s="4" t="s">
        <v>77</v>
      </c>
      <c r="F89" s="6">
        <v>2</v>
      </c>
      <c r="G89" s="7">
        <v>0</v>
      </c>
      <c r="H89" s="7">
        <v>0</v>
      </c>
      <c r="I89" s="5">
        <v>1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2</v>
      </c>
      <c r="V89" s="7">
        <v>0</v>
      </c>
      <c r="W89" s="7">
        <v>0</v>
      </c>
      <c r="X89" s="5">
        <v>1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0.25</v>
      </c>
    </row>
    <row r="90">
      <c r="A90" s="24">
        <v>521</v>
      </c>
      <c r="B90" s="9" t="s">
        <v>221</v>
      </c>
      <c r="C90" s="9" t="s">
        <v>65</v>
      </c>
      <c r="D90" s="9" t="s">
        <v>66</v>
      </c>
      <c r="E90" s="9" t="s">
        <v>69</v>
      </c>
      <c r="F90" s="11">
        <v>2</v>
      </c>
      <c r="G90" s="10">
        <v>1</v>
      </c>
      <c r="H90" s="10">
        <v>1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2</v>
      </c>
      <c r="V90" s="10">
        <v>1</v>
      </c>
      <c r="W90" s="10">
        <v>1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0.52</v>
      </c>
    </row>
    <row r="91">
      <c r="A91" s="23">
        <v>522</v>
      </c>
      <c r="B91" s="4" t="s">
        <v>222</v>
      </c>
      <c r="C91" s="4" t="s">
        <v>65</v>
      </c>
      <c r="D91" s="4" t="s">
        <v>111</v>
      </c>
      <c r="E91" s="4" t="s">
        <v>151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0.26</v>
      </c>
    </row>
    <row r="92">
      <c r="A92" s="24">
        <v>528</v>
      </c>
      <c r="B92" s="9" t="s">
        <v>223</v>
      </c>
      <c r="C92" s="9" t="s">
        <v>65</v>
      </c>
      <c r="D92" s="9" t="s">
        <v>111</v>
      </c>
      <c r="E92" s="9" t="s">
        <v>210</v>
      </c>
      <c r="F92" s="11">
        <v>2</v>
      </c>
      <c r="G92" s="10">
        <v>2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2</v>
      </c>
      <c r="AL92" s="10">
        <v>2</v>
      </c>
      <c r="AM92" s="10">
        <v>2</v>
      </c>
      <c r="AN92" s="30">
        <v>0</v>
      </c>
    </row>
    <row r="93">
      <c r="A93" s="23">
        <v>529</v>
      </c>
      <c r="B93" s="4" t="s">
        <v>224</v>
      </c>
      <c r="C93" s="4" t="s">
        <v>65</v>
      </c>
      <c r="D93" s="4" t="s">
        <v>74</v>
      </c>
      <c r="E93" s="4" t="s">
        <v>82</v>
      </c>
      <c r="F93" s="6">
        <v>1</v>
      </c>
      <c r="G93" s="5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5">
        <v>1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1">
        <v>0</v>
      </c>
    </row>
    <row r="94">
      <c r="A94" s="24">
        <v>534</v>
      </c>
      <c r="B94" s="9" t="s">
        <v>225</v>
      </c>
      <c r="C94" s="9" t="s">
        <v>65</v>
      </c>
      <c r="D94" s="9" t="s">
        <v>71</v>
      </c>
      <c r="E94" s="9" t="s">
        <v>226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30">
        <v>0</v>
      </c>
    </row>
    <row r="95">
      <c r="A95" s="23">
        <v>537</v>
      </c>
      <c r="B95" s="4" t="s">
        <v>227</v>
      </c>
      <c r="C95" s="4" t="s">
        <v>65</v>
      </c>
      <c r="D95" s="4" t="s">
        <v>71</v>
      </c>
      <c r="E95" s="4" t="s">
        <v>226</v>
      </c>
      <c r="F95" s="6">
        <v>1</v>
      </c>
      <c r="G95" s="5">
        <v>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1">
        <v>0</v>
      </c>
    </row>
    <row r="96">
      <c r="A96" s="24">
        <v>543</v>
      </c>
      <c r="B96" s="9" t="s">
        <v>228</v>
      </c>
      <c r="C96" s="9" t="s">
        <v>65</v>
      </c>
      <c r="D96" s="9" t="s">
        <v>71</v>
      </c>
      <c r="E96" s="9" t="s">
        <v>226</v>
      </c>
      <c r="F96" s="11">
        <v>1</v>
      </c>
      <c r="G96" s="10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30">
        <v>0</v>
      </c>
    </row>
    <row r="97">
      <c r="A97" s="23">
        <v>559</v>
      </c>
      <c r="B97" s="4" t="s">
        <v>229</v>
      </c>
      <c r="C97" s="4" t="s">
        <v>65</v>
      </c>
      <c r="D97" s="4" t="s">
        <v>87</v>
      </c>
      <c r="E97" s="4" t="s">
        <v>93</v>
      </c>
      <c r="F97" s="6">
        <v>5</v>
      </c>
      <c r="G97" s="5">
        <v>2</v>
      </c>
      <c r="H97" s="7">
        <v>0</v>
      </c>
      <c r="I97" s="7">
        <v>0</v>
      </c>
      <c r="J97" s="5">
        <v>3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5</v>
      </c>
      <c r="V97" s="5">
        <v>2</v>
      </c>
      <c r="W97" s="7">
        <v>0</v>
      </c>
      <c r="X97" s="7">
        <v>0</v>
      </c>
      <c r="Y97" s="5">
        <v>3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2.5</v>
      </c>
      <c r="AL97" s="5">
        <v>2</v>
      </c>
      <c r="AM97" s="5">
        <v>3</v>
      </c>
      <c r="AN97" s="28">
        <v>0.75</v>
      </c>
    </row>
    <row r="98">
      <c r="A98" s="24">
        <v>567</v>
      </c>
      <c r="B98" s="9" t="s">
        <v>230</v>
      </c>
      <c r="C98" s="9" t="s">
        <v>65</v>
      </c>
      <c r="D98" s="9" t="s">
        <v>66</v>
      </c>
      <c r="E98" s="9" t="s">
        <v>231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0.26</v>
      </c>
    </row>
    <row r="99">
      <c r="A99" s="23">
        <v>572</v>
      </c>
      <c r="B99" s="4" t="s">
        <v>232</v>
      </c>
      <c r="C99" s="4" t="s">
        <v>65</v>
      </c>
      <c r="D99" s="4" t="s">
        <v>66</v>
      </c>
      <c r="E99" s="4" t="s">
        <v>231</v>
      </c>
      <c r="F99" s="6">
        <v>1</v>
      </c>
      <c r="G99" s="7">
        <v>0</v>
      </c>
      <c r="H99" s="7">
        <v>0</v>
      </c>
      <c r="I99" s="5">
        <v>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7">
        <v>0</v>
      </c>
      <c r="W99" s="7">
        <v>0</v>
      </c>
      <c r="X99" s="5">
        <v>1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0.25</v>
      </c>
    </row>
    <row r="100">
      <c r="A100" s="24">
        <v>587</v>
      </c>
      <c r="B100" s="9" t="s">
        <v>233</v>
      </c>
      <c r="C100" s="9" t="s">
        <v>65</v>
      </c>
      <c r="D100" s="9" t="s">
        <v>66</v>
      </c>
      <c r="E100" s="9" t="s">
        <v>67</v>
      </c>
      <c r="F100" s="11">
        <v>1</v>
      </c>
      <c r="G100" s="12">
        <v>0</v>
      </c>
      <c r="H100" s="12">
        <v>0</v>
      </c>
      <c r="I100" s="12">
        <v>0</v>
      </c>
      <c r="J100" s="10">
        <v>1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</v>
      </c>
      <c r="V100" s="12">
        <v>0</v>
      </c>
      <c r="W100" s="12">
        <v>0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0.25</v>
      </c>
    </row>
    <row r="101">
      <c r="A101" s="23">
        <v>591</v>
      </c>
      <c r="B101" s="4" t="s">
        <v>234</v>
      </c>
      <c r="C101" s="4" t="s">
        <v>65</v>
      </c>
      <c r="D101" s="4" t="s">
        <v>66</v>
      </c>
      <c r="E101" s="4" t="s">
        <v>69</v>
      </c>
      <c r="F101" s="6">
        <v>1</v>
      </c>
      <c r="G101" s="7">
        <v>0</v>
      </c>
      <c r="H101" s="7">
        <v>0</v>
      </c>
      <c r="I101" s="7">
        <v>0</v>
      </c>
      <c r="J101" s="5">
        <v>1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</v>
      </c>
      <c r="V101" s="7">
        <v>0</v>
      </c>
      <c r="W101" s="7">
        <v>0</v>
      </c>
      <c r="X101" s="7">
        <v>0</v>
      </c>
      <c r="Y101" s="5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0.25</v>
      </c>
    </row>
    <row r="102">
      <c r="A102" s="24">
        <v>597</v>
      </c>
      <c r="B102" s="9" t="s">
        <v>235</v>
      </c>
      <c r="C102" s="9" t="s">
        <v>65</v>
      </c>
      <c r="D102" s="9" t="s">
        <v>66</v>
      </c>
      <c r="E102" s="9" t="s">
        <v>69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0.25</v>
      </c>
    </row>
    <row r="103">
      <c r="A103" s="23">
        <v>613</v>
      </c>
      <c r="B103" s="4" t="s">
        <v>236</v>
      </c>
      <c r="C103" s="4" t="s">
        <v>65</v>
      </c>
      <c r="D103" s="4" t="s">
        <v>66</v>
      </c>
      <c r="E103" s="4" t="s">
        <v>69</v>
      </c>
      <c r="F103" s="6">
        <v>2</v>
      </c>
      <c r="G103" s="5">
        <v>1</v>
      </c>
      <c r="H103" s="7">
        <v>0</v>
      </c>
      <c r="I103" s="5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2</v>
      </c>
      <c r="V103" s="5">
        <v>1</v>
      </c>
      <c r="W103" s="7">
        <v>0</v>
      </c>
      <c r="X103" s="5">
        <v>1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31">
        <v>0</v>
      </c>
    </row>
    <row r="104">
      <c r="A104" s="24">
        <v>664</v>
      </c>
      <c r="B104" s="9" t="s">
        <v>237</v>
      </c>
      <c r="C104" s="9" t="s">
        <v>65</v>
      </c>
      <c r="D104" s="9" t="s">
        <v>71</v>
      </c>
      <c r="E104" s="9" t="s">
        <v>109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0.26</v>
      </c>
    </row>
    <row r="105">
      <c r="A105" s="23">
        <v>667</v>
      </c>
      <c r="B105" s="4" t="s">
        <v>238</v>
      </c>
      <c r="C105" s="4" t="s">
        <v>65</v>
      </c>
      <c r="D105" s="4" t="s">
        <v>71</v>
      </c>
      <c r="E105" s="4" t="s">
        <v>109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1">
        <v>0</v>
      </c>
    </row>
    <row r="106">
      <c r="A106" s="24">
        <v>676</v>
      </c>
      <c r="B106" s="9" t="s">
        <v>239</v>
      </c>
      <c r="C106" s="9" t="s">
        <v>65</v>
      </c>
      <c r="D106" s="9" t="s">
        <v>71</v>
      </c>
      <c r="E106" s="9" t="s">
        <v>109</v>
      </c>
      <c r="F106" s="11">
        <v>1</v>
      </c>
      <c r="G106" s="12">
        <v>0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2">
        <v>0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0.25</v>
      </c>
    </row>
    <row r="107">
      <c r="A107" s="23">
        <v>678</v>
      </c>
      <c r="B107" s="4" t="s">
        <v>240</v>
      </c>
      <c r="C107" s="4" t="s">
        <v>65</v>
      </c>
      <c r="D107" s="4" t="s">
        <v>71</v>
      </c>
      <c r="E107" s="4" t="s">
        <v>109</v>
      </c>
      <c r="F107" s="6">
        <v>55</v>
      </c>
      <c r="G107" s="7">
        <v>0</v>
      </c>
      <c r="H107" s="7">
        <v>0</v>
      </c>
      <c r="I107" s="7">
        <v>0</v>
      </c>
      <c r="J107" s="5">
        <v>55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43</v>
      </c>
      <c r="V107" s="7">
        <v>0</v>
      </c>
      <c r="W107" s="7">
        <v>0</v>
      </c>
      <c r="X107" s="7">
        <v>0</v>
      </c>
      <c r="Y107" s="5">
        <v>43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55</v>
      </c>
      <c r="AK107" s="8">
        <v>55</v>
      </c>
      <c r="AL107" s="5">
        <v>55</v>
      </c>
      <c r="AM107" s="5">
        <v>55</v>
      </c>
      <c r="AN107" s="28">
        <v>10.75</v>
      </c>
    </row>
    <row r="108">
      <c r="A108" s="24">
        <v>681</v>
      </c>
      <c r="B108" s="9" t="s">
        <v>241</v>
      </c>
      <c r="C108" s="9" t="s">
        <v>65</v>
      </c>
      <c r="D108" s="9" t="s">
        <v>71</v>
      </c>
      <c r="E108" s="9" t="s">
        <v>109</v>
      </c>
      <c r="F108" s="11">
        <v>1</v>
      </c>
      <c r="G108" s="12">
        <v>0</v>
      </c>
      <c r="H108" s="12">
        <v>0</v>
      </c>
      <c r="I108" s="10">
        <v>1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</v>
      </c>
      <c r="V108" s="12">
        <v>0</v>
      </c>
      <c r="W108" s="12">
        <v>0</v>
      </c>
      <c r="X108" s="10">
        <v>1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0.25</v>
      </c>
    </row>
    <row r="109">
      <c r="A109" s="23">
        <v>683</v>
      </c>
      <c r="B109" s="4" t="s">
        <v>242</v>
      </c>
      <c r="C109" s="4" t="s">
        <v>65</v>
      </c>
      <c r="D109" s="4" t="s">
        <v>71</v>
      </c>
      <c r="E109" s="4" t="s">
        <v>109</v>
      </c>
      <c r="F109" s="6">
        <v>3</v>
      </c>
      <c r="G109" s="5">
        <v>2</v>
      </c>
      <c r="H109" s="7">
        <v>0</v>
      </c>
      <c r="I109" s="5">
        <v>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2</v>
      </c>
      <c r="V109" s="5">
        <v>1</v>
      </c>
      <c r="W109" s="7">
        <v>0</v>
      </c>
      <c r="X109" s="5">
        <v>1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1.5</v>
      </c>
      <c r="AL109" s="5">
        <v>1</v>
      </c>
      <c r="AM109" s="5">
        <v>2</v>
      </c>
      <c r="AN109" s="28">
        <v>0.22</v>
      </c>
    </row>
    <row r="110">
      <c r="A110" s="24">
        <v>686</v>
      </c>
      <c r="B110" s="9" t="s">
        <v>243</v>
      </c>
      <c r="C110" s="9" t="s">
        <v>65</v>
      </c>
      <c r="D110" s="9" t="s">
        <v>71</v>
      </c>
      <c r="E110" s="9" t="s">
        <v>109</v>
      </c>
      <c r="F110" s="11">
        <v>1</v>
      </c>
      <c r="G110" s="12">
        <v>0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2">
        <v>0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0.22</v>
      </c>
    </row>
    <row r="111">
      <c r="A111" s="23">
        <v>688</v>
      </c>
      <c r="B111" s="4" t="s">
        <v>244</v>
      </c>
      <c r="C111" s="4" t="s">
        <v>65</v>
      </c>
      <c r="D111" s="4" t="s">
        <v>71</v>
      </c>
      <c r="E111" s="4" t="s">
        <v>109</v>
      </c>
      <c r="F111" s="6">
        <v>7</v>
      </c>
      <c r="G111" s="7">
        <v>0</v>
      </c>
      <c r="H111" s="5">
        <v>1</v>
      </c>
      <c r="I111" s="7">
        <v>0</v>
      </c>
      <c r="J111" s="5">
        <v>6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5</v>
      </c>
      <c r="V111" s="7">
        <v>0</v>
      </c>
      <c r="W111" s="5">
        <v>1</v>
      </c>
      <c r="X111" s="7">
        <v>0</v>
      </c>
      <c r="Y111" s="5">
        <v>4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2.33</v>
      </c>
      <c r="AL111" s="5">
        <v>3</v>
      </c>
      <c r="AM111" s="5">
        <v>3</v>
      </c>
      <c r="AN111" s="28">
        <v>1.3</v>
      </c>
    </row>
    <row r="112">
      <c r="A112" s="24">
        <v>689</v>
      </c>
      <c r="B112" s="9" t="s">
        <v>245</v>
      </c>
      <c r="C112" s="9" t="s">
        <v>65</v>
      </c>
      <c r="D112" s="9" t="s">
        <v>71</v>
      </c>
      <c r="E112" s="9" t="s">
        <v>109</v>
      </c>
      <c r="F112" s="11">
        <v>1</v>
      </c>
      <c r="G112" s="12">
        <v>0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0.25</v>
      </c>
    </row>
    <row r="113">
      <c r="A113" s="23">
        <v>732</v>
      </c>
      <c r="B113" s="4" t="s">
        <v>246</v>
      </c>
      <c r="C113" s="4" t="s">
        <v>65</v>
      </c>
      <c r="D113" s="4" t="s">
        <v>71</v>
      </c>
      <c r="E113" s="4" t="s">
        <v>247</v>
      </c>
      <c r="F113" s="6">
        <v>1</v>
      </c>
      <c r="G113" s="7">
        <v>0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7">
        <v>0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760</v>
      </c>
      <c r="B114" s="9" t="s">
        <v>248</v>
      </c>
      <c r="C114" s="9" t="s">
        <v>65</v>
      </c>
      <c r="D114" s="9" t="s">
        <v>101</v>
      </c>
      <c r="E114" s="9" t="s">
        <v>249</v>
      </c>
      <c r="F114" s="11">
        <v>2</v>
      </c>
      <c r="G114" s="10">
        <v>1</v>
      </c>
      <c r="H114" s="12">
        <v>0</v>
      </c>
      <c r="I114" s="12">
        <v>0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</v>
      </c>
      <c r="V114" s="10">
        <v>1</v>
      </c>
      <c r="W114" s="12">
        <v>0</v>
      </c>
      <c r="X114" s="12">
        <v>0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0">
        <v>0</v>
      </c>
    </row>
    <row r="115">
      <c r="A115" s="23">
        <v>762</v>
      </c>
      <c r="B115" s="4" t="s">
        <v>250</v>
      </c>
      <c r="C115" s="4" t="s">
        <v>65</v>
      </c>
      <c r="D115" s="4" t="s">
        <v>111</v>
      </c>
      <c r="E115" s="4" t="s">
        <v>200</v>
      </c>
      <c r="F115" s="6">
        <v>1</v>
      </c>
      <c r="G115" s="7">
        <v>0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7">
        <v>0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0.25</v>
      </c>
    </row>
    <row r="116">
      <c r="A116" s="24">
        <v>763</v>
      </c>
      <c r="B116" s="9" t="s">
        <v>251</v>
      </c>
      <c r="C116" s="9" t="s">
        <v>65</v>
      </c>
      <c r="D116" s="9" t="s">
        <v>71</v>
      </c>
      <c r="E116" s="9" t="s">
        <v>252</v>
      </c>
      <c r="F116" s="11">
        <v>1</v>
      </c>
      <c r="G116" s="12">
        <v>0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2">
        <v>0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765</v>
      </c>
      <c r="B117" s="4" t="s">
        <v>253</v>
      </c>
      <c r="C117" s="4" t="s">
        <v>65</v>
      </c>
      <c r="D117" s="4" t="s">
        <v>79</v>
      </c>
      <c r="E117" s="4" t="s">
        <v>96</v>
      </c>
      <c r="F117" s="6">
        <v>7</v>
      </c>
      <c r="G117" s="5">
        <v>2</v>
      </c>
      <c r="H117" s="7">
        <v>0</v>
      </c>
      <c r="I117" s="7">
        <v>0</v>
      </c>
      <c r="J117" s="5">
        <v>5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7</v>
      </c>
      <c r="V117" s="5">
        <v>2</v>
      </c>
      <c r="W117" s="7">
        <v>0</v>
      </c>
      <c r="X117" s="7">
        <v>0</v>
      </c>
      <c r="Y117" s="5">
        <v>5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1.75</v>
      </c>
      <c r="AL117" s="5">
        <v>1</v>
      </c>
      <c r="AM117" s="5">
        <v>3</v>
      </c>
      <c r="AN117" s="28">
        <v>1.5</v>
      </c>
    </row>
    <row r="118">
      <c r="A118" s="24">
        <v>775</v>
      </c>
      <c r="B118" s="9" t="s">
        <v>254</v>
      </c>
      <c r="C118" s="9" t="s">
        <v>65</v>
      </c>
      <c r="D118" s="9" t="s">
        <v>71</v>
      </c>
      <c r="E118" s="9" t="s">
        <v>252</v>
      </c>
      <c r="F118" s="11">
        <v>1</v>
      </c>
      <c r="G118" s="12">
        <v>0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</v>
      </c>
      <c r="V118" s="12">
        <v>0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0.25</v>
      </c>
    </row>
    <row r="119">
      <c r="A119" s="23">
        <v>782</v>
      </c>
      <c r="B119" s="4" t="s">
        <v>255</v>
      </c>
      <c r="C119" s="4" t="s">
        <v>65</v>
      </c>
      <c r="D119" s="4" t="s">
        <v>71</v>
      </c>
      <c r="E119" s="4" t="s">
        <v>252</v>
      </c>
      <c r="F119" s="6">
        <v>1</v>
      </c>
      <c r="G119" s="7">
        <v>0</v>
      </c>
      <c r="H119" s="7">
        <v>0</v>
      </c>
      <c r="I119" s="5">
        <v>1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</v>
      </c>
      <c r="V119" s="7">
        <v>0</v>
      </c>
      <c r="W119" s="7">
        <v>0</v>
      </c>
      <c r="X119" s="5">
        <v>1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789</v>
      </c>
      <c r="B120" s="9" t="s">
        <v>256</v>
      </c>
      <c r="C120" s="9" t="s">
        <v>65</v>
      </c>
      <c r="D120" s="9" t="s">
        <v>71</v>
      </c>
      <c r="E120" s="9" t="s">
        <v>252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0.38</v>
      </c>
    </row>
    <row r="121">
      <c r="A121" s="23">
        <v>795</v>
      </c>
      <c r="B121" s="4" t="s">
        <v>257</v>
      </c>
      <c r="C121" s="4" t="s">
        <v>65</v>
      </c>
      <c r="D121" s="4" t="s">
        <v>71</v>
      </c>
      <c r="E121" s="4" t="s">
        <v>252</v>
      </c>
      <c r="F121" s="6">
        <v>1</v>
      </c>
      <c r="G121" s="5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5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31">
        <v>0</v>
      </c>
    </row>
    <row r="122">
      <c r="A122" s="24">
        <v>807</v>
      </c>
      <c r="B122" s="9" t="s">
        <v>258</v>
      </c>
      <c r="C122" s="9" t="s">
        <v>65</v>
      </c>
      <c r="D122" s="9" t="s">
        <v>71</v>
      </c>
      <c r="E122" s="9" t="s">
        <v>252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0.26</v>
      </c>
    </row>
    <row r="123">
      <c r="A123" s="23">
        <v>820</v>
      </c>
      <c r="B123" s="4" t="s">
        <v>259</v>
      </c>
      <c r="C123" s="4" t="s">
        <v>65</v>
      </c>
      <c r="D123" s="4" t="s">
        <v>71</v>
      </c>
      <c r="E123" s="4" t="s">
        <v>260</v>
      </c>
      <c r="F123" s="6">
        <v>2</v>
      </c>
      <c r="G123" s="5">
        <v>1</v>
      </c>
      <c r="H123" s="5">
        <v>1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2</v>
      </c>
      <c r="V123" s="5">
        <v>1</v>
      </c>
      <c r="W123" s="5">
        <v>1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0.17</v>
      </c>
    </row>
    <row r="124">
      <c r="A124" s="24">
        <v>832</v>
      </c>
      <c r="B124" s="9" t="s">
        <v>261</v>
      </c>
      <c r="C124" s="9" t="s">
        <v>65</v>
      </c>
      <c r="D124" s="9" t="s">
        <v>71</v>
      </c>
      <c r="E124" s="9" t="s">
        <v>157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0">
        <v>0</v>
      </c>
    </row>
    <row r="125">
      <c r="A125" s="23">
        <v>848</v>
      </c>
      <c r="B125" s="4" t="s">
        <v>262</v>
      </c>
      <c r="C125" s="4" t="s">
        <v>65</v>
      </c>
      <c r="D125" s="4" t="s">
        <v>71</v>
      </c>
      <c r="E125" s="4" t="s">
        <v>157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0.26</v>
      </c>
    </row>
    <row r="126">
      <c r="A126" s="24">
        <v>896</v>
      </c>
      <c r="B126" s="9" t="s">
        <v>263</v>
      </c>
      <c r="C126" s="9" t="s">
        <v>65</v>
      </c>
      <c r="D126" s="9" t="s">
        <v>71</v>
      </c>
      <c r="E126" s="9" t="s">
        <v>157</v>
      </c>
      <c r="F126" s="11">
        <v>2</v>
      </c>
      <c r="G126" s="10">
        <v>1</v>
      </c>
      <c r="H126" s="12">
        <v>0</v>
      </c>
      <c r="I126" s="12">
        <v>0</v>
      </c>
      <c r="J126" s="12">
        <v>0</v>
      </c>
      <c r="K126" s="10">
        <v>1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2</v>
      </c>
      <c r="V126" s="10">
        <v>1</v>
      </c>
      <c r="W126" s="12">
        <v>0</v>
      </c>
      <c r="X126" s="12">
        <v>0</v>
      </c>
      <c r="Y126" s="12">
        <v>0</v>
      </c>
      <c r="Z126" s="10">
        <v>1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30">
        <v>0</v>
      </c>
    </row>
    <row r="127">
      <c r="A127" s="23">
        <v>900</v>
      </c>
      <c r="B127" s="4" t="s">
        <v>264</v>
      </c>
      <c r="C127" s="4" t="s">
        <v>65</v>
      </c>
      <c r="D127" s="4" t="s">
        <v>71</v>
      </c>
      <c r="E127" s="4" t="s">
        <v>157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909</v>
      </c>
      <c r="B128" s="9" t="s">
        <v>265</v>
      </c>
      <c r="C128" s="9" t="s">
        <v>65</v>
      </c>
      <c r="D128" s="9" t="s">
        <v>71</v>
      </c>
      <c r="E128" s="9" t="s">
        <v>157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910</v>
      </c>
      <c r="B129" s="4" t="s">
        <v>266</v>
      </c>
      <c r="C129" s="4" t="s">
        <v>65</v>
      </c>
      <c r="D129" s="4" t="s">
        <v>71</v>
      </c>
      <c r="E129" s="4" t="s">
        <v>157</v>
      </c>
      <c r="F129" s="6">
        <v>1</v>
      </c>
      <c r="G129" s="7">
        <v>0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7">
        <v>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927</v>
      </c>
      <c r="B130" s="9" t="s">
        <v>267</v>
      </c>
      <c r="C130" s="9" t="s">
        <v>65</v>
      </c>
      <c r="D130" s="9" t="s">
        <v>71</v>
      </c>
      <c r="E130" s="9" t="s">
        <v>157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30">
        <v>0</v>
      </c>
    </row>
    <row r="131">
      <c r="A131" s="23">
        <v>941</v>
      </c>
      <c r="B131" s="4" t="s">
        <v>268</v>
      </c>
      <c r="C131" s="4" t="s">
        <v>65</v>
      </c>
      <c r="D131" s="4" t="s">
        <v>71</v>
      </c>
      <c r="E131" s="4" t="s">
        <v>198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1">
        <v>0</v>
      </c>
    </row>
    <row r="132">
      <c r="A132" s="24">
        <v>951</v>
      </c>
      <c r="B132" s="9" t="s">
        <v>269</v>
      </c>
      <c r="C132" s="9" t="s">
        <v>65</v>
      </c>
      <c r="D132" s="9" t="s">
        <v>71</v>
      </c>
      <c r="E132" s="9" t="s">
        <v>198</v>
      </c>
      <c r="F132" s="11">
        <v>2</v>
      </c>
      <c r="G132" s="10">
        <v>1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2</v>
      </c>
      <c r="V132" s="10">
        <v>1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960</v>
      </c>
      <c r="B133" s="4" t="s">
        <v>270</v>
      </c>
      <c r="C133" s="4" t="s">
        <v>65</v>
      </c>
      <c r="D133" s="4" t="s">
        <v>71</v>
      </c>
      <c r="E133" s="4" t="s">
        <v>202</v>
      </c>
      <c r="F133" s="6">
        <v>3</v>
      </c>
      <c r="G133" s="7">
        <v>0</v>
      </c>
      <c r="H133" s="7">
        <v>0</v>
      </c>
      <c r="I133" s="5">
        <v>1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2</v>
      </c>
      <c r="V133" s="7">
        <v>0</v>
      </c>
      <c r="W133" s="7">
        <v>0</v>
      </c>
      <c r="X133" s="5">
        <v>1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2</v>
      </c>
      <c r="AN133" s="28">
        <v>0.5</v>
      </c>
    </row>
    <row r="134">
      <c r="A134" s="24">
        <v>963</v>
      </c>
      <c r="B134" s="9" t="s">
        <v>271</v>
      </c>
      <c r="C134" s="9" t="s">
        <v>65</v>
      </c>
      <c r="D134" s="9" t="s">
        <v>66</v>
      </c>
      <c r="E134" s="9" t="s">
        <v>69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30">
        <v>0</v>
      </c>
    </row>
    <row r="135">
      <c r="A135" s="23">
        <v>972</v>
      </c>
      <c r="B135" s="4" t="s">
        <v>272</v>
      </c>
      <c r="C135" s="4" t="s">
        <v>65</v>
      </c>
      <c r="D135" s="4" t="s">
        <v>71</v>
      </c>
      <c r="E135" s="4" t="s">
        <v>202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1">
        <v>0</v>
      </c>
    </row>
    <row r="136">
      <c r="A136" s="24">
        <v>979</v>
      </c>
      <c r="B136" s="9" t="s">
        <v>273</v>
      </c>
      <c r="C136" s="9" t="s">
        <v>65</v>
      </c>
      <c r="D136" s="9" t="s">
        <v>71</v>
      </c>
      <c r="E136" s="9" t="s">
        <v>202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0.22</v>
      </c>
    </row>
    <row r="137">
      <c r="A137" s="23">
        <v>996</v>
      </c>
      <c r="B137" s="4" t="s">
        <v>274</v>
      </c>
      <c r="C137" s="4" t="s">
        <v>65</v>
      </c>
      <c r="D137" s="4" t="s">
        <v>71</v>
      </c>
      <c r="E137" s="4" t="s">
        <v>202</v>
      </c>
      <c r="F137" s="6">
        <v>2</v>
      </c>
      <c r="G137" s="7">
        <v>0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2</v>
      </c>
      <c r="V137" s="7">
        <v>0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28">
        <v>0.48</v>
      </c>
    </row>
    <row r="138">
      <c r="A138" s="24">
        <v>997</v>
      </c>
      <c r="B138" s="9" t="s">
        <v>275</v>
      </c>
      <c r="C138" s="9" t="s">
        <v>65</v>
      </c>
      <c r="D138" s="9" t="s">
        <v>71</v>
      </c>
      <c r="E138" s="9" t="s">
        <v>202</v>
      </c>
      <c r="F138" s="11">
        <v>6</v>
      </c>
      <c r="G138" s="10">
        <v>1</v>
      </c>
      <c r="H138" s="12">
        <v>0</v>
      </c>
      <c r="I138" s="12">
        <v>0</v>
      </c>
      <c r="J138" s="10">
        <v>5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6</v>
      </c>
      <c r="V138" s="10">
        <v>1</v>
      </c>
      <c r="W138" s="12">
        <v>0</v>
      </c>
      <c r="X138" s="12">
        <v>0</v>
      </c>
      <c r="Y138" s="10">
        <v>5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3</v>
      </c>
      <c r="AL138" s="10">
        <v>3</v>
      </c>
      <c r="AM138" s="10">
        <v>5</v>
      </c>
      <c r="AN138" s="29">
        <v>1.2</v>
      </c>
    </row>
    <row r="139">
      <c r="A139" s="23">
        <v>1005</v>
      </c>
      <c r="B139" s="4" t="s">
        <v>276</v>
      </c>
      <c r="C139" s="4" t="s">
        <v>65</v>
      </c>
      <c r="D139" s="4" t="s">
        <v>71</v>
      </c>
      <c r="E139" s="4" t="s">
        <v>202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1">
        <v>0</v>
      </c>
    </row>
    <row r="140">
      <c r="A140" s="24">
        <v>1007</v>
      </c>
      <c r="B140" s="9" t="s">
        <v>277</v>
      </c>
      <c r="C140" s="9" t="s">
        <v>65</v>
      </c>
      <c r="D140" s="9" t="s">
        <v>71</v>
      </c>
      <c r="E140" s="9" t="s">
        <v>202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1030</v>
      </c>
      <c r="B141" s="4" t="s">
        <v>278</v>
      </c>
      <c r="C141" s="4" t="s">
        <v>65</v>
      </c>
      <c r="D141" s="4" t="s">
        <v>101</v>
      </c>
      <c r="E141" s="4" t="s">
        <v>102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1">
        <v>0</v>
      </c>
    </row>
    <row r="142">
      <c r="A142" s="24">
        <v>1045</v>
      </c>
      <c r="B142" s="9" t="s">
        <v>279</v>
      </c>
      <c r="C142" s="9" t="s">
        <v>159</v>
      </c>
      <c r="D142" s="9" t="s">
        <v>160</v>
      </c>
      <c r="E142" s="9" t="s">
        <v>170</v>
      </c>
      <c r="F142" s="11">
        <v>1</v>
      </c>
      <c r="G142" s="12">
        <v>0</v>
      </c>
      <c r="H142" s="10">
        <v>1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0">
        <v>1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30">
        <v>0</v>
      </c>
    </row>
    <row r="143">
      <c r="A143" s="23">
        <v>1058</v>
      </c>
      <c r="B143" s="4" t="s">
        <v>280</v>
      </c>
      <c r="C143" s="4" t="s">
        <v>65</v>
      </c>
      <c r="D143" s="4" t="s">
        <v>127</v>
      </c>
      <c r="E143" s="4" t="s">
        <v>281</v>
      </c>
      <c r="F143" s="6">
        <v>2</v>
      </c>
      <c r="G143" s="7">
        <v>0</v>
      </c>
      <c r="H143" s="7">
        <v>0</v>
      </c>
      <c r="I143" s="7">
        <v>0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2</v>
      </c>
      <c r="V143" s="7">
        <v>0</v>
      </c>
      <c r="W143" s="7">
        <v>0</v>
      </c>
      <c r="X143" s="7">
        <v>0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28">
        <v>0.52</v>
      </c>
    </row>
    <row r="144">
      <c r="A144" s="24">
        <v>1064</v>
      </c>
      <c r="B144" s="9" t="s">
        <v>282</v>
      </c>
      <c r="C144" s="9" t="s">
        <v>65</v>
      </c>
      <c r="D144" s="9" t="s">
        <v>71</v>
      </c>
      <c r="E144" s="9" t="s">
        <v>72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0">
        <v>0</v>
      </c>
    </row>
    <row r="145">
      <c r="A145" s="23">
        <v>1070</v>
      </c>
      <c r="B145" s="4" t="s">
        <v>283</v>
      </c>
      <c r="C145" s="4" t="s">
        <v>65</v>
      </c>
      <c r="D145" s="4" t="s">
        <v>101</v>
      </c>
      <c r="E145" s="4" t="s">
        <v>249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1">
        <v>0</v>
      </c>
    </row>
    <row r="146">
      <c r="A146" s="24">
        <v>1072</v>
      </c>
      <c r="B146" s="9" t="s">
        <v>284</v>
      </c>
      <c r="C146" s="9" t="s">
        <v>65</v>
      </c>
      <c r="D146" s="9" t="s">
        <v>101</v>
      </c>
      <c r="E146" s="9" t="s">
        <v>249</v>
      </c>
      <c r="F146" s="11">
        <v>1</v>
      </c>
      <c r="G146" s="12">
        <v>0</v>
      </c>
      <c r="H146" s="12">
        <v>0</v>
      </c>
      <c r="I146" s="10">
        <v>1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2">
        <v>0</v>
      </c>
      <c r="X146" s="10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0.22</v>
      </c>
    </row>
    <row r="147">
      <c r="A147" s="23">
        <v>1074</v>
      </c>
      <c r="B147" s="4" t="s">
        <v>285</v>
      </c>
      <c r="C147" s="4" t="s">
        <v>65</v>
      </c>
      <c r="D147" s="4" t="s">
        <v>101</v>
      </c>
      <c r="E147" s="4" t="s">
        <v>102</v>
      </c>
      <c r="F147" s="6">
        <v>2</v>
      </c>
      <c r="G147" s="7">
        <v>0</v>
      </c>
      <c r="H147" s="7">
        <v>0</v>
      </c>
      <c r="I147" s="5">
        <v>1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7">
        <v>0</v>
      </c>
      <c r="W147" s="7">
        <v>0</v>
      </c>
      <c r="X147" s="5">
        <v>1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0.52</v>
      </c>
    </row>
    <row r="148">
      <c r="A148" s="24">
        <v>1075</v>
      </c>
      <c r="B148" s="9" t="s">
        <v>286</v>
      </c>
      <c r="C148" s="9" t="s">
        <v>65</v>
      </c>
      <c r="D148" s="9" t="s">
        <v>101</v>
      </c>
      <c r="E148" s="9" t="s">
        <v>102</v>
      </c>
      <c r="F148" s="11">
        <v>1</v>
      </c>
      <c r="G148" s="12">
        <v>0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1078</v>
      </c>
      <c r="B149" s="4" t="s">
        <v>287</v>
      </c>
      <c r="C149" s="4" t="s">
        <v>65</v>
      </c>
      <c r="D149" s="4" t="s">
        <v>101</v>
      </c>
      <c r="E149" s="4" t="s">
        <v>102</v>
      </c>
      <c r="F149" s="6">
        <v>1</v>
      </c>
      <c r="G149" s="7">
        <v>0</v>
      </c>
      <c r="H149" s="7">
        <v>0</v>
      </c>
      <c r="I149" s="5">
        <v>1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7">
        <v>0</v>
      </c>
      <c r="W149" s="7">
        <v>0</v>
      </c>
      <c r="X149" s="5">
        <v>1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0.17</v>
      </c>
    </row>
    <row r="150">
      <c r="A150" s="24">
        <v>1083</v>
      </c>
      <c r="B150" s="9" t="s">
        <v>288</v>
      </c>
      <c r="C150" s="9" t="s">
        <v>65</v>
      </c>
      <c r="D150" s="9" t="s">
        <v>101</v>
      </c>
      <c r="E150" s="9" t="s">
        <v>289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0">
        <v>0</v>
      </c>
    </row>
    <row r="151">
      <c r="A151" s="23">
        <v>1085</v>
      </c>
      <c r="B151" s="4" t="s">
        <v>290</v>
      </c>
      <c r="C151" s="4" t="s">
        <v>65</v>
      </c>
      <c r="D151" s="4" t="s">
        <v>101</v>
      </c>
      <c r="E151" s="4" t="s">
        <v>289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0.26</v>
      </c>
    </row>
    <row r="152">
      <c r="A152" s="24">
        <v>1090</v>
      </c>
      <c r="B152" s="9" t="s">
        <v>291</v>
      </c>
      <c r="C152" s="9" t="s">
        <v>65</v>
      </c>
      <c r="D152" s="9" t="s">
        <v>101</v>
      </c>
      <c r="E152" s="9" t="s">
        <v>102</v>
      </c>
      <c r="F152" s="11">
        <v>3</v>
      </c>
      <c r="G152" s="10">
        <v>2</v>
      </c>
      <c r="H152" s="12">
        <v>0</v>
      </c>
      <c r="I152" s="10">
        <v>1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3</v>
      </c>
      <c r="V152" s="10">
        <v>2</v>
      </c>
      <c r="W152" s="12">
        <v>0</v>
      </c>
      <c r="X152" s="10">
        <v>1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30">
        <v>0</v>
      </c>
    </row>
    <row r="153">
      <c r="A153" s="23">
        <v>1125</v>
      </c>
      <c r="B153" s="4" t="s">
        <v>292</v>
      </c>
      <c r="C153" s="4" t="s">
        <v>65</v>
      </c>
      <c r="D153" s="4" t="s">
        <v>71</v>
      </c>
      <c r="E153" s="4" t="s">
        <v>226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0.22</v>
      </c>
    </row>
    <row r="154">
      <c r="A154" s="24">
        <v>1188</v>
      </c>
      <c r="B154" s="9" t="s">
        <v>293</v>
      </c>
      <c r="C154" s="9" t="s">
        <v>65</v>
      </c>
      <c r="D154" s="9" t="s">
        <v>71</v>
      </c>
      <c r="E154" s="9" t="s">
        <v>116</v>
      </c>
      <c r="F154" s="11">
        <v>1</v>
      </c>
      <c r="G154" s="12">
        <v>0</v>
      </c>
      <c r="H154" s="12">
        <v>0</v>
      </c>
      <c r="I154" s="10">
        <v>1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2">
        <v>0</v>
      </c>
      <c r="W154" s="12">
        <v>0</v>
      </c>
      <c r="X154" s="10">
        <v>1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1205</v>
      </c>
      <c r="B155" s="4" t="s">
        <v>294</v>
      </c>
      <c r="C155" s="4" t="s">
        <v>65</v>
      </c>
      <c r="D155" s="4" t="s">
        <v>87</v>
      </c>
      <c r="E155" s="4" t="s">
        <v>295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1">
        <v>0</v>
      </c>
    </row>
    <row r="156">
      <c r="A156" s="24">
        <v>1260</v>
      </c>
      <c r="B156" s="9" t="s">
        <v>296</v>
      </c>
      <c r="C156" s="9" t="s">
        <v>65</v>
      </c>
      <c r="D156" s="9" t="s">
        <v>84</v>
      </c>
      <c r="E156" s="9" t="s">
        <v>85</v>
      </c>
      <c r="F156" s="11">
        <v>1</v>
      </c>
      <c r="G156" s="12">
        <v>0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</v>
      </c>
      <c r="V156" s="12">
        <v>0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1275</v>
      </c>
      <c r="B157" s="4" t="s">
        <v>297</v>
      </c>
      <c r="C157" s="4" t="s">
        <v>159</v>
      </c>
      <c r="D157" s="4" t="s">
        <v>160</v>
      </c>
      <c r="E157" s="4" t="s">
        <v>161</v>
      </c>
      <c r="F157" s="6">
        <v>3</v>
      </c>
      <c r="G157" s="5">
        <v>1</v>
      </c>
      <c r="H157" s="7">
        <v>0</v>
      </c>
      <c r="I157" s="5">
        <v>2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3</v>
      </c>
      <c r="V157" s="5">
        <v>1</v>
      </c>
      <c r="W157" s="7">
        <v>0</v>
      </c>
      <c r="X157" s="5">
        <v>2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1.5</v>
      </c>
      <c r="AL157" s="5">
        <v>1</v>
      </c>
      <c r="AM157" s="5">
        <v>2</v>
      </c>
      <c r="AN157" s="31">
        <v>0</v>
      </c>
    </row>
    <row r="158">
      <c r="A158" s="24">
        <v>1368</v>
      </c>
      <c r="B158" s="9" t="s">
        <v>298</v>
      </c>
      <c r="C158" s="9" t="s">
        <v>65</v>
      </c>
      <c r="D158" s="9" t="s">
        <v>71</v>
      </c>
      <c r="E158" s="9" t="s">
        <v>299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0.24</v>
      </c>
    </row>
    <row r="159">
      <c r="A159" s="23">
        <v>1438</v>
      </c>
      <c r="B159" s="4" t="s">
        <v>300</v>
      </c>
      <c r="C159" s="4" t="s">
        <v>65</v>
      </c>
      <c r="D159" s="4" t="s">
        <v>71</v>
      </c>
      <c r="E159" s="4" t="s">
        <v>116</v>
      </c>
      <c r="F159" s="6">
        <v>2</v>
      </c>
      <c r="G159" s="7">
        <v>0</v>
      </c>
      <c r="H159" s="7">
        <v>0</v>
      </c>
      <c r="I159" s="5">
        <v>1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2</v>
      </c>
      <c r="V159" s="7">
        <v>0</v>
      </c>
      <c r="W159" s="7">
        <v>0</v>
      </c>
      <c r="X159" s="5">
        <v>1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0.62</v>
      </c>
    </row>
    <row r="160">
      <c r="A160" s="24">
        <v>1556</v>
      </c>
      <c r="B160" s="9" t="s">
        <v>301</v>
      </c>
      <c r="C160" s="9" t="s">
        <v>65</v>
      </c>
      <c r="D160" s="9" t="s">
        <v>104</v>
      </c>
      <c r="E160" s="9" t="s">
        <v>105</v>
      </c>
      <c r="F160" s="11">
        <v>2</v>
      </c>
      <c r="G160" s="12">
        <v>0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2</v>
      </c>
      <c r="V160" s="12">
        <v>0</v>
      </c>
      <c r="W160" s="12">
        <v>0</v>
      </c>
      <c r="X160" s="12">
        <v>0</v>
      </c>
      <c r="Y160" s="10">
        <v>2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0.52</v>
      </c>
    </row>
    <row r="161">
      <c r="A161" s="23">
        <v>1558</v>
      </c>
      <c r="B161" s="4" t="s">
        <v>302</v>
      </c>
      <c r="C161" s="4" t="s">
        <v>303</v>
      </c>
      <c r="D161" s="4" t="s">
        <v>304</v>
      </c>
      <c r="E161" s="4" t="s">
        <v>305</v>
      </c>
      <c r="F161" s="6">
        <v>1</v>
      </c>
      <c r="G161" s="7">
        <v>0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1">
        <v>0</v>
      </c>
    </row>
    <row r="162">
      <c r="A162" s="24">
        <v>1616</v>
      </c>
      <c r="B162" s="9" t="s">
        <v>306</v>
      </c>
      <c r="C162" s="9" t="s">
        <v>135</v>
      </c>
      <c r="D162" s="9" t="s">
        <v>307</v>
      </c>
      <c r="E162" s="9" t="s">
        <v>308</v>
      </c>
      <c r="F162" s="11">
        <v>1</v>
      </c>
      <c r="G162" s="12">
        <v>0</v>
      </c>
      <c r="H162" s="12">
        <v>0</v>
      </c>
      <c r="I162" s="10">
        <v>1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2">
        <v>0</v>
      </c>
      <c r="X162" s="10">
        <v>1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0.24</v>
      </c>
    </row>
    <row r="163">
      <c r="A163" s="23">
        <v>1619</v>
      </c>
      <c r="B163" s="4" t="s">
        <v>291</v>
      </c>
      <c r="C163" s="4" t="s">
        <v>65</v>
      </c>
      <c r="D163" s="4" t="s">
        <v>120</v>
      </c>
      <c r="E163" s="4" t="s">
        <v>121</v>
      </c>
      <c r="F163" s="6">
        <v>3</v>
      </c>
      <c r="G163" s="5">
        <v>3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3</v>
      </c>
      <c r="V163" s="5">
        <v>3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3</v>
      </c>
      <c r="AK163" s="8">
        <v>3</v>
      </c>
      <c r="AL163" s="5">
        <v>3</v>
      </c>
      <c r="AM163" s="5">
        <v>3</v>
      </c>
      <c r="AN163" s="31">
        <v>0</v>
      </c>
    </row>
    <row r="164">
      <c r="A164" s="24">
        <v>1631</v>
      </c>
      <c r="B164" s="9" t="s">
        <v>309</v>
      </c>
      <c r="C164" s="9" t="s">
        <v>65</v>
      </c>
      <c r="D164" s="9" t="s">
        <v>66</v>
      </c>
      <c r="E164" s="9" t="s">
        <v>231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1657</v>
      </c>
      <c r="B165" s="4" t="s">
        <v>310</v>
      </c>
      <c r="C165" s="4" t="s">
        <v>65</v>
      </c>
      <c r="D165" s="4" t="s">
        <v>71</v>
      </c>
      <c r="E165" s="4" t="s">
        <v>252</v>
      </c>
      <c r="F165" s="6">
        <v>4</v>
      </c>
      <c r="G165" s="5">
        <v>1</v>
      </c>
      <c r="H165" s="5">
        <v>1</v>
      </c>
      <c r="I165" s="7">
        <v>0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3</v>
      </c>
      <c r="V165" s="5">
        <v>1</v>
      </c>
      <c r="W165" s="5">
        <v>1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1.33</v>
      </c>
      <c r="AL165" s="5">
        <v>1</v>
      </c>
      <c r="AM165" s="5">
        <v>2</v>
      </c>
      <c r="AN165" s="28">
        <v>0.5</v>
      </c>
    </row>
    <row r="166">
      <c r="A166" s="24">
        <v>1715</v>
      </c>
      <c r="B166" s="9" t="s">
        <v>311</v>
      </c>
      <c r="C166" s="9" t="s">
        <v>65</v>
      </c>
      <c r="D166" s="9" t="s">
        <v>79</v>
      </c>
      <c r="E166" s="9" t="s">
        <v>90</v>
      </c>
      <c r="F166" s="11">
        <v>3</v>
      </c>
      <c r="G166" s="12">
        <v>0</v>
      </c>
      <c r="H166" s="12">
        <v>0</v>
      </c>
      <c r="I166" s="10">
        <v>2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3</v>
      </c>
      <c r="V166" s="12">
        <v>0</v>
      </c>
      <c r="W166" s="12">
        <v>0</v>
      </c>
      <c r="X166" s="10">
        <v>2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0.44</v>
      </c>
    </row>
    <row r="167">
      <c r="A167" s="23">
        <v>1719</v>
      </c>
      <c r="B167" s="4" t="s">
        <v>312</v>
      </c>
      <c r="C167" s="4" t="s">
        <v>65</v>
      </c>
      <c r="D167" s="4" t="s">
        <v>79</v>
      </c>
      <c r="E167" s="4" t="s">
        <v>90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1722</v>
      </c>
      <c r="B168" s="9" t="s">
        <v>313</v>
      </c>
      <c r="C168" s="9" t="s">
        <v>65</v>
      </c>
      <c r="D168" s="9" t="s">
        <v>79</v>
      </c>
      <c r="E168" s="9" t="s">
        <v>90</v>
      </c>
      <c r="F168" s="11">
        <v>2</v>
      </c>
      <c r="G168" s="12">
        <v>0</v>
      </c>
      <c r="H168" s="12">
        <v>0</v>
      </c>
      <c r="I168" s="12">
        <v>0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2</v>
      </c>
      <c r="V168" s="12">
        <v>0</v>
      </c>
      <c r="W168" s="12">
        <v>0</v>
      </c>
      <c r="X168" s="12">
        <v>0</v>
      </c>
      <c r="Y168" s="10">
        <v>2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29">
        <v>0.52</v>
      </c>
    </row>
    <row r="169">
      <c r="A169" s="23">
        <v>1723</v>
      </c>
      <c r="B169" s="4" t="s">
        <v>314</v>
      </c>
      <c r="C169" s="4" t="s">
        <v>65</v>
      </c>
      <c r="D169" s="4" t="s">
        <v>79</v>
      </c>
      <c r="E169" s="4" t="s">
        <v>90</v>
      </c>
      <c r="F169" s="6">
        <v>1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1733</v>
      </c>
      <c r="B170" s="9" t="s">
        <v>315</v>
      </c>
      <c r="C170" s="9" t="s">
        <v>65</v>
      </c>
      <c r="D170" s="9" t="s">
        <v>79</v>
      </c>
      <c r="E170" s="9" t="s">
        <v>90</v>
      </c>
      <c r="F170" s="11">
        <v>1</v>
      </c>
      <c r="G170" s="12">
        <v>0</v>
      </c>
      <c r="H170" s="12">
        <v>0</v>
      </c>
      <c r="I170" s="10">
        <v>1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2">
        <v>0</v>
      </c>
      <c r="W170" s="12">
        <v>0</v>
      </c>
      <c r="X170" s="10">
        <v>1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0.22</v>
      </c>
    </row>
    <row r="171">
      <c r="A171" s="23">
        <v>1758</v>
      </c>
      <c r="B171" s="4" t="s">
        <v>316</v>
      </c>
      <c r="C171" s="4" t="s">
        <v>65</v>
      </c>
      <c r="D171" s="4" t="s">
        <v>111</v>
      </c>
      <c r="E171" s="4" t="s">
        <v>188</v>
      </c>
      <c r="F171" s="6">
        <v>2</v>
      </c>
      <c r="G171" s="7">
        <v>0</v>
      </c>
      <c r="H171" s="7">
        <v>0</v>
      </c>
      <c r="I171" s="7">
        <v>0</v>
      </c>
      <c r="J171" s="7">
        <v>0</v>
      </c>
      <c r="K171" s="5">
        <v>2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2</v>
      </c>
      <c r="V171" s="7">
        <v>0</v>
      </c>
      <c r="W171" s="7">
        <v>0</v>
      </c>
      <c r="X171" s="7">
        <v>0</v>
      </c>
      <c r="Y171" s="7">
        <v>0</v>
      </c>
      <c r="Z171" s="5">
        <v>2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</v>
      </c>
      <c r="AL171" s="5">
        <v>2</v>
      </c>
      <c r="AM171" s="5">
        <v>2</v>
      </c>
      <c r="AN171" s="31">
        <v>0</v>
      </c>
    </row>
    <row r="172">
      <c r="A172" s="24">
        <v>1762</v>
      </c>
      <c r="B172" s="9" t="s">
        <v>317</v>
      </c>
      <c r="C172" s="9" t="s">
        <v>65</v>
      </c>
      <c r="D172" s="9" t="s">
        <v>111</v>
      </c>
      <c r="E172" s="9" t="s">
        <v>188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0">
        <v>0</v>
      </c>
    </row>
    <row r="173">
      <c r="A173" s="23">
        <v>1766</v>
      </c>
      <c r="B173" s="4" t="s">
        <v>318</v>
      </c>
      <c r="C173" s="4" t="s">
        <v>65</v>
      </c>
      <c r="D173" s="4" t="s">
        <v>79</v>
      </c>
      <c r="E173" s="4" t="s">
        <v>90</v>
      </c>
      <c r="F173" s="6">
        <v>3</v>
      </c>
      <c r="G173" s="5">
        <v>1</v>
      </c>
      <c r="H173" s="7">
        <v>0</v>
      </c>
      <c r="I173" s="7">
        <v>0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3</v>
      </c>
      <c r="V173" s="5">
        <v>1</v>
      </c>
      <c r="W173" s="7">
        <v>0</v>
      </c>
      <c r="X173" s="7">
        <v>0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1.5</v>
      </c>
      <c r="AL173" s="5">
        <v>1</v>
      </c>
      <c r="AM173" s="5">
        <v>2</v>
      </c>
      <c r="AN173" s="28">
        <v>0.52</v>
      </c>
    </row>
    <row r="174">
      <c r="A174" s="24">
        <v>1768</v>
      </c>
      <c r="B174" s="9" t="s">
        <v>319</v>
      </c>
      <c r="C174" s="9" t="s">
        <v>65</v>
      </c>
      <c r="D174" s="9" t="s">
        <v>79</v>
      </c>
      <c r="E174" s="9" t="s">
        <v>90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1769</v>
      </c>
      <c r="B175" s="4" t="s">
        <v>320</v>
      </c>
      <c r="C175" s="4" t="s">
        <v>65</v>
      </c>
      <c r="D175" s="4" t="s">
        <v>79</v>
      </c>
      <c r="E175" s="4" t="s">
        <v>90</v>
      </c>
      <c r="F175" s="6">
        <v>3</v>
      </c>
      <c r="G175" s="7">
        <v>0</v>
      </c>
      <c r="H175" s="7">
        <v>0</v>
      </c>
      <c r="I175" s="7">
        <v>0</v>
      </c>
      <c r="J175" s="5">
        <v>3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3</v>
      </c>
      <c r="V175" s="7">
        <v>0</v>
      </c>
      <c r="W175" s="7">
        <v>0</v>
      </c>
      <c r="X175" s="7">
        <v>0</v>
      </c>
      <c r="Y175" s="5">
        <v>3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28">
        <v>0.78</v>
      </c>
    </row>
    <row r="176">
      <c r="A176" s="24">
        <v>1772</v>
      </c>
      <c r="B176" s="9" t="s">
        <v>321</v>
      </c>
      <c r="C176" s="9" t="s">
        <v>65</v>
      </c>
      <c r="D176" s="9" t="s">
        <v>79</v>
      </c>
      <c r="E176" s="9" t="s">
        <v>90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1779</v>
      </c>
      <c r="B177" s="4" t="s">
        <v>322</v>
      </c>
      <c r="C177" s="4" t="s">
        <v>135</v>
      </c>
      <c r="D177" s="4" t="s">
        <v>323</v>
      </c>
      <c r="E177" s="4" t="s">
        <v>324</v>
      </c>
      <c r="F177" s="6">
        <v>1</v>
      </c>
      <c r="G177" s="7">
        <v>0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7">
        <v>0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1">
        <v>0</v>
      </c>
    </row>
    <row r="178">
      <c r="A178" s="24">
        <v>1806</v>
      </c>
      <c r="B178" s="9" t="s">
        <v>325</v>
      </c>
      <c r="C178" s="9" t="s">
        <v>65</v>
      </c>
      <c r="D178" s="9" t="s">
        <v>84</v>
      </c>
      <c r="E178" s="9" t="s">
        <v>147</v>
      </c>
      <c r="F178" s="11">
        <v>2</v>
      </c>
      <c r="G178" s="10">
        <v>1</v>
      </c>
      <c r="H178" s="12">
        <v>0</v>
      </c>
      <c r="I178" s="10">
        <v>1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2</v>
      </c>
      <c r="V178" s="10">
        <v>1</v>
      </c>
      <c r="W178" s="12">
        <v>0</v>
      </c>
      <c r="X178" s="10">
        <v>1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0.24</v>
      </c>
    </row>
    <row r="179">
      <c r="A179" s="23">
        <v>1807</v>
      </c>
      <c r="B179" s="4" t="s">
        <v>326</v>
      </c>
      <c r="C179" s="4" t="s">
        <v>65</v>
      </c>
      <c r="D179" s="4" t="s">
        <v>79</v>
      </c>
      <c r="E179" s="4" t="s">
        <v>80</v>
      </c>
      <c r="F179" s="6">
        <v>2</v>
      </c>
      <c r="G179" s="7">
        <v>0</v>
      </c>
      <c r="H179" s="7">
        <v>0</v>
      </c>
      <c r="I179" s="5">
        <v>1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2</v>
      </c>
      <c r="V179" s="7">
        <v>0</v>
      </c>
      <c r="W179" s="7">
        <v>0</v>
      </c>
      <c r="X179" s="5">
        <v>1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1808</v>
      </c>
      <c r="B180" s="9" t="s">
        <v>327</v>
      </c>
      <c r="C180" s="9" t="s">
        <v>65</v>
      </c>
      <c r="D180" s="9" t="s">
        <v>79</v>
      </c>
      <c r="E180" s="9" t="s">
        <v>80</v>
      </c>
      <c r="F180" s="11">
        <v>2</v>
      </c>
      <c r="G180" s="12">
        <v>0</v>
      </c>
      <c r="H180" s="10">
        <v>1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</v>
      </c>
      <c r="V180" s="12">
        <v>0</v>
      </c>
      <c r="W180" s="10">
        <v>1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0">
        <v>0</v>
      </c>
    </row>
    <row r="181">
      <c r="A181" s="23">
        <v>1813</v>
      </c>
      <c r="B181" s="4" t="s">
        <v>328</v>
      </c>
      <c r="C181" s="4" t="s">
        <v>65</v>
      </c>
      <c r="D181" s="4" t="s">
        <v>66</v>
      </c>
      <c r="E181" s="4" t="s">
        <v>69</v>
      </c>
      <c r="F181" s="6">
        <v>3</v>
      </c>
      <c r="G181" s="5">
        <v>2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3</v>
      </c>
      <c r="V181" s="5">
        <v>2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1.5</v>
      </c>
      <c r="AL181" s="5">
        <v>1</v>
      </c>
      <c r="AM181" s="5">
        <v>2</v>
      </c>
      <c r="AN181" s="28">
        <v>0.26</v>
      </c>
    </row>
    <row r="182">
      <c r="A182" s="24">
        <v>1814</v>
      </c>
      <c r="B182" s="9" t="s">
        <v>329</v>
      </c>
      <c r="C182" s="9" t="s">
        <v>65</v>
      </c>
      <c r="D182" s="9" t="s">
        <v>111</v>
      </c>
      <c r="E182" s="9" t="s">
        <v>151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1816</v>
      </c>
      <c r="B183" s="4" t="s">
        <v>330</v>
      </c>
      <c r="C183" s="4" t="s">
        <v>135</v>
      </c>
      <c r="D183" s="4" t="s">
        <v>323</v>
      </c>
      <c r="E183" s="4" t="s">
        <v>331</v>
      </c>
      <c r="F183" s="6">
        <v>3</v>
      </c>
      <c r="G183" s="5">
        <v>1</v>
      </c>
      <c r="H183" s="7">
        <v>0</v>
      </c>
      <c r="I183" s="5">
        <v>1</v>
      </c>
      <c r="J183" s="7">
        <v>0</v>
      </c>
      <c r="K183" s="7">
        <v>0</v>
      </c>
      <c r="L183" s="5">
        <v>1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3</v>
      </c>
      <c r="V183" s="5">
        <v>1</v>
      </c>
      <c r="W183" s="7">
        <v>0</v>
      </c>
      <c r="X183" s="5">
        <v>1</v>
      </c>
      <c r="Y183" s="7">
        <v>0</v>
      </c>
      <c r="Z183" s="7">
        <v>0</v>
      </c>
      <c r="AA183" s="5">
        <v>1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0.24</v>
      </c>
    </row>
    <row r="184">
      <c r="A184" s="24">
        <v>1817</v>
      </c>
      <c r="B184" s="9" t="s">
        <v>332</v>
      </c>
      <c r="C184" s="9" t="s">
        <v>135</v>
      </c>
      <c r="D184" s="9" t="s">
        <v>323</v>
      </c>
      <c r="E184" s="9" t="s">
        <v>333</v>
      </c>
      <c r="F184" s="11">
        <v>2</v>
      </c>
      <c r="G184" s="10">
        <v>1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2</v>
      </c>
      <c r="V184" s="10">
        <v>1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1819</v>
      </c>
      <c r="B185" s="4" t="s">
        <v>334</v>
      </c>
      <c r="C185" s="4" t="s">
        <v>65</v>
      </c>
      <c r="D185" s="4" t="s">
        <v>79</v>
      </c>
      <c r="E185" s="4" t="s">
        <v>80</v>
      </c>
      <c r="F185" s="6">
        <v>1</v>
      </c>
      <c r="G185" s="7">
        <v>0</v>
      </c>
      <c r="H185" s="5">
        <v>1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7">
        <v>0</v>
      </c>
      <c r="W185" s="5">
        <v>1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1">
        <v>0</v>
      </c>
    </row>
    <row r="186">
      <c r="A186" s="24">
        <v>1820</v>
      </c>
      <c r="B186" s="9" t="s">
        <v>335</v>
      </c>
      <c r="C186" s="9" t="s">
        <v>65</v>
      </c>
      <c r="D186" s="9" t="s">
        <v>98</v>
      </c>
      <c r="E186" s="9" t="s">
        <v>139</v>
      </c>
      <c r="F186" s="11">
        <v>2</v>
      </c>
      <c r="G186" s="12">
        <v>0</v>
      </c>
      <c r="H186" s="12">
        <v>0</v>
      </c>
      <c r="I186" s="12">
        <v>0</v>
      </c>
      <c r="J186" s="10">
        <v>2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2</v>
      </c>
      <c r="AL186" s="10">
        <v>2</v>
      </c>
      <c r="AM186" s="10">
        <v>2</v>
      </c>
      <c r="AN186" s="29">
        <v>0.25</v>
      </c>
    </row>
    <row r="187">
      <c r="A187" s="23">
        <v>1821</v>
      </c>
      <c r="B187" s="4" t="s">
        <v>336</v>
      </c>
      <c r="C187" s="4" t="s">
        <v>159</v>
      </c>
      <c r="D187" s="4" t="s">
        <v>337</v>
      </c>
      <c r="E187" s="4" t="s">
        <v>305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1">
        <v>0</v>
      </c>
    </row>
    <row r="188">
      <c r="A188" s="24">
        <v>1824</v>
      </c>
      <c r="B188" s="9" t="s">
        <v>338</v>
      </c>
      <c r="C188" s="9" t="s">
        <v>135</v>
      </c>
      <c r="D188" s="9" t="s">
        <v>323</v>
      </c>
      <c r="E188" s="9" t="s">
        <v>331</v>
      </c>
      <c r="F188" s="11">
        <v>4</v>
      </c>
      <c r="G188" s="10">
        <v>1</v>
      </c>
      <c r="H188" s="12">
        <v>0</v>
      </c>
      <c r="I188" s="10">
        <v>3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4</v>
      </c>
      <c r="V188" s="10">
        <v>1</v>
      </c>
      <c r="W188" s="12">
        <v>0</v>
      </c>
      <c r="X188" s="10">
        <v>3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</v>
      </c>
      <c r="AL188" s="10">
        <v>2</v>
      </c>
      <c r="AM188" s="10">
        <v>3</v>
      </c>
      <c r="AN188" s="30">
        <v>0</v>
      </c>
    </row>
    <row r="189">
      <c r="A189" s="23">
        <v>1839</v>
      </c>
      <c r="B189" s="4" t="s">
        <v>339</v>
      </c>
      <c r="C189" s="4" t="s">
        <v>65</v>
      </c>
      <c r="D189" s="4" t="s">
        <v>71</v>
      </c>
      <c r="E189" s="4" t="s">
        <v>116</v>
      </c>
      <c r="F189" s="6">
        <v>2</v>
      </c>
      <c r="G189" s="5">
        <v>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2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1842</v>
      </c>
      <c r="B190" s="9" t="s">
        <v>340</v>
      </c>
      <c r="C190" s="9" t="s">
        <v>65</v>
      </c>
      <c r="D190" s="9" t="s">
        <v>79</v>
      </c>
      <c r="E190" s="9" t="s">
        <v>195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1844</v>
      </c>
      <c r="B191" s="4" t="s">
        <v>341</v>
      </c>
      <c r="C191" s="4" t="s">
        <v>65</v>
      </c>
      <c r="D191" s="4" t="s">
        <v>101</v>
      </c>
      <c r="E191" s="4" t="s">
        <v>342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1">
        <v>0</v>
      </c>
    </row>
    <row r="192">
      <c r="A192" s="24">
        <v>1849</v>
      </c>
      <c r="B192" s="9" t="s">
        <v>343</v>
      </c>
      <c r="C192" s="9" t="s">
        <v>65</v>
      </c>
      <c r="D192" s="9" t="s">
        <v>111</v>
      </c>
      <c r="E192" s="9" t="s">
        <v>200</v>
      </c>
      <c r="F192" s="11">
        <v>1</v>
      </c>
      <c r="G192" s="12">
        <v>0</v>
      </c>
      <c r="H192" s="12">
        <v>0</v>
      </c>
      <c r="I192" s="10">
        <v>1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2">
        <v>0</v>
      </c>
      <c r="W192" s="12">
        <v>0</v>
      </c>
      <c r="X192" s="10">
        <v>1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0">
        <v>0</v>
      </c>
    </row>
    <row r="193">
      <c r="A193" s="23">
        <v>1868</v>
      </c>
      <c r="B193" s="4" t="s">
        <v>344</v>
      </c>
      <c r="C193" s="4" t="s">
        <v>65</v>
      </c>
      <c r="D193" s="4" t="s">
        <v>111</v>
      </c>
      <c r="E193" s="4" t="s">
        <v>114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1">
        <v>0</v>
      </c>
    </row>
    <row r="194">
      <c r="A194" s="24">
        <v>1871</v>
      </c>
      <c r="B194" s="9" t="s">
        <v>345</v>
      </c>
      <c r="C194" s="9" t="s">
        <v>65</v>
      </c>
      <c r="D194" s="9" t="s">
        <v>111</v>
      </c>
      <c r="E194" s="9" t="s">
        <v>151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1874</v>
      </c>
      <c r="B195" s="4" t="s">
        <v>346</v>
      </c>
      <c r="C195" s="4" t="s">
        <v>65</v>
      </c>
      <c r="D195" s="4" t="s">
        <v>111</v>
      </c>
      <c r="E195" s="4" t="s">
        <v>151</v>
      </c>
      <c r="F195" s="6">
        <v>2</v>
      </c>
      <c r="G195" s="7">
        <v>0</v>
      </c>
      <c r="H195" s="7">
        <v>0</v>
      </c>
      <c r="I195" s="7">
        <v>0</v>
      </c>
      <c r="J195" s="5">
        <v>2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2</v>
      </c>
      <c r="V195" s="7">
        <v>0</v>
      </c>
      <c r="W195" s="7">
        <v>0</v>
      </c>
      <c r="X195" s="7">
        <v>0</v>
      </c>
      <c r="Y195" s="5">
        <v>2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0.4</v>
      </c>
    </row>
    <row r="196">
      <c r="A196" s="24">
        <v>1875</v>
      </c>
      <c r="B196" s="9" t="s">
        <v>347</v>
      </c>
      <c r="C196" s="9" t="s">
        <v>65</v>
      </c>
      <c r="D196" s="9" t="s">
        <v>111</v>
      </c>
      <c r="E196" s="9" t="s">
        <v>151</v>
      </c>
      <c r="F196" s="11">
        <v>1</v>
      </c>
      <c r="G196" s="12">
        <v>0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2">
        <v>0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0">
        <v>0</v>
      </c>
    </row>
    <row r="197">
      <c r="A197" s="23">
        <v>1876</v>
      </c>
      <c r="B197" s="4" t="s">
        <v>348</v>
      </c>
      <c r="C197" s="4" t="s">
        <v>65</v>
      </c>
      <c r="D197" s="4" t="s">
        <v>66</v>
      </c>
      <c r="E197" s="4" t="s">
        <v>69</v>
      </c>
      <c r="F197" s="6">
        <v>2</v>
      </c>
      <c r="G197" s="5">
        <v>1</v>
      </c>
      <c r="H197" s="5">
        <v>1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2</v>
      </c>
      <c r="V197" s="5">
        <v>1</v>
      </c>
      <c r="W197" s="5">
        <v>1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0.26</v>
      </c>
    </row>
    <row r="198">
      <c r="A198" s="24">
        <v>1881</v>
      </c>
      <c r="B198" s="9" t="s">
        <v>349</v>
      </c>
      <c r="C198" s="9" t="s">
        <v>65</v>
      </c>
      <c r="D198" s="9" t="s">
        <v>87</v>
      </c>
      <c r="E198" s="9" t="s">
        <v>93</v>
      </c>
      <c r="F198" s="11">
        <v>2</v>
      </c>
      <c r="G198" s="12">
        <v>0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2</v>
      </c>
      <c r="V198" s="12">
        <v>0</v>
      </c>
      <c r="W198" s="12">
        <v>0</v>
      </c>
      <c r="X198" s="12">
        <v>0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29">
        <v>0.48</v>
      </c>
    </row>
    <row r="199">
      <c r="A199" s="23">
        <v>1892</v>
      </c>
      <c r="B199" s="4" t="s">
        <v>350</v>
      </c>
      <c r="C199" s="4" t="s">
        <v>65</v>
      </c>
      <c r="D199" s="4" t="s">
        <v>71</v>
      </c>
      <c r="E199" s="4" t="s">
        <v>72</v>
      </c>
      <c r="F199" s="6">
        <v>3</v>
      </c>
      <c r="G199" s="5">
        <v>1</v>
      </c>
      <c r="H199" s="7">
        <v>0</v>
      </c>
      <c r="I199" s="7">
        <v>0</v>
      </c>
      <c r="J199" s="5">
        <v>2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3</v>
      </c>
      <c r="V199" s="5">
        <v>1</v>
      </c>
      <c r="W199" s="7">
        <v>0</v>
      </c>
      <c r="X199" s="7">
        <v>0</v>
      </c>
      <c r="Y199" s="5">
        <v>2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0.5</v>
      </c>
    </row>
    <row r="200">
      <c r="A200" s="24">
        <v>1896</v>
      </c>
      <c r="B200" s="9" t="s">
        <v>351</v>
      </c>
      <c r="C200" s="9" t="s">
        <v>65</v>
      </c>
      <c r="D200" s="9" t="s">
        <v>74</v>
      </c>
      <c r="E200" s="9" t="s">
        <v>75</v>
      </c>
      <c r="F200" s="11">
        <v>1</v>
      </c>
      <c r="G200" s="12">
        <v>0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2">
        <v>0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0">
        <v>0</v>
      </c>
    </row>
    <row r="201">
      <c r="A201" s="23">
        <v>1900</v>
      </c>
      <c r="B201" s="4" t="s">
        <v>352</v>
      </c>
      <c r="C201" s="4" t="s">
        <v>135</v>
      </c>
      <c r="D201" s="4" t="s">
        <v>353</v>
      </c>
      <c r="E201" s="4" t="s">
        <v>354</v>
      </c>
      <c r="F201" s="6">
        <v>3</v>
      </c>
      <c r="G201" s="7">
        <v>0</v>
      </c>
      <c r="H201" s="7">
        <v>0</v>
      </c>
      <c r="I201" s="5">
        <v>3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3</v>
      </c>
      <c r="V201" s="7">
        <v>0</v>
      </c>
      <c r="W201" s="7">
        <v>0</v>
      </c>
      <c r="X201" s="5">
        <v>3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3</v>
      </c>
      <c r="AK201" s="8">
        <v>3</v>
      </c>
      <c r="AL201" s="5">
        <v>3</v>
      </c>
      <c r="AM201" s="5">
        <v>3</v>
      </c>
      <c r="AN201" s="28">
        <v>0.72</v>
      </c>
    </row>
    <row r="202">
      <c r="A202" s="24">
        <v>1906</v>
      </c>
      <c r="B202" s="9" t="s">
        <v>355</v>
      </c>
      <c r="C202" s="9" t="s">
        <v>65</v>
      </c>
      <c r="D202" s="9" t="s">
        <v>101</v>
      </c>
      <c r="E202" s="9" t="s">
        <v>249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1907</v>
      </c>
      <c r="B203" s="4" t="s">
        <v>356</v>
      </c>
      <c r="C203" s="4" t="s">
        <v>65</v>
      </c>
      <c r="D203" s="4" t="s">
        <v>101</v>
      </c>
      <c r="E203" s="4" t="s">
        <v>249</v>
      </c>
      <c r="F203" s="6">
        <v>5</v>
      </c>
      <c r="G203" s="5">
        <v>4</v>
      </c>
      <c r="H203" s="7">
        <v>0</v>
      </c>
      <c r="I203" s="5">
        <v>1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4</v>
      </c>
      <c r="V203" s="5">
        <v>3</v>
      </c>
      <c r="W203" s="7">
        <v>0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2.5</v>
      </c>
      <c r="AL203" s="5">
        <v>2</v>
      </c>
      <c r="AM203" s="5">
        <v>4</v>
      </c>
      <c r="AN203" s="28">
        <v>0.26</v>
      </c>
    </row>
    <row r="204">
      <c r="A204" s="24">
        <v>1912</v>
      </c>
      <c r="B204" s="9" t="s">
        <v>357</v>
      </c>
      <c r="C204" s="9" t="s">
        <v>65</v>
      </c>
      <c r="D204" s="9" t="s">
        <v>71</v>
      </c>
      <c r="E204" s="9" t="s">
        <v>116</v>
      </c>
      <c r="F204" s="11">
        <v>2</v>
      </c>
      <c r="G204" s="10">
        <v>1</v>
      </c>
      <c r="H204" s="12">
        <v>0</v>
      </c>
      <c r="I204" s="12">
        <v>0</v>
      </c>
      <c r="J204" s="12">
        <v>0</v>
      </c>
      <c r="K204" s="10">
        <v>1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2</v>
      </c>
      <c r="V204" s="10">
        <v>1</v>
      </c>
      <c r="W204" s="12">
        <v>0</v>
      </c>
      <c r="X204" s="12">
        <v>0</v>
      </c>
      <c r="Y204" s="12">
        <v>0</v>
      </c>
      <c r="Z204" s="10">
        <v>1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0">
        <v>0</v>
      </c>
    </row>
    <row r="205">
      <c r="A205" s="23">
        <v>1931</v>
      </c>
      <c r="B205" s="4" t="s">
        <v>358</v>
      </c>
      <c r="C205" s="4" t="s">
        <v>65</v>
      </c>
      <c r="D205" s="4" t="s">
        <v>71</v>
      </c>
      <c r="E205" s="4" t="s">
        <v>116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1">
        <v>0</v>
      </c>
    </row>
    <row r="206">
      <c r="A206" s="24">
        <v>1932</v>
      </c>
      <c r="B206" s="9" t="s">
        <v>359</v>
      </c>
      <c r="C206" s="9" t="s">
        <v>65</v>
      </c>
      <c r="D206" s="9" t="s">
        <v>71</v>
      </c>
      <c r="E206" s="9" t="s">
        <v>116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0">
        <v>0</v>
      </c>
    </row>
    <row r="207">
      <c r="A207" s="23">
        <v>1941</v>
      </c>
      <c r="B207" s="4" t="s">
        <v>360</v>
      </c>
      <c r="C207" s="4" t="s">
        <v>65</v>
      </c>
      <c r="D207" s="4" t="s">
        <v>71</v>
      </c>
      <c r="E207" s="4" t="s">
        <v>116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1">
        <v>0</v>
      </c>
    </row>
    <row r="208">
      <c r="A208" s="24">
        <v>1959</v>
      </c>
      <c r="B208" s="9" t="s">
        <v>361</v>
      </c>
      <c r="C208" s="9" t="s">
        <v>65</v>
      </c>
      <c r="D208" s="9" t="s">
        <v>71</v>
      </c>
      <c r="E208" s="9" t="s">
        <v>116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0">
        <v>0</v>
      </c>
    </row>
    <row r="209">
      <c r="A209" s="23">
        <v>2006</v>
      </c>
      <c r="B209" s="4" t="s">
        <v>362</v>
      </c>
      <c r="C209" s="4" t="s">
        <v>65</v>
      </c>
      <c r="D209" s="4" t="s">
        <v>127</v>
      </c>
      <c r="E209" s="4" t="s">
        <v>128</v>
      </c>
      <c r="F209" s="6">
        <v>5</v>
      </c>
      <c r="G209" s="5">
        <v>4</v>
      </c>
      <c r="H209" s="7">
        <v>0</v>
      </c>
      <c r="I209" s="5">
        <v>1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5</v>
      </c>
      <c r="V209" s="5">
        <v>4</v>
      </c>
      <c r="W209" s="7">
        <v>0</v>
      </c>
      <c r="X209" s="5">
        <v>1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2.5</v>
      </c>
      <c r="AL209" s="5">
        <v>2</v>
      </c>
      <c r="AM209" s="5">
        <v>4</v>
      </c>
      <c r="AN209" s="31">
        <v>0</v>
      </c>
    </row>
    <row r="210">
      <c r="A210" s="24">
        <v>2095</v>
      </c>
      <c r="B210" s="9" t="s">
        <v>363</v>
      </c>
      <c r="C210" s="9" t="s">
        <v>65</v>
      </c>
      <c r="D210" s="9" t="s">
        <v>71</v>
      </c>
      <c r="E210" s="9" t="s">
        <v>116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30">
        <v>0</v>
      </c>
    </row>
    <row r="211">
      <c r="A211" s="23">
        <v>2108</v>
      </c>
      <c r="B211" s="4" t="s">
        <v>364</v>
      </c>
      <c r="C211" s="4" t="s">
        <v>65</v>
      </c>
      <c r="D211" s="4" t="s">
        <v>71</v>
      </c>
      <c r="E211" s="4" t="s">
        <v>116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31">
        <v>0</v>
      </c>
    </row>
    <row r="212">
      <c r="A212" s="24">
        <v>2213</v>
      </c>
      <c r="B212" s="9" t="s">
        <v>365</v>
      </c>
      <c r="C212" s="9" t="s">
        <v>65</v>
      </c>
      <c r="D212" s="9" t="s">
        <v>74</v>
      </c>
      <c r="E212" s="9" t="s">
        <v>366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0.26</v>
      </c>
    </row>
    <row r="213">
      <c r="A213" s="23">
        <v>2221</v>
      </c>
      <c r="B213" s="4" t="s">
        <v>367</v>
      </c>
      <c r="C213" s="4" t="s">
        <v>65</v>
      </c>
      <c r="D213" s="4" t="s">
        <v>71</v>
      </c>
      <c r="E213" s="4" t="s">
        <v>72</v>
      </c>
      <c r="F213" s="6">
        <v>2</v>
      </c>
      <c r="G213" s="5">
        <v>1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2</v>
      </c>
      <c r="V213" s="5">
        <v>1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0.34</v>
      </c>
    </row>
    <row r="214">
      <c r="A214" s="24">
        <v>2224</v>
      </c>
      <c r="B214" s="9" t="s">
        <v>368</v>
      </c>
      <c r="C214" s="9" t="s">
        <v>65</v>
      </c>
      <c r="D214" s="9" t="s">
        <v>71</v>
      </c>
      <c r="E214" s="9" t="s">
        <v>116</v>
      </c>
      <c r="F214" s="11">
        <v>3</v>
      </c>
      <c r="G214" s="10">
        <v>2</v>
      </c>
      <c r="H214" s="12">
        <v>0</v>
      </c>
      <c r="I214" s="12">
        <v>0</v>
      </c>
      <c r="J214" s="12">
        <v>0</v>
      </c>
      <c r="K214" s="10">
        <v>1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3</v>
      </c>
      <c r="V214" s="10">
        <v>2</v>
      </c>
      <c r="W214" s="12">
        <v>0</v>
      </c>
      <c r="X214" s="12">
        <v>0</v>
      </c>
      <c r="Y214" s="12">
        <v>0</v>
      </c>
      <c r="Z214" s="10">
        <v>1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1.5</v>
      </c>
      <c r="AL214" s="10">
        <v>1</v>
      </c>
      <c r="AM214" s="10">
        <v>2</v>
      </c>
      <c r="AN214" s="30">
        <v>0</v>
      </c>
    </row>
    <row r="215">
      <c r="A215" s="23">
        <v>2225</v>
      </c>
      <c r="B215" s="4" t="s">
        <v>369</v>
      </c>
      <c r="C215" s="4" t="s">
        <v>65</v>
      </c>
      <c r="D215" s="4" t="s">
        <v>101</v>
      </c>
      <c r="E215" s="4" t="s">
        <v>102</v>
      </c>
      <c r="F215" s="6">
        <v>5</v>
      </c>
      <c r="G215" s="5">
        <v>2</v>
      </c>
      <c r="H215" s="7">
        <v>0</v>
      </c>
      <c r="I215" s="5">
        <v>1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3</v>
      </c>
      <c r="V215" s="5">
        <v>1</v>
      </c>
      <c r="W215" s="7">
        <v>0</v>
      </c>
      <c r="X215" s="5">
        <v>1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1.67</v>
      </c>
      <c r="AL215" s="5">
        <v>2</v>
      </c>
      <c r="AM215" s="5">
        <v>2</v>
      </c>
      <c r="AN215" s="28">
        <v>0.24</v>
      </c>
    </row>
    <row r="216">
      <c r="A216" s="24">
        <v>2227</v>
      </c>
      <c r="B216" s="9" t="s">
        <v>370</v>
      </c>
      <c r="C216" s="9" t="s">
        <v>65</v>
      </c>
      <c r="D216" s="9" t="s">
        <v>87</v>
      </c>
      <c r="E216" s="9" t="s">
        <v>93</v>
      </c>
      <c r="F216" s="11">
        <v>2</v>
      </c>
      <c r="G216" s="10">
        <v>1</v>
      </c>
      <c r="H216" s="10">
        <v>1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2</v>
      </c>
      <c r="V216" s="10">
        <v>1</v>
      </c>
      <c r="W216" s="10">
        <v>1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0.36</v>
      </c>
    </row>
    <row r="217">
      <c r="A217" s="23">
        <v>2260</v>
      </c>
      <c r="B217" s="4" t="s">
        <v>371</v>
      </c>
      <c r="C217" s="4" t="s">
        <v>65</v>
      </c>
      <c r="D217" s="4" t="s">
        <v>74</v>
      </c>
      <c r="E217" s="4" t="s">
        <v>75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1">
        <v>0</v>
      </c>
    </row>
    <row r="218">
      <c r="A218" s="24">
        <v>2269</v>
      </c>
      <c r="B218" s="9" t="s">
        <v>372</v>
      </c>
      <c r="C218" s="9" t="s">
        <v>65</v>
      </c>
      <c r="D218" s="9" t="s">
        <v>66</v>
      </c>
      <c r="E218" s="9" t="s">
        <v>69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2306</v>
      </c>
      <c r="B219" s="4" t="s">
        <v>373</v>
      </c>
      <c r="C219" s="4" t="s">
        <v>65</v>
      </c>
      <c r="D219" s="4" t="s">
        <v>101</v>
      </c>
      <c r="E219" s="4" t="s">
        <v>102</v>
      </c>
      <c r="F219" s="6">
        <v>5</v>
      </c>
      <c r="G219" s="5">
        <v>4</v>
      </c>
      <c r="H219" s="7">
        <v>0</v>
      </c>
      <c r="I219" s="5">
        <v>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4</v>
      </c>
      <c r="V219" s="5">
        <v>3</v>
      </c>
      <c r="W219" s="7">
        <v>0</v>
      </c>
      <c r="X219" s="5">
        <v>1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2.5</v>
      </c>
      <c r="AL219" s="5">
        <v>2</v>
      </c>
      <c r="AM219" s="5">
        <v>4</v>
      </c>
      <c r="AN219" s="31">
        <v>0</v>
      </c>
    </row>
    <row r="220">
      <c r="A220" s="24">
        <v>2310</v>
      </c>
      <c r="B220" s="9" t="s">
        <v>374</v>
      </c>
      <c r="C220" s="9" t="s">
        <v>135</v>
      </c>
      <c r="D220" s="9" t="s">
        <v>375</v>
      </c>
      <c r="E220" s="9" t="s">
        <v>376</v>
      </c>
      <c r="F220" s="11">
        <v>3</v>
      </c>
      <c r="G220" s="12">
        <v>0</v>
      </c>
      <c r="H220" s="12">
        <v>0</v>
      </c>
      <c r="I220" s="12">
        <v>0</v>
      </c>
      <c r="J220" s="10">
        <v>3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3</v>
      </c>
      <c r="V220" s="12">
        <v>0</v>
      </c>
      <c r="W220" s="12">
        <v>0</v>
      </c>
      <c r="X220" s="12">
        <v>0</v>
      </c>
      <c r="Y220" s="10">
        <v>3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3</v>
      </c>
      <c r="AK220" s="13">
        <v>3</v>
      </c>
      <c r="AL220" s="10">
        <v>3</v>
      </c>
      <c r="AM220" s="10">
        <v>3</v>
      </c>
      <c r="AN220" s="29">
        <v>0.66</v>
      </c>
    </row>
    <row r="221">
      <c r="A221" s="23">
        <v>2313</v>
      </c>
      <c r="B221" s="4" t="s">
        <v>377</v>
      </c>
      <c r="C221" s="4" t="s">
        <v>65</v>
      </c>
      <c r="D221" s="4" t="s">
        <v>79</v>
      </c>
      <c r="E221" s="4" t="s">
        <v>195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2326</v>
      </c>
      <c r="B222" s="9" t="s">
        <v>378</v>
      </c>
      <c r="C222" s="9" t="s">
        <v>135</v>
      </c>
      <c r="D222" s="9" t="s">
        <v>375</v>
      </c>
      <c r="E222" s="9" t="s">
        <v>379</v>
      </c>
      <c r="F222" s="11">
        <v>1</v>
      </c>
      <c r="G222" s="12">
        <v>0</v>
      </c>
      <c r="H222" s="12">
        <v>0</v>
      </c>
      <c r="I222" s="10">
        <v>1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2">
        <v>0</v>
      </c>
      <c r="X222" s="10">
        <v>1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2332</v>
      </c>
      <c r="B223" s="4" t="s">
        <v>380</v>
      </c>
      <c r="C223" s="4" t="s">
        <v>135</v>
      </c>
      <c r="D223" s="4" t="s">
        <v>381</v>
      </c>
      <c r="E223" s="4" t="s">
        <v>382</v>
      </c>
      <c r="F223" s="6">
        <v>2</v>
      </c>
      <c r="G223" s="5">
        <v>1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2</v>
      </c>
      <c r="V223" s="5">
        <v>1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2347</v>
      </c>
      <c r="B224" s="9" t="s">
        <v>383</v>
      </c>
      <c r="C224" s="9" t="s">
        <v>65</v>
      </c>
      <c r="D224" s="9" t="s">
        <v>111</v>
      </c>
      <c r="E224" s="9" t="s">
        <v>200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2353</v>
      </c>
      <c r="B225" s="4" t="s">
        <v>384</v>
      </c>
      <c r="C225" s="4" t="s">
        <v>159</v>
      </c>
      <c r="D225" s="4" t="s">
        <v>385</v>
      </c>
      <c r="E225" s="4" t="s">
        <v>386</v>
      </c>
      <c r="F225" s="6">
        <v>5</v>
      </c>
      <c r="G225" s="5">
        <v>2</v>
      </c>
      <c r="H225" s="7">
        <v>0</v>
      </c>
      <c r="I225" s="5">
        <v>3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5</v>
      </c>
      <c r="V225" s="5">
        <v>2</v>
      </c>
      <c r="W225" s="7">
        <v>0</v>
      </c>
      <c r="X225" s="5">
        <v>3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2.5</v>
      </c>
      <c r="AL225" s="5">
        <v>2</v>
      </c>
      <c r="AM225" s="5">
        <v>3</v>
      </c>
      <c r="AN225" s="31">
        <v>0</v>
      </c>
    </row>
    <row r="226">
      <c r="A226" s="24">
        <v>2361</v>
      </c>
      <c r="B226" s="9" t="s">
        <v>387</v>
      </c>
      <c r="C226" s="9" t="s">
        <v>135</v>
      </c>
      <c r="D226" s="9" t="s">
        <v>323</v>
      </c>
      <c r="E226" s="9" t="s">
        <v>324</v>
      </c>
      <c r="F226" s="11">
        <v>4</v>
      </c>
      <c r="G226" s="12">
        <v>0</v>
      </c>
      <c r="H226" s="12">
        <v>0</v>
      </c>
      <c r="I226" s="10">
        <v>1</v>
      </c>
      <c r="J226" s="10">
        <v>3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4</v>
      </c>
      <c r="V226" s="12">
        <v>0</v>
      </c>
      <c r="W226" s="12">
        <v>0</v>
      </c>
      <c r="X226" s="10">
        <v>1</v>
      </c>
      <c r="Y226" s="10">
        <v>3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</v>
      </c>
      <c r="AL226" s="10">
        <v>2</v>
      </c>
      <c r="AM226" s="10">
        <v>3</v>
      </c>
      <c r="AN226" s="29">
        <v>0.88</v>
      </c>
    </row>
    <row r="227">
      <c r="A227" s="23">
        <v>2365</v>
      </c>
      <c r="B227" s="4" t="s">
        <v>388</v>
      </c>
      <c r="C227" s="4" t="s">
        <v>65</v>
      </c>
      <c r="D227" s="4" t="s">
        <v>101</v>
      </c>
      <c r="E227" s="4" t="s">
        <v>249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2367</v>
      </c>
      <c r="B228" s="9" t="s">
        <v>389</v>
      </c>
      <c r="C228" s="9" t="s">
        <v>65</v>
      </c>
      <c r="D228" s="9" t="s">
        <v>79</v>
      </c>
      <c r="E228" s="9" t="s">
        <v>390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0.25</v>
      </c>
    </row>
    <row r="229">
      <c r="A229" s="23">
        <v>2370</v>
      </c>
      <c r="B229" s="4" t="s">
        <v>391</v>
      </c>
      <c r="C229" s="4" t="s">
        <v>65</v>
      </c>
      <c r="D229" s="4" t="s">
        <v>79</v>
      </c>
      <c r="E229" s="4" t="s">
        <v>80</v>
      </c>
      <c r="F229" s="6">
        <v>1</v>
      </c>
      <c r="G229" s="7">
        <v>0</v>
      </c>
      <c r="H229" s="7">
        <v>0</v>
      </c>
      <c r="I229" s="5">
        <v>1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7">
        <v>0</v>
      </c>
      <c r="W229" s="7">
        <v>0</v>
      </c>
      <c r="X229" s="5">
        <v>1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0.25</v>
      </c>
    </row>
    <row r="230">
      <c r="A230" s="24">
        <v>2372</v>
      </c>
      <c r="B230" s="9" t="s">
        <v>392</v>
      </c>
      <c r="C230" s="9" t="s">
        <v>65</v>
      </c>
      <c r="D230" s="9" t="s">
        <v>98</v>
      </c>
      <c r="E230" s="9" t="s">
        <v>139</v>
      </c>
      <c r="F230" s="11">
        <v>4</v>
      </c>
      <c r="G230" s="12">
        <v>0</v>
      </c>
      <c r="H230" s="12">
        <v>0</v>
      </c>
      <c r="I230" s="12">
        <v>0</v>
      </c>
      <c r="J230" s="10">
        <v>4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3</v>
      </c>
      <c r="V230" s="12">
        <v>0</v>
      </c>
      <c r="W230" s="12">
        <v>0</v>
      </c>
      <c r="X230" s="12">
        <v>0</v>
      </c>
      <c r="Y230" s="10">
        <v>3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4</v>
      </c>
      <c r="AK230" s="13">
        <v>4</v>
      </c>
      <c r="AL230" s="10">
        <v>4</v>
      </c>
      <c r="AM230" s="10">
        <v>4</v>
      </c>
      <c r="AN230" s="29">
        <v>0.75</v>
      </c>
    </row>
    <row r="231">
      <c r="A231" s="23">
        <v>2376</v>
      </c>
      <c r="B231" s="4" t="s">
        <v>393</v>
      </c>
      <c r="C231" s="4" t="s">
        <v>135</v>
      </c>
      <c r="D231" s="4" t="s">
        <v>136</v>
      </c>
      <c r="E231" s="4" t="s">
        <v>394</v>
      </c>
      <c r="F231" s="6">
        <v>1</v>
      </c>
      <c r="G231" s="7">
        <v>0</v>
      </c>
      <c r="H231" s="7">
        <v>0</v>
      </c>
      <c r="I231" s="5">
        <v>1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5">
        <v>1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1">
        <v>0</v>
      </c>
    </row>
    <row r="232">
      <c r="A232" s="24">
        <v>2380</v>
      </c>
      <c r="B232" s="9" t="s">
        <v>395</v>
      </c>
      <c r="C232" s="9" t="s">
        <v>65</v>
      </c>
      <c r="D232" s="9" t="s">
        <v>66</v>
      </c>
      <c r="E232" s="9" t="s">
        <v>67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2390</v>
      </c>
      <c r="B233" s="4" t="s">
        <v>396</v>
      </c>
      <c r="C233" s="4" t="s">
        <v>65</v>
      </c>
      <c r="D233" s="4" t="s">
        <v>101</v>
      </c>
      <c r="E233" s="4" t="s">
        <v>102</v>
      </c>
      <c r="F233" s="6">
        <v>1</v>
      </c>
      <c r="G233" s="7">
        <v>0</v>
      </c>
      <c r="H233" s="7">
        <v>0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7">
        <v>0</v>
      </c>
      <c r="W233" s="7">
        <v>0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0.22</v>
      </c>
    </row>
    <row r="234">
      <c r="A234" s="24">
        <v>2403</v>
      </c>
      <c r="B234" s="9" t="s">
        <v>397</v>
      </c>
      <c r="C234" s="9" t="s">
        <v>65</v>
      </c>
      <c r="D234" s="9" t="s">
        <v>111</v>
      </c>
      <c r="E234" s="9" t="s">
        <v>112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2413</v>
      </c>
      <c r="B235" s="4" t="s">
        <v>398</v>
      </c>
      <c r="C235" s="4" t="s">
        <v>65</v>
      </c>
      <c r="D235" s="4" t="s">
        <v>79</v>
      </c>
      <c r="E235" s="4" t="s">
        <v>133</v>
      </c>
      <c r="F235" s="6">
        <v>1</v>
      </c>
      <c r="G235" s="7">
        <v>0</v>
      </c>
      <c r="H235" s="7">
        <v>0</v>
      </c>
      <c r="I235" s="5">
        <v>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7">
        <v>0</v>
      </c>
      <c r="X235" s="5">
        <v>1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1">
        <v>0</v>
      </c>
    </row>
    <row r="236">
      <c r="A236" s="24">
        <v>2418</v>
      </c>
      <c r="B236" s="9" t="s">
        <v>399</v>
      </c>
      <c r="C236" s="9" t="s">
        <v>65</v>
      </c>
      <c r="D236" s="9" t="s">
        <v>101</v>
      </c>
      <c r="E236" s="9" t="s">
        <v>249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0">
        <v>0</v>
      </c>
    </row>
    <row r="237">
      <c r="A237" s="23">
        <v>2419</v>
      </c>
      <c r="B237" s="4" t="s">
        <v>400</v>
      </c>
      <c r="C237" s="4" t="s">
        <v>65</v>
      </c>
      <c r="D237" s="4" t="s">
        <v>71</v>
      </c>
      <c r="E237" s="4" t="s">
        <v>299</v>
      </c>
      <c r="F237" s="6">
        <v>1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0.25</v>
      </c>
    </row>
    <row r="238">
      <c r="A238" s="24">
        <v>2425</v>
      </c>
      <c r="B238" s="9" t="s">
        <v>401</v>
      </c>
      <c r="C238" s="9" t="s">
        <v>135</v>
      </c>
      <c r="D238" s="9" t="s">
        <v>402</v>
      </c>
      <c r="E238" s="9" t="s">
        <v>403</v>
      </c>
      <c r="F238" s="11">
        <v>1</v>
      </c>
      <c r="G238" s="12">
        <v>0</v>
      </c>
      <c r="H238" s="12">
        <v>0</v>
      </c>
      <c r="I238" s="10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2">
        <v>0</v>
      </c>
      <c r="X238" s="10">
        <v>1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2428</v>
      </c>
      <c r="B239" s="4" t="s">
        <v>404</v>
      </c>
      <c r="C239" s="4" t="s">
        <v>65</v>
      </c>
      <c r="D239" s="4" t="s">
        <v>79</v>
      </c>
      <c r="E239" s="4" t="s">
        <v>405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1">
        <v>0</v>
      </c>
    </row>
    <row r="240">
      <c r="A240" s="24">
        <v>2429</v>
      </c>
      <c r="B240" s="9" t="s">
        <v>406</v>
      </c>
      <c r="C240" s="9" t="s">
        <v>65</v>
      </c>
      <c r="D240" s="9" t="s">
        <v>79</v>
      </c>
      <c r="E240" s="9" t="s">
        <v>195</v>
      </c>
      <c r="F240" s="11">
        <v>54</v>
      </c>
      <c r="G240" s="12">
        <v>0</v>
      </c>
      <c r="H240" s="12">
        <v>0</v>
      </c>
      <c r="I240" s="12">
        <v>0</v>
      </c>
      <c r="J240" s="10">
        <v>54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47</v>
      </c>
      <c r="V240" s="12">
        <v>0</v>
      </c>
      <c r="W240" s="12">
        <v>0</v>
      </c>
      <c r="X240" s="12">
        <v>0</v>
      </c>
      <c r="Y240" s="10">
        <v>47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54</v>
      </c>
      <c r="AK240" s="13">
        <v>54</v>
      </c>
      <c r="AL240" s="10">
        <v>54</v>
      </c>
      <c r="AM240" s="10">
        <v>54</v>
      </c>
      <c r="AN240" s="29">
        <v>12.22</v>
      </c>
    </row>
    <row r="241">
      <c r="A241" s="23">
        <v>2431</v>
      </c>
      <c r="B241" s="4" t="s">
        <v>407</v>
      </c>
      <c r="C241" s="4" t="s">
        <v>65</v>
      </c>
      <c r="D241" s="4" t="s">
        <v>79</v>
      </c>
      <c r="E241" s="4" t="s">
        <v>80</v>
      </c>
      <c r="F241" s="6">
        <v>2</v>
      </c>
      <c r="G241" s="7">
        <v>0</v>
      </c>
      <c r="H241" s="7">
        <v>0</v>
      </c>
      <c r="I241" s="5">
        <v>1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2</v>
      </c>
      <c r="V241" s="7">
        <v>0</v>
      </c>
      <c r="W241" s="7">
        <v>0</v>
      </c>
      <c r="X241" s="5">
        <v>1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2436</v>
      </c>
      <c r="B242" s="9" t="s">
        <v>408</v>
      </c>
      <c r="C242" s="9" t="s">
        <v>65</v>
      </c>
      <c r="D242" s="9" t="s">
        <v>87</v>
      </c>
      <c r="E242" s="9" t="s">
        <v>409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2439</v>
      </c>
      <c r="B243" s="4" t="s">
        <v>410</v>
      </c>
      <c r="C243" s="4" t="s">
        <v>65</v>
      </c>
      <c r="D243" s="4" t="s">
        <v>111</v>
      </c>
      <c r="E243" s="4" t="s">
        <v>151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31">
        <v>0</v>
      </c>
    </row>
    <row r="244">
      <c r="A244" s="24">
        <v>2440</v>
      </c>
      <c r="B244" s="9" t="s">
        <v>411</v>
      </c>
      <c r="C244" s="9" t="s">
        <v>65</v>
      </c>
      <c r="D244" s="9" t="s">
        <v>79</v>
      </c>
      <c r="E244" s="9" t="s">
        <v>80</v>
      </c>
      <c r="F244" s="11">
        <v>1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2445</v>
      </c>
      <c r="B245" s="4" t="s">
        <v>412</v>
      </c>
      <c r="C245" s="4" t="s">
        <v>65</v>
      </c>
      <c r="D245" s="4" t="s">
        <v>111</v>
      </c>
      <c r="E245" s="4" t="s">
        <v>188</v>
      </c>
      <c r="F245" s="6">
        <v>3</v>
      </c>
      <c r="G245" s="5">
        <v>2</v>
      </c>
      <c r="H245" s="7">
        <v>0</v>
      </c>
      <c r="I245" s="5">
        <v>1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3</v>
      </c>
      <c r="V245" s="5">
        <v>2</v>
      </c>
      <c r="W245" s="7">
        <v>0</v>
      </c>
      <c r="X245" s="5">
        <v>1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31">
        <v>0</v>
      </c>
    </row>
    <row r="246">
      <c r="A246" s="24">
        <v>2446</v>
      </c>
      <c r="B246" s="9" t="s">
        <v>413</v>
      </c>
      <c r="C246" s="9" t="s">
        <v>65</v>
      </c>
      <c r="D246" s="9" t="s">
        <v>79</v>
      </c>
      <c r="E246" s="9" t="s">
        <v>80</v>
      </c>
      <c r="F246" s="11">
        <v>2</v>
      </c>
      <c r="G246" s="10">
        <v>1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2</v>
      </c>
      <c r="V246" s="10">
        <v>1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2481</v>
      </c>
      <c r="B247" s="4" t="s">
        <v>414</v>
      </c>
      <c r="C247" s="4" t="s">
        <v>65</v>
      </c>
      <c r="D247" s="4" t="s">
        <v>111</v>
      </c>
      <c r="E247" s="4" t="s">
        <v>188</v>
      </c>
      <c r="F247" s="6">
        <v>1</v>
      </c>
      <c r="G247" s="7">
        <v>0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7">
        <v>0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2486</v>
      </c>
      <c r="B248" s="9" t="s">
        <v>415</v>
      </c>
      <c r="C248" s="9" t="s">
        <v>159</v>
      </c>
      <c r="D248" s="9" t="s">
        <v>160</v>
      </c>
      <c r="E248" s="9" t="s">
        <v>161</v>
      </c>
      <c r="F248" s="11">
        <v>2</v>
      </c>
      <c r="G248" s="12">
        <v>0</v>
      </c>
      <c r="H248" s="12">
        <v>0</v>
      </c>
      <c r="I248" s="12">
        <v>0</v>
      </c>
      <c r="J248" s="10">
        <v>1</v>
      </c>
      <c r="K248" s="10">
        <v>1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2</v>
      </c>
      <c r="V248" s="12">
        <v>0</v>
      </c>
      <c r="W248" s="12">
        <v>0</v>
      </c>
      <c r="X248" s="12">
        <v>0</v>
      </c>
      <c r="Y248" s="10">
        <v>1</v>
      </c>
      <c r="Z248" s="10">
        <v>1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0">
        <v>0</v>
      </c>
    </row>
    <row r="249">
      <c r="A249" s="23">
        <v>2489</v>
      </c>
      <c r="B249" s="4" t="s">
        <v>416</v>
      </c>
      <c r="C249" s="4" t="s">
        <v>159</v>
      </c>
      <c r="D249" s="4" t="s">
        <v>417</v>
      </c>
      <c r="E249" s="4" t="s">
        <v>417</v>
      </c>
      <c r="F249" s="6">
        <v>2</v>
      </c>
      <c r="G249" s="5">
        <v>1</v>
      </c>
      <c r="H249" s="7">
        <v>0</v>
      </c>
      <c r="I249" s="7">
        <v>0</v>
      </c>
      <c r="J249" s="7">
        <v>0</v>
      </c>
      <c r="K249" s="5">
        <v>1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2</v>
      </c>
      <c r="V249" s="5">
        <v>1</v>
      </c>
      <c r="W249" s="7">
        <v>0</v>
      </c>
      <c r="X249" s="7">
        <v>0</v>
      </c>
      <c r="Y249" s="7">
        <v>0</v>
      </c>
      <c r="Z249" s="5">
        <v>1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1">
        <v>0</v>
      </c>
    </row>
    <row r="250">
      <c r="A250" s="24">
        <v>2496</v>
      </c>
      <c r="B250" s="9" t="s">
        <v>418</v>
      </c>
      <c r="C250" s="9" t="s">
        <v>135</v>
      </c>
      <c r="D250" s="9" t="s">
        <v>375</v>
      </c>
      <c r="E250" s="9" t="s">
        <v>419</v>
      </c>
      <c r="F250" s="11">
        <v>6</v>
      </c>
      <c r="G250" s="12">
        <v>0</v>
      </c>
      <c r="H250" s="12">
        <v>0</v>
      </c>
      <c r="I250" s="10">
        <v>3</v>
      </c>
      <c r="J250" s="10">
        <v>3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6</v>
      </c>
      <c r="V250" s="12">
        <v>0</v>
      </c>
      <c r="W250" s="12">
        <v>0</v>
      </c>
      <c r="X250" s="10">
        <v>3</v>
      </c>
      <c r="Y250" s="10">
        <v>3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3</v>
      </c>
      <c r="AK250" s="13">
        <v>3</v>
      </c>
      <c r="AL250" s="10">
        <v>3</v>
      </c>
      <c r="AM250" s="10">
        <v>3</v>
      </c>
      <c r="AN250" s="29">
        <v>1.44</v>
      </c>
    </row>
    <row r="251">
      <c r="A251" s="23">
        <v>2499</v>
      </c>
      <c r="B251" s="4" t="s">
        <v>420</v>
      </c>
      <c r="C251" s="4" t="s">
        <v>65</v>
      </c>
      <c r="D251" s="4" t="s">
        <v>66</v>
      </c>
      <c r="E251" s="4" t="s">
        <v>69</v>
      </c>
      <c r="F251" s="6">
        <v>1</v>
      </c>
      <c r="G251" s="7">
        <v>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0.22</v>
      </c>
    </row>
    <row r="252">
      <c r="A252" s="24">
        <v>2516</v>
      </c>
      <c r="B252" s="9" t="s">
        <v>421</v>
      </c>
      <c r="C252" s="9" t="s">
        <v>65</v>
      </c>
      <c r="D252" s="9" t="s">
        <v>111</v>
      </c>
      <c r="E252" s="9" t="s">
        <v>114</v>
      </c>
      <c r="F252" s="11">
        <v>1</v>
      </c>
      <c r="G252" s="12">
        <v>0</v>
      </c>
      <c r="H252" s="12">
        <v>0</v>
      </c>
      <c r="I252" s="10">
        <v>1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2">
        <v>0</v>
      </c>
      <c r="X252" s="10">
        <v>1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2517</v>
      </c>
      <c r="B253" s="4" t="s">
        <v>422</v>
      </c>
      <c r="C253" s="4" t="s">
        <v>65</v>
      </c>
      <c r="D253" s="4" t="s">
        <v>79</v>
      </c>
      <c r="E253" s="4" t="s">
        <v>80</v>
      </c>
      <c r="F253" s="6">
        <v>2</v>
      </c>
      <c r="G253" s="7">
        <v>0</v>
      </c>
      <c r="H253" s="7">
        <v>0</v>
      </c>
      <c r="I253" s="7">
        <v>0</v>
      </c>
      <c r="J253" s="5">
        <v>2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2</v>
      </c>
      <c r="V253" s="7">
        <v>0</v>
      </c>
      <c r="W253" s="7">
        <v>0</v>
      </c>
      <c r="X253" s="7">
        <v>0</v>
      </c>
      <c r="Y253" s="5">
        <v>2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2</v>
      </c>
      <c r="AL253" s="5">
        <v>2</v>
      </c>
      <c r="AM253" s="5">
        <v>2</v>
      </c>
      <c r="AN253" s="28">
        <v>0.52</v>
      </c>
    </row>
    <row r="254">
      <c r="A254" s="24">
        <v>2519</v>
      </c>
      <c r="B254" s="9" t="s">
        <v>423</v>
      </c>
      <c r="C254" s="9" t="s">
        <v>65</v>
      </c>
      <c r="D254" s="9" t="s">
        <v>79</v>
      </c>
      <c r="E254" s="9" t="s">
        <v>80</v>
      </c>
      <c r="F254" s="11">
        <v>1</v>
      </c>
      <c r="G254" s="12">
        <v>0</v>
      </c>
      <c r="H254" s="12">
        <v>0</v>
      </c>
      <c r="I254" s="10">
        <v>1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2">
        <v>0</v>
      </c>
      <c r="W254" s="12">
        <v>0</v>
      </c>
      <c r="X254" s="10">
        <v>1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0.26</v>
      </c>
    </row>
    <row r="255">
      <c r="A255" s="23">
        <v>2529</v>
      </c>
      <c r="B255" s="4" t="s">
        <v>424</v>
      </c>
      <c r="C255" s="4" t="s">
        <v>65</v>
      </c>
      <c r="D255" s="4" t="s">
        <v>79</v>
      </c>
      <c r="E255" s="4" t="s">
        <v>390</v>
      </c>
      <c r="F255" s="6">
        <v>1</v>
      </c>
      <c r="G255" s="7">
        <v>0</v>
      </c>
      <c r="H255" s="7">
        <v>0</v>
      </c>
      <c r="I255" s="7">
        <v>0</v>
      </c>
      <c r="J255" s="5">
        <v>1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7">
        <v>0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0.25</v>
      </c>
    </row>
    <row r="256">
      <c r="A256" s="24">
        <v>2539</v>
      </c>
      <c r="B256" s="9" t="s">
        <v>425</v>
      </c>
      <c r="C256" s="9" t="s">
        <v>65</v>
      </c>
      <c r="D256" s="9" t="s">
        <v>74</v>
      </c>
      <c r="E256" s="9" t="s">
        <v>75</v>
      </c>
      <c r="F256" s="11">
        <v>2</v>
      </c>
      <c r="G256" s="10">
        <v>1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2</v>
      </c>
      <c r="V256" s="10">
        <v>1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0">
        <v>0</v>
      </c>
    </row>
    <row r="257">
      <c r="A257" s="23">
        <v>2549</v>
      </c>
      <c r="B257" s="4" t="s">
        <v>426</v>
      </c>
      <c r="C257" s="4" t="s">
        <v>65</v>
      </c>
      <c r="D257" s="4" t="s">
        <v>66</v>
      </c>
      <c r="E257" s="4" t="s">
        <v>231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0.25</v>
      </c>
    </row>
    <row r="258">
      <c r="A258" s="24">
        <v>2552</v>
      </c>
      <c r="B258" s="9" t="s">
        <v>427</v>
      </c>
      <c r="C258" s="9" t="s">
        <v>65</v>
      </c>
      <c r="D258" s="9" t="s">
        <v>79</v>
      </c>
      <c r="E258" s="9" t="s">
        <v>80</v>
      </c>
      <c r="F258" s="11">
        <v>5</v>
      </c>
      <c r="G258" s="10">
        <v>1</v>
      </c>
      <c r="H258" s="12">
        <v>0</v>
      </c>
      <c r="I258" s="10">
        <v>3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5</v>
      </c>
      <c r="V258" s="10">
        <v>1</v>
      </c>
      <c r="W258" s="12">
        <v>0</v>
      </c>
      <c r="X258" s="10">
        <v>3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1.67</v>
      </c>
      <c r="AL258" s="10">
        <v>1</v>
      </c>
      <c r="AM258" s="10">
        <v>3</v>
      </c>
      <c r="AN258" s="29">
        <v>0.26</v>
      </c>
    </row>
    <row r="259">
      <c r="A259" s="23">
        <v>2554</v>
      </c>
      <c r="B259" s="4" t="s">
        <v>428</v>
      </c>
      <c r="C259" s="4" t="s">
        <v>65</v>
      </c>
      <c r="D259" s="4" t="s">
        <v>79</v>
      </c>
      <c r="E259" s="4" t="s">
        <v>195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0.22</v>
      </c>
    </row>
    <row r="260">
      <c r="A260" s="24">
        <v>2555</v>
      </c>
      <c r="B260" s="9" t="s">
        <v>429</v>
      </c>
      <c r="C260" s="9" t="s">
        <v>65</v>
      </c>
      <c r="D260" s="9" t="s">
        <v>79</v>
      </c>
      <c r="E260" s="9" t="s">
        <v>195</v>
      </c>
      <c r="F260" s="11">
        <v>2</v>
      </c>
      <c r="G260" s="12">
        <v>0</v>
      </c>
      <c r="H260" s="12">
        <v>0</v>
      </c>
      <c r="I260" s="12">
        <v>0</v>
      </c>
      <c r="J260" s="10">
        <v>2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2">
        <v>0</v>
      </c>
      <c r="W260" s="12">
        <v>0</v>
      </c>
      <c r="X260" s="12">
        <v>0</v>
      </c>
      <c r="Y260" s="10">
        <v>2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0.52</v>
      </c>
    </row>
    <row r="261">
      <c r="A261" s="23">
        <v>2561</v>
      </c>
      <c r="B261" s="4" t="s">
        <v>430</v>
      </c>
      <c r="C261" s="4" t="s">
        <v>65</v>
      </c>
      <c r="D261" s="4" t="s">
        <v>79</v>
      </c>
      <c r="E261" s="4" t="s">
        <v>195</v>
      </c>
      <c r="F261" s="6">
        <v>3</v>
      </c>
      <c r="G261" s="7">
        <v>0</v>
      </c>
      <c r="H261" s="7">
        <v>0</v>
      </c>
      <c r="I261" s="7">
        <v>0</v>
      </c>
      <c r="J261" s="5">
        <v>3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3</v>
      </c>
      <c r="V261" s="7">
        <v>0</v>
      </c>
      <c r="W261" s="7">
        <v>0</v>
      </c>
      <c r="X261" s="7">
        <v>0</v>
      </c>
      <c r="Y261" s="5">
        <v>3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1.5</v>
      </c>
      <c r="AL261" s="5">
        <v>1</v>
      </c>
      <c r="AM261" s="5">
        <v>2</v>
      </c>
      <c r="AN261" s="28">
        <v>0.75</v>
      </c>
    </row>
    <row r="262">
      <c r="A262" s="24">
        <v>2563</v>
      </c>
      <c r="B262" s="9" t="s">
        <v>431</v>
      </c>
      <c r="C262" s="9" t="s">
        <v>65</v>
      </c>
      <c r="D262" s="9" t="s">
        <v>79</v>
      </c>
      <c r="E262" s="9" t="s">
        <v>195</v>
      </c>
      <c r="F262" s="11">
        <v>1</v>
      </c>
      <c r="G262" s="12">
        <v>0</v>
      </c>
      <c r="H262" s="12">
        <v>0</v>
      </c>
      <c r="I262" s="10">
        <v>1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</v>
      </c>
      <c r="V262" s="12">
        <v>0</v>
      </c>
      <c r="W262" s="12">
        <v>0</v>
      </c>
      <c r="X262" s="10">
        <v>1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2565</v>
      </c>
      <c r="B263" s="4" t="s">
        <v>432</v>
      </c>
      <c r="C263" s="4" t="s">
        <v>65</v>
      </c>
      <c r="D263" s="4" t="s">
        <v>79</v>
      </c>
      <c r="E263" s="4" t="s">
        <v>195</v>
      </c>
      <c r="F263" s="6">
        <v>2</v>
      </c>
      <c r="G263" s="7">
        <v>0</v>
      </c>
      <c r="H263" s="7">
        <v>0</v>
      </c>
      <c r="I263" s="7">
        <v>0</v>
      </c>
      <c r="J263" s="5">
        <v>2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2</v>
      </c>
      <c r="V263" s="7">
        <v>0</v>
      </c>
      <c r="W263" s="7">
        <v>0</v>
      </c>
      <c r="X263" s="7">
        <v>0</v>
      </c>
      <c r="Y263" s="5">
        <v>2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2</v>
      </c>
      <c r="AL263" s="5">
        <v>2</v>
      </c>
      <c r="AM263" s="5">
        <v>2</v>
      </c>
      <c r="AN263" s="28">
        <v>0.5</v>
      </c>
    </row>
    <row r="264">
      <c r="A264" s="24">
        <v>2566</v>
      </c>
      <c r="B264" s="9" t="s">
        <v>433</v>
      </c>
      <c r="C264" s="9" t="s">
        <v>65</v>
      </c>
      <c r="D264" s="9" t="s">
        <v>79</v>
      </c>
      <c r="E264" s="9" t="s">
        <v>195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2569</v>
      </c>
      <c r="B265" s="4" t="s">
        <v>434</v>
      </c>
      <c r="C265" s="4" t="s">
        <v>65</v>
      </c>
      <c r="D265" s="4" t="s">
        <v>98</v>
      </c>
      <c r="E265" s="4" t="s">
        <v>99</v>
      </c>
      <c r="F265" s="6">
        <v>1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2574</v>
      </c>
      <c r="B266" s="9" t="s">
        <v>435</v>
      </c>
      <c r="C266" s="9" t="s">
        <v>65</v>
      </c>
      <c r="D266" s="9" t="s">
        <v>79</v>
      </c>
      <c r="E266" s="9" t="s">
        <v>195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0.25</v>
      </c>
    </row>
    <row r="267">
      <c r="A267" s="23">
        <v>2577</v>
      </c>
      <c r="B267" s="4" t="s">
        <v>436</v>
      </c>
      <c r="C267" s="4" t="s">
        <v>65</v>
      </c>
      <c r="D267" s="4" t="s">
        <v>79</v>
      </c>
      <c r="E267" s="4" t="s">
        <v>141</v>
      </c>
      <c r="F267" s="6">
        <v>2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31">
        <v>0</v>
      </c>
    </row>
    <row r="268">
      <c r="A268" s="24">
        <v>2586</v>
      </c>
      <c r="B268" s="9" t="s">
        <v>437</v>
      </c>
      <c r="C268" s="9" t="s">
        <v>159</v>
      </c>
      <c r="D268" s="9" t="s">
        <v>385</v>
      </c>
      <c r="E268" s="9" t="s">
        <v>438</v>
      </c>
      <c r="F268" s="11">
        <v>3</v>
      </c>
      <c r="G268" s="12">
        <v>0</v>
      </c>
      <c r="H268" s="10">
        <v>1</v>
      </c>
      <c r="I268" s="10">
        <v>2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3</v>
      </c>
      <c r="V268" s="12">
        <v>0</v>
      </c>
      <c r="W268" s="10">
        <v>1</v>
      </c>
      <c r="X268" s="10">
        <v>2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1.5</v>
      </c>
      <c r="AL268" s="10">
        <v>1</v>
      </c>
      <c r="AM268" s="10">
        <v>2</v>
      </c>
      <c r="AN268" s="30">
        <v>0</v>
      </c>
    </row>
    <row r="269">
      <c r="A269" s="23">
        <v>2607</v>
      </c>
      <c r="B269" s="4" t="s">
        <v>439</v>
      </c>
      <c r="C269" s="4" t="s">
        <v>135</v>
      </c>
      <c r="D269" s="4" t="s">
        <v>440</v>
      </c>
      <c r="E269" s="4" t="s">
        <v>441</v>
      </c>
      <c r="F269" s="6">
        <v>1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5">
        <v>1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5">
        <v>1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0.22</v>
      </c>
    </row>
    <row r="270">
      <c r="A270" s="24">
        <v>2612</v>
      </c>
      <c r="B270" s="9" t="s">
        <v>442</v>
      </c>
      <c r="C270" s="9" t="s">
        <v>159</v>
      </c>
      <c r="D270" s="9" t="s">
        <v>172</v>
      </c>
      <c r="E270" s="9" t="s">
        <v>176</v>
      </c>
      <c r="F270" s="11">
        <v>3</v>
      </c>
      <c r="G270" s="12">
        <v>0</v>
      </c>
      <c r="H270" s="12">
        <v>0</v>
      </c>
      <c r="I270" s="10">
        <v>3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3</v>
      </c>
      <c r="V270" s="12">
        <v>0</v>
      </c>
      <c r="W270" s="12">
        <v>0</v>
      </c>
      <c r="X270" s="10">
        <v>3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1.5</v>
      </c>
      <c r="AL270" s="10">
        <v>1</v>
      </c>
      <c r="AM270" s="10">
        <v>2</v>
      </c>
      <c r="AN270" s="30">
        <v>0</v>
      </c>
    </row>
    <row r="271">
      <c r="A271" s="23">
        <v>2613</v>
      </c>
      <c r="B271" s="4" t="s">
        <v>443</v>
      </c>
      <c r="C271" s="4" t="s">
        <v>159</v>
      </c>
      <c r="D271" s="4" t="s">
        <v>160</v>
      </c>
      <c r="E271" s="4" t="s">
        <v>161</v>
      </c>
      <c r="F271" s="6">
        <v>2</v>
      </c>
      <c r="G271" s="5">
        <v>1</v>
      </c>
      <c r="H271" s="5">
        <v>1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2</v>
      </c>
      <c r="V271" s="5">
        <v>1</v>
      </c>
      <c r="W271" s="5">
        <v>1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0.25</v>
      </c>
    </row>
    <row r="272">
      <c r="A272" s="24">
        <v>2614</v>
      </c>
      <c r="B272" s="9" t="s">
        <v>444</v>
      </c>
      <c r="C272" s="9" t="s">
        <v>159</v>
      </c>
      <c r="D272" s="9" t="s">
        <v>160</v>
      </c>
      <c r="E272" s="9" t="s">
        <v>161</v>
      </c>
      <c r="F272" s="11">
        <v>2</v>
      </c>
      <c r="G272" s="12">
        <v>0</v>
      </c>
      <c r="H272" s="12">
        <v>0</v>
      </c>
      <c r="I272" s="12">
        <v>0</v>
      </c>
      <c r="J272" s="10">
        <v>2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2</v>
      </c>
      <c r="V272" s="12">
        <v>0</v>
      </c>
      <c r="W272" s="12">
        <v>0</v>
      </c>
      <c r="X272" s="12">
        <v>0</v>
      </c>
      <c r="Y272" s="10">
        <v>2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</v>
      </c>
      <c r="AL272" s="10">
        <v>2</v>
      </c>
      <c r="AM272" s="10">
        <v>2</v>
      </c>
      <c r="AN272" s="29">
        <v>0.5</v>
      </c>
    </row>
    <row r="273">
      <c r="A273" s="23">
        <v>2615</v>
      </c>
      <c r="B273" s="4" t="s">
        <v>445</v>
      </c>
      <c r="C273" s="4" t="s">
        <v>159</v>
      </c>
      <c r="D273" s="4" t="s">
        <v>160</v>
      </c>
      <c r="E273" s="4" t="s">
        <v>161</v>
      </c>
      <c r="F273" s="6">
        <v>2</v>
      </c>
      <c r="G273" s="7">
        <v>0</v>
      </c>
      <c r="H273" s="5">
        <v>1</v>
      </c>
      <c r="I273" s="5">
        <v>1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2</v>
      </c>
      <c r="V273" s="7">
        <v>0</v>
      </c>
      <c r="W273" s="5">
        <v>1</v>
      </c>
      <c r="X273" s="5">
        <v>1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1">
        <v>0</v>
      </c>
    </row>
    <row r="274">
      <c r="A274" s="24">
        <v>2617</v>
      </c>
      <c r="B274" s="9" t="s">
        <v>446</v>
      </c>
      <c r="C274" s="9" t="s">
        <v>65</v>
      </c>
      <c r="D274" s="9" t="s">
        <v>79</v>
      </c>
      <c r="E274" s="9" t="s">
        <v>80</v>
      </c>
      <c r="F274" s="11">
        <v>1</v>
      </c>
      <c r="G274" s="12">
        <v>0</v>
      </c>
      <c r="H274" s="10">
        <v>1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2">
        <v>0</v>
      </c>
      <c r="W274" s="10">
        <v>1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0">
        <v>0</v>
      </c>
    </row>
    <row r="275">
      <c r="A275" s="23">
        <v>2619</v>
      </c>
      <c r="B275" s="4" t="s">
        <v>447</v>
      </c>
      <c r="C275" s="4" t="s">
        <v>65</v>
      </c>
      <c r="D275" s="4" t="s">
        <v>101</v>
      </c>
      <c r="E275" s="4" t="s">
        <v>249</v>
      </c>
      <c r="F275" s="6">
        <v>2</v>
      </c>
      <c r="G275" s="7">
        <v>0</v>
      </c>
      <c r="H275" s="7">
        <v>0</v>
      </c>
      <c r="I275" s="5">
        <v>1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2</v>
      </c>
      <c r="V275" s="7">
        <v>0</v>
      </c>
      <c r="W275" s="7">
        <v>0</v>
      </c>
      <c r="X275" s="5">
        <v>1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0.44</v>
      </c>
    </row>
    <row r="276">
      <c r="A276" s="24">
        <v>2649</v>
      </c>
      <c r="B276" s="9" t="s">
        <v>448</v>
      </c>
      <c r="C276" s="9" t="s">
        <v>135</v>
      </c>
      <c r="D276" s="9" t="s">
        <v>449</v>
      </c>
      <c r="E276" s="9" t="s">
        <v>450</v>
      </c>
      <c r="F276" s="11">
        <v>2</v>
      </c>
      <c r="G276" s="12">
        <v>0</v>
      </c>
      <c r="H276" s="12">
        <v>0</v>
      </c>
      <c r="I276" s="12">
        <v>0</v>
      </c>
      <c r="J276" s="10">
        <v>2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2</v>
      </c>
      <c r="V276" s="12">
        <v>0</v>
      </c>
      <c r="W276" s="12">
        <v>0</v>
      </c>
      <c r="X276" s="12">
        <v>0</v>
      </c>
      <c r="Y276" s="10">
        <v>2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2662</v>
      </c>
      <c r="B277" s="4" t="s">
        <v>451</v>
      </c>
      <c r="C277" s="4" t="s">
        <v>65</v>
      </c>
      <c r="D277" s="4" t="s">
        <v>79</v>
      </c>
      <c r="E277" s="4" t="s">
        <v>141</v>
      </c>
      <c r="F277" s="6">
        <v>1</v>
      </c>
      <c r="G277" s="7">
        <v>0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7">
        <v>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0.26</v>
      </c>
    </row>
    <row r="278">
      <c r="A278" s="24">
        <v>2665</v>
      </c>
      <c r="B278" s="9" t="s">
        <v>452</v>
      </c>
      <c r="C278" s="9" t="s">
        <v>65</v>
      </c>
      <c r="D278" s="9" t="s">
        <v>120</v>
      </c>
      <c r="E278" s="9" t="s">
        <v>453</v>
      </c>
      <c r="F278" s="11">
        <v>5</v>
      </c>
      <c r="G278" s="12">
        <v>0</v>
      </c>
      <c r="H278" s="12">
        <v>0</v>
      </c>
      <c r="I278" s="10">
        <v>1</v>
      </c>
      <c r="J278" s="10">
        <v>4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4</v>
      </c>
      <c r="V278" s="12">
        <v>0</v>
      </c>
      <c r="W278" s="12">
        <v>0</v>
      </c>
      <c r="X278" s="10">
        <v>1</v>
      </c>
      <c r="Y278" s="10">
        <v>3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2.5</v>
      </c>
      <c r="AL278" s="10">
        <v>2</v>
      </c>
      <c r="AM278" s="10">
        <v>4</v>
      </c>
      <c r="AN278" s="29">
        <v>1</v>
      </c>
    </row>
    <row r="279">
      <c r="A279" s="23">
        <v>2666</v>
      </c>
      <c r="B279" s="4" t="s">
        <v>454</v>
      </c>
      <c r="C279" s="4" t="s">
        <v>65</v>
      </c>
      <c r="D279" s="4" t="s">
        <v>79</v>
      </c>
      <c r="E279" s="4" t="s">
        <v>96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1">
        <v>0</v>
      </c>
    </row>
    <row r="280">
      <c r="A280" s="24">
        <v>2671</v>
      </c>
      <c r="B280" s="9" t="s">
        <v>455</v>
      </c>
      <c r="C280" s="9" t="s">
        <v>65</v>
      </c>
      <c r="D280" s="9" t="s">
        <v>71</v>
      </c>
      <c r="E280" s="9" t="s">
        <v>299</v>
      </c>
      <c r="F280" s="11">
        <v>3</v>
      </c>
      <c r="G280" s="10">
        <v>2</v>
      </c>
      <c r="H280" s="12">
        <v>0</v>
      </c>
      <c r="I280" s="10">
        <v>1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3</v>
      </c>
      <c r="V280" s="10">
        <v>2</v>
      </c>
      <c r="W280" s="12">
        <v>0</v>
      </c>
      <c r="X280" s="10">
        <v>1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1.5</v>
      </c>
      <c r="AL280" s="10">
        <v>1</v>
      </c>
      <c r="AM280" s="10">
        <v>2</v>
      </c>
      <c r="AN280" s="29">
        <v>0.22</v>
      </c>
    </row>
    <row r="281">
      <c r="A281" s="23">
        <v>2680</v>
      </c>
      <c r="B281" s="4" t="s">
        <v>456</v>
      </c>
      <c r="C281" s="4" t="s">
        <v>135</v>
      </c>
      <c r="D281" s="4" t="s">
        <v>375</v>
      </c>
      <c r="E281" s="4" t="s">
        <v>457</v>
      </c>
      <c r="F281" s="6">
        <v>3</v>
      </c>
      <c r="G281" s="7">
        <v>0</v>
      </c>
      <c r="H281" s="7">
        <v>0</v>
      </c>
      <c r="I281" s="5">
        <v>1</v>
      </c>
      <c r="J281" s="7">
        <v>0</v>
      </c>
      <c r="K281" s="7">
        <v>0</v>
      </c>
      <c r="L281" s="5">
        <v>2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3</v>
      </c>
      <c r="V281" s="7">
        <v>0</v>
      </c>
      <c r="W281" s="7">
        <v>0</v>
      </c>
      <c r="X281" s="5">
        <v>1</v>
      </c>
      <c r="Y281" s="7">
        <v>0</v>
      </c>
      <c r="Z281" s="7">
        <v>0</v>
      </c>
      <c r="AA281" s="5">
        <v>2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1.5</v>
      </c>
      <c r="AL281" s="5">
        <v>1</v>
      </c>
      <c r="AM281" s="5">
        <v>2</v>
      </c>
      <c r="AN281" s="31">
        <v>0</v>
      </c>
    </row>
    <row r="282">
      <c r="A282" s="24">
        <v>2684</v>
      </c>
      <c r="B282" s="9" t="s">
        <v>458</v>
      </c>
      <c r="C282" s="9" t="s">
        <v>135</v>
      </c>
      <c r="D282" s="9" t="s">
        <v>402</v>
      </c>
      <c r="E282" s="9" t="s">
        <v>459</v>
      </c>
      <c r="F282" s="11">
        <v>3</v>
      </c>
      <c r="G282" s="12">
        <v>0</v>
      </c>
      <c r="H282" s="12">
        <v>0</v>
      </c>
      <c r="I282" s="10">
        <v>2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2</v>
      </c>
      <c r="V282" s="12">
        <v>0</v>
      </c>
      <c r="W282" s="12">
        <v>0</v>
      </c>
      <c r="X282" s="10">
        <v>1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1.5</v>
      </c>
      <c r="AL282" s="10">
        <v>1</v>
      </c>
      <c r="AM282" s="10">
        <v>2</v>
      </c>
      <c r="AN282" s="29">
        <v>0.25</v>
      </c>
    </row>
    <row r="283">
      <c r="A283" s="23">
        <v>2698</v>
      </c>
      <c r="B283" s="4" t="s">
        <v>460</v>
      </c>
      <c r="C283" s="4" t="s">
        <v>65</v>
      </c>
      <c r="D283" s="4" t="s">
        <v>74</v>
      </c>
      <c r="E283" s="4" t="s">
        <v>118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0.26</v>
      </c>
    </row>
    <row r="284">
      <c r="A284" s="24">
        <v>2715</v>
      </c>
      <c r="B284" s="9" t="s">
        <v>461</v>
      </c>
      <c r="C284" s="9" t="s">
        <v>65</v>
      </c>
      <c r="D284" s="9" t="s">
        <v>74</v>
      </c>
      <c r="E284" s="9" t="s">
        <v>118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30">
        <v>0</v>
      </c>
    </row>
    <row r="285">
      <c r="A285" s="23">
        <v>2725</v>
      </c>
      <c r="B285" s="4" t="s">
        <v>462</v>
      </c>
      <c r="C285" s="4" t="s">
        <v>65</v>
      </c>
      <c r="D285" s="4" t="s">
        <v>101</v>
      </c>
      <c r="E285" s="4" t="s">
        <v>249</v>
      </c>
      <c r="F285" s="6">
        <v>1</v>
      </c>
      <c r="G285" s="7">
        <v>0</v>
      </c>
      <c r="H285" s="7">
        <v>0</v>
      </c>
      <c r="I285" s="5">
        <v>1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7">
        <v>0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2740</v>
      </c>
      <c r="B286" s="9" t="s">
        <v>463</v>
      </c>
      <c r="C286" s="9" t="s">
        <v>135</v>
      </c>
      <c r="D286" s="9" t="s">
        <v>464</v>
      </c>
      <c r="E286" s="9" t="s">
        <v>465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30">
        <v>0</v>
      </c>
    </row>
    <row r="287">
      <c r="A287" s="23">
        <v>2768</v>
      </c>
      <c r="B287" s="4" t="s">
        <v>466</v>
      </c>
      <c r="C287" s="4" t="s">
        <v>65</v>
      </c>
      <c r="D287" s="4" t="s">
        <v>87</v>
      </c>
      <c r="E287" s="4" t="s">
        <v>295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0.25</v>
      </c>
    </row>
    <row r="288">
      <c r="A288" s="24">
        <v>2775</v>
      </c>
      <c r="B288" s="9" t="s">
        <v>467</v>
      </c>
      <c r="C288" s="9" t="s">
        <v>65</v>
      </c>
      <c r="D288" s="9" t="s">
        <v>71</v>
      </c>
      <c r="E288" s="9" t="s">
        <v>72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0.24</v>
      </c>
    </row>
    <row r="289">
      <c r="A289" s="23">
        <v>2791</v>
      </c>
      <c r="B289" s="4" t="s">
        <v>468</v>
      </c>
      <c r="C289" s="4" t="s">
        <v>65</v>
      </c>
      <c r="D289" s="4" t="s">
        <v>71</v>
      </c>
      <c r="E289" s="4" t="s">
        <v>72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1">
        <v>0</v>
      </c>
    </row>
    <row r="290">
      <c r="A290" s="24">
        <v>2792</v>
      </c>
      <c r="B290" s="9" t="s">
        <v>469</v>
      </c>
      <c r="C290" s="9" t="s">
        <v>65</v>
      </c>
      <c r="D290" s="9" t="s">
        <v>127</v>
      </c>
      <c r="E290" s="9" t="s">
        <v>128</v>
      </c>
      <c r="F290" s="11">
        <v>7</v>
      </c>
      <c r="G290" s="10">
        <v>5</v>
      </c>
      <c r="H290" s="12">
        <v>0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6</v>
      </c>
      <c r="V290" s="10">
        <v>4</v>
      </c>
      <c r="W290" s="12">
        <v>0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2.33</v>
      </c>
      <c r="AL290" s="10">
        <v>1</v>
      </c>
      <c r="AM290" s="10">
        <v>5</v>
      </c>
      <c r="AN290" s="29">
        <v>0.5</v>
      </c>
    </row>
    <row r="291">
      <c r="A291" s="23">
        <v>2804</v>
      </c>
      <c r="B291" s="4" t="s">
        <v>470</v>
      </c>
      <c r="C291" s="4" t="s">
        <v>65</v>
      </c>
      <c r="D291" s="4" t="s">
        <v>87</v>
      </c>
      <c r="E291" s="4" t="s">
        <v>93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0.37</v>
      </c>
    </row>
    <row r="292">
      <c r="A292" s="24">
        <v>2829</v>
      </c>
      <c r="B292" s="9" t="s">
        <v>471</v>
      </c>
      <c r="C292" s="9" t="s">
        <v>65</v>
      </c>
      <c r="D292" s="9" t="s">
        <v>74</v>
      </c>
      <c r="E292" s="9" t="s">
        <v>77</v>
      </c>
      <c r="F292" s="11">
        <v>1</v>
      </c>
      <c r="G292" s="12">
        <v>0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2">
        <v>0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2837</v>
      </c>
      <c r="B293" s="4" t="s">
        <v>472</v>
      </c>
      <c r="C293" s="4" t="s">
        <v>65</v>
      </c>
      <c r="D293" s="4" t="s">
        <v>66</v>
      </c>
      <c r="E293" s="4" t="s">
        <v>69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0.36</v>
      </c>
    </row>
    <row r="294">
      <c r="A294" s="24">
        <v>2839</v>
      </c>
      <c r="B294" s="9" t="s">
        <v>473</v>
      </c>
      <c r="C294" s="9" t="s">
        <v>65</v>
      </c>
      <c r="D294" s="9" t="s">
        <v>74</v>
      </c>
      <c r="E294" s="9" t="s">
        <v>118</v>
      </c>
      <c r="F294" s="11">
        <v>4</v>
      </c>
      <c r="G294" s="12">
        <v>0</v>
      </c>
      <c r="H294" s="12">
        <v>0</v>
      </c>
      <c r="I294" s="12">
        <v>0</v>
      </c>
      <c r="J294" s="10">
        <v>4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4</v>
      </c>
      <c r="V294" s="12">
        <v>0</v>
      </c>
      <c r="W294" s="12">
        <v>0</v>
      </c>
      <c r="X294" s="12">
        <v>0</v>
      </c>
      <c r="Y294" s="10">
        <v>4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1.33</v>
      </c>
      <c r="AL294" s="10">
        <v>1</v>
      </c>
      <c r="AM294" s="10">
        <v>2</v>
      </c>
      <c r="AN294" s="29">
        <v>1</v>
      </c>
    </row>
    <row r="295">
      <c r="A295" s="23">
        <v>2840</v>
      </c>
      <c r="B295" s="4" t="s">
        <v>474</v>
      </c>
      <c r="C295" s="4" t="s">
        <v>65</v>
      </c>
      <c r="D295" s="4" t="s">
        <v>87</v>
      </c>
      <c r="E295" s="4" t="s">
        <v>409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1">
        <v>0</v>
      </c>
    </row>
    <row r="296">
      <c r="A296" s="24">
        <v>2841</v>
      </c>
      <c r="B296" s="9" t="s">
        <v>475</v>
      </c>
      <c r="C296" s="9" t="s">
        <v>65</v>
      </c>
      <c r="D296" s="9" t="s">
        <v>71</v>
      </c>
      <c r="E296" s="9" t="s">
        <v>476</v>
      </c>
      <c r="F296" s="11">
        <v>2</v>
      </c>
      <c r="G296" s="12">
        <v>0</v>
      </c>
      <c r="H296" s="12">
        <v>0</v>
      </c>
      <c r="I296" s="10">
        <v>1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2</v>
      </c>
      <c r="V296" s="12">
        <v>0</v>
      </c>
      <c r="W296" s="12">
        <v>0</v>
      </c>
      <c r="X296" s="10">
        <v>1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0.5</v>
      </c>
    </row>
    <row r="297">
      <c r="A297" s="23">
        <v>2844</v>
      </c>
      <c r="B297" s="4" t="s">
        <v>477</v>
      </c>
      <c r="C297" s="4" t="s">
        <v>65</v>
      </c>
      <c r="D297" s="4" t="s">
        <v>74</v>
      </c>
      <c r="E297" s="4" t="s">
        <v>118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1">
        <v>0</v>
      </c>
    </row>
    <row r="298">
      <c r="A298" s="24">
        <v>2846</v>
      </c>
      <c r="B298" s="9" t="s">
        <v>478</v>
      </c>
      <c r="C298" s="9" t="s">
        <v>135</v>
      </c>
      <c r="D298" s="9" t="s">
        <v>136</v>
      </c>
      <c r="E298" s="9" t="s">
        <v>137</v>
      </c>
      <c r="F298" s="11">
        <v>1</v>
      </c>
      <c r="G298" s="12">
        <v>0</v>
      </c>
      <c r="H298" s="12">
        <v>0</v>
      </c>
      <c r="I298" s="10">
        <v>1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2">
        <v>0</v>
      </c>
      <c r="W298" s="12">
        <v>0</v>
      </c>
      <c r="X298" s="10">
        <v>1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0">
        <v>0</v>
      </c>
    </row>
    <row r="299">
      <c r="A299" s="23">
        <v>2876</v>
      </c>
      <c r="B299" s="4" t="s">
        <v>479</v>
      </c>
      <c r="C299" s="4" t="s">
        <v>65</v>
      </c>
      <c r="D299" s="4" t="s">
        <v>101</v>
      </c>
      <c r="E299" s="4" t="s">
        <v>249</v>
      </c>
      <c r="F299" s="6">
        <v>2</v>
      </c>
      <c r="G299" s="5">
        <v>1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2</v>
      </c>
      <c r="V299" s="5">
        <v>1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2878</v>
      </c>
      <c r="B300" s="9" t="s">
        <v>480</v>
      </c>
      <c r="C300" s="9" t="s">
        <v>65</v>
      </c>
      <c r="D300" s="9" t="s">
        <v>101</v>
      </c>
      <c r="E300" s="9" t="s">
        <v>249</v>
      </c>
      <c r="F300" s="11">
        <v>3</v>
      </c>
      <c r="G300" s="12">
        <v>0</v>
      </c>
      <c r="H300" s="12">
        <v>0</v>
      </c>
      <c r="I300" s="12">
        <v>0</v>
      </c>
      <c r="J300" s="10">
        <v>3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3</v>
      </c>
      <c r="V300" s="12">
        <v>0</v>
      </c>
      <c r="W300" s="12">
        <v>0</v>
      </c>
      <c r="X300" s="12">
        <v>0</v>
      </c>
      <c r="Y300" s="10">
        <v>3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29">
        <v>0.5</v>
      </c>
    </row>
    <row r="301">
      <c r="A301" s="23">
        <v>2880</v>
      </c>
      <c r="B301" s="4" t="s">
        <v>481</v>
      </c>
      <c r="C301" s="4" t="s">
        <v>65</v>
      </c>
      <c r="D301" s="4" t="s">
        <v>74</v>
      </c>
      <c r="E301" s="4" t="s">
        <v>77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0.26</v>
      </c>
    </row>
    <row r="302">
      <c r="A302" s="24">
        <v>2883</v>
      </c>
      <c r="B302" s="9" t="s">
        <v>482</v>
      </c>
      <c r="C302" s="9" t="s">
        <v>65</v>
      </c>
      <c r="D302" s="9" t="s">
        <v>79</v>
      </c>
      <c r="E302" s="9" t="s">
        <v>141</v>
      </c>
      <c r="F302" s="11">
        <v>3</v>
      </c>
      <c r="G302" s="12">
        <v>0</v>
      </c>
      <c r="H302" s="12">
        <v>0</v>
      </c>
      <c r="I302" s="10">
        <v>1</v>
      </c>
      <c r="J302" s="10">
        <v>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3</v>
      </c>
      <c r="V302" s="12">
        <v>0</v>
      </c>
      <c r="W302" s="12">
        <v>0</v>
      </c>
      <c r="X302" s="10">
        <v>1</v>
      </c>
      <c r="Y302" s="10">
        <v>2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0.52</v>
      </c>
    </row>
    <row r="303">
      <c r="A303" s="23">
        <v>2886</v>
      </c>
      <c r="B303" s="4" t="s">
        <v>483</v>
      </c>
      <c r="C303" s="4" t="s">
        <v>65</v>
      </c>
      <c r="D303" s="4" t="s">
        <v>71</v>
      </c>
      <c r="E303" s="4" t="s">
        <v>72</v>
      </c>
      <c r="F303" s="6">
        <v>2</v>
      </c>
      <c r="G303" s="5">
        <v>1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5">
        <v>1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0.5</v>
      </c>
    </row>
    <row r="304">
      <c r="A304" s="24">
        <v>2888</v>
      </c>
      <c r="B304" s="9" t="s">
        <v>484</v>
      </c>
      <c r="C304" s="9" t="s">
        <v>65</v>
      </c>
      <c r="D304" s="9" t="s">
        <v>71</v>
      </c>
      <c r="E304" s="9" t="s">
        <v>72</v>
      </c>
      <c r="F304" s="11">
        <v>4</v>
      </c>
      <c r="G304" s="10">
        <v>3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4</v>
      </c>
      <c r="V304" s="10">
        <v>3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2</v>
      </c>
      <c r="AL304" s="10">
        <v>2</v>
      </c>
      <c r="AM304" s="10">
        <v>3</v>
      </c>
      <c r="AN304" s="30">
        <v>0</v>
      </c>
    </row>
    <row r="305">
      <c r="A305" s="23">
        <v>2902</v>
      </c>
      <c r="B305" s="4" t="s">
        <v>485</v>
      </c>
      <c r="C305" s="4" t="s">
        <v>65</v>
      </c>
      <c r="D305" s="4" t="s">
        <v>71</v>
      </c>
      <c r="E305" s="4" t="s">
        <v>72</v>
      </c>
      <c r="F305" s="6">
        <v>3</v>
      </c>
      <c r="G305" s="5">
        <v>3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1.5</v>
      </c>
      <c r="AL305" s="5">
        <v>1</v>
      </c>
      <c r="AM305" s="5">
        <v>2</v>
      </c>
      <c r="AN305" s="31">
        <v>0</v>
      </c>
    </row>
    <row r="306">
      <c r="A306" s="24">
        <v>2903</v>
      </c>
      <c r="B306" s="9" t="s">
        <v>486</v>
      </c>
      <c r="C306" s="9" t="s">
        <v>65</v>
      </c>
      <c r="D306" s="9" t="s">
        <v>101</v>
      </c>
      <c r="E306" s="9" t="s">
        <v>342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0.37</v>
      </c>
    </row>
    <row r="307">
      <c r="A307" s="23">
        <v>2907</v>
      </c>
      <c r="B307" s="4" t="s">
        <v>487</v>
      </c>
      <c r="C307" s="4" t="s">
        <v>65</v>
      </c>
      <c r="D307" s="4" t="s">
        <v>120</v>
      </c>
      <c r="E307" s="4" t="s">
        <v>453</v>
      </c>
      <c r="F307" s="6">
        <v>3</v>
      </c>
      <c r="G307" s="7">
        <v>0</v>
      </c>
      <c r="H307" s="7">
        <v>0</v>
      </c>
      <c r="I307" s="5">
        <v>2</v>
      </c>
      <c r="J307" s="7">
        <v>0</v>
      </c>
      <c r="K307" s="7">
        <v>0</v>
      </c>
      <c r="L307" s="5">
        <v>1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3</v>
      </c>
      <c r="V307" s="7">
        <v>0</v>
      </c>
      <c r="W307" s="7">
        <v>0</v>
      </c>
      <c r="X307" s="5">
        <v>2</v>
      </c>
      <c r="Y307" s="7">
        <v>0</v>
      </c>
      <c r="Z307" s="7">
        <v>0</v>
      </c>
      <c r="AA307" s="5">
        <v>1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2909</v>
      </c>
      <c r="B308" s="9" t="s">
        <v>488</v>
      </c>
      <c r="C308" s="9" t="s">
        <v>135</v>
      </c>
      <c r="D308" s="9" t="s">
        <v>489</v>
      </c>
      <c r="E308" s="9" t="s">
        <v>490</v>
      </c>
      <c r="F308" s="11">
        <v>2</v>
      </c>
      <c r="G308" s="12">
        <v>0</v>
      </c>
      <c r="H308" s="12">
        <v>0</v>
      </c>
      <c r="I308" s="12">
        <v>0</v>
      </c>
      <c r="J308" s="12">
        <v>0</v>
      </c>
      <c r="K308" s="12">
        <v>0</v>
      </c>
      <c r="L308" s="10">
        <v>2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0">
        <v>1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30">
        <v>0</v>
      </c>
    </row>
    <row r="309">
      <c r="A309" s="23">
        <v>2910</v>
      </c>
      <c r="B309" s="4" t="s">
        <v>491</v>
      </c>
      <c r="C309" s="4" t="s">
        <v>65</v>
      </c>
      <c r="D309" s="4" t="s">
        <v>71</v>
      </c>
      <c r="E309" s="4" t="s">
        <v>299</v>
      </c>
      <c r="F309" s="6">
        <v>2</v>
      </c>
      <c r="G309" s="7">
        <v>0</v>
      </c>
      <c r="H309" s="7">
        <v>0</v>
      </c>
      <c r="I309" s="7">
        <v>0</v>
      </c>
      <c r="J309" s="5">
        <v>2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2</v>
      </c>
      <c r="V309" s="7">
        <v>0</v>
      </c>
      <c r="W309" s="7">
        <v>0</v>
      </c>
      <c r="X309" s="7">
        <v>0</v>
      </c>
      <c r="Y309" s="5">
        <v>2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0.5</v>
      </c>
    </row>
    <row r="310">
      <c r="A310" s="24">
        <v>2912</v>
      </c>
      <c r="B310" s="9" t="s">
        <v>492</v>
      </c>
      <c r="C310" s="9" t="s">
        <v>65</v>
      </c>
      <c r="D310" s="9" t="s">
        <v>71</v>
      </c>
      <c r="E310" s="9" t="s">
        <v>299</v>
      </c>
      <c r="F310" s="11">
        <v>1</v>
      </c>
      <c r="G310" s="12">
        <v>0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2">
        <v>0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0.25</v>
      </c>
    </row>
    <row r="311">
      <c r="A311" s="23">
        <v>2915</v>
      </c>
      <c r="B311" s="4" t="s">
        <v>493</v>
      </c>
      <c r="C311" s="4" t="s">
        <v>494</v>
      </c>
      <c r="D311" s="4" t="s">
        <v>495</v>
      </c>
      <c r="E311" s="4" t="s">
        <v>305</v>
      </c>
      <c r="F311" s="6">
        <v>1</v>
      </c>
      <c r="G311" s="7">
        <v>0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7">
        <v>0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0.24</v>
      </c>
    </row>
    <row r="312">
      <c r="A312" s="24">
        <v>2920</v>
      </c>
      <c r="B312" s="9" t="s">
        <v>496</v>
      </c>
      <c r="C312" s="9" t="s">
        <v>494</v>
      </c>
      <c r="D312" s="9" t="s">
        <v>497</v>
      </c>
      <c r="E312" s="9" t="s">
        <v>305</v>
      </c>
      <c r="F312" s="11">
        <v>2</v>
      </c>
      <c r="G312" s="12">
        <v>0</v>
      </c>
      <c r="H312" s="12">
        <v>0</v>
      </c>
      <c r="I312" s="12">
        <v>0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2</v>
      </c>
      <c r="V312" s="12">
        <v>0</v>
      </c>
      <c r="W312" s="12">
        <v>0</v>
      </c>
      <c r="X312" s="12">
        <v>0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29">
        <v>0.48</v>
      </c>
    </row>
    <row r="313">
      <c r="A313" s="23">
        <v>2922</v>
      </c>
      <c r="B313" s="4" t="s">
        <v>498</v>
      </c>
      <c r="C313" s="4" t="s">
        <v>65</v>
      </c>
      <c r="D313" s="4" t="s">
        <v>71</v>
      </c>
      <c r="E313" s="4" t="s">
        <v>299</v>
      </c>
      <c r="F313" s="6">
        <v>2</v>
      </c>
      <c r="G313" s="5">
        <v>2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2</v>
      </c>
      <c r="V313" s="5">
        <v>2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0.35</v>
      </c>
    </row>
    <row r="314">
      <c r="A314" s="24">
        <v>2945</v>
      </c>
      <c r="B314" s="9" t="s">
        <v>499</v>
      </c>
      <c r="C314" s="9" t="s">
        <v>494</v>
      </c>
      <c r="D314" s="9" t="s">
        <v>500</v>
      </c>
      <c r="E314" s="9" t="s">
        <v>305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0">
        <v>0</v>
      </c>
    </row>
    <row r="315">
      <c r="A315" s="23">
        <v>2948</v>
      </c>
      <c r="B315" s="4" t="s">
        <v>501</v>
      </c>
      <c r="C315" s="4" t="s">
        <v>502</v>
      </c>
      <c r="D315" s="4" t="s">
        <v>503</v>
      </c>
      <c r="E315" s="4" t="s">
        <v>504</v>
      </c>
      <c r="F315" s="6">
        <v>3</v>
      </c>
      <c r="G315" s="7">
        <v>0</v>
      </c>
      <c r="H315" s="7">
        <v>0</v>
      </c>
      <c r="I315" s="7">
        <v>0</v>
      </c>
      <c r="J315" s="5">
        <v>3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3</v>
      </c>
      <c r="V315" s="7">
        <v>0</v>
      </c>
      <c r="W315" s="7">
        <v>0</v>
      </c>
      <c r="X315" s="7">
        <v>0</v>
      </c>
      <c r="Y315" s="5">
        <v>3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1.5</v>
      </c>
      <c r="AL315" s="5">
        <v>1</v>
      </c>
      <c r="AM315" s="5">
        <v>2</v>
      </c>
      <c r="AN315" s="31">
        <v>0</v>
      </c>
    </row>
    <row r="316">
      <c r="A316" s="24">
        <v>2953</v>
      </c>
      <c r="B316" s="9" t="s">
        <v>505</v>
      </c>
      <c r="C316" s="9" t="s">
        <v>65</v>
      </c>
      <c r="D316" s="9" t="s">
        <v>79</v>
      </c>
      <c r="E316" s="9" t="s">
        <v>141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30">
        <v>0</v>
      </c>
    </row>
    <row r="317">
      <c r="A317" s="23">
        <v>2954</v>
      </c>
      <c r="B317" s="4" t="s">
        <v>506</v>
      </c>
      <c r="C317" s="4" t="s">
        <v>502</v>
      </c>
      <c r="D317" s="4" t="s">
        <v>503</v>
      </c>
      <c r="E317" s="4" t="s">
        <v>507</v>
      </c>
      <c r="F317" s="6">
        <v>2</v>
      </c>
      <c r="G317" s="5">
        <v>1</v>
      </c>
      <c r="H317" s="5">
        <v>1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2</v>
      </c>
      <c r="V317" s="5">
        <v>1</v>
      </c>
      <c r="W317" s="5">
        <v>1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0.44</v>
      </c>
    </row>
    <row r="318">
      <c r="A318" s="24">
        <v>2961</v>
      </c>
      <c r="B318" s="9" t="s">
        <v>508</v>
      </c>
      <c r="C318" s="9" t="s">
        <v>159</v>
      </c>
      <c r="D318" s="9" t="s">
        <v>172</v>
      </c>
      <c r="E318" s="9" t="s">
        <v>181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0">
        <v>0</v>
      </c>
    </row>
    <row r="319">
      <c r="A319" s="23">
        <v>2967</v>
      </c>
      <c r="B319" s="4" t="s">
        <v>509</v>
      </c>
      <c r="C319" s="4" t="s">
        <v>510</v>
      </c>
      <c r="D319" s="4" t="s">
        <v>511</v>
      </c>
      <c r="E319" s="4" t="s">
        <v>512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2983</v>
      </c>
      <c r="B320" s="9" t="s">
        <v>513</v>
      </c>
      <c r="C320" s="9" t="s">
        <v>65</v>
      </c>
      <c r="D320" s="9" t="s">
        <v>79</v>
      </c>
      <c r="E320" s="9" t="s">
        <v>133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0">
        <v>0</v>
      </c>
    </row>
    <row r="321">
      <c r="A321" s="23">
        <v>2995</v>
      </c>
      <c r="B321" s="4" t="s">
        <v>514</v>
      </c>
      <c r="C321" s="4" t="s">
        <v>65</v>
      </c>
      <c r="D321" s="4" t="s">
        <v>71</v>
      </c>
      <c r="E321" s="4" t="s">
        <v>260</v>
      </c>
      <c r="F321" s="6">
        <v>3</v>
      </c>
      <c r="G321" s="5">
        <v>1</v>
      </c>
      <c r="H321" s="7">
        <v>0</v>
      </c>
      <c r="I321" s="7">
        <v>0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2</v>
      </c>
      <c r="V321" s="5">
        <v>1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1.5</v>
      </c>
      <c r="AL321" s="5">
        <v>1</v>
      </c>
      <c r="AM321" s="5">
        <v>2</v>
      </c>
      <c r="AN321" s="28">
        <v>0.24</v>
      </c>
    </row>
    <row r="322">
      <c r="A322" s="24">
        <v>2997</v>
      </c>
      <c r="B322" s="9" t="s">
        <v>515</v>
      </c>
      <c r="C322" s="9" t="s">
        <v>65</v>
      </c>
      <c r="D322" s="9" t="s">
        <v>71</v>
      </c>
      <c r="E322" s="9" t="s">
        <v>260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0">
        <v>0</v>
      </c>
    </row>
    <row r="323">
      <c r="A323" s="23">
        <v>3001</v>
      </c>
      <c r="B323" s="4" t="s">
        <v>516</v>
      </c>
      <c r="C323" s="4" t="s">
        <v>494</v>
      </c>
      <c r="D323" s="4" t="s">
        <v>500</v>
      </c>
      <c r="E323" s="4" t="s">
        <v>305</v>
      </c>
      <c r="F323" s="6">
        <v>1</v>
      </c>
      <c r="G323" s="7">
        <v>0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7">
        <v>0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3004</v>
      </c>
      <c r="B324" s="9" t="s">
        <v>517</v>
      </c>
      <c r="C324" s="9" t="s">
        <v>65</v>
      </c>
      <c r="D324" s="9" t="s">
        <v>98</v>
      </c>
      <c r="E324" s="9" t="s">
        <v>139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30">
        <v>0</v>
      </c>
    </row>
    <row r="325">
      <c r="A325" s="23">
        <v>3005</v>
      </c>
      <c r="B325" s="4" t="s">
        <v>518</v>
      </c>
      <c r="C325" s="4" t="s">
        <v>65</v>
      </c>
      <c r="D325" s="4" t="s">
        <v>79</v>
      </c>
      <c r="E325" s="4" t="s">
        <v>80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28">
        <v>0.5</v>
      </c>
    </row>
    <row r="326">
      <c r="A326" s="24">
        <v>3012</v>
      </c>
      <c r="B326" s="9" t="s">
        <v>519</v>
      </c>
      <c r="C326" s="9" t="s">
        <v>65</v>
      </c>
      <c r="D326" s="9" t="s">
        <v>74</v>
      </c>
      <c r="E326" s="9" t="s">
        <v>75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30">
        <v>0</v>
      </c>
    </row>
    <row r="327">
      <c r="A327" s="23">
        <v>3036</v>
      </c>
      <c r="B327" s="4" t="s">
        <v>520</v>
      </c>
      <c r="C327" s="4" t="s">
        <v>65</v>
      </c>
      <c r="D327" s="4" t="s">
        <v>79</v>
      </c>
      <c r="E327" s="4" t="s">
        <v>195</v>
      </c>
      <c r="F327" s="6">
        <v>1</v>
      </c>
      <c r="G327" s="7">
        <v>0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1</v>
      </c>
      <c r="V327" s="7">
        <v>0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3050</v>
      </c>
      <c r="B328" s="9" t="s">
        <v>521</v>
      </c>
      <c r="C328" s="9" t="s">
        <v>65</v>
      </c>
      <c r="D328" s="9" t="s">
        <v>98</v>
      </c>
      <c r="E328" s="9" t="s">
        <v>522</v>
      </c>
      <c r="F328" s="11">
        <v>2</v>
      </c>
      <c r="G328" s="10">
        <v>1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2</v>
      </c>
      <c r="V328" s="10">
        <v>1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3051</v>
      </c>
      <c r="B329" s="4" t="s">
        <v>523</v>
      </c>
      <c r="C329" s="4" t="s">
        <v>65</v>
      </c>
      <c r="D329" s="4" t="s">
        <v>98</v>
      </c>
      <c r="E329" s="4" t="s">
        <v>139</v>
      </c>
      <c r="F329" s="6">
        <v>2</v>
      </c>
      <c r="G329" s="5">
        <v>2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2</v>
      </c>
      <c r="V329" s="5">
        <v>2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2</v>
      </c>
      <c r="AK329" s="8">
        <v>2</v>
      </c>
      <c r="AL329" s="5">
        <v>2</v>
      </c>
      <c r="AM329" s="5">
        <v>2</v>
      </c>
      <c r="AN329" s="28">
        <v>0.5</v>
      </c>
    </row>
    <row r="330">
      <c r="A330" s="24">
        <v>3054</v>
      </c>
      <c r="B330" s="9" t="s">
        <v>524</v>
      </c>
      <c r="C330" s="9" t="s">
        <v>65</v>
      </c>
      <c r="D330" s="9" t="s">
        <v>111</v>
      </c>
      <c r="E330" s="9" t="s">
        <v>151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3067</v>
      </c>
      <c r="B331" s="4" t="s">
        <v>525</v>
      </c>
      <c r="C331" s="4" t="s">
        <v>65</v>
      </c>
      <c r="D331" s="4" t="s">
        <v>74</v>
      </c>
      <c r="E331" s="4" t="s">
        <v>366</v>
      </c>
      <c r="F331" s="6">
        <v>4</v>
      </c>
      <c r="G331" s="7">
        <v>0</v>
      </c>
      <c r="H331" s="7">
        <v>0</v>
      </c>
      <c r="I331" s="7">
        <v>0</v>
      </c>
      <c r="J331" s="5">
        <v>4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3</v>
      </c>
      <c r="V331" s="7">
        <v>0</v>
      </c>
      <c r="W331" s="7">
        <v>0</v>
      </c>
      <c r="X331" s="7">
        <v>0</v>
      </c>
      <c r="Y331" s="5">
        <v>3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2</v>
      </c>
      <c r="AL331" s="5">
        <v>2</v>
      </c>
      <c r="AM331" s="5">
        <v>3</v>
      </c>
      <c r="AN331" s="28">
        <v>0.75</v>
      </c>
    </row>
    <row r="332">
      <c r="A332" s="24">
        <v>3077</v>
      </c>
      <c r="B332" s="9" t="s">
        <v>526</v>
      </c>
      <c r="C332" s="9" t="s">
        <v>65</v>
      </c>
      <c r="D332" s="9" t="s">
        <v>111</v>
      </c>
      <c r="E332" s="9" t="s">
        <v>114</v>
      </c>
      <c r="F332" s="11">
        <v>1</v>
      </c>
      <c r="G332" s="12">
        <v>0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2">
        <v>0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3078</v>
      </c>
      <c r="B333" s="4" t="s">
        <v>527</v>
      </c>
      <c r="C333" s="4" t="s">
        <v>65</v>
      </c>
      <c r="D333" s="4" t="s">
        <v>71</v>
      </c>
      <c r="E333" s="4" t="s">
        <v>116</v>
      </c>
      <c r="F333" s="6">
        <v>2</v>
      </c>
      <c r="G333" s="5">
        <v>2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2</v>
      </c>
      <c r="V333" s="5">
        <v>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</v>
      </c>
      <c r="AL333" s="5">
        <v>2</v>
      </c>
      <c r="AM333" s="5">
        <v>2</v>
      </c>
      <c r="AN333" s="31">
        <v>0</v>
      </c>
    </row>
    <row r="334">
      <c r="A334" s="24">
        <v>3080</v>
      </c>
      <c r="B334" s="9" t="s">
        <v>528</v>
      </c>
      <c r="C334" s="9" t="s">
        <v>65</v>
      </c>
      <c r="D334" s="9" t="s">
        <v>71</v>
      </c>
      <c r="E334" s="9" t="s">
        <v>476</v>
      </c>
      <c r="F334" s="11">
        <v>2</v>
      </c>
      <c r="G334" s="12">
        <v>0</v>
      </c>
      <c r="H334" s="12">
        <v>0</v>
      </c>
      <c r="I334" s="12">
        <v>0</v>
      </c>
      <c r="J334" s="10">
        <v>2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2">
        <v>0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29">
        <v>0.25</v>
      </c>
    </row>
    <row r="335">
      <c r="A335" s="23">
        <v>3081</v>
      </c>
      <c r="B335" s="4" t="s">
        <v>529</v>
      </c>
      <c r="C335" s="4" t="s">
        <v>65</v>
      </c>
      <c r="D335" s="4" t="s">
        <v>74</v>
      </c>
      <c r="E335" s="4" t="s">
        <v>75</v>
      </c>
      <c r="F335" s="6">
        <v>2</v>
      </c>
      <c r="G335" s="5">
        <v>2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2</v>
      </c>
      <c r="V335" s="5">
        <v>2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</v>
      </c>
      <c r="AL335" s="5">
        <v>2</v>
      </c>
      <c r="AM335" s="5">
        <v>2</v>
      </c>
      <c r="AN335" s="31">
        <v>0</v>
      </c>
    </row>
    <row r="336">
      <c r="A336" s="24">
        <v>3088</v>
      </c>
      <c r="B336" s="9" t="s">
        <v>530</v>
      </c>
      <c r="C336" s="9" t="s">
        <v>65</v>
      </c>
      <c r="D336" s="9" t="s">
        <v>104</v>
      </c>
      <c r="E336" s="9" t="s">
        <v>531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3089</v>
      </c>
      <c r="B337" s="4" t="s">
        <v>532</v>
      </c>
      <c r="C337" s="4" t="s">
        <v>159</v>
      </c>
      <c r="D337" s="4" t="s">
        <v>533</v>
      </c>
      <c r="E337" s="4" t="s">
        <v>534</v>
      </c>
      <c r="F337" s="6">
        <v>1</v>
      </c>
      <c r="G337" s="7">
        <v>0</v>
      </c>
      <c r="H337" s="7">
        <v>0</v>
      </c>
      <c r="I337" s="5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1</v>
      </c>
      <c r="V337" s="7">
        <v>0</v>
      </c>
      <c r="W337" s="7">
        <v>0</v>
      </c>
      <c r="X337" s="5">
        <v>1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1">
        <v>0</v>
      </c>
    </row>
    <row r="338">
      <c r="A338" s="24">
        <v>3090</v>
      </c>
      <c r="B338" s="9" t="s">
        <v>535</v>
      </c>
      <c r="C338" s="9" t="s">
        <v>65</v>
      </c>
      <c r="D338" s="9" t="s">
        <v>104</v>
      </c>
      <c r="E338" s="9" t="s">
        <v>536</v>
      </c>
      <c r="F338" s="11">
        <v>1</v>
      </c>
      <c r="G338" s="12">
        <v>0</v>
      </c>
      <c r="H338" s="12">
        <v>0</v>
      </c>
      <c r="I338" s="10">
        <v>1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</v>
      </c>
      <c r="V338" s="12">
        <v>0</v>
      </c>
      <c r="W338" s="12">
        <v>0</v>
      </c>
      <c r="X338" s="10">
        <v>1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0">
        <v>0</v>
      </c>
    </row>
    <row r="339">
      <c r="A339" s="23">
        <v>3092</v>
      </c>
      <c r="B339" s="4" t="s">
        <v>537</v>
      </c>
      <c r="C339" s="4" t="s">
        <v>65</v>
      </c>
      <c r="D339" s="4" t="s">
        <v>66</v>
      </c>
      <c r="E339" s="4" t="s">
        <v>69</v>
      </c>
      <c r="F339" s="6">
        <v>1</v>
      </c>
      <c r="G339" s="7">
        <v>0</v>
      </c>
      <c r="H339" s="7">
        <v>0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7">
        <v>0</v>
      </c>
      <c r="W339" s="7">
        <v>0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0.25</v>
      </c>
    </row>
    <row r="340">
      <c r="A340" s="24">
        <v>3100</v>
      </c>
      <c r="B340" s="9" t="s">
        <v>538</v>
      </c>
      <c r="C340" s="9" t="s">
        <v>494</v>
      </c>
      <c r="D340" s="9" t="s">
        <v>539</v>
      </c>
      <c r="E340" s="9" t="s">
        <v>305</v>
      </c>
      <c r="F340" s="11">
        <v>1</v>
      </c>
      <c r="G340" s="12">
        <v>0</v>
      </c>
      <c r="H340" s="12">
        <v>0</v>
      </c>
      <c r="I340" s="10">
        <v>1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2">
        <v>0</v>
      </c>
      <c r="W340" s="12">
        <v>0</v>
      </c>
      <c r="X340" s="10">
        <v>1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0.24</v>
      </c>
    </row>
    <row r="341">
      <c r="A341" s="23">
        <v>3105</v>
      </c>
      <c r="B341" s="4" t="s">
        <v>540</v>
      </c>
      <c r="C341" s="4" t="s">
        <v>65</v>
      </c>
      <c r="D341" s="4" t="s">
        <v>79</v>
      </c>
      <c r="E341" s="4" t="s">
        <v>80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1">
        <v>0</v>
      </c>
    </row>
    <row r="342">
      <c r="A342" s="24">
        <v>3119</v>
      </c>
      <c r="B342" s="9" t="s">
        <v>541</v>
      </c>
      <c r="C342" s="9" t="s">
        <v>65</v>
      </c>
      <c r="D342" s="9" t="s">
        <v>101</v>
      </c>
      <c r="E342" s="9" t="s">
        <v>249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0">
        <v>0</v>
      </c>
    </row>
    <row r="343">
      <c r="A343" s="23">
        <v>3127</v>
      </c>
      <c r="B343" s="4" t="s">
        <v>542</v>
      </c>
      <c r="C343" s="4" t="s">
        <v>65</v>
      </c>
      <c r="D343" s="4" t="s">
        <v>71</v>
      </c>
      <c r="E343" s="4" t="s">
        <v>72</v>
      </c>
      <c r="F343" s="6">
        <v>3</v>
      </c>
      <c r="G343" s="5">
        <v>1</v>
      </c>
      <c r="H343" s="7">
        <v>0</v>
      </c>
      <c r="I343" s="5">
        <v>1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3</v>
      </c>
      <c r="V343" s="5">
        <v>1</v>
      </c>
      <c r="W343" s="7">
        <v>0</v>
      </c>
      <c r="X343" s="5">
        <v>1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0.64</v>
      </c>
    </row>
    <row r="344">
      <c r="A344" s="24">
        <v>3128</v>
      </c>
      <c r="B344" s="9" t="s">
        <v>543</v>
      </c>
      <c r="C344" s="9" t="s">
        <v>159</v>
      </c>
      <c r="D344" s="9" t="s">
        <v>160</v>
      </c>
      <c r="E344" s="9" t="s">
        <v>170</v>
      </c>
      <c r="F344" s="11">
        <v>1</v>
      </c>
      <c r="G344" s="12">
        <v>0</v>
      </c>
      <c r="H344" s="12">
        <v>0</v>
      </c>
      <c r="I344" s="10">
        <v>1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1</v>
      </c>
      <c r="V344" s="12">
        <v>0</v>
      </c>
      <c r="W344" s="12">
        <v>0</v>
      </c>
      <c r="X344" s="10">
        <v>1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0">
        <v>0</v>
      </c>
    </row>
    <row r="345">
      <c r="A345" s="23">
        <v>3134</v>
      </c>
      <c r="B345" s="4" t="s">
        <v>544</v>
      </c>
      <c r="C345" s="4" t="s">
        <v>159</v>
      </c>
      <c r="D345" s="4" t="s">
        <v>160</v>
      </c>
      <c r="E345" s="4" t="s">
        <v>170</v>
      </c>
      <c r="F345" s="6">
        <v>1</v>
      </c>
      <c r="G345" s="7">
        <v>0</v>
      </c>
      <c r="H345" s="7">
        <v>0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</v>
      </c>
      <c r="V345" s="7">
        <v>0</v>
      </c>
      <c r="W345" s="7">
        <v>0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1">
        <v>0</v>
      </c>
    </row>
    <row r="346">
      <c r="A346" s="24">
        <v>3135</v>
      </c>
      <c r="B346" s="9" t="s">
        <v>545</v>
      </c>
      <c r="C346" s="9" t="s">
        <v>159</v>
      </c>
      <c r="D346" s="9" t="s">
        <v>172</v>
      </c>
      <c r="E346" s="9" t="s">
        <v>546</v>
      </c>
      <c r="F346" s="11">
        <v>7</v>
      </c>
      <c r="G346" s="10">
        <v>5</v>
      </c>
      <c r="H346" s="12">
        <v>0</v>
      </c>
      <c r="I346" s="10">
        <v>1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7</v>
      </c>
      <c r="V346" s="10">
        <v>5</v>
      </c>
      <c r="W346" s="12">
        <v>0</v>
      </c>
      <c r="X346" s="10">
        <v>1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2.33</v>
      </c>
      <c r="AL346" s="10">
        <v>1</v>
      </c>
      <c r="AM346" s="10">
        <v>5</v>
      </c>
      <c r="AN346" s="30">
        <v>0</v>
      </c>
    </row>
    <row r="347">
      <c r="A347" s="23">
        <v>3142</v>
      </c>
      <c r="B347" s="4" t="s">
        <v>547</v>
      </c>
      <c r="C347" s="4" t="s">
        <v>65</v>
      </c>
      <c r="D347" s="4" t="s">
        <v>74</v>
      </c>
      <c r="E347" s="4" t="s">
        <v>75</v>
      </c>
      <c r="F347" s="6">
        <v>9</v>
      </c>
      <c r="G347" s="5">
        <v>3</v>
      </c>
      <c r="H347" s="7">
        <v>0</v>
      </c>
      <c r="I347" s="5">
        <v>4</v>
      </c>
      <c r="J347" s="5">
        <v>2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6</v>
      </c>
      <c r="V347" s="5">
        <v>3</v>
      </c>
      <c r="W347" s="7">
        <v>0</v>
      </c>
      <c r="X347" s="5">
        <v>2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2.25</v>
      </c>
      <c r="AL347" s="5">
        <v>2</v>
      </c>
      <c r="AM347" s="5">
        <v>4</v>
      </c>
      <c r="AN347" s="28">
        <v>0.54</v>
      </c>
    </row>
    <row r="348">
      <c r="A348" s="24">
        <v>3186</v>
      </c>
      <c r="B348" s="9" t="s">
        <v>548</v>
      </c>
      <c r="C348" s="9" t="s">
        <v>65</v>
      </c>
      <c r="D348" s="9" t="s">
        <v>71</v>
      </c>
      <c r="E348" s="9" t="s">
        <v>116</v>
      </c>
      <c r="F348" s="11">
        <v>2</v>
      </c>
      <c r="G348" s="10">
        <v>1</v>
      </c>
      <c r="H348" s="12">
        <v>0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2</v>
      </c>
      <c r="V348" s="10">
        <v>1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0">
        <v>0</v>
      </c>
    </row>
    <row r="349">
      <c r="A349" s="23">
        <v>3190</v>
      </c>
      <c r="B349" s="4" t="s">
        <v>549</v>
      </c>
      <c r="C349" s="4" t="s">
        <v>65</v>
      </c>
      <c r="D349" s="4" t="s">
        <v>101</v>
      </c>
      <c r="E349" s="4" t="s">
        <v>249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1">
        <v>0</v>
      </c>
    </row>
    <row r="350">
      <c r="A350" s="24">
        <v>3191</v>
      </c>
      <c r="B350" s="9" t="s">
        <v>550</v>
      </c>
      <c r="C350" s="9" t="s">
        <v>65</v>
      </c>
      <c r="D350" s="9" t="s">
        <v>111</v>
      </c>
      <c r="E350" s="9" t="s">
        <v>200</v>
      </c>
      <c r="F350" s="11">
        <v>2</v>
      </c>
      <c r="G350" s="12">
        <v>0</v>
      </c>
      <c r="H350" s="10">
        <v>1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2</v>
      </c>
      <c r="V350" s="12">
        <v>0</v>
      </c>
      <c r="W350" s="10">
        <v>1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0.5</v>
      </c>
    </row>
    <row r="351">
      <c r="A351" s="23">
        <v>3192</v>
      </c>
      <c r="B351" s="4" t="s">
        <v>551</v>
      </c>
      <c r="C351" s="4" t="s">
        <v>65</v>
      </c>
      <c r="D351" s="4" t="s">
        <v>127</v>
      </c>
      <c r="E351" s="4" t="s">
        <v>128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1">
        <v>0</v>
      </c>
    </row>
    <row r="352">
      <c r="A352" s="24">
        <v>3196</v>
      </c>
      <c r="B352" s="9" t="s">
        <v>552</v>
      </c>
      <c r="C352" s="9" t="s">
        <v>65</v>
      </c>
      <c r="D352" s="9" t="s">
        <v>74</v>
      </c>
      <c r="E352" s="9" t="s">
        <v>118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0.25</v>
      </c>
    </row>
    <row r="353">
      <c r="A353" s="23">
        <v>3198</v>
      </c>
      <c r="B353" s="4" t="s">
        <v>553</v>
      </c>
      <c r="C353" s="4" t="s">
        <v>65</v>
      </c>
      <c r="D353" s="4" t="s">
        <v>111</v>
      </c>
      <c r="E353" s="4" t="s">
        <v>200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1">
        <v>0</v>
      </c>
    </row>
    <row r="354">
      <c r="A354" s="24">
        <v>3216</v>
      </c>
      <c r="B354" s="9" t="s">
        <v>554</v>
      </c>
      <c r="C354" s="9" t="s">
        <v>65</v>
      </c>
      <c r="D354" s="9" t="s">
        <v>87</v>
      </c>
      <c r="E354" s="9" t="s">
        <v>295</v>
      </c>
      <c r="F354" s="11">
        <v>2</v>
      </c>
      <c r="G354" s="10">
        <v>2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2</v>
      </c>
      <c r="V354" s="10">
        <v>2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30">
        <v>0</v>
      </c>
    </row>
    <row r="355">
      <c r="A355" s="23">
        <v>3222</v>
      </c>
      <c r="B355" s="4" t="s">
        <v>555</v>
      </c>
      <c r="C355" s="4" t="s">
        <v>65</v>
      </c>
      <c r="D355" s="4" t="s">
        <v>74</v>
      </c>
      <c r="E355" s="4" t="s">
        <v>366</v>
      </c>
      <c r="F355" s="6">
        <v>5</v>
      </c>
      <c r="G355" s="5">
        <v>5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4</v>
      </c>
      <c r="V355" s="5">
        <v>4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5</v>
      </c>
      <c r="AK355" s="8">
        <v>5</v>
      </c>
      <c r="AL355" s="5">
        <v>5</v>
      </c>
      <c r="AM355" s="5">
        <v>5</v>
      </c>
      <c r="AN355" s="28">
        <v>1.04</v>
      </c>
    </row>
    <row r="356">
      <c r="A356" s="24">
        <v>3223</v>
      </c>
      <c r="B356" s="9" t="s">
        <v>556</v>
      </c>
      <c r="C356" s="9" t="s">
        <v>65</v>
      </c>
      <c r="D356" s="9" t="s">
        <v>101</v>
      </c>
      <c r="E356" s="9" t="s">
        <v>249</v>
      </c>
      <c r="F356" s="11">
        <v>3</v>
      </c>
      <c r="G356" s="10">
        <v>2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3</v>
      </c>
      <c r="V356" s="10">
        <v>2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29">
        <v>0.25</v>
      </c>
    </row>
    <row r="357">
      <c r="A357" s="23">
        <v>3276</v>
      </c>
      <c r="B357" s="4" t="s">
        <v>557</v>
      </c>
      <c r="C357" s="4" t="s">
        <v>135</v>
      </c>
      <c r="D357" s="4" t="s">
        <v>489</v>
      </c>
      <c r="E357" s="4" t="s">
        <v>558</v>
      </c>
      <c r="F357" s="6">
        <v>2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5">
        <v>2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5">
        <v>1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31">
        <v>0</v>
      </c>
    </row>
    <row r="358">
      <c r="A358" s="24">
        <v>3281</v>
      </c>
      <c r="B358" s="9" t="s">
        <v>559</v>
      </c>
      <c r="C358" s="9" t="s">
        <v>65</v>
      </c>
      <c r="D358" s="9" t="s">
        <v>79</v>
      </c>
      <c r="E358" s="9" t="s">
        <v>133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3282</v>
      </c>
      <c r="B359" s="4" t="s">
        <v>560</v>
      </c>
      <c r="C359" s="4" t="s">
        <v>135</v>
      </c>
      <c r="D359" s="4" t="s">
        <v>561</v>
      </c>
      <c r="E359" s="4" t="s">
        <v>305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0.22</v>
      </c>
    </row>
    <row r="360">
      <c r="A360" s="24">
        <v>3286</v>
      </c>
      <c r="B360" s="9" t="s">
        <v>562</v>
      </c>
      <c r="C360" s="9" t="s">
        <v>65</v>
      </c>
      <c r="D360" s="9" t="s">
        <v>111</v>
      </c>
      <c r="E360" s="9" t="s">
        <v>200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0.24</v>
      </c>
    </row>
    <row r="361">
      <c r="A361" s="23">
        <v>3290</v>
      </c>
      <c r="B361" s="4" t="s">
        <v>563</v>
      </c>
      <c r="C361" s="4" t="s">
        <v>65</v>
      </c>
      <c r="D361" s="4" t="s">
        <v>71</v>
      </c>
      <c r="E361" s="4" t="s">
        <v>72</v>
      </c>
      <c r="F361" s="6">
        <v>1</v>
      </c>
      <c r="G361" s="7">
        <v>0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7">
        <v>0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1">
        <v>0</v>
      </c>
    </row>
    <row r="362">
      <c r="A362" s="24">
        <v>3292</v>
      </c>
      <c r="B362" s="9" t="s">
        <v>564</v>
      </c>
      <c r="C362" s="9" t="s">
        <v>65</v>
      </c>
      <c r="D362" s="9" t="s">
        <v>111</v>
      </c>
      <c r="E362" s="9" t="s">
        <v>112</v>
      </c>
      <c r="F362" s="11">
        <v>1</v>
      </c>
      <c r="G362" s="12">
        <v>0</v>
      </c>
      <c r="H362" s="10">
        <v>1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2">
        <v>0</v>
      </c>
      <c r="W362" s="10">
        <v>1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0.25</v>
      </c>
    </row>
    <row r="363">
      <c r="A363" s="23">
        <v>3297</v>
      </c>
      <c r="B363" s="4" t="s">
        <v>565</v>
      </c>
      <c r="C363" s="4" t="s">
        <v>510</v>
      </c>
      <c r="D363" s="4" t="s">
        <v>566</v>
      </c>
      <c r="E363" s="4" t="s">
        <v>567</v>
      </c>
      <c r="F363" s="6">
        <v>1</v>
      </c>
      <c r="G363" s="7">
        <v>0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0.25</v>
      </c>
    </row>
    <row r="364">
      <c r="A364" s="24">
        <v>3310</v>
      </c>
      <c r="B364" s="9" t="s">
        <v>568</v>
      </c>
      <c r="C364" s="9" t="s">
        <v>65</v>
      </c>
      <c r="D364" s="9" t="s">
        <v>101</v>
      </c>
      <c r="E364" s="9" t="s">
        <v>102</v>
      </c>
      <c r="F364" s="11">
        <v>2</v>
      </c>
      <c r="G364" s="10">
        <v>2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2</v>
      </c>
      <c r="V364" s="10">
        <v>2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29">
        <v>0.5</v>
      </c>
    </row>
    <row r="365">
      <c r="A365" s="23">
        <v>3313</v>
      </c>
      <c r="B365" s="4" t="s">
        <v>569</v>
      </c>
      <c r="C365" s="4" t="s">
        <v>65</v>
      </c>
      <c r="D365" s="4" t="s">
        <v>127</v>
      </c>
      <c r="E365" s="4" t="s">
        <v>128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0.36</v>
      </c>
    </row>
    <row r="366">
      <c r="A366" s="24">
        <v>3315</v>
      </c>
      <c r="B366" s="9" t="s">
        <v>570</v>
      </c>
      <c r="C366" s="9" t="s">
        <v>65</v>
      </c>
      <c r="D366" s="9" t="s">
        <v>111</v>
      </c>
      <c r="E366" s="9" t="s">
        <v>571</v>
      </c>
      <c r="F366" s="11">
        <v>9</v>
      </c>
      <c r="G366" s="12">
        <v>0</v>
      </c>
      <c r="H366" s="12">
        <v>0</v>
      </c>
      <c r="I366" s="10">
        <v>2</v>
      </c>
      <c r="J366" s="10">
        <v>7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8</v>
      </c>
      <c r="V366" s="12">
        <v>0</v>
      </c>
      <c r="W366" s="12">
        <v>0</v>
      </c>
      <c r="X366" s="10">
        <v>2</v>
      </c>
      <c r="Y366" s="10">
        <v>6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3</v>
      </c>
      <c r="AL366" s="10">
        <v>3</v>
      </c>
      <c r="AM366" s="10">
        <v>4</v>
      </c>
      <c r="AN366" s="29">
        <v>2</v>
      </c>
    </row>
    <row r="367">
      <c r="A367" s="23">
        <v>3318</v>
      </c>
      <c r="B367" s="4" t="s">
        <v>572</v>
      </c>
      <c r="C367" s="4" t="s">
        <v>573</v>
      </c>
      <c r="D367" s="4" t="s">
        <v>574</v>
      </c>
      <c r="E367" s="4" t="s">
        <v>305</v>
      </c>
      <c r="F367" s="6">
        <v>1</v>
      </c>
      <c r="G367" s="7">
        <v>0</v>
      </c>
      <c r="H367" s="7">
        <v>0</v>
      </c>
      <c r="I367" s="7">
        <v>0</v>
      </c>
      <c r="J367" s="7">
        <v>0</v>
      </c>
      <c r="K367" s="5">
        <v>1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7">
        <v>0</v>
      </c>
      <c r="W367" s="7">
        <v>0</v>
      </c>
      <c r="X367" s="7">
        <v>0</v>
      </c>
      <c r="Y367" s="7">
        <v>0</v>
      </c>
      <c r="Z367" s="5">
        <v>1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1">
        <v>0</v>
      </c>
    </row>
    <row r="368">
      <c r="A368" s="24">
        <v>3325</v>
      </c>
      <c r="B368" s="9" t="s">
        <v>575</v>
      </c>
      <c r="C368" s="9" t="s">
        <v>135</v>
      </c>
      <c r="D368" s="9" t="s">
        <v>136</v>
      </c>
      <c r="E368" s="9" t="s">
        <v>394</v>
      </c>
      <c r="F368" s="11">
        <v>4</v>
      </c>
      <c r="G368" s="12">
        <v>0</v>
      </c>
      <c r="H368" s="12">
        <v>0</v>
      </c>
      <c r="I368" s="10">
        <v>4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3</v>
      </c>
      <c r="V368" s="12">
        <v>0</v>
      </c>
      <c r="W368" s="12">
        <v>0</v>
      </c>
      <c r="X368" s="10">
        <v>3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4</v>
      </c>
      <c r="AK368" s="13">
        <v>4</v>
      </c>
      <c r="AL368" s="10">
        <v>4</v>
      </c>
      <c r="AM368" s="10">
        <v>4</v>
      </c>
      <c r="AN368" s="29">
        <v>0.72</v>
      </c>
    </row>
    <row r="369">
      <c r="A369" s="23">
        <v>3328</v>
      </c>
      <c r="B369" s="4" t="s">
        <v>576</v>
      </c>
      <c r="C369" s="4" t="s">
        <v>135</v>
      </c>
      <c r="D369" s="4" t="s">
        <v>561</v>
      </c>
      <c r="E369" s="4" t="s">
        <v>305</v>
      </c>
      <c r="F369" s="6">
        <v>1</v>
      </c>
      <c r="G369" s="7">
        <v>0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7">
        <v>0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0.24</v>
      </c>
    </row>
    <row r="370">
      <c r="A370" s="24">
        <v>3330</v>
      </c>
      <c r="B370" s="9" t="s">
        <v>577</v>
      </c>
      <c r="C370" s="9" t="s">
        <v>135</v>
      </c>
      <c r="D370" s="9" t="s">
        <v>353</v>
      </c>
      <c r="E370" s="9" t="s">
        <v>354</v>
      </c>
      <c r="F370" s="11">
        <v>4</v>
      </c>
      <c r="G370" s="12">
        <v>0</v>
      </c>
      <c r="H370" s="12">
        <v>0</v>
      </c>
      <c r="I370" s="10">
        <v>2</v>
      </c>
      <c r="J370" s="10">
        <v>2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4</v>
      </c>
      <c r="V370" s="12">
        <v>0</v>
      </c>
      <c r="W370" s="12">
        <v>0</v>
      </c>
      <c r="X370" s="10">
        <v>2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1.33</v>
      </c>
      <c r="AL370" s="10">
        <v>1</v>
      </c>
      <c r="AM370" s="10">
        <v>2</v>
      </c>
      <c r="AN370" s="29">
        <v>0.96</v>
      </c>
    </row>
    <row r="371">
      <c r="A371" s="23">
        <v>3331</v>
      </c>
      <c r="B371" s="4" t="s">
        <v>578</v>
      </c>
      <c r="C371" s="4" t="s">
        <v>303</v>
      </c>
      <c r="D371" s="4" t="s">
        <v>579</v>
      </c>
      <c r="E371" s="4" t="s">
        <v>305</v>
      </c>
      <c r="F371" s="6">
        <v>3</v>
      </c>
      <c r="G371" s="7">
        <v>0</v>
      </c>
      <c r="H371" s="7">
        <v>0</v>
      </c>
      <c r="I371" s="5">
        <v>3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2</v>
      </c>
      <c r="V371" s="7">
        <v>0</v>
      </c>
      <c r="W371" s="7">
        <v>0</v>
      </c>
      <c r="X371" s="5">
        <v>2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3</v>
      </c>
      <c r="AK371" s="8">
        <v>3</v>
      </c>
      <c r="AL371" s="5">
        <v>3</v>
      </c>
      <c r="AM371" s="5">
        <v>3</v>
      </c>
      <c r="AN371" s="28">
        <v>0.48</v>
      </c>
    </row>
    <row r="372">
      <c r="A372" s="24">
        <v>3332</v>
      </c>
      <c r="B372" s="9" t="s">
        <v>580</v>
      </c>
      <c r="C372" s="9" t="s">
        <v>65</v>
      </c>
      <c r="D372" s="9" t="s">
        <v>79</v>
      </c>
      <c r="E372" s="9" t="s">
        <v>195</v>
      </c>
      <c r="F372" s="11">
        <v>3</v>
      </c>
      <c r="G372" s="12">
        <v>0</v>
      </c>
      <c r="H372" s="12">
        <v>0</v>
      </c>
      <c r="I372" s="10">
        <v>1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3</v>
      </c>
      <c r="V372" s="12">
        <v>0</v>
      </c>
      <c r="W372" s="12">
        <v>0</v>
      </c>
      <c r="X372" s="10">
        <v>1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1.5</v>
      </c>
      <c r="AL372" s="10">
        <v>1</v>
      </c>
      <c r="AM372" s="10">
        <v>2</v>
      </c>
      <c r="AN372" s="29">
        <v>0.78</v>
      </c>
    </row>
    <row r="373">
      <c r="A373" s="23">
        <v>3351</v>
      </c>
      <c r="B373" s="4" t="s">
        <v>581</v>
      </c>
      <c r="C373" s="4" t="s">
        <v>573</v>
      </c>
      <c r="D373" s="4" t="s">
        <v>582</v>
      </c>
      <c r="E373" s="4" t="s">
        <v>305</v>
      </c>
      <c r="F373" s="6">
        <v>3</v>
      </c>
      <c r="G373" s="7">
        <v>0</v>
      </c>
      <c r="H373" s="5">
        <v>2</v>
      </c>
      <c r="I373" s="5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3</v>
      </c>
      <c r="V373" s="7">
        <v>0</v>
      </c>
      <c r="W373" s="5">
        <v>2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1.5</v>
      </c>
      <c r="AL373" s="5">
        <v>1</v>
      </c>
      <c r="AM373" s="5">
        <v>2</v>
      </c>
      <c r="AN373" s="28">
        <v>1.01</v>
      </c>
    </row>
    <row r="374">
      <c r="A374" s="24">
        <v>3356</v>
      </c>
      <c r="B374" s="9" t="s">
        <v>583</v>
      </c>
      <c r="C374" s="9" t="s">
        <v>573</v>
      </c>
      <c r="D374" s="9" t="s">
        <v>582</v>
      </c>
      <c r="E374" s="9" t="s">
        <v>305</v>
      </c>
      <c r="F374" s="11">
        <v>1</v>
      </c>
      <c r="G374" s="12">
        <v>0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2">
        <v>0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0.26</v>
      </c>
    </row>
    <row r="375">
      <c r="A375" s="23">
        <v>3357</v>
      </c>
      <c r="B375" s="4" t="s">
        <v>584</v>
      </c>
      <c r="C375" s="4" t="s">
        <v>573</v>
      </c>
      <c r="D375" s="4" t="s">
        <v>582</v>
      </c>
      <c r="E375" s="4" t="s">
        <v>305</v>
      </c>
      <c r="F375" s="6">
        <v>2</v>
      </c>
      <c r="G375" s="7">
        <v>0</v>
      </c>
      <c r="H375" s="7">
        <v>0</v>
      </c>
      <c r="I375" s="5">
        <v>2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2</v>
      </c>
      <c r="V375" s="7">
        <v>0</v>
      </c>
      <c r="W375" s="7">
        <v>0</v>
      </c>
      <c r="X375" s="5">
        <v>2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0.52</v>
      </c>
    </row>
    <row r="376">
      <c r="A376" s="24">
        <v>3358</v>
      </c>
      <c r="B376" s="9" t="s">
        <v>585</v>
      </c>
      <c r="C376" s="9" t="s">
        <v>573</v>
      </c>
      <c r="D376" s="9" t="s">
        <v>582</v>
      </c>
      <c r="E376" s="9" t="s">
        <v>305</v>
      </c>
      <c r="F376" s="11">
        <v>2</v>
      </c>
      <c r="G376" s="12">
        <v>0</v>
      </c>
      <c r="H376" s="12">
        <v>0</v>
      </c>
      <c r="I376" s="12">
        <v>0</v>
      </c>
      <c r="J376" s="10">
        <v>2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</v>
      </c>
      <c r="AL376" s="10">
        <v>2</v>
      </c>
      <c r="AM376" s="10">
        <v>2</v>
      </c>
      <c r="AN376" s="29">
        <v>0.26</v>
      </c>
    </row>
    <row r="377">
      <c r="A377" s="23">
        <v>3365</v>
      </c>
      <c r="B377" s="4" t="s">
        <v>586</v>
      </c>
      <c r="C377" s="4" t="s">
        <v>65</v>
      </c>
      <c r="D377" s="4" t="s">
        <v>127</v>
      </c>
      <c r="E377" s="4" t="s">
        <v>587</v>
      </c>
      <c r="F377" s="6">
        <v>1</v>
      </c>
      <c r="G377" s="7">
        <v>0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7">
        <v>0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1">
        <v>0</v>
      </c>
    </row>
    <row r="378">
      <c r="A378" s="24">
        <v>3385</v>
      </c>
      <c r="B378" s="9" t="s">
        <v>588</v>
      </c>
      <c r="C378" s="9" t="s">
        <v>573</v>
      </c>
      <c r="D378" s="9" t="s">
        <v>589</v>
      </c>
      <c r="E378" s="9" t="s">
        <v>590</v>
      </c>
      <c r="F378" s="11">
        <v>4</v>
      </c>
      <c r="G378" s="12">
        <v>0</v>
      </c>
      <c r="H378" s="12">
        <v>0</v>
      </c>
      <c r="I378" s="12">
        <v>0</v>
      </c>
      <c r="J378" s="10">
        <v>4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4</v>
      </c>
      <c r="V378" s="12">
        <v>0</v>
      </c>
      <c r="W378" s="12">
        <v>0</v>
      </c>
      <c r="X378" s="12">
        <v>0</v>
      </c>
      <c r="Y378" s="10">
        <v>4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</v>
      </c>
      <c r="AL378" s="10">
        <v>2</v>
      </c>
      <c r="AM378" s="10">
        <v>2</v>
      </c>
      <c r="AN378" s="29">
        <v>1.04</v>
      </c>
    </row>
    <row r="379">
      <c r="A379" s="23">
        <v>3389</v>
      </c>
      <c r="B379" s="4" t="s">
        <v>591</v>
      </c>
      <c r="C379" s="4" t="s">
        <v>65</v>
      </c>
      <c r="D379" s="4" t="s">
        <v>71</v>
      </c>
      <c r="E379" s="4" t="s">
        <v>116</v>
      </c>
      <c r="F379" s="6">
        <v>2</v>
      </c>
      <c r="G379" s="5">
        <v>2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</v>
      </c>
      <c r="V379" s="5">
        <v>2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1">
        <v>0</v>
      </c>
    </row>
    <row r="380">
      <c r="A380" s="24">
        <v>3407</v>
      </c>
      <c r="B380" s="9" t="s">
        <v>592</v>
      </c>
      <c r="C380" s="9" t="s">
        <v>159</v>
      </c>
      <c r="D380" s="9" t="s">
        <v>172</v>
      </c>
      <c r="E380" s="9" t="s">
        <v>593</v>
      </c>
      <c r="F380" s="11">
        <v>1</v>
      </c>
      <c r="G380" s="12">
        <v>0</v>
      </c>
      <c r="H380" s="12">
        <v>0</v>
      </c>
      <c r="I380" s="12">
        <v>0</v>
      </c>
      <c r="J380" s="12">
        <v>0</v>
      </c>
      <c r="K380" s="10">
        <v>1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2">
        <v>0</v>
      </c>
      <c r="Y380" s="12">
        <v>0</v>
      </c>
      <c r="Z380" s="10">
        <v>1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3432</v>
      </c>
      <c r="B381" s="4" t="s">
        <v>594</v>
      </c>
      <c r="C381" s="4" t="s">
        <v>135</v>
      </c>
      <c r="D381" s="4" t="s">
        <v>323</v>
      </c>
      <c r="E381" s="4" t="s">
        <v>333</v>
      </c>
      <c r="F381" s="6">
        <v>1</v>
      </c>
      <c r="G381" s="7">
        <v>0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7">
        <v>0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3452</v>
      </c>
      <c r="B382" s="9" t="s">
        <v>595</v>
      </c>
      <c r="C382" s="9" t="s">
        <v>510</v>
      </c>
      <c r="D382" s="9" t="s">
        <v>596</v>
      </c>
      <c r="E382" s="9" t="s">
        <v>597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0.26</v>
      </c>
    </row>
    <row r="383">
      <c r="A383" s="23">
        <v>3453</v>
      </c>
      <c r="B383" s="4" t="s">
        <v>598</v>
      </c>
      <c r="C383" s="4" t="s">
        <v>65</v>
      </c>
      <c r="D383" s="4" t="s">
        <v>111</v>
      </c>
      <c r="E383" s="4" t="s">
        <v>200</v>
      </c>
      <c r="F383" s="6">
        <v>2</v>
      </c>
      <c r="G383" s="7">
        <v>0</v>
      </c>
      <c r="H383" s="7">
        <v>0</v>
      </c>
      <c r="I383" s="5">
        <v>2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7">
        <v>0</v>
      </c>
      <c r="X383" s="5">
        <v>1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31">
        <v>0</v>
      </c>
    </row>
    <row r="384">
      <c r="A384" s="24">
        <v>3458</v>
      </c>
      <c r="B384" s="9" t="s">
        <v>599</v>
      </c>
      <c r="C384" s="9" t="s">
        <v>159</v>
      </c>
      <c r="D384" s="9" t="s">
        <v>172</v>
      </c>
      <c r="E384" s="9" t="s">
        <v>176</v>
      </c>
      <c r="F384" s="11">
        <v>3</v>
      </c>
      <c r="G384" s="10">
        <v>1</v>
      </c>
      <c r="H384" s="12">
        <v>0</v>
      </c>
      <c r="I384" s="10">
        <v>1</v>
      </c>
      <c r="J384" s="12">
        <v>0</v>
      </c>
      <c r="K384" s="12">
        <v>0</v>
      </c>
      <c r="L384" s="10">
        <v>1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3</v>
      </c>
      <c r="V384" s="10">
        <v>1</v>
      </c>
      <c r="W384" s="12">
        <v>0</v>
      </c>
      <c r="X384" s="10">
        <v>1</v>
      </c>
      <c r="Y384" s="12">
        <v>0</v>
      </c>
      <c r="Z384" s="12">
        <v>0</v>
      </c>
      <c r="AA384" s="10">
        <v>1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3466</v>
      </c>
      <c r="B385" s="4" t="s">
        <v>600</v>
      </c>
      <c r="C385" s="4" t="s">
        <v>65</v>
      </c>
      <c r="D385" s="4" t="s">
        <v>111</v>
      </c>
      <c r="E385" s="4" t="s">
        <v>601</v>
      </c>
      <c r="F385" s="6">
        <v>1</v>
      </c>
      <c r="G385" s="7">
        <v>0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7">
        <v>0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3475</v>
      </c>
      <c r="B386" s="9" t="s">
        <v>602</v>
      </c>
      <c r="C386" s="9" t="s">
        <v>65</v>
      </c>
      <c r="D386" s="9" t="s">
        <v>79</v>
      </c>
      <c r="E386" s="9" t="s">
        <v>80</v>
      </c>
      <c r="F386" s="11">
        <v>2</v>
      </c>
      <c r="G386" s="12">
        <v>0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2">
        <v>0</v>
      </c>
      <c r="W386" s="12">
        <v>0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0.5</v>
      </c>
    </row>
    <row r="387">
      <c r="A387" s="23">
        <v>3476</v>
      </c>
      <c r="B387" s="4" t="s">
        <v>603</v>
      </c>
      <c r="C387" s="4" t="s">
        <v>65</v>
      </c>
      <c r="D387" s="4" t="s">
        <v>79</v>
      </c>
      <c r="E387" s="4" t="s">
        <v>80</v>
      </c>
      <c r="F387" s="6">
        <v>2</v>
      </c>
      <c r="G387" s="5">
        <v>1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</v>
      </c>
      <c r="V387" s="5">
        <v>1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0.25</v>
      </c>
    </row>
    <row r="388">
      <c r="A388" s="24">
        <v>3479</v>
      </c>
      <c r="B388" s="9" t="s">
        <v>604</v>
      </c>
      <c r="C388" s="9" t="s">
        <v>65</v>
      </c>
      <c r="D388" s="9" t="s">
        <v>79</v>
      </c>
      <c r="E388" s="9" t="s">
        <v>80</v>
      </c>
      <c r="F388" s="11">
        <v>4</v>
      </c>
      <c r="G388" s="12">
        <v>0</v>
      </c>
      <c r="H388" s="12">
        <v>0</v>
      </c>
      <c r="I388" s="12">
        <v>0</v>
      </c>
      <c r="J388" s="10">
        <v>4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4</v>
      </c>
      <c r="V388" s="12">
        <v>0</v>
      </c>
      <c r="W388" s="12">
        <v>0</v>
      </c>
      <c r="X388" s="12">
        <v>0</v>
      </c>
      <c r="Y388" s="10">
        <v>4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2</v>
      </c>
      <c r="AM388" s="10">
        <v>3</v>
      </c>
      <c r="AN388" s="29">
        <v>1.04</v>
      </c>
    </row>
    <row r="389">
      <c r="A389" s="23">
        <v>3486</v>
      </c>
      <c r="B389" s="4" t="s">
        <v>605</v>
      </c>
      <c r="C389" s="4" t="s">
        <v>65</v>
      </c>
      <c r="D389" s="4" t="s">
        <v>79</v>
      </c>
      <c r="E389" s="4" t="s">
        <v>80</v>
      </c>
      <c r="F389" s="6">
        <v>1</v>
      </c>
      <c r="G389" s="7">
        <v>0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1</v>
      </c>
      <c r="V389" s="7">
        <v>0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0.25</v>
      </c>
    </row>
    <row r="390">
      <c r="A390" s="24">
        <v>3490</v>
      </c>
      <c r="B390" s="9" t="s">
        <v>606</v>
      </c>
      <c r="C390" s="9" t="s">
        <v>65</v>
      </c>
      <c r="D390" s="9" t="s">
        <v>79</v>
      </c>
      <c r="E390" s="9" t="s">
        <v>80</v>
      </c>
      <c r="F390" s="11">
        <v>2</v>
      </c>
      <c r="G390" s="12">
        <v>0</v>
      </c>
      <c r="H390" s="10">
        <v>1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2</v>
      </c>
      <c r="V390" s="12">
        <v>0</v>
      </c>
      <c r="W390" s="10">
        <v>1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3493</v>
      </c>
      <c r="B391" s="4" t="s">
        <v>607</v>
      </c>
      <c r="C391" s="4" t="s">
        <v>65</v>
      </c>
      <c r="D391" s="4" t="s">
        <v>79</v>
      </c>
      <c r="E391" s="4" t="s">
        <v>80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0.25</v>
      </c>
    </row>
    <row r="392">
      <c r="A392" s="24">
        <v>3497</v>
      </c>
      <c r="B392" s="9" t="s">
        <v>608</v>
      </c>
      <c r="C392" s="9" t="s">
        <v>65</v>
      </c>
      <c r="D392" s="9" t="s">
        <v>79</v>
      </c>
      <c r="E392" s="9" t="s">
        <v>80</v>
      </c>
      <c r="F392" s="11">
        <v>2</v>
      </c>
      <c r="G392" s="12">
        <v>0</v>
      </c>
      <c r="H392" s="12">
        <v>0</v>
      </c>
      <c r="I392" s="12">
        <v>0</v>
      </c>
      <c r="J392" s="10">
        <v>2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2</v>
      </c>
      <c r="V392" s="12">
        <v>0</v>
      </c>
      <c r="W392" s="12">
        <v>0</v>
      </c>
      <c r="X392" s="12">
        <v>0</v>
      </c>
      <c r="Y392" s="10">
        <v>2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2</v>
      </c>
      <c r="AL392" s="10">
        <v>2</v>
      </c>
      <c r="AM392" s="10">
        <v>2</v>
      </c>
      <c r="AN392" s="29">
        <v>0.5</v>
      </c>
    </row>
    <row r="393">
      <c r="A393" s="23">
        <v>3500</v>
      </c>
      <c r="B393" s="4" t="s">
        <v>609</v>
      </c>
      <c r="C393" s="4" t="s">
        <v>65</v>
      </c>
      <c r="D393" s="4" t="s">
        <v>79</v>
      </c>
      <c r="E393" s="4" t="s">
        <v>80</v>
      </c>
      <c r="F393" s="6">
        <v>3</v>
      </c>
      <c r="G393" s="7">
        <v>0</v>
      </c>
      <c r="H393" s="5">
        <v>1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2</v>
      </c>
      <c r="V393" s="7">
        <v>0</v>
      </c>
      <c r="W393" s="5">
        <v>1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1.5</v>
      </c>
      <c r="AL393" s="5">
        <v>1</v>
      </c>
      <c r="AM393" s="5">
        <v>2</v>
      </c>
      <c r="AN393" s="31">
        <v>0</v>
      </c>
    </row>
    <row r="394">
      <c r="A394" s="24">
        <v>3501</v>
      </c>
      <c r="B394" s="9" t="s">
        <v>610</v>
      </c>
      <c r="C394" s="9" t="s">
        <v>65</v>
      </c>
      <c r="D394" s="9" t="s">
        <v>79</v>
      </c>
      <c r="E394" s="9" t="s">
        <v>80</v>
      </c>
      <c r="F394" s="11">
        <v>1</v>
      </c>
      <c r="G394" s="12">
        <v>0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1</v>
      </c>
      <c r="V394" s="12">
        <v>0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3502</v>
      </c>
      <c r="B395" s="4" t="s">
        <v>611</v>
      </c>
      <c r="C395" s="4" t="s">
        <v>65</v>
      </c>
      <c r="D395" s="4" t="s">
        <v>79</v>
      </c>
      <c r="E395" s="4" t="s">
        <v>80</v>
      </c>
      <c r="F395" s="6">
        <v>8</v>
      </c>
      <c r="G395" s="7">
        <v>0</v>
      </c>
      <c r="H395" s="7">
        <v>0</v>
      </c>
      <c r="I395" s="7">
        <v>0</v>
      </c>
      <c r="J395" s="5">
        <v>8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8</v>
      </c>
      <c r="V395" s="7">
        <v>0</v>
      </c>
      <c r="W395" s="7">
        <v>0</v>
      </c>
      <c r="X395" s="7">
        <v>0</v>
      </c>
      <c r="Y395" s="5">
        <v>8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4</v>
      </c>
      <c r="AL395" s="5">
        <v>4</v>
      </c>
      <c r="AM395" s="5">
        <v>7</v>
      </c>
      <c r="AN395" s="28">
        <v>2</v>
      </c>
    </row>
    <row r="396">
      <c r="A396" s="24">
        <v>3505</v>
      </c>
      <c r="B396" s="9" t="s">
        <v>612</v>
      </c>
      <c r="C396" s="9" t="s">
        <v>65</v>
      </c>
      <c r="D396" s="9" t="s">
        <v>79</v>
      </c>
      <c r="E396" s="9" t="s">
        <v>80</v>
      </c>
      <c r="F396" s="11">
        <v>2</v>
      </c>
      <c r="G396" s="12">
        <v>0</v>
      </c>
      <c r="H396" s="12">
        <v>0</v>
      </c>
      <c r="I396" s="12">
        <v>0</v>
      </c>
      <c r="J396" s="10">
        <v>2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2</v>
      </c>
      <c r="V396" s="12">
        <v>0</v>
      </c>
      <c r="W396" s="12">
        <v>0</v>
      </c>
      <c r="X396" s="12">
        <v>0</v>
      </c>
      <c r="Y396" s="10">
        <v>2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29">
        <v>0.5</v>
      </c>
    </row>
    <row r="397">
      <c r="A397" s="23">
        <v>3513</v>
      </c>
      <c r="B397" s="4" t="s">
        <v>613</v>
      </c>
      <c r="C397" s="4" t="s">
        <v>507</v>
      </c>
      <c r="D397" s="4" t="s">
        <v>614</v>
      </c>
      <c r="E397" s="4" t="s">
        <v>305</v>
      </c>
      <c r="F397" s="6">
        <v>133</v>
      </c>
      <c r="G397" s="7">
        <v>0</v>
      </c>
      <c r="H397" s="7">
        <v>0</v>
      </c>
      <c r="I397" s="7">
        <v>0</v>
      </c>
      <c r="J397" s="5">
        <v>133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126</v>
      </c>
      <c r="V397" s="7">
        <v>0</v>
      </c>
      <c r="W397" s="7">
        <v>0</v>
      </c>
      <c r="X397" s="7">
        <v>0</v>
      </c>
      <c r="Y397" s="5">
        <v>126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57</v>
      </c>
      <c r="AK397" s="8">
        <v>66.5</v>
      </c>
      <c r="AL397" s="5">
        <v>66</v>
      </c>
      <c r="AM397" s="5">
        <v>76</v>
      </c>
      <c r="AN397" s="28">
        <v>32.76</v>
      </c>
    </row>
    <row r="398">
      <c r="A398" s="24">
        <v>3514</v>
      </c>
      <c r="B398" s="9" t="s">
        <v>615</v>
      </c>
      <c r="C398" s="9" t="s">
        <v>507</v>
      </c>
      <c r="D398" s="9" t="s">
        <v>614</v>
      </c>
      <c r="E398" s="9" t="s">
        <v>305</v>
      </c>
      <c r="F398" s="11">
        <v>406</v>
      </c>
      <c r="G398" s="10">
        <v>1</v>
      </c>
      <c r="H398" s="12">
        <v>0</v>
      </c>
      <c r="I398" s="12">
        <v>0</v>
      </c>
      <c r="J398" s="10">
        <v>405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381</v>
      </c>
      <c r="V398" s="10">
        <v>1</v>
      </c>
      <c r="W398" s="12">
        <v>0</v>
      </c>
      <c r="X398" s="12">
        <v>0</v>
      </c>
      <c r="Y398" s="10">
        <v>380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203</v>
      </c>
      <c r="AL398" s="10">
        <v>203</v>
      </c>
      <c r="AM398" s="10">
        <v>405</v>
      </c>
      <c r="AN398" s="29">
        <v>98.46</v>
      </c>
    </row>
    <row r="399">
      <c r="A399" s="23">
        <v>3515</v>
      </c>
      <c r="B399" s="4" t="s">
        <v>616</v>
      </c>
      <c r="C399" s="4" t="s">
        <v>507</v>
      </c>
      <c r="D399" s="4" t="s">
        <v>617</v>
      </c>
      <c r="E399" s="4" t="s">
        <v>305</v>
      </c>
      <c r="F399" s="6">
        <v>14</v>
      </c>
      <c r="G399" s="7">
        <v>0</v>
      </c>
      <c r="H399" s="7">
        <v>0</v>
      </c>
      <c r="I399" s="7">
        <v>0</v>
      </c>
      <c r="J399" s="5">
        <v>14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13</v>
      </c>
      <c r="V399" s="7">
        <v>0</v>
      </c>
      <c r="W399" s="7">
        <v>0</v>
      </c>
      <c r="X399" s="7">
        <v>0</v>
      </c>
      <c r="Y399" s="5">
        <v>13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3</v>
      </c>
      <c r="AK399" s="8">
        <v>7</v>
      </c>
      <c r="AL399" s="5">
        <v>7</v>
      </c>
      <c r="AM399" s="5">
        <v>11</v>
      </c>
      <c r="AN399" s="28">
        <v>3.38</v>
      </c>
    </row>
    <row r="400">
      <c r="A400" s="24">
        <v>3524</v>
      </c>
      <c r="B400" s="9" t="s">
        <v>618</v>
      </c>
      <c r="C400" s="9" t="s">
        <v>135</v>
      </c>
      <c r="D400" s="9" t="s">
        <v>323</v>
      </c>
      <c r="E400" s="9" t="s">
        <v>619</v>
      </c>
      <c r="F400" s="11">
        <v>6</v>
      </c>
      <c r="G400" s="10">
        <v>1</v>
      </c>
      <c r="H400" s="12">
        <v>0</v>
      </c>
      <c r="I400" s="10">
        <v>4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5</v>
      </c>
      <c r="V400" s="10">
        <v>1</v>
      </c>
      <c r="W400" s="12">
        <v>0</v>
      </c>
      <c r="X400" s="10">
        <v>3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30">
        <v>0</v>
      </c>
    </row>
    <row r="401">
      <c r="A401" s="23">
        <v>3529</v>
      </c>
      <c r="B401" s="4" t="s">
        <v>620</v>
      </c>
      <c r="C401" s="4" t="s">
        <v>135</v>
      </c>
      <c r="D401" s="4" t="s">
        <v>217</v>
      </c>
      <c r="E401" s="4" t="s">
        <v>218</v>
      </c>
      <c r="F401" s="6">
        <v>2</v>
      </c>
      <c r="G401" s="7">
        <v>0</v>
      </c>
      <c r="H401" s="5">
        <v>1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2</v>
      </c>
      <c r="V401" s="7">
        <v>0</v>
      </c>
      <c r="W401" s="5">
        <v>1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0.34</v>
      </c>
    </row>
    <row r="402">
      <c r="A402" s="24">
        <v>3536</v>
      </c>
      <c r="B402" s="9" t="s">
        <v>621</v>
      </c>
      <c r="C402" s="9" t="s">
        <v>135</v>
      </c>
      <c r="D402" s="9" t="s">
        <v>402</v>
      </c>
      <c r="E402" s="9" t="s">
        <v>403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0.24</v>
      </c>
    </row>
    <row r="403">
      <c r="A403" s="23">
        <v>3542</v>
      </c>
      <c r="B403" s="4" t="s">
        <v>622</v>
      </c>
      <c r="C403" s="4" t="s">
        <v>65</v>
      </c>
      <c r="D403" s="4" t="s">
        <v>79</v>
      </c>
      <c r="E403" s="4" t="s">
        <v>80</v>
      </c>
      <c r="F403" s="6">
        <v>2</v>
      </c>
      <c r="G403" s="7">
        <v>0</v>
      </c>
      <c r="H403" s="7">
        <v>0</v>
      </c>
      <c r="I403" s="5">
        <v>1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2</v>
      </c>
      <c r="V403" s="7">
        <v>0</v>
      </c>
      <c r="W403" s="7">
        <v>0</v>
      </c>
      <c r="X403" s="5">
        <v>1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0.48</v>
      </c>
    </row>
    <row r="404">
      <c r="A404" s="24">
        <v>3548</v>
      </c>
      <c r="B404" s="9" t="s">
        <v>623</v>
      </c>
      <c r="C404" s="9" t="s">
        <v>65</v>
      </c>
      <c r="D404" s="9" t="s">
        <v>79</v>
      </c>
      <c r="E404" s="9" t="s">
        <v>80</v>
      </c>
      <c r="F404" s="11">
        <v>1</v>
      </c>
      <c r="G404" s="12">
        <v>0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2">
        <v>0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0.24</v>
      </c>
    </row>
    <row r="405">
      <c r="A405" s="23">
        <v>3550</v>
      </c>
      <c r="B405" s="4" t="s">
        <v>624</v>
      </c>
      <c r="C405" s="4" t="s">
        <v>65</v>
      </c>
      <c r="D405" s="4" t="s">
        <v>79</v>
      </c>
      <c r="E405" s="4" t="s">
        <v>80</v>
      </c>
      <c r="F405" s="6">
        <v>2</v>
      </c>
      <c r="G405" s="7">
        <v>0</v>
      </c>
      <c r="H405" s="7">
        <v>0</v>
      </c>
      <c r="I405" s="5">
        <v>2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2</v>
      </c>
      <c r="V405" s="7">
        <v>0</v>
      </c>
      <c r="W405" s="7">
        <v>0</v>
      </c>
      <c r="X405" s="5">
        <v>2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28">
        <v>0.48</v>
      </c>
    </row>
    <row r="406">
      <c r="A406" s="24">
        <v>3553</v>
      </c>
      <c r="B406" s="9" t="s">
        <v>625</v>
      </c>
      <c r="C406" s="9" t="s">
        <v>65</v>
      </c>
      <c r="D406" s="9" t="s">
        <v>79</v>
      </c>
      <c r="E406" s="9" t="s">
        <v>80</v>
      </c>
      <c r="F406" s="11">
        <v>3</v>
      </c>
      <c r="G406" s="10">
        <v>1</v>
      </c>
      <c r="H406" s="10">
        <v>2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3</v>
      </c>
      <c r="V406" s="10">
        <v>1</v>
      </c>
      <c r="W406" s="10">
        <v>2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1.5</v>
      </c>
      <c r="AL406" s="10">
        <v>1</v>
      </c>
      <c r="AM406" s="10">
        <v>2</v>
      </c>
      <c r="AN406" s="30">
        <v>0</v>
      </c>
    </row>
    <row r="407">
      <c r="A407" s="23">
        <v>3557</v>
      </c>
      <c r="B407" s="4" t="s">
        <v>626</v>
      </c>
      <c r="C407" s="4" t="s">
        <v>65</v>
      </c>
      <c r="D407" s="4" t="s">
        <v>79</v>
      </c>
      <c r="E407" s="4" t="s">
        <v>80</v>
      </c>
      <c r="F407" s="6">
        <v>3</v>
      </c>
      <c r="G407" s="7">
        <v>0</v>
      </c>
      <c r="H407" s="7">
        <v>0</v>
      </c>
      <c r="I407" s="5">
        <v>1</v>
      </c>
      <c r="J407" s="5">
        <v>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3</v>
      </c>
      <c r="V407" s="7">
        <v>0</v>
      </c>
      <c r="W407" s="7">
        <v>0</v>
      </c>
      <c r="X407" s="5">
        <v>1</v>
      </c>
      <c r="Y407" s="5">
        <v>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1.5</v>
      </c>
      <c r="AL407" s="5">
        <v>1</v>
      </c>
      <c r="AM407" s="5">
        <v>2</v>
      </c>
      <c r="AN407" s="28">
        <v>0.78</v>
      </c>
    </row>
    <row r="408">
      <c r="A408" s="24">
        <v>3565</v>
      </c>
      <c r="B408" s="9" t="s">
        <v>627</v>
      </c>
      <c r="C408" s="9" t="s">
        <v>65</v>
      </c>
      <c r="D408" s="9" t="s">
        <v>79</v>
      </c>
      <c r="E408" s="9" t="s">
        <v>80</v>
      </c>
      <c r="F408" s="11">
        <v>1</v>
      </c>
      <c r="G408" s="12">
        <v>0</v>
      </c>
      <c r="H408" s="12">
        <v>0</v>
      </c>
      <c r="I408" s="10">
        <v>1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2">
        <v>0</v>
      </c>
      <c r="W408" s="12">
        <v>0</v>
      </c>
      <c r="X408" s="10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0.24</v>
      </c>
    </row>
    <row r="409">
      <c r="A409" s="23">
        <v>3567</v>
      </c>
      <c r="B409" s="4" t="s">
        <v>628</v>
      </c>
      <c r="C409" s="4" t="s">
        <v>65</v>
      </c>
      <c r="D409" s="4" t="s">
        <v>79</v>
      </c>
      <c r="E409" s="4" t="s">
        <v>80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1">
        <v>0</v>
      </c>
    </row>
    <row r="410">
      <c r="A410" s="24">
        <v>3568</v>
      </c>
      <c r="B410" s="9" t="s">
        <v>629</v>
      </c>
      <c r="C410" s="9" t="s">
        <v>65</v>
      </c>
      <c r="D410" s="9" t="s">
        <v>79</v>
      </c>
      <c r="E410" s="9" t="s">
        <v>80</v>
      </c>
      <c r="F410" s="11">
        <v>4</v>
      </c>
      <c r="G410" s="12">
        <v>0</v>
      </c>
      <c r="H410" s="12">
        <v>0</v>
      </c>
      <c r="I410" s="12">
        <v>0</v>
      </c>
      <c r="J410" s="10">
        <v>4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4</v>
      </c>
      <c r="V410" s="12">
        <v>0</v>
      </c>
      <c r="W410" s="12">
        <v>0</v>
      </c>
      <c r="X410" s="12">
        <v>0</v>
      </c>
      <c r="Y410" s="10">
        <v>4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4</v>
      </c>
      <c r="AK410" s="13">
        <v>4</v>
      </c>
      <c r="AL410" s="10">
        <v>4</v>
      </c>
      <c r="AM410" s="10">
        <v>4</v>
      </c>
      <c r="AN410" s="30">
        <v>0</v>
      </c>
    </row>
    <row r="411">
      <c r="A411" s="23">
        <v>3575</v>
      </c>
      <c r="B411" s="4" t="s">
        <v>630</v>
      </c>
      <c r="C411" s="4" t="s">
        <v>65</v>
      </c>
      <c r="D411" s="4" t="s">
        <v>111</v>
      </c>
      <c r="E411" s="4" t="s">
        <v>200</v>
      </c>
      <c r="F411" s="6">
        <v>1</v>
      </c>
      <c r="G411" s="7">
        <v>0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7">
        <v>0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3587</v>
      </c>
      <c r="B412" s="9" t="s">
        <v>631</v>
      </c>
      <c r="C412" s="9" t="s">
        <v>65</v>
      </c>
      <c r="D412" s="9" t="s">
        <v>71</v>
      </c>
      <c r="E412" s="9" t="s">
        <v>72</v>
      </c>
      <c r="F412" s="11">
        <v>1</v>
      </c>
      <c r="G412" s="12">
        <v>0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0.25</v>
      </c>
    </row>
    <row r="413">
      <c r="A413" s="23">
        <v>3591</v>
      </c>
      <c r="B413" s="4" t="s">
        <v>632</v>
      </c>
      <c r="C413" s="4" t="s">
        <v>65</v>
      </c>
      <c r="D413" s="4" t="s">
        <v>66</v>
      </c>
      <c r="E413" s="4" t="s">
        <v>231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1">
        <v>0</v>
      </c>
    </row>
    <row r="414">
      <c r="A414" s="24">
        <v>3593</v>
      </c>
      <c r="B414" s="9" t="s">
        <v>633</v>
      </c>
      <c r="C414" s="9" t="s">
        <v>135</v>
      </c>
      <c r="D414" s="9" t="s">
        <v>323</v>
      </c>
      <c r="E414" s="9" t="s">
        <v>333</v>
      </c>
      <c r="F414" s="11">
        <v>3</v>
      </c>
      <c r="G414" s="10">
        <v>1</v>
      </c>
      <c r="H414" s="12">
        <v>0</v>
      </c>
      <c r="I414" s="10">
        <v>1</v>
      </c>
      <c r="J414" s="12">
        <v>0</v>
      </c>
      <c r="K414" s="12">
        <v>0</v>
      </c>
      <c r="L414" s="10">
        <v>1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3</v>
      </c>
      <c r="V414" s="10">
        <v>1</v>
      </c>
      <c r="W414" s="12">
        <v>0</v>
      </c>
      <c r="X414" s="10">
        <v>1</v>
      </c>
      <c r="Y414" s="12">
        <v>0</v>
      </c>
      <c r="Z414" s="12">
        <v>0</v>
      </c>
      <c r="AA414" s="10">
        <v>1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30">
        <v>0</v>
      </c>
    </row>
    <row r="415">
      <c r="A415" s="23">
        <v>3612</v>
      </c>
      <c r="B415" s="4" t="s">
        <v>634</v>
      </c>
      <c r="C415" s="4" t="s">
        <v>135</v>
      </c>
      <c r="D415" s="4" t="s">
        <v>489</v>
      </c>
      <c r="E415" s="4" t="s">
        <v>635</v>
      </c>
      <c r="F415" s="6">
        <v>3</v>
      </c>
      <c r="G415" s="5">
        <v>1</v>
      </c>
      <c r="H415" s="7">
        <v>0</v>
      </c>
      <c r="I415" s="5">
        <v>1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3</v>
      </c>
      <c r="V415" s="5">
        <v>1</v>
      </c>
      <c r="W415" s="7">
        <v>0</v>
      </c>
      <c r="X415" s="5">
        <v>1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0.72</v>
      </c>
    </row>
    <row r="416">
      <c r="A416" s="24">
        <v>3630</v>
      </c>
      <c r="B416" s="9" t="s">
        <v>636</v>
      </c>
      <c r="C416" s="9" t="s">
        <v>65</v>
      </c>
      <c r="D416" s="9" t="s">
        <v>98</v>
      </c>
      <c r="E416" s="9" t="s">
        <v>522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0">
        <v>0</v>
      </c>
    </row>
    <row r="417">
      <c r="A417" s="23">
        <v>3638</v>
      </c>
      <c r="B417" s="4" t="s">
        <v>637</v>
      </c>
      <c r="C417" s="4" t="s">
        <v>65</v>
      </c>
      <c r="D417" s="4" t="s">
        <v>104</v>
      </c>
      <c r="E417" s="4" t="s">
        <v>638</v>
      </c>
      <c r="F417" s="6">
        <v>1</v>
      </c>
      <c r="G417" s="7">
        <v>0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0.25</v>
      </c>
    </row>
    <row r="418">
      <c r="A418" s="24">
        <v>3643</v>
      </c>
      <c r="B418" s="9" t="s">
        <v>639</v>
      </c>
      <c r="C418" s="9" t="s">
        <v>65</v>
      </c>
      <c r="D418" s="9" t="s">
        <v>111</v>
      </c>
      <c r="E418" s="9" t="s">
        <v>151</v>
      </c>
      <c r="F418" s="11">
        <v>2</v>
      </c>
      <c r="G418" s="10">
        <v>2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</v>
      </c>
      <c r="V418" s="10">
        <v>2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0.52</v>
      </c>
    </row>
    <row r="419">
      <c r="A419" s="23">
        <v>3647</v>
      </c>
      <c r="B419" s="4" t="s">
        <v>640</v>
      </c>
      <c r="C419" s="4" t="s">
        <v>65</v>
      </c>
      <c r="D419" s="4" t="s">
        <v>71</v>
      </c>
      <c r="E419" s="4" t="s">
        <v>72</v>
      </c>
      <c r="F419" s="6">
        <v>2</v>
      </c>
      <c r="G419" s="5">
        <v>2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2</v>
      </c>
      <c r="V419" s="5">
        <v>2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2</v>
      </c>
      <c r="AL419" s="5">
        <v>2</v>
      </c>
      <c r="AM419" s="5">
        <v>2</v>
      </c>
      <c r="AN419" s="28">
        <v>0.5</v>
      </c>
    </row>
    <row r="420">
      <c r="A420" s="24">
        <v>3661</v>
      </c>
      <c r="B420" s="9" t="s">
        <v>641</v>
      </c>
      <c r="C420" s="9" t="s">
        <v>65</v>
      </c>
      <c r="D420" s="9" t="s">
        <v>111</v>
      </c>
      <c r="E420" s="9" t="s">
        <v>112</v>
      </c>
      <c r="F420" s="11">
        <v>2</v>
      </c>
      <c r="G420" s="12">
        <v>0</v>
      </c>
      <c r="H420" s="10">
        <v>1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2</v>
      </c>
      <c r="V420" s="12">
        <v>0</v>
      </c>
      <c r="W420" s="10">
        <v>1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0.52</v>
      </c>
    </row>
    <row r="421">
      <c r="A421" s="23">
        <v>3677</v>
      </c>
      <c r="B421" s="4" t="s">
        <v>642</v>
      </c>
      <c r="C421" s="4" t="s">
        <v>65</v>
      </c>
      <c r="D421" s="4" t="s">
        <v>101</v>
      </c>
      <c r="E421" s="4" t="s">
        <v>249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2</v>
      </c>
      <c r="V421" s="5">
        <v>2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31">
        <v>0</v>
      </c>
    </row>
    <row r="422">
      <c r="A422" s="24">
        <v>3685</v>
      </c>
      <c r="B422" s="9" t="s">
        <v>643</v>
      </c>
      <c r="C422" s="9" t="s">
        <v>135</v>
      </c>
      <c r="D422" s="9" t="s">
        <v>353</v>
      </c>
      <c r="E422" s="9" t="s">
        <v>354</v>
      </c>
      <c r="F422" s="11">
        <v>1</v>
      </c>
      <c r="G422" s="12">
        <v>0</v>
      </c>
      <c r="H422" s="10">
        <v>1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2">
        <v>0</v>
      </c>
      <c r="W422" s="10">
        <v>1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0.22</v>
      </c>
    </row>
    <row r="423">
      <c r="A423" s="23">
        <v>3693</v>
      </c>
      <c r="B423" s="4" t="s">
        <v>644</v>
      </c>
      <c r="C423" s="4" t="s">
        <v>65</v>
      </c>
      <c r="D423" s="4" t="s">
        <v>111</v>
      </c>
      <c r="E423" s="4" t="s">
        <v>151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1">
        <v>0</v>
      </c>
    </row>
    <row r="424">
      <c r="A424" s="24">
        <v>3711</v>
      </c>
      <c r="B424" s="9" t="s">
        <v>645</v>
      </c>
      <c r="C424" s="9" t="s">
        <v>65</v>
      </c>
      <c r="D424" s="9" t="s">
        <v>79</v>
      </c>
      <c r="E424" s="9" t="s">
        <v>141</v>
      </c>
      <c r="F424" s="11">
        <v>1</v>
      </c>
      <c r="G424" s="12">
        <v>0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</v>
      </c>
      <c r="V424" s="12">
        <v>0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0">
        <v>0</v>
      </c>
    </row>
    <row r="425">
      <c r="A425" s="23">
        <v>3715</v>
      </c>
      <c r="B425" s="4" t="s">
        <v>646</v>
      </c>
      <c r="C425" s="4" t="s">
        <v>65</v>
      </c>
      <c r="D425" s="4" t="s">
        <v>127</v>
      </c>
      <c r="E425" s="4" t="s">
        <v>128</v>
      </c>
      <c r="F425" s="6">
        <v>4</v>
      </c>
      <c r="G425" s="5">
        <v>3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4</v>
      </c>
      <c r="V425" s="5">
        <v>3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3</v>
      </c>
      <c r="AN425" s="31">
        <v>0</v>
      </c>
    </row>
    <row r="426">
      <c r="A426" s="24">
        <v>3726</v>
      </c>
      <c r="B426" s="9" t="s">
        <v>647</v>
      </c>
      <c r="C426" s="9" t="s">
        <v>65</v>
      </c>
      <c r="D426" s="9" t="s">
        <v>127</v>
      </c>
      <c r="E426" s="9" t="s">
        <v>128</v>
      </c>
      <c r="F426" s="11">
        <v>12</v>
      </c>
      <c r="G426" s="10">
        <v>4</v>
      </c>
      <c r="H426" s="12">
        <v>0</v>
      </c>
      <c r="I426" s="10">
        <v>1</v>
      </c>
      <c r="J426" s="10">
        <v>7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11</v>
      </c>
      <c r="V426" s="10">
        <v>4</v>
      </c>
      <c r="W426" s="12">
        <v>0</v>
      </c>
      <c r="X426" s="10">
        <v>1</v>
      </c>
      <c r="Y426" s="10">
        <v>6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2.4</v>
      </c>
      <c r="AL426" s="10">
        <v>2</v>
      </c>
      <c r="AM426" s="10">
        <v>4</v>
      </c>
      <c r="AN426" s="29">
        <v>1.5</v>
      </c>
    </row>
    <row r="427">
      <c r="A427" s="23">
        <v>3739</v>
      </c>
      <c r="B427" s="4" t="s">
        <v>648</v>
      </c>
      <c r="C427" s="4" t="s">
        <v>303</v>
      </c>
      <c r="D427" s="4" t="s">
        <v>649</v>
      </c>
      <c r="E427" s="4" t="s">
        <v>305</v>
      </c>
      <c r="F427" s="6">
        <v>2</v>
      </c>
      <c r="G427" s="7">
        <v>0</v>
      </c>
      <c r="H427" s="7">
        <v>0</v>
      </c>
      <c r="I427" s="5">
        <v>2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</v>
      </c>
      <c r="V427" s="7">
        <v>0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31">
        <v>0</v>
      </c>
    </row>
    <row r="428">
      <c r="A428" s="24">
        <v>3745</v>
      </c>
      <c r="B428" s="9" t="s">
        <v>650</v>
      </c>
      <c r="C428" s="9" t="s">
        <v>65</v>
      </c>
      <c r="D428" s="9" t="s">
        <v>79</v>
      </c>
      <c r="E428" s="9" t="s">
        <v>80</v>
      </c>
      <c r="F428" s="11">
        <v>2</v>
      </c>
      <c r="G428" s="10">
        <v>1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2</v>
      </c>
      <c r="V428" s="10">
        <v>1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3753</v>
      </c>
      <c r="B429" s="4" t="s">
        <v>651</v>
      </c>
      <c r="C429" s="4" t="s">
        <v>65</v>
      </c>
      <c r="D429" s="4" t="s">
        <v>127</v>
      </c>
      <c r="E429" s="4" t="s">
        <v>281</v>
      </c>
      <c r="F429" s="6">
        <v>4</v>
      </c>
      <c r="G429" s="5">
        <v>1</v>
      </c>
      <c r="H429" s="7">
        <v>0</v>
      </c>
      <c r="I429" s="7">
        <v>0</v>
      </c>
      <c r="J429" s="5">
        <v>3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4</v>
      </c>
      <c r="V429" s="5">
        <v>1</v>
      </c>
      <c r="W429" s="7">
        <v>0</v>
      </c>
      <c r="X429" s="7">
        <v>0</v>
      </c>
      <c r="Y429" s="5">
        <v>3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0.52</v>
      </c>
    </row>
    <row r="430">
      <c r="A430" s="24">
        <v>3775</v>
      </c>
      <c r="B430" s="9" t="s">
        <v>652</v>
      </c>
      <c r="C430" s="9" t="s">
        <v>65</v>
      </c>
      <c r="D430" s="9" t="s">
        <v>101</v>
      </c>
      <c r="E430" s="9" t="s">
        <v>289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0">
        <v>0</v>
      </c>
    </row>
    <row r="431">
      <c r="A431" s="23">
        <v>3786</v>
      </c>
      <c r="B431" s="4" t="s">
        <v>653</v>
      </c>
      <c r="C431" s="4" t="s">
        <v>65</v>
      </c>
      <c r="D431" s="4" t="s">
        <v>79</v>
      </c>
      <c r="E431" s="4" t="s">
        <v>141</v>
      </c>
      <c r="F431" s="6">
        <v>9</v>
      </c>
      <c r="G431" s="7">
        <v>0</v>
      </c>
      <c r="H431" s="7">
        <v>0</v>
      </c>
      <c r="I431" s="7">
        <v>0</v>
      </c>
      <c r="J431" s="5">
        <v>9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7</v>
      </c>
      <c r="V431" s="7">
        <v>0</v>
      </c>
      <c r="W431" s="7">
        <v>0</v>
      </c>
      <c r="X431" s="7">
        <v>0</v>
      </c>
      <c r="Y431" s="5">
        <v>7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3</v>
      </c>
      <c r="AL431" s="5">
        <v>1</v>
      </c>
      <c r="AM431" s="5">
        <v>7</v>
      </c>
      <c r="AN431" s="28">
        <v>1.75</v>
      </c>
    </row>
    <row r="432">
      <c r="A432" s="24">
        <v>3791</v>
      </c>
      <c r="B432" s="9" t="s">
        <v>654</v>
      </c>
      <c r="C432" s="9" t="s">
        <v>135</v>
      </c>
      <c r="D432" s="9" t="s">
        <v>655</v>
      </c>
      <c r="E432" s="9" t="s">
        <v>656</v>
      </c>
      <c r="F432" s="11">
        <v>1</v>
      </c>
      <c r="G432" s="12">
        <v>0</v>
      </c>
      <c r="H432" s="12">
        <v>0</v>
      </c>
      <c r="I432" s="10">
        <v>1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2">
        <v>0</v>
      </c>
      <c r="W432" s="12">
        <v>0</v>
      </c>
      <c r="X432" s="10">
        <v>1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0.22</v>
      </c>
    </row>
    <row r="433">
      <c r="A433" s="23">
        <v>3798</v>
      </c>
      <c r="B433" s="4" t="s">
        <v>657</v>
      </c>
      <c r="C433" s="4" t="s">
        <v>65</v>
      </c>
      <c r="D433" s="4" t="s">
        <v>79</v>
      </c>
      <c r="E433" s="4" t="s">
        <v>80</v>
      </c>
      <c r="F433" s="6">
        <v>2</v>
      </c>
      <c r="G433" s="7">
        <v>0</v>
      </c>
      <c r="H433" s="7">
        <v>0</v>
      </c>
      <c r="I433" s="7">
        <v>0</v>
      </c>
      <c r="J433" s="5">
        <v>2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2</v>
      </c>
      <c r="V433" s="7">
        <v>0</v>
      </c>
      <c r="W433" s="7">
        <v>0</v>
      </c>
      <c r="X433" s="7">
        <v>0</v>
      </c>
      <c r="Y433" s="5">
        <v>2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28">
        <v>0.5</v>
      </c>
    </row>
    <row r="434">
      <c r="A434" s="24">
        <v>3800</v>
      </c>
      <c r="B434" s="9" t="s">
        <v>658</v>
      </c>
      <c r="C434" s="9" t="s">
        <v>65</v>
      </c>
      <c r="D434" s="9" t="s">
        <v>127</v>
      </c>
      <c r="E434" s="9" t="s">
        <v>128</v>
      </c>
      <c r="F434" s="11">
        <v>9</v>
      </c>
      <c r="G434" s="10">
        <v>6</v>
      </c>
      <c r="H434" s="12">
        <v>0</v>
      </c>
      <c r="I434" s="10">
        <v>1</v>
      </c>
      <c r="J434" s="10">
        <v>1</v>
      </c>
      <c r="K434" s="12">
        <v>0</v>
      </c>
      <c r="L434" s="10">
        <v>1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9</v>
      </c>
      <c r="V434" s="10">
        <v>6</v>
      </c>
      <c r="W434" s="12">
        <v>0</v>
      </c>
      <c r="X434" s="10">
        <v>1</v>
      </c>
      <c r="Y434" s="10">
        <v>1</v>
      </c>
      <c r="Z434" s="12">
        <v>0</v>
      </c>
      <c r="AA434" s="10">
        <v>1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1.8</v>
      </c>
      <c r="AL434" s="10">
        <v>1</v>
      </c>
      <c r="AM434" s="10">
        <v>5</v>
      </c>
      <c r="AN434" s="29">
        <v>0.26</v>
      </c>
    </row>
    <row r="435">
      <c r="A435" s="23">
        <v>3812</v>
      </c>
      <c r="B435" s="4" t="s">
        <v>659</v>
      </c>
      <c r="C435" s="4" t="s">
        <v>65</v>
      </c>
      <c r="D435" s="4" t="s">
        <v>74</v>
      </c>
      <c r="E435" s="4" t="s">
        <v>660</v>
      </c>
      <c r="F435" s="6">
        <v>5</v>
      </c>
      <c r="G435" s="7">
        <v>0</v>
      </c>
      <c r="H435" s="7">
        <v>0</v>
      </c>
      <c r="I435" s="7">
        <v>0</v>
      </c>
      <c r="J435" s="5">
        <v>5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5</v>
      </c>
      <c r="V435" s="7">
        <v>0</v>
      </c>
      <c r="W435" s="7">
        <v>0</v>
      </c>
      <c r="X435" s="7">
        <v>0</v>
      </c>
      <c r="Y435" s="5">
        <v>5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2.5</v>
      </c>
      <c r="AL435" s="5">
        <v>2</v>
      </c>
      <c r="AM435" s="5">
        <v>3</v>
      </c>
      <c r="AN435" s="28">
        <v>1.25</v>
      </c>
    </row>
    <row r="436">
      <c r="A436" s="24">
        <v>3814</v>
      </c>
      <c r="B436" s="9" t="s">
        <v>661</v>
      </c>
      <c r="C436" s="9" t="s">
        <v>65</v>
      </c>
      <c r="D436" s="9" t="s">
        <v>84</v>
      </c>
      <c r="E436" s="9" t="s">
        <v>662</v>
      </c>
      <c r="F436" s="11">
        <v>6</v>
      </c>
      <c r="G436" s="10">
        <v>4</v>
      </c>
      <c r="H436" s="10">
        <v>2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5</v>
      </c>
      <c r="V436" s="10">
        <v>3</v>
      </c>
      <c r="W436" s="10">
        <v>2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3</v>
      </c>
      <c r="AL436" s="10">
        <v>3</v>
      </c>
      <c r="AM436" s="10">
        <v>4</v>
      </c>
      <c r="AN436" s="30">
        <v>0</v>
      </c>
    </row>
    <row r="437">
      <c r="A437" s="23">
        <v>3836</v>
      </c>
      <c r="B437" s="4" t="s">
        <v>663</v>
      </c>
      <c r="C437" s="4" t="s">
        <v>65</v>
      </c>
      <c r="D437" s="4" t="s">
        <v>74</v>
      </c>
      <c r="E437" s="4" t="s">
        <v>75</v>
      </c>
      <c r="F437" s="6">
        <v>4</v>
      </c>
      <c r="G437" s="5">
        <v>1</v>
      </c>
      <c r="H437" s="7">
        <v>0</v>
      </c>
      <c r="I437" s="5">
        <v>2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4</v>
      </c>
      <c r="V437" s="5">
        <v>1</v>
      </c>
      <c r="W437" s="7">
        <v>0</v>
      </c>
      <c r="X437" s="5">
        <v>2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3839</v>
      </c>
      <c r="B438" s="9" t="s">
        <v>664</v>
      </c>
      <c r="C438" s="9" t="s">
        <v>65</v>
      </c>
      <c r="D438" s="9" t="s">
        <v>101</v>
      </c>
      <c r="E438" s="9" t="s">
        <v>102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0">
        <v>0</v>
      </c>
    </row>
    <row r="439">
      <c r="A439" s="23">
        <v>3847</v>
      </c>
      <c r="B439" s="4" t="s">
        <v>665</v>
      </c>
      <c r="C439" s="4" t="s">
        <v>65</v>
      </c>
      <c r="D439" s="4" t="s">
        <v>66</v>
      </c>
      <c r="E439" s="4" t="s">
        <v>69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0.26</v>
      </c>
    </row>
    <row r="440">
      <c r="A440" s="24">
        <v>3860</v>
      </c>
      <c r="B440" s="9" t="s">
        <v>666</v>
      </c>
      <c r="C440" s="9" t="s">
        <v>65</v>
      </c>
      <c r="D440" s="9" t="s">
        <v>111</v>
      </c>
      <c r="E440" s="9" t="s">
        <v>200</v>
      </c>
      <c r="F440" s="11">
        <v>4</v>
      </c>
      <c r="G440" s="12">
        <v>0</v>
      </c>
      <c r="H440" s="12">
        <v>0</v>
      </c>
      <c r="I440" s="12">
        <v>0</v>
      </c>
      <c r="J440" s="10">
        <v>4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3</v>
      </c>
      <c r="V440" s="12">
        <v>0</v>
      </c>
      <c r="W440" s="12">
        <v>0</v>
      </c>
      <c r="X440" s="12">
        <v>0</v>
      </c>
      <c r="Y440" s="10">
        <v>3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4</v>
      </c>
      <c r="AK440" s="13">
        <v>4</v>
      </c>
      <c r="AL440" s="10">
        <v>4</v>
      </c>
      <c r="AM440" s="10">
        <v>4</v>
      </c>
      <c r="AN440" s="29">
        <v>0.75</v>
      </c>
    </row>
    <row r="441">
      <c r="A441" s="23">
        <v>3863</v>
      </c>
      <c r="B441" s="4" t="s">
        <v>667</v>
      </c>
      <c r="C441" s="4" t="s">
        <v>65</v>
      </c>
      <c r="D441" s="4" t="s">
        <v>111</v>
      </c>
      <c r="E441" s="4" t="s">
        <v>200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3875</v>
      </c>
      <c r="B442" s="9" t="s">
        <v>668</v>
      </c>
      <c r="C442" s="9" t="s">
        <v>65</v>
      </c>
      <c r="D442" s="9" t="s">
        <v>111</v>
      </c>
      <c r="E442" s="9" t="s">
        <v>200</v>
      </c>
      <c r="F442" s="11">
        <v>4</v>
      </c>
      <c r="G442" s="12">
        <v>0</v>
      </c>
      <c r="H442" s="12">
        <v>0</v>
      </c>
      <c r="I442" s="12">
        <v>0</v>
      </c>
      <c r="J442" s="10">
        <v>4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4</v>
      </c>
      <c r="V442" s="12">
        <v>0</v>
      </c>
      <c r="W442" s="12">
        <v>0</v>
      </c>
      <c r="X442" s="12">
        <v>0</v>
      </c>
      <c r="Y442" s="10">
        <v>4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</v>
      </c>
      <c r="AL442" s="10">
        <v>2</v>
      </c>
      <c r="AM442" s="10">
        <v>3</v>
      </c>
      <c r="AN442" s="29">
        <v>1</v>
      </c>
    </row>
    <row r="443">
      <c r="A443" s="23">
        <v>3877</v>
      </c>
      <c r="B443" s="4" t="s">
        <v>669</v>
      </c>
      <c r="C443" s="4" t="s">
        <v>65</v>
      </c>
      <c r="D443" s="4" t="s">
        <v>111</v>
      </c>
      <c r="E443" s="4" t="s">
        <v>200</v>
      </c>
      <c r="F443" s="6">
        <v>1</v>
      </c>
      <c r="G443" s="7">
        <v>0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1</v>
      </c>
      <c r="V443" s="7">
        <v>0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0.24</v>
      </c>
    </row>
    <row r="444">
      <c r="A444" s="24">
        <v>3879</v>
      </c>
      <c r="B444" s="9" t="s">
        <v>670</v>
      </c>
      <c r="C444" s="9" t="s">
        <v>65</v>
      </c>
      <c r="D444" s="9" t="s">
        <v>111</v>
      </c>
      <c r="E444" s="9" t="s">
        <v>200</v>
      </c>
      <c r="F444" s="11">
        <v>3</v>
      </c>
      <c r="G444" s="12">
        <v>0</v>
      </c>
      <c r="H444" s="12">
        <v>0</v>
      </c>
      <c r="I444" s="12">
        <v>0</v>
      </c>
      <c r="J444" s="10">
        <v>3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2</v>
      </c>
      <c r="V444" s="12">
        <v>0</v>
      </c>
      <c r="W444" s="12">
        <v>0</v>
      </c>
      <c r="X444" s="12">
        <v>0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29">
        <v>0.5</v>
      </c>
    </row>
    <row r="445">
      <c r="A445" s="23">
        <v>3884</v>
      </c>
      <c r="B445" s="4" t="s">
        <v>671</v>
      </c>
      <c r="C445" s="4" t="s">
        <v>65</v>
      </c>
      <c r="D445" s="4" t="s">
        <v>111</v>
      </c>
      <c r="E445" s="4" t="s">
        <v>200</v>
      </c>
      <c r="F445" s="6">
        <v>1</v>
      </c>
      <c r="G445" s="7">
        <v>0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7">
        <v>0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0.22</v>
      </c>
    </row>
    <row r="446">
      <c r="A446" s="24">
        <v>3891</v>
      </c>
      <c r="B446" s="9" t="s">
        <v>672</v>
      </c>
      <c r="C446" s="9" t="s">
        <v>65</v>
      </c>
      <c r="D446" s="9" t="s">
        <v>111</v>
      </c>
      <c r="E446" s="9" t="s">
        <v>200</v>
      </c>
      <c r="F446" s="11">
        <v>2</v>
      </c>
      <c r="G446" s="12">
        <v>0</v>
      </c>
      <c r="H446" s="12">
        <v>0</v>
      </c>
      <c r="I446" s="12">
        <v>0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2</v>
      </c>
      <c r="V446" s="12">
        <v>0</v>
      </c>
      <c r="W446" s="12">
        <v>0</v>
      </c>
      <c r="X446" s="12">
        <v>0</v>
      </c>
      <c r="Y446" s="10">
        <v>2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0.5</v>
      </c>
    </row>
    <row r="447">
      <c r="A447" s="23">
        <v>3892</v>
      </c>
      <c r="B447" s="4" t="s">
        <v>673</v>
      </c>
      <c r="C447" s="4" t="s">
        <v>65</v>
      </c>
      <c r="D447" s="4" t="s">
        <v>101</v>
      </c>
      <c r="E447" s="4" t="s">
        <v>102</v>
      </c>
      <c r="F447" s="6">
        <v>3</v>
      </c>
      <c r="G447" s="5">
        <v>2</v>
      </c>
      <c r="H447" s="7">
        <v>0</v>
      </c>
      <c r="I447" s="7">
        <v>0</v>
      </c>
      <c r="J447" s="7">
        <v>0</v>
      </c>
      <c r="K447" s="5">
        <v>1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3</v>
      </c>
      <c r="V447" s="5">
        <v>2</v>
      </c>
      <c r="W447" s="7">
        <v>0</v>
      </c>
      <c r="X447" s="7">
        <v>0</v>
      </c>
      <c r="Y447" s="7">
        <v>0</v>
      </c>
      <c r="Z447" s="5">
        <v>1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0.32</v>
      </c>
    </row>
    <row r="448">
      <c r="A448" s="24">
        <v>3894</v>
      </c>
      <c r="B448" s="9" t="s">
        <v>674</v>
      </c>
      <c r="C448" s="9" t="s">
        <v>65</v>
      </c>
      <c r="D448" s="9" t="s">
        <v>111</v>
      </c>
      <c r="E448" s="9" t="s">
        <v>200</v>
      </c>
      <c r="F448" s="11">
        <v>1</v>
      </c>
      <c r="G448" s="12">
        <v>0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2">
        <v>0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0.25</v>
      </c>
    </row>
    <row r="449">
      <c r="A449" s="23">
        <v>3897</v>
      </c>
      <c r="B449" s="4" t="s">
        <v>675</v>
      </c>
      <c r="C449" s="4" t="s">
        <v>65</v>
      </c>
      <c r="D449" s="4" t="s">
        <v>111</v>
      </c>
      <c r="E449" s="4" t="s">
        <v>200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0.36</v>
      </c>
    </row>
    <row r="450">
      <c r="A450" s="24">
        <v>3901</v>
      </c>
      <c r="B450" s="9" t="s">
        <v>676</v>
      </c>
      <c r="C450" s="9" t="s">
        <v>65</v>
      </c>
      <c r="D450" s="9" t="s">
        <v>111</v>
      </c>
      <c r="E450" s="9" t="s">
        <v>200</v>
      </c>
      <c r="F450" s="11">
        <v>2</v>
      </c>
      <c r="G450" s="12">
        <v>0</v>
      </c>
      <c r="H450" s="12">
        <v>0</v>
      </c>
      <c r="I450" s="12">
        <v>0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2</v>
      </c>
      <c r="V450" s="12">
        <v>0</v>
      </c>
      <c r="W450" s="12">
        <v>0</v>
      </c>
      <c r="X450" s="12">
        <v>0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</v>
      </c>
      <c r="AL450" s="10">
        <v>2</v>
      </c>
      <c r="AM450" s="10">
        <v>2</v>
      </c>
      <c r="AN450" s="29">
        <v>0.5</v>
      </c>
    </row>
    <row r="451">
      <c r="A451" s="23">
        <v>3904</v>
      </c>
      <c r="B451" s="4" t="s">
        <v>677</v>
      </c>
      <c r="C451" s="4" t="s">
        <v>65</v>
      </c>
      <c r="D451" s="4" t="s">
        <v>111</v>
      </c>
      <c r="E451" s="4" t="s">
        <v>200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3918</v>
      </c>
      <c r="B452" s="9" t="s">
        <v>678</v>
      </c>
      <c r="C452" s="9" t="s">
        <v>65</v>
      </c>
      <c r="D452" s="9" t="s">
        <v>111</v>
      </c>
      <c r="E452" s="9" t="s">
        <v>200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30">
        <v>0</v>
      </c>
    </row>
    <row r="453">
      <c r="A453" s="23">
        <v>3920</v>
      </c>
      <c r="B453" s="4" t="s">
        <v>679</v>
      </c>
      <c r="C453" s="4" t="s">
        <v>65</v>
      </c>
      <c r="D453" s="4" t="s">
        <v>111</v>
      </c>
      <c r="E453" s="4" t="s">
        <v>200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0.26</v>
      </c>
    </row>
    <row r="454">
      <c r="A454" s="24">
        <v>3931</v>
      </c>
      <c r="B454" s="9" t="s">
        <v>680</v>
      </c>
      <c r="C454" s="9" t="s">
        <v>65</v>
      </c>
      <c r="D454" s="9" t="s">
        <v>111</v>
      </c>
      <c r="E454" s="9" t="s">
        <v>200</v>
      </c>
      <c r="F454" s="11">
        <v>2</v>
      </c>
      <c r="G454" s="12">
        <v>0</v>
      </c>
      <c r="H454" s="12">
        <v>0</v>
      </c>
      <c r="I454" s="12">
        <v>0</v>
      </c>
      <c r="J454" s="10">
        <v>2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2</v>
      </c>
      <c r="V454" s="12">
        <v>0</v>
      </c>
      <c r="W454" s="12">
        <v>0</v>
      </c>
      <c r="X454" s="12">
        <v>0</v>
      </c>
      <c r="Y454" s="10">
        <v>2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30">
        <v>0</v>
      </c>
    </row>
    <row r="455">
      <c r="A455" s="23">
        <v>3934</v>
      </c>
      <c r="B455" s="4" t="s">
        <v>681</v>
      </c>
      <c r="C455" s="4" t="s">
        <v>65</v>
      </c>
      <c r="D455" s="4" t="s">
        <v>111</v>
      </c>
      <c r="E455" s="4" t="s">
        <v>200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3941</v>
      </c>
      <c r="B456" s="9" t="s">
        <v>682</v>
      </c>
      <c r="C456" s="9" t="s">
        <v>65</v>
      </c>
      <c r="D456" s="9" t="s">
        <v>111</v>
      </c>
      <c r="E456" s="9" t="s">
        <v>200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0.25</v>
      </c>
    </row>
    <row r="457">
      <c r="A457" s="23">
        <v>3945</v>
      </c>
      <c r="B457" s="4" t="s">
        <v>683</v>
      </c>
      <c r="C457" s="4" t="s">
        <v>159</v>
      </c>
      <c r="D457" s="4" t="s">
        <v>172</v>
      </c>
      <c r="E457" s="4" t="s">
        <v>183</v>
      </c>
      <c r="F457" s="6">
        <v>4</v>
      </c>
      <c r="G457" s="5">
        <v>1</v>
      </c>
      <c r="H457" s="5">
        <v>2</v>
      </c>
      <c r="I457" s="7">
        <v>0</v>
      </c>
      <c r="J457" s="7">
        <v>0</v>
      </c>
      <c r="K457" s="5">
        <v>1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4</v>
      </c>
      <c r="V457" s="5">
        <v>1</v>
      </c>
      <c r="W457" s="5">
        <v>2</v>
      </c>
      <c r="X457" s="7">
        <v>0</v>
      </c>
      <c r="Y457" s="7">
        <v>0</v>
      </c>
      <c r="Z457" s="5">
        <v>1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1.33</v>
      </c>
      <c r="AL457" s="5">
        <v>1</v>
      </c>
      <c r="AM457" s="5">
        <v>2</v>
      </c>
      <c r="AN457" s="31">
        <v>0</v>
      </c>
    </row>
    <row r="458">
      <c r="A458" s="24">
        <v>3956</v>
      </c>
      <c r="B458" s="9" t="s">
        <v>684</v>
      </c>
      <c r="C458" s="9" t="s">
        <v>65</v>
      </c>
      <c r="D458" s="9" t="s">
        <v>74</v>
      </c>
      <c r="E458" s="9" t="s">
        <v>660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0">
        <v>0</v>
      </c>
    </row>
    <row r="459">
      <c r="A459" s="23">
        <v>3964</v>
      </c>
      <c r="B459" s="4" t="s">
        <v>685</v>
      </c>
      <c r="C459" s="4" t="s">
        <v>65</v>
      </c>
      <c r="D459" s="4" t="s">
        <v>71</v>
      </c>
      <c r="E459" s="4" t="s">
        <v>252</v>
      </c>
      <c r="F459" s="6">
        <v>2</v>
      </c>
      <c r="G459" s="5">
        <v>1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2</v>
      </c>
      <c r="V459" s="5">
        <v>1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0.25</v>
      </c>
    </row>
    <row r="460">
      <c r="A460" s="24">
        <v>3966</v>
      </c>
      <c r="B460" s="9" t="s">
        <v>686</v>
      </c>
      <c r="C460" s="9" t="s">
        <v>65</v>
      </c>
      <c r="D460" s="9" t="s">
        <v>111</v>
      </c>
      <c r="E460" s="9" t="s">
        <v>200</v>
      </c>
      <c r="F460" s="11">
        <v>1</v>
      </c>
      <c r="G460" s="12">
        <v>0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2">
        <v>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0.24</v>
      </c>
    </row>
    <row r="461">
      <c r="A461" s="23">
        <v>3970</v>
      </c>
      <c r="B461" s="4" t="s">
        <v>687</v>
      </c>
      <c r="C461" s="4" t="s">
        <v>135</v>
      </c>
      <c r="D461" s="4" t="s">
        <v>489</v>
      </c>
      <c r="E461" s="4" t="s">
        <v>635</v>
      </c>
      <c r="F461" s="6">
        <v>1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5">
        <v>1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5">
        <v>1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1">
        <v>0</v>
      </c>
    </row>
    <row r="462">
      <c r="A462" s="24">
        <v>3978</v>
      </c>
      <c r="B462" s="9" t="s">
        <v>688</v>
      </c>
      <c r="C462" s="9" t="s">
        <v>65</v>
      </c>
      <c r="D462" s="9" t="s">
        <v>111</v>
      </c>
      <c r="E462" s="9" t="s">
        <v>200</v>
      </c>
      <c r="F462" s="11">
        <v>2</v>
      </c>
      <c r="G462" s="12">
        <v>0</v>
      </c>
      <c r="H462" s="12">
        <v>0</v>
      </c>
      <c r="I462" s="12">
        <v>0</v>
      </c>
      <c r="J462" s="10">
        <v>2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2</v>
      </c>
      <c r="V462" s="12">
        <v>0</v>
      </c>
      <c r="W462" s="12">
        <v>0</v>
      </c>
      <c r="X462" s="12">
        <v>0</v>
      </c>
      <c r="Y462" s="10">
        <v>2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</v>
      </c>
      <c r="AL462" s="10">
        <v>2</v>
      </c>
      <c r="AM462" s="10">
        <v>2</v>
      </c>
      <c r="AN462" s="29">
        <v>0.5</v>
      </c>
    </row>
    <row r="463">
      <c r="A463" s="23">
        <v>3985</v>
      </c>
      <c r="B463" s="4" t="s">
        <v>689</v>
      </c>
      <c r="C463" s="4" t="s">
        <v>65</v>
      </c>
      <c r="D463" s="4" t="s">
        <v>71</v>
      </c>
      <c r="E463" s="4" t="s">
        <v>226</v>
      </c>
      <c r="F463" s="6">
        <v>1</v>
      </c>
      <c r="G463" s="7">
        <v>0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</v>
      </c>
      <c r="V463" s="7">
        <v>0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0.25</v>
      </c>
    </row>
    <row r="464">
      <c r="A464" s="24">
        <v>3991</v>
      </c>
      <c r="B464" s="9" t="s">
        <v>690</v>
      </c>
      <c r="C464" s="9" t="s">
        <v>65</v>
      </c>
      <c r="D464" s="9" t="s">
        <v>79</v>
      </c>
      <c r="E464" s="9" t="s">
        <v>80</v>
      </c>
      <c r="F464" s="11">
        <v>1</v>
      </c>
      <c r="G464" s="12">
        <v>0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</v>
      </c>
      <c r="V464" s="12">
        <v>0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0">
        <v>0</v>
      </c>
    </row>
    <row r="465">
      <c r="A465" s="23">
        <v>4032</v>
      </c>
      <c r="B465" s="4" t="s">
        <v>691</v>
      </c>
      <c r="C465" s="4" t="s">
        <v>65</v>
      </c>
      <c r="D465" s="4" t="s">
        <v>71</v>
      </c>
      <c r="E465" s="4" t="s">
        <v>198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1">
        <v>0</v>
      </c>
    </row>
    <row r="466">
      <c r="A466" s="24">
        <v>4040</v>
      </c>
      <c r="B466" s="9" t="s">
        <v>692</v>
      </c>
      <c r="C466" s="9" t="s">
        <v>65</v>
      </c>
      <c r="D466" s="9" t="s">
        <v>111</v>
      </c>
      <c r="E466" s="9" t="s">
        <v>200</v>
      </c>
      <c r="F466" s="11">
        <v>2</v>
      </c>
      <c r="G466" s="12">
        <v>0</v>
      </c>
      <c r="H466" s="12">
        <v>0</v>
      </c>
      <c r="I466" s="12">
        <v>0</v>
      </c>
      <c r="J466" s="10">
        <v>2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2</v>
      </c>
      <c r="V466" s="12">
        <v>0</v>
      </c>
      <c r="W466" s="12">
        <v>0</v>
      </c>
      <c r="X466" s="12">
        <v>0</v>
      </c>
      <c r="Y466" s="10">
        <v>2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</v>
      </c>
      <c r="AK466" s="13">
        <v>2</v>
      </c>
      <c r="AL466" s="10">
        <v>2</v>
      </c>
      <c r="AM466" s="10">
        <v>2</v>
      </c>
      <c r="AN466" s="29">
        <v>0.5</v>
      </c>
    </row>
    <row r="467">
      <c r="A467" s="23">
        <v>4054</v>
      </c>
      <c r="B467" s="4" t="s">
        <v>693</v>
      </c>
      <c r="C467" s="4" t="s">
        <v>65</v>
      </c>
      <c r="D467" s="4" t="s">
        <v>84</v>
      </c>
      <c r="E467" s="4" t="s">
        <v>147</v>
      </c>
      <c r="F467" s="6">
        <v>3</v>
      </c>
      <c r="G467" s="5">
        <v>2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3</v>
      </c>
      <c r="V467" s="5">
        <v>2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28">
        <v>0.25</v>
      </c>
    </row>
    <row r="468">
      <c r="A468" s="24">
        <v>4058</v>
      </c>
      <c r="B468" s="9" t="s">
        <v>694</v>
      </c>
      <c r="C468" s="9" t="s">
        <v>65</v>
      </c>
      <c r="D468" s="9" t="s">
        <v>111</v>
      </c>
      <c r="E468" s="9" t="s">
        <v>151</v>
      </c>
      <c r="F468" s="11">
        <v>1</v>
      </c>
      <c r="G468" s="12">
        <v>0</v>
      </c>
      <c r="H468" s="12">
        <v>0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2">
        <v>0</v>
      </c>
      <c r="W468" s="12">
        <v>0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0">
        <v>0</v>
      </c>
    </row>
    <row r="469">
      <c r="A469" s="23">
        <v>4059</v>
      </c>
      <c r="B469" s="4" t="s">
        <v>695</v>
      </c>
      <c r="C469" s="4" t="s">
        <v>135</v>
      </c>
      <c r="D469" s="4" t="s">
        <v>353</v>
      </c>
      <c r="E469" s="4" t="s">
        <v>354</v>
      </c>
      <c r="F469" s="6">
        <v>1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1">
        <v>0</v>
      </c>
    </row>
    <row r="470">
      <c r="A470" s="24">
        <v>4065</v>
      </c>
      <c r="B470" s="9" t="s">
        <v>696</v>
      </c>
      <c r="C470" s="9" t="s">
        <v>65</v>
      </c>
      <c r="D470" s="9" t="s">
        <v>79</v>
      </c>
      <c r="E470" s="9" t="s">
        <v>133</v>
      </c>
      <c r="F470" s="11">
        <v>1</v>
      </c>
      <c r="G470" s="10">
        <v>1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0">
        <v>0</v>
      </c>
    </row>
    <row r="471">
      <c r="A471" s="23">
        <v>4070</v>
      </c>
      <c r="B471" s="4" t="s">
        <v>697</v>
      </c>
      <c r="C471" s="4" t="s">
        <v>135</v>
      </c>
      <c r="D471" s="4" t="s">
        <v>698</v>
      </c>
      <c r="E471" s="4" t="s">
        <v>699</v>
      </c>
      <c r="F471" s="6">
        <v>1</v>
      </c>
      <c r="G471" s="7">
        <v>0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1</v>
      </c>
      <c r="V471" s="7">
        <v>0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0.25</v>
      </c>
    </row>
    <row r="472">
      <c r="A472" s="24">
        <v>4074</v>
      </c>
      <c r="B472" s="9" t="s">
        <v>700</v>
      </c>
      <c r="C472" s="9" t="s">
        <v>135</v>
      </c>
      <c r="D472" s="9" t="s">
        <v>489</v>
      </c>
      <c r="E472" s="9" t="s">
        <v>635</v>
      </c>
      <c r="F472" s="11">
        <v>1</v>
      </c>
      <c r="G472" s="12">
        <v>0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0.24</v>
      </c>
    </row>
    <row r="473">
      <c r="A473" s="23">
        <v>4076</v>
      </c>
      <c r="B473" s="4" t="s">
        <v>701</v>
      </c>
      <c r="C473" s="4" t="s">
        <v>65</v>
      </c>
      <c r="D473" s="4" t="s">
        <v>84</v>
      </c>
      <c r="E473" s="4" t="s">
        <v>147</v>
      </c>
      <c r="F473" s="6">
        <v>1</v>
      </c>
      <c r="G473" s="5">
        <v>1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5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1">
        <v>0</v>
      </c>
    </row>
    <row r="474">
      <c r="A474" s="24">
        <v>4079</v>
      </c>
      <c r="B474" s="9" t="s">
        <v>702</v>
      </c>
      <c r="C474" s="9" t="s">
        <v>65</v>
      </c>
      <c r="D474" s="9" t="s">
        <v>71</v>
      </c>
      <c r="E474" s="9" t="s">
        <v>202</v>
      </c>
      <c r="F474" s="11">
        <v>1</v>
      </c>
      <c r="G474" s="12">
        <v>0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2">
        <v>0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0.25</v>
      </c>
    </row>
    <row r="475">
      <c r="A475" s="23">
        <v>4082</v>
      </c>
      <c r="B475" s="4" t="s">
        <v>703</v>
      </c>
      <c r="C475" s="4" t="s">
        <v>65</v>
      </c>
      <c r="D475" s="4" t="s">
        <v>66</v>
      </c>
      <c r="E475" s="4" t="s">
        <v>69</v>
      </c>
      <c r="F475" s="6">
        <v>1</v>
      </c>
      <c r="G475" s="7">
        <v>0</v>
      </c>
      <c r="H475" s="7">
        <v>0</v>
      </c>
      <c r="I475" s="5">
        <v>1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</v>
      </c>
      <c r="V475" s="7">
        <v>0</v>
      </c>
      <c r="W475" s="7">
        <v>0</v>
      </c>
      <c r="X475" s="5">
        <v>1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1">
        <v>0</v>
      </c>
    </row>
    <row r="476">
      <c r="A476" s="24">
        <v>4109</v>
      </c>
      <c r="B476" s="9" t="s">
        <v>704</v>
      </c>
      <c r="C476" s="9" t="s">
        <v>65</v>
      </c>
      <c r="D476" s="9" t="s">
        <v>74</v>
      </c>
      <c r="E476" s="9" t="s">
        <v>75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0.35</v>
      </c>
    </row>
    <row r="477">
      <c r="A477" s="23">
        <v>4116</v>
      </c>
      <c r="B477" s="4" t="s">
        <v>705</v>
      </c>
      <c r="C477" s="4" t="s">
        <v>135</v>
      </c>
      <c r="D477" s="4" t="s">
        <v>402</v>
      </c>
      <c r="E477" s="4" t="s">
        <v>459</v>
      </c>
      <c r="F477" s="6">
        <v>2</v>
      </c>
      <c r="G477" s="7">
        <v>0</v>
      </c>
      <c r="H477" s="5">
        <v>1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2</v>
      </c>
      <c r="V477" s="7">
        <v>0</v>
      </c>
      <c r="W477" s="5">
        <v>1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0.63</v>
      </c>
    </row>
    <row r="478">
      <c r="A478" s="24">
        <v>4133</v>
      </c>
      <c r="B478" s="9" t="s">
        <v>706</v>
      </c>
      <c r="C478" s="9" t="s">
        <v>65</v>
      </c>
      <c r="D478" s="9" t="s">
        <v>74</v>
      </c>
      <c r="E478" s="9" t="s">
        <v>75</v>
      </c>
      <c r="F478" s="11">
        <v>5</v>
      </c>
      <c r="G478" s="10">
        <v>4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4</v>
      </c>
      <c r="V478" s="10">
        <v>3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2.5</v>
      </c>
      <c r="AL478" s="10">
        <v>2</v>
      </c>
      <c r="AM478" s="10">
        <v>4</v>
      </c>
      <c r="AN478" s="30">
        <v>0</v>
      </c>
    </row>
    <row r="479">
      <c r="A479" s="23">
        <v>4148</v>
      </c>
      <c r="B479" s="4" t="s">
        <v>707</v>
      </c>
      <c r="C479" s="4" t="s">
        <v>65</v>
      </c>
      <c r="D479" s="4" t="s">
        <v>74</v>
      </c>
      <c r="E479" s="4" t="s">
        <v>75</v>
      </c>
      <c r="F479" s="6">
        <v>3</v>
      </c>
      <c r="G479" s="5">
        <v>3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3</v>
      </c>
      <c r="V479" s="5">
        <v>3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3</v>
      </c>
      <c r="AK479" s="8">
        <v>3</v>
      </c>
      <c r="AL479" s="5">
        <v>3</v>
      </c>
      <c r="AM479" s="5">
        <v>3</v>
      </c>
      <c r="AN479" s="31">
        <v>0</v>
      </c>
    </row>
    <row r="480">
      <c r="A480" s="24">
        <v>4154</v>
      </c>
      <c r="B480" s="9" t="s">
        <v>708</v>
      </c>
      <c r="C480" s="9" t="s">
        <v>494</v>
      </c>
      <c r="D480" s="9" t="s">
        <v>709</v>
      </c>
      <c r="E480" s="9" t="s">
        <v>305</v>
      </c>
      <c r="F480" s="11">
        <v>3</v>
      </c>
      <c r="G480" s="12">
        <v>0</v>
      </c>
      <c r="H480" s="12">
        <v>0</v>
      </c>
      <c r="I480" s="10">
        <v>2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3</v>
      </c>
      <c r="V480" s="12">
        <v>0</v>
      </c>
      <c r="W480" s="12">
        <v>0</v>
      </c>
      <c r="X480" s="10">
        <v>2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1.5</v>
      </c>
      <c r="AL480" s="10">
        <v>1</v>
      </c>
      <c r="AM480" s="10">
        <v>2</v>
      </c>
      <c r="AN480" s="29">
        <v>0.26</v>
      </c>
    </row>
    <row r="481">
      <c r="A481" s="23">
        <v>4164</v>
      </c>
      <c r="B481" s="4" t="s">
        <v>710</v>
      </c>
      <c r="C481" s="4" t="s">
        <v>65</v>
      </c>
      <c r="D481" s="4" t="s">
        <v>120</v>
      </c>
      <c r="E481" s="4" t="s">
        <v>121</v>
      </c>
      <c r="F481" s="6">
        <v>1</v>
      </c>
      <c r="G481" s="7">
        <v>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0.25</v>
      </c>
    </row>
    <row r="482">
      <c r="A482" s="24">
        <v>4168</v>
      </c>
      <c r="B482" s="9" t="s">
        <v>711</v>
      </c>
      <c r="C482" s="9" t="s">
        <v>65</v>
      </c>
      <c r="D482" s="9" t="s">
        <v>79</v>
      </c>
      <c r="E482" s="9" t="s">
        <v>96</v>
      </c>
      <c r="F482" s="11">
        <v>2</v>
      </c>
      <c r="G482" s="10">
        <v>1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2</v>
      </c>
      <c r="V482" s="10">
        <v>1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4175</v>
      </c>
      <c r="B483" s="4" t="s">
        <v>712</v>
      </c>
      <c r="C483" s="4" t="s">
        <v>65</v>
      </c>
      <c r="D483" s="4" t="s">
        <v>79</v>
      </c>
      <c r="E483" s="4" t="s">
        <v>141</v>
      </c>
      <c r="F483" s="6">
        <v>3</v>
      </c>
      <c r="G483" s="5">
        <v>2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3</v>
      </c>
      <c r="V483" s="5">
        <v>2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2</v>
      </c>
      <c r="AN483" s="31">
        <v>0</v>
      </c>
    </row>
    <row r="484">
      <c r="A484" s="24">
        <v>4182</v>
      </c>
      <c r="B484" s="9" t="s">
        <v>713</v>
      </c>
      <c r="C484" s="9" t="s">
        <v>65</v>
      </c>
      <c r="D484" s="9" t="s">
        <v>79</v>
      </c>
      <c r="E484" s="9" t="s">
        <v>96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30">
        <v>0</v>
      </c>
    </row>
    <row r="485">
      <c r="A485" s="23">
        <v>4191</v>
      </c>
      <c r="B485" s="4" t="s">
        <v>714</v>
      </c>
      <c r="C485" s="4" t="s">
        <v>135</v>
      </c>
      <c r="D485" s="4" t="s">
        <v>353</v>
      </c>
      <c r="E485" s="4" t="s">
        <v>354</v>
      </c>
      <c r="F485" s="6">
        <v>12</v>
      </c>
      <c r="G485" s="7">
        <v>0</v>
      </c>
      <c r="H485" s="7">
        <v>0</v>
      </c>
      <c r="I485" s="7">
        <v>0</v>
      </c>
      <c r="J485" s="5">
        <v>12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12</v>
      </c>
      <c r="V485" s="7">
        <v>0</v>
      </c>
      <c r="W485" s="7">
        <v>0</v>
      </c>
      <c r="X485" s="7">
        <v>0</v>
      </c>
      <c r="Y485" s="5">
        <v>12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12</v>
      </c>
      <c r="AK485" s="8">
        <v>12</v>
      </c>
      <c r="AL485" s="5">
        <v>12</v>
      </c>
      <c r="AM485" s="5">
        <v>12</v>
      </c>
      <c r="AN485" s="28">
        <v>3.12</v>
      </c>
    </row>
    <row r="486">
      <c r="A486" s="24">
        <v>4199</v>
      </c>
      <c r="B486" s="9" t="s">
        <v>715</v>
      </c>
      <c r="C486" s="9" t="s">
        <v>573</v>
      </c>
      <c r="D486" s="9" t="s">
        <v>716</v>
      </c>
      <c r="E486" s="9" t="s">
        <v>305</v>
      </c>
      <c r="F486" s="11">
        <v>2</v>
      </c>
      <c r="G486" s="12">
        <v>0</v>
      </c>
      <c r="H486" s="12">
        <v>0</v>
      </c>
      <c r="I486" s="12">
        <v>0</v>
      </c>
      <c r="J486" s="10">
        <v>2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2</v>
      </c>
      <c r="V486" s="12">
        <v>0</v>
      </c>
      <c r="W486" s="12">
        <v>0</v>
      </c>
      <c r="X486" s="12">
        <v>0</v>
      </c>
      <c r="Y486" s="10">
        <v>2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0.5</v>
      </c>
    </row>
    <row r="487">
      <c r="A487" s="23">
        <v>4207</v>
      </c>
      <c r="B487" s="4" t="s">
        <v>717</v>
      </c>
      <c r="C487" s="4" t="s">
        <v>65</v>
      </c>
      <c r="D487" s="4" t="s">
        <v>79</v>
      </c>
      <c r="E487" s="4" t="s">
        <v>141</v>
      </c>
      <c r="F487" s="6">
        <v>4</v>
      </c>
      <c r="G487" s="5">
        <v>1</v>
      </c>
      <c r="H487" s="7">
        <v>0</v>
      </c>
      <c r="I487" s="5">
        <v>1</v>
      </c>
      <c r="J487" s="5">
        <v>2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4</v>
      </c>
      <c r="V487" s="5">
        <v>1</v>
      </c>
      <c r="W487" s="7">
        <v>0</v>
      </c>
      <c r="X487" s="5">
        <v>1</v>
      </c>
      <c r="Y487" s="5">
        <v>2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1.33</v>
      </c>
      <c r="AL487" s="5">
        <v>1</v>
      </c>
      <c r="AM487" s="5">
        <v>2</v>
      </c>
      <c r="AN487" s="28">
        <v>1.04</v>
      </c>
    </row>
    <row r="488">
      <c r="A488" s="24">
        <v>4208</v>
      </c>
      <c r="B488" s="9" t="s">
        <v>718</v>
      </c>
      <c r="C488" s="9" t="s">
        <v>65</v>
      </c>
      <c r="D488" s="9" t="s">
        <v>79</v>
      </c>
      <c r="E488" s="9" t="s">
        <v>141</v>
      </c>
      <c r="F488" s="11">
        <v>2</v>
      </c>
      <c r="G488" s="10">
        <v>2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2</v>
      </c>
      <c r="V488" s="10">
        <v>2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0.24</v>
      </c>
    </row>
    <row r="489">
      <c r="A489" s="23">
        <v>4209</v>
      </c>
      <c r="B489" s="4" t="s">
        <v>719</v>
      </c>
      <c r="C489" s="4" t="s">
        <v>65</v>
      </c>
      <c r="D489" s="4" t="s">
        <v>79</v>
      </c>
      <c r="E489" s="4" t="s">
        <v>96</v>
      </c>
      <c r="F489" s="6">
        <v>2</v>
      </c>
      <c r="G489" s="7">
        <v>0</v>
      </c>
      <c r="H489" s="5">
        <v>1</v>
      </c>
      <c r="I489" s="5">
        <v>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2</v>
      </c>
      <c r="V489" s="7">
        <v>0</v>
      </c>
      <c r="W489" s="5">
        <v>1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1">
        <v>0</v>
      </c>
    </row>
    <row r="490">
      <c r="A490" s="24">
        <v>4213</v>
      </c>
      <c r="B490" s="9" t="s">
        <v>720</v>
      </c>
      <c r="C490" s="9" t="s">
        <v>573</v>
      </c>
      <c r="D490" s="9" t="s">
        <v>721</v>
      </c>
      <c r="E490" s="9" t="s">
        <v>305</v>
      </c>
      <c r="F490" s="11">
        <v>1</v>
      </c>
      <c r="G490" s="12">
        <v>0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2">
        <v>0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0.26</v>
      </c>
    </row>
    <row r="491">
      <c r="A491" s="23">
        <v>4232</v>
      </c>
      <c r="B491" s="4" t="s">
        <v>722</v>
      </c>
      <c r="C491" s="4" t="s">
        <v>65</v>
      </c>
      <c r="D491" s="4" t="s">
        <v>71</v>
      </c>
      <c r="E491" s="4" t="s">
        <v>116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4243</v>
      </c>
      <c r="B492" s="9" t="s">
        <v>723</v>
      </c>
      <c r="C492" s="9" t="s">
        <v>65</v>
      </c>
      <c r="D492" s="9" t="s">
        <v>74</v>
      </c>
      <c r="E492" s="9" t="s">
        <v>75</v>
      </c>
      <c r="F492" s="11">
        <v>2</v>
      </c>
      <c r="G492" s="10">
        <v>1</v>
      </c>
      <c r="H492" s="12">
        <v>0</v>
      </c>
      <c r="I492" s="10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2</v>
      </c>
      <c r="V492" s="10">
        <v>1</v>
      </c>
      <c r="W492" s="12">
        <v>0</v>
      </c>
      <c r="X492" s="10">
        <v>1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30">
        <v>0</v>
      </c>
    </row>
    <row r="493">
      <c r="A493" s="23">
        <v>4251</v>
      </c>
      <c r="B493" s="4" t="s">
        <v>724</v>
      </c>
      <c r="C493" s="4" t="s">
        <v>135</v>
      </c>
      <c r="D493" s="4" t="s">
        <v>323</v>
      </c>
      <c r="E493" s="4" t="s">
        <v>331</v>
      </c>
      <c r="F493" s="6">
        <v>2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5">
        <v>1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2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5">
        <v>1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1">
        <v>0</v>
      </c>
    </row>
    <row r="494">
      <c r="A494" s="24">
        <v>4254</v>
      </c>
      <c r="B494" s="9" t="s">
        <v>725</v>
      </c>
      <c r="C494" s="9" t="s">
        <v>135</v>
      </c>
      <c r="D494" s="9" t="s">
        <v>323</v>
      </c>
      <c r="E494" s="9" t="s">
        <v>333</v>
      </c>
      <c r="F494" s="11">
        <v>2</v>
      </c>
      <c r="G494" s="10">
        <v>1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2</v>
      </c>
      <c r="V494" s="10">
        <v>1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0.22</v>
      </c>
    </row>
    <row r="495">
      <c r="A495" s="23">
        <v>4264</v>
      </c>
      <c r="B495" s="4" t="s">
        <v>726</v>
      </c>
      <c r="C495" s="4" t="s">
        <v>135</v>
      </c>
      <c r="D495" s="4" t="s">
        <v>375</v>
      </c>
      <c r="E495" s="4" t="s">
        <v>727</v>
      </c>
      <c r="F495" s="6">
        <v>1</v>
      </c>
      <c r="G495" s="7">
        <v>0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7">
        <v>0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0.17</v>
      </c>
    </row>
    <row r="496">
      <c r="A496" s="24">
        <v>4281</v>
      </c>
      <c r="B496" s="9" t="s">
        <v>728</v>
      </c>
      <c r="C496" s="9" t="s">
        <v>65</v>
      </c>
      <c r="D496" s="9" t="s">
        <v>79</v>
      </c>
      <c r="E496" s="9" t="s">
        <v>80</v>
      </c>
      <c r="F496" s="11">
        <v>2</v>
      </c>
      <c r="G496" s="12">
        <v>0</v>
      </c>
      <c r="H496" s="12">
        <v>0</v>
      </c>
      <c r="I496" s="10">
        <v>2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2</v>
      </c>
      <c r="V496" s="12">
        <v>0</v>
      </c>
      <c r="W496" s="12">
        <v>0</v>
      </c>
      <c r="X496" s="10">
        <v>2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</v>
      </c>
      <c r="AL496" s="10">
        <v>2</v>
      </c>
      <c r="AM496" s="10">
        <v>2</v>
      </c>
      <c r="AN496" s="29">
        <v>0.44</v>
      </c>
    </row>
    <row r="497">
      <c r="A497" s="23">
        <v>4283</v>
      </c>
      <c r="B497" s="4" t="s">
        <v>729</v>
      </c>
      <c r="C497" s="4" t="s">
        <v>135</v>
      </c>
      <c r="D497" s="4" t="s">
        <v>375</v>
      </c>
      <c r="E497" s="4" t="s">
        <v>376</v>
      </c>
      <c r="F497" s="6">
        <v>2</v>
      </c>
      <c r="G497" s="7">
        <v>0</v>
      </c>
      <c r="H497" s="7">
        <v>0</v>
      </c>
      <c r="I497" s="5">
        <v>1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2</v>
      </c>
      <c r="V497" s="7">
        <v>0</v>
      </c>
      <c r="W497" s="7">
        <v>0</v>
      </c>
      <c r="X497" s="5">
        <v>1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4291</v>
      </c>
      <c r="B498" s="9" t="s">
        <v>730</v>
      </c>
      <c r="C498" s="9" t="s">
        <v>65</v>
      </c>
      <c r="D498" s="9" t="s">
        <v>127</v>
      </c>
      <c r="E498" s="9" t="s">
        <v>731</v>
      </c>
      <c r="F498" s="11">
        <v>2</v>
      </c>
      <c r="G498" s="12">
        <v>0</v>
      </c>
      <c r="H498" s="12">
        <v>0</v>
      </c>
      <c r="I498" s="12">
        <v>0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2</v>
      </c>
      <c r="V498" s="12">
        <v>0</v>
      </c>
      <c r="W498" s="12">
        <v>0</v>
      </c>
      <c r="X498" s="12">
        <v>0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29">
        <v>0.5</v>
      </c>
    </row>
    <row r="499">
      <c r="A499" s="23">
        <v>4293</v>
      </c>
      <c r="B499" s="4" t="s">
        <v>732</v>
      </c>
      <c r="C499" s="4" t="s">
        <v>65</v>
      </c>
      <c r="D499" s="4" t="s">
        <v>111</v>
      </c>
      <c r="E499" s="4" t="s">
        <v>188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1">
        <v>0</v>
      </c>
    </row>
    <row r="500">
      <c r="A500" s="24">
        <v>4308</v>
      </c>
      <c r="B500" s="9" t="s">
        <v>733</v>
      </c>
      <c r="C500" s="9" t="s">
        <v>65</v>
      </c>
      <c r="D500" s="9" t="s">
        <v>66</v>
      </c>
      <c r="E500" s="9" t="s">
        <v>734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0">
        <v>0</v>
      </c>
    </row>
    <row r="501">
      <c r="A501" s="23">
        <v>4310</v>
      </c>
      <c r="B501" s="4" t="s">
        <v>735</v>
      </c>
      <c r="C501" s="4" t="s">
        <v>65</v>
      </c>
      <c r="D501" s="4" t="s">
        <v>74</v>
      </c>
      <c r="E501" s="4" t="s">
        <v>118</v>
      </c>
      <c r="F501" s="6">
        <v>1</v>
      </c>
      <c r="G501" s="7">
        <v>0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7">
        <v>0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0.26</v>
      </c>
    </row>
    <row r="502">
      <c r="A502" s="24">
        <v>4323</v>
      </c>
      <c r="B502" s="9" t="s">
        <v>736</v>
      </c>
      <c r="C502" s="9" t="s">
        <v>65</v>
      </c>
      <c r="D502" s="9" t="s">
        <v>79</v>
      </c>
      <c r="E502" s="9" t="s">
        <v>390</v>
      </c>
      <c r="F502" s="11">
        <v>2</v>
      </c>
      <c r="G502" s="12">
        <v>0</v>
      </c>
      <c r="H502" s="12">
        <v>0</v>
      </c>
      <c r="I502" s="10">
        <v>2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2</v>
      </c>
      <c r="V502" s="12">
        <v>0</v>
      </c>
      <c r="W502" s="12">
        <v>0</v>
      </c>
      <c r="X502" s="10">
        <v>2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2</v>
      </c>
      <c r="AL502" s="10">
        <v>2</v>
      </c>
      <c r="AM502" s="10">
        <v>2</v>
      </c>
      <c r="AN502" s="30">
        <v>0</v>
      </c>
    </row>
    <row r="503">
      <c r="A503" s="23">
        <v>4334</v>
      </c>
      <c r="B503" s="4" t="s">
        <v>737</v>
      </c>
      <c r="C503" s="4" t="s">
        <v>65</v>
      </c>
      <c r="D503" s="4" t="s">
        <v>79</v>
      </c>
      <c r="E503" s="4" t="s">
        <v>390</v>
      </c>
      <c r="F503" s="6">
        <v>1</v>
      </c>
      <c r="G503" s="7">
        <v>0</v>
      </c>
      <c r="H503" s="7">
        <v>0</v>
      </c>
      <c r="I503" s="5">
        <v>1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7">
        <v>0</v>
      </c>
      <c r="W503" s="7">
        <v>0</v>
      </c>
      <c r="X503" s="5">
        <v>1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0.24</v>
      </c>
    </row>
    <row r="504">
      <c r="A504" s="24">
        <v>4337</v>
      </c>
      <c r="B504" s="9" t="s">
        <v>738</v>
      </c>
      <c r="C504" s="9" t="s">
        <v>135</v>
      </c>
      <c r="D504" s="9" t="s">
        <v>323</v>
      </c>
      <c r="E504" s="9" t="s">
        <v>619</v>
      </c>
      <c r="F504" s="11">
        <v>1</v>
      </c>
      <c r="G504" s="12">
        <v>0</v>
      </c>
      <c r="H504" s="12">
        <v>0</v>
      </c>
      <c r="I504" s="10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2">
        <v>0</v>
      </c>
      <c r="W504" s="12">
        <v>0</v>
      </c>
      <c r="X504" s="10">
        <v>1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0">
        <v>0</v>
      </c>
    </row>
    <row r="505">
      <c r="A505" s="23">
        <v>4345</v>
      </c>
      <c r="B505" s="4" t="s">
        <v>739</v>
      </c>
      <c r="C505" s="4" t="s">
        <v>135</v>
      </c>
      <c r="D505" s="4" t="s">
        <v>375</v>
      </c>
      <c r="E505" s="4" t="s">
        <v>376</v>
      </c>
      <c r="F505" s="6">
        <v>2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5">
        <v>2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2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5">
        <v>2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</v>
      </c>
      <c r="AL505" s="5">
        <v>2</v>
      </c>
      <c r="AM505" s="5">
        <v>2</v>
      </c>
      <c r="AN505" s="31">
        <v>0</v>
      </c>
    </row>
    <row r="506">
      <c r="A506" s="24">
        <v>4401</v>
      </c>
      <c r="B506" s="9" t="s">
        <v>740</v>
      </c>
      <c r="C506" s="9" t="s">
        <v>494</v>
      </c>
      <c r="D506" s="9" t="s">
        <v>741</v>
      </c>
      <c r="E506" s="9" t="s">
        <v>305</v>
      </c>
      <c r="F506" s="11">
        <v>1</v>
      </c>
      <c r="G506" s="12">
        <v>0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2">
        <v>0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4402</v>
      </c>
      <c r="B507" s="4" t="s">
        <v>742</v>
      </c>
      <c r="C507" s="4" t="s">
        <v>159</v>
      </c>
      <c r="D507" s="4" t="s">
        <v>533</v>
      </c>
      <c r="E507" s="4" t="s">
        <v>743</v>
      </c>
      <c r="F507" s="6">
        <v>2</v>
      </c>
      <c r="G507" s="5">
        <v>1</v>
      </c>
      <c r="H507" s="7">
        <v>0</v>
      </c>
      <c r="I507" s="7">
        <v>0</v>
      </c>
      <c r="J507" s="7">
        <v>0</v>
      </c>
      <c r="K507" s="5">
        <v>1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2</v>
      </c>
      <c r="V507" s="5">
        <v>1</v>
      </c>
      <c r="W507" s="7">
        <v>0</v>
      </c>
      <c r="X507" s="7">
        <v>0</v>
      </c>
      <c r="Y507" s="7">
        <v>0</v>
      </c>
      <c r="Z507" s="5">
        <v>1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1">
        <v>0</v>
      </c>
    </row>
    <row r="508">
      <c r="A508" s="24">
        <v>4411</v>
      </c>
      <c r="B508" s="9" t="s">
        <v>744</v>
      </c>
      <c r="C508" s="9" t="s">
        <v>135</v>
      </c>
      <c r="D508" s="9" t="s">
        <v>745</v>
      </c>
      <c r="E508" s="9" t="s">
        <v>305</v>
      </c>
      <c r="F508" s="11">
        <v>6</v>
      </c>
      <c r="G508" s="10">
        <v>1</v>
      </c>
      <c r="H508" s="12">
        <v>0</v>
      </c>
      <c r="I508" s="10">
        <v>1</v>
      </c>
      <c r="J508" s="10">
        <v>4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6</v>
      </c>
      <c r="V508" s="10">
        <v>1</v>
      </c>
      <c r="W508" s="12">
        <v>0</v>
      </c>
      <c r="X508" s="10">
        <v>1</v>
      </c>
      <c r="Y508" s="10">
        <v>4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1.5</v>
      </c>
      <c r="AL508" s="10">
        <v>1</v>
      </c>
      <c r="AM508" s="10">
        <v>3</v>
      </c>
      <c r="AN508" s="29">
        <v>1.3</v>
      </c>
    </row>
    <row r="509">
      <c r="A509" s="23">
        <v>4418</v>
      </c>
      <c r="B509" s="4" t="s">
        <v>746</v>
      </c>
      <c r="C509" s="4" t="s">
        <v>65</v>
      </c>
      <c r="D509" s="4" t="s">
        <v>74</v>
      </c>
      <c r="E509" s="4" t="s">
        <v>75</v>
      </c>
      <c r="F509" s="6">
        <v>1</v>
      </c>
      <c r="G509" s="7">
        <v>0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7">
        <v>0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1">
        <v>0</v>
      </c>
    </row>
    <row r="510">
      <c r="A510" s="24">
        <v>4434</v>
      </c>
      <c r="B510" s="9" t="s">
        <v>747</v>
      </c>
      <c r="C510" s="9" t="s">
        <v>159</v>
      </c>
      <c r="D510" s="9" t="s">
        <v>748</v>
      </c>
      <c r="E510" s="9" t="s">
        <v>749</v>
      </c>
      <c r="F510" s="11">
        <v>3</v>
      </c>
      <c r="G510" s="12">
        <v>0</v>
      </c>
      <c r="H510" s="12">
        <v>0</v>
      </c>
      <c r="I510" s="10">
        <v>1</v>
      </c>
      <c r="J510" s="10">
        <v>1</v>
      </c>
      <c r="K510" s="10">
        <v>1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3</v>
      </c>
      <c r="V510" s="12">
        <v>0</v>
      </c>
      <c r="W510" s="12">
        <v>0</v>
      </c>
      <c r="X510" s="10">
        <v>1</v>
      </c>
      <c r="Y510" s="10">
        <v>1</v>
      </c>
      <c r="Z510" s="10">
        <v>1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30">
        <v>0</v>
      </c>
    </row>
    <row r="511">
      <c r="A511" s="23">
        <v>4438</v>
      </c>
      <c r="B511" s="4" t="s">
        <v>750</v>
      </c>
      <c r="C511" s="4" t="s">
        <v>65</v>
      </c>
      <c r="D511" s="4" t="s">
        <v>79</v>
      </c>
      <c r="E511" s="4" t="s">
        <v>80</v>
      </c>
      <c r="F511" s="6">
        <v>2</v>
      </c>
      <c r="G511" s="7">
        <v>0</v>
      </c>
      <c r="H511" s="7">
        <v>0</v>
      </c>
      <c r="I511" s="7">
        <v>0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2</v>
      </c>
      <c r="V511" s="7">
        <v>0</v>
      </c>
      <c r="W511" s="7">
        <v>0</v>
      </c>
      <c r="X511" s="7">
        <v>0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28">
        <v>0.52</v>
      </c>
    </row>
    <row r="512">
      <c r="A512" s="24">
        <v>4449</v>
      </c>
      <c r="B512" s="9" t="s">
        <v>751</v>
      </c>
      <c r="C512" s="9" t="s">
        <v>65</v>
      </c>
      <c r="D512" s="9" t="s">
        <v>74</v>
      </c>
      <c r="E512" s="9" t="s">
        <v>366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0">
        <v>0</v>
      </c>
    </row>
    <row r="513">
      <c r="A513" s="23">
        <v>4457</v>
      </c>
      <c r="B513" s="4" t="s">
        <v>752</v>
      </c>
      <c r="C513" s="4" t="s">
        <v>159</v>
      </c>
      <c r="D513" s="4" t="s">
        <v>160</v>
      </c>
      <c r="E513" s="4" t="s">
        <v>170</v>
      </c>
      <c r="F513" s="6">
        <v>4</v>
      </c>
      <c r="G513" s="7">
        <v>0</v>
      </c>
      <c r="H513" s="5">
        <v>1</v>
      </c>
      <c r="I513" s="5">
        <v>3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4</v>
      </c>
      <c r="V513" s="7">
        <v>0</v>
      </c>
      <c r="W513" s="5">
        <v>1</v>
      </c>
      <c r="X513" s="5">
        <v>3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1.33</v>
      </c>
      <c r="AL513" s="5">
        <v>1</v>
      </c>
      <c r="AM513" s="5">
        <v>2</v>
      </c>
      <c r="AN513" s="28">
        <v>0.22</v>
      </c>
    </row>
    <row r="514">
      <c r="A514" s="24">
        <v>4458</v>
      </c>
      <c r="B514" s="9" t="s">
        <v>753</v>
      </c>
      <c r="C514" s="9" t="s">
        <v>65</v>
      </c>
      <c r="D514" s="9" t="s">
        <v>127</v>
      </c>
      <c r="E514" s="9" t="s">
        <v>128</v>
      </c>
      <c r="F514" s="11">
        <v>2</v>
      </c>
      <c r="G514" s="10">
        <v>1</v>
      </c>
      <c r="H514" s="12">
        <v>0</v>
      </c>
      <c r="I514" s="10">
        <v>1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</v>
      </c>
      <c r="V514" s="10">
        <v>1</v>
      </c>
      <c r="W514" s="12">
        <v>0</v>
      </c>
      <c r="X514" s="10">
        <v>1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30">
        <v>0</v>
      </c>
    </row>
    <row r="515">
      <c r="A515" s="23">
        <v>4467</v>
      </c>
      <c r="B515" s="4" t="s">
        <v>754</v>
      </c>
      <c r="C515" s="4" t="s">
        <v>65</v>
      </c>
      <c r="D515" s="4" t="s">
        <v>111</v>
      </c>
      <c r="E515" s="4" t="s">
        <v>755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0.25</v>
      </c>
    </row>
    <row r="516">
      <c r="A516" s="24">
        <v>4476</v>
      </c>
      <c r="B516" s="9" t="s">
        <v>756</v>
      </c>
      <c r="C516" s="9" t="s">
        <v>65</v>
      </c>
      <c r="D516" s="9" t="s">
        <v>71</v>
      </c>
      <c r="E516" s="9" t="s">
        <v>116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0">
        <v>0</v>
      </c>
    </row>
    <row r="517">
      <c r="A517" s="23">
        <v>4477</v>
      </c>
      <c r="B517" s="4" t="s">
        <v>757</v>
      </c>
      <c r="C517" s="4" t="s">
        <v>135</v>
      </c>
      <c r="D517" s="4" t="s">
        <v>381</v>
      </c>
      <c r="E517" s="4" t="s">
        <v>382</v>
      </c>
      <c r="F517" s="6">
        <v>1</v>
      </c>
      <c r="G517" s="7">
        <v>0</v>
      </c>
      <c r="H517" s="5">
        <v>1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</v>
      </c>
      <c r="V517" s="7">
        <v>0</v>
      </c>
      <c r="W517" s="5">
        <v>1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0.34</v>
      </c>
    </row>
    <row r="518">
      <c r="A518" s="24">
        <v>4481</v>
      </c>
      <c r="B518" s="9" t="s">
        <v>758</v>
      </c>
      <c r="C518" s="9" t="s">
        <v>135</v>
      </c>
      <c r="D518" s="9" t="s">
        <v>353</v>
      </c>
      <c r="E518" s="9" t="s">
        <v>354</v>
      </c>
      <c r="F518" s="11">
        <v>1</v>
      </c>
      <c r="G518" s="12">
        <v>0</v>
      </c>
      <c r="H518" s="10">
        <v>1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2">
        <v>0</v>
      </c>
      <c r="W518" s="10">
        <v>1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0.25</v>
      </c>
    </row>
    <row r="519">
      <c r="A519" s="23">
        <v>4484</v>
      </c>
      <c r="B519" s="4" t="s">
        <v>759</v>
      </c>
      <c r="C519" s="4" t="s">
        <v>159</v>
      </c>
      <c r="D519" s="4" t="s">
        <v>172</v>
      </c>
      <c r="E519" s="4" t="s">
        <v>181</v>
      </c>
      <c r="F519" s="6">
        <v>3</v>
      </c>
      <c r="G519" s="5">
        <v>2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3</v>
      </c>
      <c r="V519" s="5">
        <v>2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2</v>
      </c>
      <c r="AN519" s="31">
        <v>0</v>
      </c>
    </row>
    <row r="520">
      <c r="A520" s="24">
        <v>4500</v>
      </c>
      <c r="B520" s="9" t="s">
        <v>760</v>
      </c>
      <c r="C520" s="9" t="s">
        <v>135</v>
      </c>
      <c r="D520" s="9" t="s">
        <v>375</v>
      </c>
      <c r="E520" s="9" t="s">
        <v>457</v>
      </c>
      <c r="F520" s="11">
        <v>1</v>
      </c>
      <c r="G520" s="12">
        <v>0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</v>
      </c>
      <c r="V520" s="12">
        <v>0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30">
        <v>0</v>
      </c>
    </row>
    <row r="521">
      <c r="A521" s="23">
        <v>4505</v>
      </c>
      <c r="B521" s="4" t="s">
        <v>761</v>
      </c>
      <c r="C521" s="4" t="s">
        <v>494</v>
      </c>
      <c r="D521" s="4" t="s">
        <v>709</v>
      </c>
      <c r="E521" s="4" t="s">
        <v>305</v>
      </c>
      <c r="F521" s="6">
        <v>1</v>
      </c>
      <c r="G521" s="7">
        <v>0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1</v>
      </c>
      <c r="V521" s="7">
        <v>0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0.26</v>
      </c>
    </row>
    <row r="522">
      <c r="A522" s="24">
        <v>4512</v>
      </c>
      <c r="B522" s="9" t="s">
        <v>762</v>
      </c>
      <c r="C522" s="9" t="s">
        <v>135</v>
      </c>
      <c r="D522" s="9" t="s">
        <v>402</v>
      </c>
      <c r="E522" s="9" t="s">
        <v>459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0.25</v>
      </c>
    </row>
    <row r="523">
      <c r="A523" s="23">
        <v>4516</v>
      </c>
      <c r="B523" s="4" t="s">
        <v>763</v>
      </c>
      <c r="C523" s="4" t="s">
        <v>65</v>
      </c>
      <c r="D523" s="4" t="s">
        <v>111</v>
      </c>
      <c r="E523" s="4" t="s">
        <v>188</v>
      </c>
      <c r="F523" s="6">
        <v>1</v>
      </c>
      <c r="G523" s="7">
        <v>0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1</v>
      </c>
      <c r="V523" s="7">
        <v>0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0.25</v>
      </c>
    </row>
    <row r="524">
      <c r="A524" s="24">
        <v>4522</v>
      </c>
      <c r="B524" s="9" t="s">
        <v>764</v>
      </c>
      <c r="C524" s="9" t="s">
        <v>494</v>
      </c>
      <c r="D524" s="9" t="s">
        <v>765</v>
      </c>
      <c r="E524" s="9" t="s">
        <v>305</v>
      </c>
      <c r="F524" s="11">
        <v>1</v>
      </c>
      <c r="G524" s="12">
        <v>0</v>
      </c>
      <c r="H524" s="12">
        <v>0</v>
      </c>
      <c r="I524" s="10">
        <v>1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</v>
      </c>
      <c r="V524" s="12">
        <v>0</v>
      </c>
      <c r="W524" s="12">
        <v>0</v>
      </c>
      <c r="X524" s="10">
        <v>1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0.26</v>
      </c>
    </row>
    <row r="525">
      <c r="A525" s="23">
        <v>4529</v>
      </c>
      <c r="B525" s="4" t="s">
        <v>766</v>
      </c>
      <c r="C525" s="4" t="s">
        <v>65</v>
      </c>
      <c r="D525" s="4" t="s">
        <v>87</v>
      </c>
      <c r="E525" s="4" t="s">
        <v>295</v>
      </c>
      <c r="F525" s="6">
        <v>2</v>
      </c>
      <c r="G525" s="7">
        <v>0</v>
      </c>
      <c r="H525" s="7">
        <v>0</v>
      </c>
      <c r="I525" s="7">
        <v>0</v>
      </c>
      <c r="J525" s="5">
        <v>2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2</v>
      </c>
      <c r="V525" s="7">
        <v>0</v>
      </c>
      <c r="W525" s="7">
        <v>0</v>
      </c>
      <c r="X525" s="7">
        <v>0</v>
      </c>
      <c r="Y525" s="5">
        <v>2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0.52</v>
      </c>
    </row>
    <row r="526">
      <c r="A526" s="24">
        <v>4530</v>
      </c>
      <c r="B526" s="9" t="s">
        <v>767</v>
      </c>
      <c r="C526" s="9" t="s">
        <v>494</v>
      </c>
      <c r="D526" s="9" t="s">
        <v>500</v>
      </c>
      <c r="E526" s="9" t="s">
        <v>305</v>
      </c>
      <c r="F526" s="11">
        <v>1</v>
      </c>
      <c r="G526" s="12">
        <v>0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</v>
      </c>
      <c r="V526" s="12">
        <v>0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0.26</v>
      </c>
    </row>
    <row r="527">
      <c r="A527" s="23">
        <v>4538</v>
      </c>
      <c r="B527" s="4" t="s">
        <v>768</v>
      </c>
      <c r="C527" s="4" t="s">
        <v>65</v>
      </c>
      <c r="D527" s="4" t="s">
        <v>66</v>
      </c>
      <c r="E527" s="4" t="s">
        <v>231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31">
        <v>0</v>
      </c>
    </row>
    <row r="528">
      <c r="A528" s="24">
        <v>4549</v>
      </c>
      <c r="B528" s="9" t="s">
        <v>769</v>
      </c>
      <c r="C528" s="9" t="s">
        <v>65</v>
      </c>
      <c r="D528" s="9" t="s">
        <v>79</v>
      </c>
      <c r="E528" s="9" t="s">
        <v>80</v>
      </c>
      <c r="F528" s="11">
        <v>1</v>
      </c>
      <c r="G528" s="12">
        <v>0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2">
        <v>0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4558</v>
      </c>
      <c r="B529" s="4" t="s">
        <v>770</v>
      </c>
      <c r="C529" s="4" t="s">
        <v>65</v>
      </c>
      <c r="D529" s="4" t="s">
        <v>111</v>
      </c>
      <c r="E529" s="4" t="s">
        <v>190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31">
        <v>0</v>
      </c>
    </row>
    <row r="530">
      <c r="A530" s="24">
        <v>4564</v>
      </c>
      <c r="B530" s="9" t="s">
        <v>771</v>
      </c>
      <c r="C530" s="9" t="s">
        <v>502</v>
      </c>
      <c r="D530" s="9" t="s">
        <v>772</v>
      </c>
      <c r="E530" s="9" t="s">
        <v>773</v>
      </c>
      <c r="F530" s="11">
        <v>1</v>
      </c>
      <c r="G530" s="12">
        <v>0</v>
      </c>
      <c r="H530" s="12">
        <v>0</v>
      </c>
      <c r="I530" s="10">
        <v>1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2">
        <v>0</v>
      </c>
      <c r="W530" s="12">
        <v>0</v>
      </c>
      <c r="X530" s="10">
        <v>1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0">
        <v>0</v>
      </c>
    </row>
    <row r="531">
      <c r="A531" s="23">
        <v>4567</v>
      </c>
      <c r="B531" s="4" t="s">
        <v>774</v>
      </c>
      <c r="C531" s="4" t="s">
        <v>65</v>
      </c>
      <c r="D531" s="4" t="s">
        <v>71</v>
      </c>
      <c r="E531" s="4" t="s">
        <v>123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1">
        <v>0</v>
      </c>
    </row>
    <row r="532">
      <c r="A532" s="24">
        <v>4578</v>
      </c>
      <c r="B532" s="9" t="s">
        <v>775</v>
      </c>
      <c r="C532" s="9" t="s">
        <v>65</v>
      </c>
      <c r="D532" s="9" t="s">
        <v>79</v>
      </c>
      <c r="E532" s="9" t="s">
        <v>133</v>
      </c>
      <c r="F532" s="11">
        <v>1</v>
      </c>
      <c r="G532" s="12">
        <v>0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1</v>
      </c>
      <c r="V532" s="12">
        <v>0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4583</v>
      </c>
      <c r="B533" s="4" t="s">
        <v>776</v>
      </c>
      <c r="C533" s="4" t="s">
        <v>65</v>
      </c>
      <c r="D533" s="4" t="s">
        <v>111</v>
      </c>
      <c r="E533" s="4" t="s">
        <v>188</v>
      </c>
      <c r="F533" s="6">
        <v>8</v>
      </c>
      <c r="G533" s="5">
        <v>7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6</v>
      </c>
      <c r="V533" s="5">
        <v>5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2.67</v>
      </c>
      <c r="AL533" s="5">
        <v>1</v>
      </c>
      <c r="AM533" s="5">
        <v>6</v>
      </c>
      <c r="AN533" s="28">
        <v>0.52</v>
      </c>
    </row>
    <row r="534">
      <c r="A534" s="24">
        <v>4596</v>
      </c>
      <c r="B534" s="9" t="s">
        <v>777</v>
      </c>
      <c r="C534" s="9" t="s">
        <v>159</v>
      </c>
      <c r="D534" s="9" t="s">
        <v>160</v>
      </c>
      <c r="E534" s="9" t="s">
        <v>161</v>
      </c>
      <c r="F534" s="11">
        <v>2</v>
      </c>
      <c r="G534" s="12">
        <v>0</v>
      </c>
      <c r="H534" s="12">
        <v>0</v>
      </c>
      <c r="I534" s="10">
        <v>1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2</v>
      </c>
      <c r="V534" s="12">
        <v>0</v>
      </c>
      <c r="W534" s="12">
        <v>0</v>
      </c>
      <c r="X534" s="10">
        <v>1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0.26</v>
      </c>
    </row>
    <row r="535">
      <c r="A535" s="23">
        <v>4619</v>
      </c>
      <c r="B535" s="4" t="s">
        <v>778</v>
      </c>
      <c r="C535" s="4" t="s">
        <v>65</v>
      </c>
      <c r="D535" s="4" t="s">
        <v>127</v>
      </c>
      <c r="E535" s="4" t="s">
        <v>779</v>
      </c>
      <c r="F535" s="6">
        <v>2</v>
      </c>
      <c r="G535" s="5">
        <v>1</v>
      </c>
      <c r="H535" s="7">
        <v>0</v>
      </c>
      <c r="I535" s="5">
        <v>1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2</v>
      </c>
      <c r="V535" s="5">
        <v>1</v>
      </c>
      <c r="W535" s="7">
        <v>0</v>
      </c>
      <c r="X535" s="5">
        <v>1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1">
        <v>0</v>
      </c>
    </row>
    <row r="536">
      <c r="A536" s="24">
        <v>4622</v>
      </c>
      <c r="B536" s="9" t="s">
        <v>780</v>
      </c>
      <c r="C536" s="9" t="s">
        <v>573</v>
      </c>
      <c r="D536" s="9" t="s">
        <v>781</v>
      </c>
      <c r="E536" s="9" t="s">
        <v>305</v>
      </c>
      <c r="F536" s="11">
        <v>1</v>
      </c>
      <c r="G536" s="12">
        <v>0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</v>
      </c>
      <c r="V536" s="12">
        <v>0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0.26</v>
      </c>
    </row>
    <row r="537">
      <c r="A537" s="23">
        <v>4626</v>
      </c>
      <c r="B537" s="4" t="s">
        <v>782</v>
      </c>
      <c r="C537" s="4" t="s">
        <v>65</v>
      </c>
      <c r="D537" s="4" t="s">
        <v>87</v>
      </c>
      <c r="E537" s="4" t="s">
        <v>295</v>
      </c>
      <c r="F537" s="6">
        <v>3</v>
      </c>
      <c r="G537" s="5">
        <v>2</v>
      </c>
      <c r="H537" s="7">
        <v>0</v>
      </c>
      <c r="I537" s="5">
        <v>1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3</v>
      </c>
      <c r="V537" s="5">
        <v>2</v>
      </c>
      <c r="W537" s="7">
        <v>0</v>
      </c>
      <c r="X537" s="5">
        <v>1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1.5</v>
      </c>
      <c r="AL537" s="5">
        <v>1</v>
      </c>
      <c r="AM537" s="5">
        <v>2</v>
      </c>
      <c r="AN537" s="28">
        <v>0.78</v>
      </c>
    </row>
    <row r="538">
      <c r="A538" s="24">
        <v>4629</v>
      </c>
      <c r="B538" s="9" t="s">
        <v>783</v>
      </c>
      <c r="C538" s="9" t="s">
        <v>65</v>
      </c>
      <c r="D538" s="9" t="s">
        <v>98</v>
      </c>
      <c r="E538" s="9" t="s">
        <v>139</v>
      </c>
      <c r="F538" s="11">
        <v>3</v>
      </c>
      <c r="G538" s="10">
        <v>2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3</v>
      </c>
      <c r="V538" s="10">
        <v>2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29">
        <v>0.25</v>
      </c>
    </row>
    <row r="539">
      <c r="A539" s="23">
        <v>4632</v>
      </c>
      <c r="B539" s="4" t="s">
        <v>784</v>
      </c>
      <c r="C539" s="4" t="s">
        <v>65</v>
      </c>
      <c r="D539" s="4" t="s">
        <v>74</v>
      </c>
      <c r="E539" s="4" t="s">
        <v>77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0.24</v>
      </c>
    </row>
    <row r="540">
      <c r="A540" s="24">
        <v>4668</v>
      </c>
      <c r="B540" s="9" t="s">
        <v>785</v>
      </c>
      <c r="C540" s="9" t="s">
        <v>65</v>
      </c>
      <c r="D540" s="9" t="s">
        <v>87</v>
      </c>
      <c r="E540" s="9" t="s">
        <v>295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4672</v>
      </c>
      <c r="B541" s="4" t="s">
        <v>786</v>
      </c>
      <c r="C541" s="4" t="s">
        <v>65</v>
      </c>
      <c r="D541" s="4" t="s">
        <v>98</v>
      </c>
      <c r="E541" s="4" t="s">
        <v>787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0.37</v>
      </c>
    </row>
    <row r="542">
      <c r="A542" s="24">
        <v>4674</v>
      </c>
      <c r="B542" s="9" t="s">
        <v>788</v>
      </c>
      <c r="C542" s="9" t="s">
        <v>65</v>
      </c>
      <c r="D542" s="9" t="s">
        <v>79</v>
      </c>
      <c r="E542" s="9" t="s">
        <v>80</v>
      </c>
      <c r="F542" s="11">
        <v>3</v>
      </c>
      <c r="G542" s="12">
        <v>0</v>
      </c>
      <c r="H542" s="12">
        <v>0</v>
      </c>
      <c r="I542" s="12">
        <v>0</v>
      </c>
      <c r="J542" s="10">
        <v>3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3</v>
      </c>
      <c r="V542" s="12">
        <v>0</v>
      </c>
      <c r="W542" s="12">
        <v>0</v>
      </c>
      <c r="X542" s="12">
        <v>0</v>
      </c>
      <c r="Y542" s="10">
        <v>3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0.78</v>
      </c>
    </row>
    <row r="543">
      <c r="A543" s="23">
        <v>4676</v>
      </c>
      <c r="B543" s="4" t="s">
        <v>789</v>
      </c>
      <c r="C543" s="4" t="s">
        <v>65</v>
      </c>
      <c r="D543" s="4" t="s">
        <v>87</v>
      </c>
      <c r="E543" s="4" t="s">
        <v>93</v>
      </c>
      <c r="F543" s="6">
        <v>3</v>
      </c>
      <c r="G543" s="7">
        <v>0</v>
      </c>
      <c r="H543" s="5">
        <v>1</v>
      </c>
      <c r="I543" s="5">
        <v>1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3</v>
      </c>
      <c r="V543" s="7">
        <v>0</v>
      </c>
      <c r="W543" s="5">
        <v>1</v>
      </c>
      <c r="X543" s="5">
        <v>1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0.75</v>
      </c>
    </row>
    <row r="544">
      <c r="A544" s="24">
        <v>4680</v>
      </c>
      <c r="B544" s="9" t="s">
        <v>790</v>
      </c>
      <c r="C544" s="9" t="s">
        <v>65</v>
      </c>
      <c r="D544" s="9" t="s">
        <v>79</v>
      </c>
      <c r="E544" s="9" t="s">
        <v>133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4684</v>
      </c>
      <c r="B545" s="4" t="s">
        <v>791</v>
      </c>
      <c r="C545" s="4" t="s">
        <v>65</v>
      </c>
      <c r="D545" s="4" t="s">
        <v>79</v>
      </c>
      <c r="E545" s="4" t="s">
        <v>133</v>
      </c>
      <c r="F545" s="6">
        <v>2</v>
      </c>
      <c r="G545" s="5">
        <v>1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2</v>
      </c>
      <c r="V545" s="5">
        <v>1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4697</v>
      </c>
      <c r="B546" s="9" t="s">
        <v>792</v>
      </c>
      <c r="C546" s="9" t="s">
        <v>65</v>
      </c>
      <c r="D546" s="9" t="s">
        <v>71</v>
      </c>
      <c r="E546" s="9" t="s">
        <v>109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4707</v>
      </c>
      <c r="B547" s="4" t="s">
        <v>793</v>
      </c>
      <c r="C547" s="4" t="s">
        <v>65</v>
      </c>
      <c r="D547" s="4" t="s">
        <v>84</v>
      </c>
      <c r="E547" s="4" t="s">
        <v>147</v>
      </c>
      <c r="F547" s="6">
        <v>2</v>
      </c>
      <c r="G547" s="5">
        <v>1</v>
      </c>
      <c r="H547" s="7">
        <v>0</v>
      </c>
      <c r="I547" s="5">
        <v>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2</v>
      </c>
      <c r="V547" s="5">
        <v>1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0.24</v>
      </c>
    </row>
    <row r="548">
      <c r="A548" s="24">
        <v>4709</v>
      </c>
      <c r="B548" s="9" t="s">
        <v>794</v>
      </c>
      <c r="C548" s="9" t="s">
        <v>65</v>
      </c>
      <c r="D548" s="9" t="s">
        <v>84</v>
      </c>
      <c r="E548" s="9" t="s">
        <v>147</v>
      </c>
      <c r="F548" s="11">
        <v>3</v>
      </c>
      <c r="G548" s="10">
        <v>3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3</v>
      </c>
      <c r="V548" s="10">
        <v>3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1.5</v>
      </c>
      <c r="AL548" s="10">
        <v>1</v>
      </c>
      <c r="AM548" s="10">
        <v>2</v>
      </c>
      <c r="AN548" s="30">
        <v>0</v>
      </c>
    </row>
    <row r="549">
      <c r="A549" s="23">
        <v>4712</v>
      </c>
      <c r="B549" s="4" t="s">
        <v>795</v>
      </c>
      <c r="C549" s="4" t="s">
        <v>65</v>
      </c>
      <c r="D549" s="4" t="s">
        <v>74</v>
      </c>
      <c r="E549" s="4" t="s">
        <v>82</v>
      </c>
      <c r="F549" s="6">
        <v>10</v>
      </c>
      <c r="G549" s="5">
        <v>5</v>
      </c>
      <c r="H549" s="5">
        <v>3</v>
      </c>
      <c r="I549" s="5">
        <v>2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8</v>
      </c>
      <c r="V549" s="5">
        <v>4</v>
      </c>
      <c r="W549" s="5">
        <v>2</v>
      </c>
      <c r="X549" s="5">
        <v>2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3.33</v>
      </c>
      <c r="AL549" s="5">
        <v>3</v>
      </c>
      <c r="AM549" s="5">
        <v>5</v>
      </c>
      <c r="AN549" s="28">
        <v>0.74</v>
      </c>
    </row>
    <row r="550">
      <c r="A550" s="24">
        <v>4715</v>
      </c>
      <c r="B550" s="9" t="s">
        <v>796</v>
      </c>
      <c r="C550" s="9" t="s">
        <v>65</v>
      </c>
      <c r="D550" s="9" t="s">
        <v>101</v>
      </c>
      <c r="E550" s="9" t="s">
        <v>249</v>
      </c>
      <c r="F550" s="11">
        <v>5</v>
      </c>
      <c r="G550" s="10">
        <v>3</v>
      </c>
      <c r="H550" s="12">
        <v>0</v>
      </c>
      <c r="I550" s="12">
        <v>0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5</v>
      </c>
      <c r="V550" s="10">
        <v>3</v>
      </c>
      <c r="W550" s="12">
        <v>0</v>
      </c>
      <c r="X550" s="12">
        <v>0</v>
      </c>
      <c r="Y550" s="10">
        <v>2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2.5</v>
      </c>
      <c r="AL550" s="10">
        <v>2</v>
      </c>
      <c r="AM550" s="10">
        <v>3</v>
      </c>
      <c r="AN550" s="30">
        <v>0</v>
      </c>
    </row>
    <row r="551">
      <c r="A551" s="23">
        <v>4723</v>
      </c>
      <c r="B551" s="4" t="s">
        <v>797</v>
      </c>
      <c r="C551" s="4" t="s">
        <v>65</v>
      </c>
      <c r="D551" s="4" t="s">
        <v>79</v>
      </c>
      <c r="E551" s="4" t="s">
        <v>195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0.26</v>
      </c>
    </row>
    <row r="552">
      <c r="A552" s="24">
        <v>4734</v>
      </c>
      <c r="B552" s="9" t="s">
        <v>798</v>
      </c>
      <c r="C552" s="9" t="s">
        <v>65</v>
      </c>
      <c r="D552" s="9" t="s">
        <v>79</v>
      </c>
      <c r="E552" s="9" t="s">
        <v>195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0.26</v>
      </c>
    </row>
    <row r="553">
      <c r="A553" s="23">
        <v>4744</v>
      </c>
      <c r="B553" s="4" t="s">
        <v>799</v>
      </c>
      <c r="C553" s="4" t="s">
        <v>135</v>
      </c>
      <c r="D553" s="4" t="s">
        <v>136</v>
      </c>
      <c r="E553" s="4" t="s">
        <v>394</v>
      </c>
      <c r="F553" s="6">
        <v>1</v>
      </c>
      <c r="G553" s="7">
        <v>0</v>
      </c>
      <c r="H553" s="5">
        <v>1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7">
        <v>0</v>
      </c>
      <c r="W553" s="5">
        <v>1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0.22</v>
      </c>
    </row>
    <row r="554">
      <c r="A554" s="24">
        <v>4758</v>
      </c>
      <c r="B554" s="9" t="s">
        <v>800</v>
      </c>
      <c r="C554" s="9" t="s">
        <v>65</v>
      </c>
      <c r="D554" s="9" t="s">
        <v>74</v>
      </c>
      <c r="E554" s="9" t="s">
        <v>77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0">
        <v>0</v>
      </c>
    </row>
    <row r="555">
      <c r="A555" s="23">
        <v>4781</v>
      </c>
      <c r="B555" s="4" t="s">
        <v>801</v>
      </c>
      <c r="C555" s="4" t="s">
        <v>159</v>
      </c>
      <c r="D555" s="4" t="s">
        <v>160</v>
      </c>
      <c r="E555" s="4" t="s">
        <v>161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1">
        <v>0</v>
      </c>
    </row>
    <row r="556">
      <c r="A556" s="24">
        <v>4785</v>
      </c>
      <c r="B556" s="9" t="s">
        <v>802</v>
      </c>
      <c r="C556" s="9" t="s">
        <v>803</v>
      </c>
      <c r="D556" s="9" t="s">
        <v>804</v>
      </c>
      <c r="E556" s="9" t="s">
        <v>805</v>
      </c>
      <c r="F556" s="11">
        <v>1</v>
      </c>
      <c r="G556" s="12">
        <v>0</v>
      </c>
      <c r="H556" s="10">
        <v>1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2">
        <v>0</v>
      </c>
      <c r="W556" s="10">
        <v>1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4791</v>
      </c>
      <c r="B557" s="4" t="s">
        <v>806</v>
      </c>
      <c r="C557" s="4" t="s">
        <v>65</v>
      </c>
      <c r="D557" s="4" t="s">
        <v>74</v>
      </c>
      <c r="E557" s="4" t="s">
        <v>366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4792</v>
      </c>
      <c r="B558" s="9" t="s">
        <v>807</v>
      </c>
      <c r="C558" s="9" t="s">
        <v>65</v>
      </c>
      <c r="D558" s="9" t="s">
        <v>74</v>
      </c>
      <c r="E558" s="9" t="s">
        <v>366</v>
      </c>
      <c r="F558" s="11">
        <v>3</v>
      </c>
      <c r="G558" s="10">
        <v>2</v>
      </c>
      <c r="H558" s="12">
        <v>0</v>
      </c>
      <c r="I558" s="10">
        <v>1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3</v>
      </c>
      <c r="V558" s="10">
        <v>2</v>
      </c>
      <c r="W558" s="12">
        <v>0</v>
      </c>
      <c r="X558" s="10">
        <v>1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2</v>
      </c>
      <c r="AN558" s="30">
        <v>0</v>
      </c>
    </row>
    <row r="559">
      <c r="A559" s="23">
        <v>4808</v>
      </c>
      <c r="B559" s="4" t="s">
        <v>808</v>
      </c>
      <c r="C559" s="4" t="s">
        <v>65</v>
      </c>
      <c r="D559" s="4" t="s">
        <v>101</v>
      </c>
      <c r="E559" s="4" t="s">
        <v>249</v>
      </c>
      <c r="F559" s="6">
        <v>3</v>
      </c>
      <c r="G559" s="5">
        <v>1</v>
      </c>
      <c r="H559" s="7">
        <v>0</v>
      </c>
      <c r="I559" s="5">
        <v>1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3</v>
      </c>
      <c r="V559" s="5">
        <v>1</v>
      </c>
      <c r="W559" s="7">
        <v>0</v>
      </c>
      <c r="X559" s="5">
        <v>1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0.5</v>
      </c>
    </row>
    <row r="560">
      <c r="A560" s="24">
        <v>4809</v>
      </c>
      <c r="B560" s="9" t="s">
        <v>809</v>
      </c>
      <c r="C560" s="9" t="s">
        <v>65</v>
      </c>
      <c r="D560" s="9" t="s">
        <v>101</v>
      </c>
      <c r="E560" s="9" t="s">
        <v>249</v>
      </c>
      <c r="F560" s="11">
        <v>2</v>
      </c>
      <c r="G560" s="10">
        <v>1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2</v>
      </c>
      <c r="V560" s="10">
        <v>1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0.5</v>
      </c>
    </row>
    <row r="561">
      <c r="A561" s="23">
        <v>4817</v>
      </c>
      <c r="B561" s="4" t="s">
        <v>810</v>
      </c>
      <c r="C561" s="4" t="s">
        <v>65</v>
      </c>
      <c r="D561" s="4" t="s">
        <v>98</v>
      </c>
      <c r="E561" s="4" t="s">
        <v>522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4821</v>
      </c>
      <c r="B562" s="9" t="s">
        <v>811</v>
      </c>
      <c r="C562" s="9" t="s">
        <v>65</v>
      </c>
      <c r="D562" s="9" t="s">
        <v>111</v>
      </c>
      <c r="E562" s="9" t="s">
        <v>151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4835</v>
      </c>
      <c r="B563" s="4" t="s">
        <v>812</v>
      </c>
      <c r="C563" s="4" t="s">
        <v>65</v>
      </c>
      <c r="D563" s="4" t="s">
        <v>127</v>
      </c>
      <c r="E563" s="4" t="s">
        <v>813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0.26</v>
      </c>
    </row>
    <row r="564">
      <c r="A564" s="24">
        <v>4836</v>
      </c>
      <c r="B564" s="9" t="s">
        <v>814</v>
      </c>
      <c r="C564" s="9" t="s">
        <v>65</v>
      </c>
      <c r="D564" s="9" t="s">
        <v>101</v>
      </c>
      <c r="E564" s="9" t="s">
        <v>102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30">
        <v>0</v>
      </c>
    </row>
    <row r="565">
      <c r="A565" s="23">
        <v>4840</v>
      </c>
      <c r="B565" s="4" t="s">
        <v>815</v>
      </c>
      <c r="C565" s="4" t="s">
        <v>65</v>
      </c>
      <c r="D565" s="4" t="s">
        <v>111</v>
      </c>
      <c r="E565" s="4" t="s">
        <v>210</v>
      </c>
      <c r="F565" s="6">
        <v>2</v>
      </c>
      <c r="G565" s="7">
        <v>0</v>
      </c>
      <c r="H565" s="7">
        <v>0</v>
      </c>
      <c r="I565" s="7">
        <v>0</v>
      </c>
      <c r="J565" s="5">
        <v>2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2</v>
      </c>
      <c r="V565" s="7">
        <v>0</v>
      </c>
      <c r="W565" s="7">
        <v>0</v>
      </c>
      <c r="X565" s="7">
        <v>0</v>
      </c>
      <c r="Y565" s="5">
        <v>2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2</v>
      </c>
      <c r="AK565" s="8">
        <v>2</v>
      </c>
      <c r="AL565" s="5">
        <v>2</v>
      </c>
      <c r="AM565" s="5">
        <v>2</v>
      </c>
      <c r="AN565" s="28">
        <v>0.52</v>
      </c>
    </row>
    <row r="566">
      <c r="A566" s="24">
        <v>4843</v>
      </c>
      <c r="B566" s="9" t="s">
        <v>816</v>
      </c>
      <c r="C566" s="9" t="s">
        <v>65</v>
      </c>
      <c r="D566" s="9" t="s">
        <v>111</v>
      </c>
      <c r="E566" s="9" t="s">
        <v>151</v>
      </c>
      <c r="F566" s="11">
        <v>1</v>
      </c>
      <c r="G566" s="12">
        <v>0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0">
        <v>0</v>
      </c>
    </row>
    <row r="567">
      <c r="A567" s="23">
        <v>4852</v>
      </c>
      <c r="B567" s="4" t="s">
        <v>817</v>
      </c>
      <c r="C567" s="4" t="s">
        <v>65</v>
      </c>
      <c r="D567" s="4" t="s">
        <v>66</v>
      </c>
      <c r="E567" s="4" t="s">
        <v>231</v>
      </c>
      <c r="F567" s="6">
        <v>1</v>
      </c>
      <c r="G567" s="7">
        <v>0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7">
        <v>0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31">
        <v>0</v>
      </c>
    </row>
    <row r="568">
      <c r="A568" s="24">
        <v>4853</v>
      </c>
      <c r="B568" s="9" t="s">
        <v>818</v>
      </c>
      <c r="C568" s="9" t="s">
        <v>65</v>
      </c>
      <c r="D568" s="9" t="s">
        <v>101</v>
      </c>
      <c r="E568" s="9" t="s">
        <v>102</v>
      </c>
      <c r="F568" s="11">
        <v>2</v>
      </c>
      <c r="G568" s="12">
        <v>0</v>
      </c>
      <c r="H568" s="12">
        <v>0</v>
      </c>
      <c r="I568" s="12">
        <v>0</v>
      </c>
      <c r="J568" s="10">
        <v>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2</v>
      </c>
      <c r="V568" s="12">
        <v>0</v>
      </c>
      <c r="W568" s="12">
        <v>0</v>
      </c>
      <c r="X568" s="12">
        <v>0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2</v>
      </c>
      <c r="AK568" s="13">
        <v>2</v>
      </c>
      <c r="AL568" s="10">
        <v>2</v>
      </c>
      <c r="AM568" s="10">
        <v>2</v>
      </c>
      <c r="AN568" s="29">
        <v>0.5</v>
      </c>
    </row>
    <row r="569">
      <c r="A569" s="23">
        <v>4858</v>
      </c>
      <c r="B569" s="4" t="s">
        <v>819</v>
      </c>
      <c r="C569" s="4" t="s">
        <v>65</v>
      </c>
      <c r="D569" s="4" t="s">
        <v>66</v>
      </c>
      <c r="E569" s="4" t="s">
        <v>69</v>
      </c>
      <c r="F569" s="6">
        <v>1</v>
      </c>
      <c r="G569" s="7">
        <v>0</v>
      </c>
      <c r="H569" s="7">
        <v>0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1">
        <v>0</v>
      </c>
    </row>
    <row r="570">
      <c r="A570" s="24">
        <v>4859</v>
      </c>
      <c r="B570" s="9" t="s">
        <v>820</v>
      </c>
      <c r="C570" s="9" t="s">
        <v>65</v>
      </c>
      <c r="D570" s="9" t="s">
        <v>111</v>
      </c>
      <c r="E570" s="9" t="s">
        <v>151</v>
      </c>
      <c r="F570" s="11">
        <v>1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4861</v>
      </c>
      <c r="B571" s="4" t="s">
        <v>821</v>
      </c>
      <c r="C571" s="4" t="s">
        <v>65</v>
      </c>
      <c r="D571" s="4" t="s">
        <v>111</v>
      </c>
      <c r="E571" s="4" t="s">
        <v>151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0.25</v>
      </c>
    </row>
    <row r="572">
      <c r="A572" s="24">
        <v>4867</v>
      </c>
      <c r="B572" s="9" t="s">
        <v>822</v>
      </c>
      <c r="C572" s="9" t="s">
        <v>65</v>
      </c>
      <c r="D572" s="9" t="s">
        <v>101</v>
      </c>
      <c r="E572" s="9" t="s">
        <v>249</v>
      </c>
      <c r="F572" s="11">
        <v>1</v>
      </c>
      <c r="G572" s="12">
        <v>0</v>
      </c>
      <c r="H572" s="12">
        <v>0</v>
      </c>
      <c r="I572" s="10">
        <v>1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2">
        <v>0</v>
      </c>
      <c r="W572" s="12">
        <v>0</v>
      </c>
      <c r="X572" s="10">
        <v>1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0">
        <v>0</v>
      </c>
    </row>
    <row r="573">
      <c r="A573" s="23">
        <v>4870</v>
      </c>
      <c r="B573" s="4" t="s">
        <v>823</v>
      </c>
      <c r="C573" s="4" t="s">
        <v>65</v>
      </c>
      <c r="D573" s="4" t="s">
        <v>101</v>
      </c>
      <c r="E573" s="4" t="s">
        <v>249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1">
        <v>0</v>
      </c>
    </row>
    <row r="574">
      <c r="A574" s="24">
        <v>4875</v>
      </c>
      <c r="B574" s="9" t="s">
        <v>824</v>
      </c>
      <c r="C574" s="9" t="s">
        <v>65</v>
      </c>
      <c r="D574" s="9" t="s">
        <v>79</v>
      </c>
      <c r="E574" s="9" t="s">
        <v>80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4882</v>
      </c>
      <c r="B575" s="4" t="s">
        <v>825</v>
      </c>
      <c r="C575" s="4" t="s">
        <v>65</v>
      </c>
      <c r="D575" s="4" t="s">
        <v>826</v>
      </c>
      <c r="E575" s="4" t="s">
        <v>827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0.24</v>
      </c>
    </row>
    <row r="576">
      <c r="A576" s="24">
        <v>4885</v>
      </c>
      <c r="B576" s="9" t="s">
        <v>828</v>
      </c>
      <c r="C576" s="9" t="s">
        <v>65</v>
      </c>
      <c r="D576" s="9" t="s">
        <v>74</v>
      </c>
      <c r="E576" s="9" t="s">
        <v>75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30">
        <v>0</v>
      </c>
    </row>
    <row r="577">
      <c r="A577" s="23">
        <v>4901</v>
      </c>
      <c r="B577" s="4" t="s">
        <v>829</v>
      </c>
      <c r="C577" s="4" t="s">
        <v>65</v>
      </c>
      <c r="D577" s="4" t="s">
        <v>87</v>
      </c>
      <c r="E577" s="4" t="s">
        <v>88</v>
      </c>
      <c r="F577" s="6">
        <v>3</v>
      </c>
      <c r="G577" s="5">
        <v>2</v>
      </c>
      <c r="H577" s="7">
        <v>0</v>
      </c>
      <c r="I577" s="7">
        <v>0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3</v>
      </c>
      <c r="V577" s="5">
        <v>2</v>
      </c>
      <c r="W577" s="7">
        <v>0</v>
      </c>
      <c r="X577" s="7">
        <v>0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0.25</v>
      </c>
    </row>
    <row r="578">
      <c r="A578" s="24">
        <v>4905</v>
      </c>
      <c r="B578" s="9" t="s">
        <v>830</v>
      </c>
      <c r="C578" s="9" t="s">
        <v>65</v>
      </c>
      <c r="D578" s="9" t="s">
        <v>87</v>
      </c>
      <c r="E578" s="9" t="s">
        <v>295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0">
        <v>0</v>
      </c>
    </row>
    <row r="579">
      <c r="A579" s="23">
        <v>4906</v>
      </c>
      <c r="B579" s="4" t="s">
        <v>831</v>
      </c>
      <c r="C579" s="4" t="s">
        <v>65</v>
      </c>
      <c r="D579" s="4" t="s">
        <v>74</v>
      </c>
      <c r="E579" s="4" t="s">
        <v>366</v>
      </c>
      <c r="F579" s="6">
        <v>2</v>
      </c>
      <c r="G579" s="5">
        <v>1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2</v>
      </c>
      <c r="V579" s="5">
        <v>1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1">
        <v>0</v>
      </c>
    </row>
    <row r="580">
      <c r="A580" s="24">
        <v>4909</v>
      </c>
      <c r="B580" s="9" t="s">
        <v>832</v>
      </c>
      <c r="C580" s="9" t="s">
        <v>65</v>
      </c>
      <c r="D580" s="9" t="s">
        <v>66</v>
      </c>
      <c r="E580" s="9" t="s">
        <v>69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0.24</v>
      </c>
    </row>
    <row r="581">
      <c r="A581" s="23">
        <v>4913</v>
      </c>
      <c r="B581" s="4" t="s">
        <v>833</v>
      </c>
      <c r="C581" s="4" t="s">
        <v>65</v>
      </c>
      <c r="D581" s="4" t="s">
        <v>71</v>
      </c>
      <c r="E581" s="4" t="s">
        <v>202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4920</v>
      </c>
      <c r="B582" s="9" t="s">
        <v>834</v>
      </c>
      <c r="C582" s="9" t="s">
        <v>65</v>
      </c>
      <c r="D582" s="9" t="s">
        <v>79</v>
      </c>
      <c r="E582" s="9" t="s">
        <v>80</v>
      </c>
      <c r="F582" s="11">
        <v>3</v>
      </c>
      <c r="G582" s="10">
        <v>3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3</v>
      </c>
      <c r="V582" s="10">
        <v>3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3</v>
      </c>
      <c r="AK582" s="13">
        <v>3</v>
      </c>
      <c r="AL582" s="10">
        <v>3</v>
      </c>
      <c r="AM582" s="10">
        <v>3</v>
      </c>
      <c r="AN582" s="30">
        <v>0</v>
      </c>
    </row>
    <row r="583">
      <c r="A583" s="23">
        <v>4922</v>
      </c>
      <c r="B583" s="4" t="s">
        <v>835</v>
      </c>
      <c r="C583" s="4" t="s">
        <v>65</v>
      </c>
      <c r="D583" s="4" t="s">
        <v>74</v>
      </c>
      <c r="E583" s="4" t="s">
        <v>77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0.25</v>
      </c>
    </row>
    <row r="584">
      <c r="A584" s="24">
        <v>4942</v>
      </c>
      <c r="B584" s="9" t="s">
        <v>836</v>
      </c>
      <c r="C584" s="9" t="s">
        <v>65</v>
      </c>
      <c r="D584" s="9" t="s">
        <v>101</v>
      </c>
      <c r="E584" s="9" t="s">
        <v>249</v>
      </c>
      <c r="F584" s="11">
        <v>1</v>
      </c>
      <c r="G584" s="10">
        <v>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0">
        <v>0</v>
      </c>
    </row>
    <row r="585">
      <c r="A585" s="23">
        <v>4944</v>
      </c>
      <c r="B585" s="4" t="s">
        <v>837</v>
      </c>
      <c r="C585" s="4" t="s">
        <v>65</v>
      </c>
      <c r="D585" s="4" t="s">
        <v>101</v>
      </c>
      <c r="E585" s="4" t="s">
        <v>342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1">
        <v>0</v>
      </c>
    </row>
    <row r="586">
      <c r="A586" s="24">
        <v>4945</v>
      </c>
      <c r="B586" s="9" t="s">
        <v>838</v>
      </c>
      <c r="C586" s="9" t="s">
        <v>65</v>
      </c>
      <c r="D586" s="9" t="s">
        <v>84</v>
      </c>
      <c r="E586" s="9" t="s">
        <v>147</v>
      </c>
      <c r="F586" s="11">
        <v>5</v>
      </c>
      <c r="G586" s="10">
        <v>3</v>
      </c>
      <c r="H586" s="12">
        <v>0</v>
      </c>
      <c r="I586" s="10">
        <v>1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5</v>
      </c>
      <c r="V586" s="10">
        <v>3</v>
      </c>
      <c r="W586" s="12">
        <v>0</v>
      </c>
      <c r="X586" s="10">
        <v>1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1.67</v>
      </c>
      <c r="AL586" s="10">
        <v>1</v>
      </c>
      <c r="AM586" s="10">
        <v>3</v>
      </c>
      <c r="AN586" s="29">
        <v>0.25</v>
      </c>
    </row>
    <row r="587">
      <c r="A587" s="23">
        <v>4955</v>
      </c>
      <c r="B587" s="4" t="s">
        <v>839</v>
      </c>
      <c r="C587" s="4" t="s">
        <v>65</v>
      </c>
      <c r="D587" s="4" t="s">
        <v>111</v>
      </c>
      <c r="E587" s="4" t="s">
        <v>188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1">
        <v>0</v>
      </c>
    </row>
    <row r="588">
      <c r="A588" s="24">
        <v>4962</v>
      </c>
      <c r="B588" s="9" t="s">
        <v>840</v>
      </c>
      <c r="C588" s="9" t="s">
        <v>65</v>
      </c>
      <c r="D588" s="9" t="s">
        <v>71</v>
      </c>
      <c r="E588" s="9" t="s">
        <v>247</v>
      </c>
      <c r="F588" s="11">
        <v>3</v>
      </c>
      <c r="G588" s="10">
        <v>1</v>
      </c>
      <c r="H588" s="12">
        <v>0</v>
      </c>
      <c r="I588" s="10">
        <v>2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2</v>
      </c>
      <c r="V588" s="10">
        <v>1</v>
      </c>
      <c r="W588" s="12">
        <v>0</v>
      </c>
      <c r="X588" s="10">
        <v>1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1.5</v>
      </c>
      <c r="AL588" s="10">
        <v>1</v>
      </c>
      <c r="AM588" s="10">
        <v>2</v>
      </c>
      <c r="AN588" s="30">
        <v>0</v>
      </c>
    </row>
    <row r="589">
      <c r="A589" s="23">
        <v>4964</v>
      </c>
      <c r="B589" s="4" t="s">
        <v>841</v>
      </c>
      <c r="C589" s="4" t="s">
        <v>65</v>
      </c>
      <c r="D589" s="4" t="s">
        <v>66</v>
      </c>
      <c r="E589" s="4" t="s">
        <v>842</v>
      </c>
      <c r="F589" s="6">
        <v>1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0.22</v>
      </c>
    </row>
    <row r="590">
      <c r="A590" s="24">
        <v>4966</v>
      </c>
      <c r="B590" s="9" t="s">
        <v>843</v>
      </c>
      <c r="C590" s="9" t="s">
        <v>65</v>
      </c>
      <c r="D590" s="9" t="s">
        <v>101</v>
      </c>
      <c r="E590" s="9" t="s">
        <v>289</v>
      </c>
      <c r="F590" s="11">
        <v>4</v>
      </c>
      <c r="G590" s="10">
        <v>2</v>
      </c>
      <c r="H590" s="12">
        <v>0</v>
      </c>
      <c r="I590" s="12">
        <v>0</v>
      </c>
      <c r="J590" s="10">
        <v>2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2</v>
      </c>
      <c r="V590" s="10">
        <v>1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2</v>
      </c>
      <c r="AL590" s="10">
        <v>2</v>
      </c>
      <c r="AM590" s="10">
        <v>2</v>
      </c>
      <c r="AN590" s="29">
        <v>0.26</v>
      </c>
    </row>
    <row r="591">
      <c r="A591" s="23">
        <v>4979</v>
      </c>
      <c r="B591" s="4" t="s">
        <v>844</v>
      </c>
      <c r="C591" s="4" t="s">
        <v>65</v>
      </c>
      <c r="D591" s="4" t="s">
        <v>79</v>
      </c>
      <c r="E591" s="4" t="s">
        <v>80</v>
      </c>
      <c r="F591" s="6">
        <v>3</v>
      </c>
      <c r="G591" s="5">
        <v>3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2</v>
      </c>
      <c r="V591" s="5">
        <v>2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31">
        <v>0</v>
      </c>
    </row>
    <row r="592">
      <c r="A592" s="24">
        <v>4986</v>
      </c>
      <c r="B592" s="9" t="s">
        <v>845</v>
      </c>
      <c r="C592" s="9" t="s">
        <v>65</v>
      </c>
      <c r="D592" s="9" t="s">
        <v>87</v>
      </c>
      <c r="E592" s="9" t="s">
        <v>88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0">
        <v>0</v>
      </c>
    </row>
    <row r="593">
      <c r="A593" s="23">
        <v>4987</v>
      </c>
      <c r="B593" s="4" t="s">
        <v>846</v>
      </c>
      <c r="C593" s="4" t="s">
        <v>65</v>
      </c>
      <c r="D593" s="4" t="s">
        <v>74</v>
      </c>
      <c r="E593" s="4" t="s">
        <v>75</v>
      </c>
      <c r="F593" s="6">
        <v>1</v>
      </c>
      <c r="G593" s="7">
        <v>0</v>
      </c>
      <c r="H593" s="5">
        <v>1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7">
        <v>0</v>
      </c>
      <c r="W593" s="5">
        <v>1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1">
        <v>0</v>
      </c>
    </row>
    <row r="594">
      <c r="A594" s="24">
        <v>4988</v>
      </c>
      <c r="B594" s="9" t="s">
        <v>847</v>
      </c>
      <c r="C594" s="9" t="s">
        <v>65</v>
      </c>
      <c r="D594" s="9" t="s">
        <v>74</v>
      </c>
      <c r="E594" s="9" t="s">
        <v>77</v>
      </c>
      <c r="F594" s="11">
        <v>3</v>
      </c>
      <c r="G594" s="10">
        <v>2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2</v>
      </c>
      <c r="V594" s="10">
        <v>1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1.5</v>
      </c>
      <c r="AL594" s="10">
        <v>1</v>
      </c>
      <c r="AM594" s="10">
        <v>2</v>
      </c>
      <c r="AN594" s="29">
        <v>0.26</v>
      </c>
    </row>
    <row r="595">
      <c r="A595" s="23">
        <v>4999</v>
      </c>
      <c r="B595" s="4" t="s">
        <v>848</v>
      </c>
      <c r="C595" s="4" t="s">
        <v>65</v>
      </c>
      <c r="D595" s="4" t="s">
        <v>84</v>
      </c>
      <c r="E595" s="4" t="s">
        <v>147</v>
      </c>
      <c r="F595" s="6">
        <v>1</v>
      </c>
      <c r="G595" s="7">
        <v>0</v>
      </c>
      <c r="H595" s="7">
        <v>0</v>
      </c>
      <c r="I595" s="5">
        <v>1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</v>
      </c>
      <c r="V595" s="7">
        <v>0</v>
      </c>
      <c r="W595" s="7">
        <v>0</v>
      </c>
      <c r="X595" s="5">
        <v>1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0.25</v>
      </c>
    </row>
    <row r="596">
      <c r="A596" s="24">
        <v>5007</v>
      </c>
      <c r="B596" s="9" t="s">
        <v>849</v>
      </c>
      <c r="C596" s="9" t="s">
        <v>65</v>
      </c>
      <c r="D596" s="9" t="s">
        <v>79</v>
      </c>
      <c r="E596" s="9" t="s">
        <v>90</v>
      </c>
      <c r="F596" s="11">
        <v>6</v>
      </c>
      <c r="G596" s="12">
        <v>0</v>
      </c>
      <c r="H596" s="12">
        <v>0</v>
      </c>
      <c r="I596" s="12">
        <v>0</v>
      </c>
      <c r="J596" s="10">
        <v>6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5</v>
      </c>
      <c r="V596" s="12">
        <v>0</v>
      </c>
      <c r="W596" s="12">
        <v>0</v>
      </c>
      <c r="X596" s="12">
        <v>0</v>
      </c>
      <c r="Y596" s="10">
        <v>5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3</v>
      </c>
      <c r="AL596" s="10">
        <v>3</v>
      </c>
      <c r="AM596" s="10">
        <v>5</v>
      </c>
      <c r="AN596" s="29">
        <v>1.3</v>
      </c>
    </row>
    <row r="597">
      <c r="A597" s="23">
        <v>5016</v>
      </c>
      <c r="B597" s="4" t="s">
        <v>850</v>
      </c>
      <c r="C597" s="4" t="s">
        <v>65</v>
      </c>
      <c r="D597" s="4" t="s">
        <v>87</v>
      </c>
      <c r="E597" s="4" t="s">
        <v>295</v>
      </c>
      <c r="F597" s="6">
        <v>5</v>
      </c>
      <c r="G597" s="5">
        <v>4</v>
      </c>
      <c r="H597" s="7">
        <v>0</v>
      </c>
      <c r="I597" s="5">
        <v>1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4</v>
      </c>
      <c r="V597" s="5">
        <v>3</v>
      </c>
      <c r="W597" s="7">
        <v>0</v>
      </c>
      <c r="X597" s="5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2.5</v>
      </c>
      <c r="AL597" s="5">
        <v>2</v>
      </c>
      <c r="AM597" s="5">
        <v>4</v>
      </c>
      <c r="AN597" s="28">
        <v>0.25</v>
      </c>
    </row>
    <row r="598">
      <c r="A598" s="24">
        <v>5029</v>
      </c>
      <c r="B598" s="9" t="s">
        <v>851</v>
      </c>
      <c r="C598" s="9" t="s">
        <v>65</v>
      </c>
      <c r="D598" s="9" t="s">
        <v>127</v>
      </c>
      <c r="E598" s="9" t="s">
        <v>128</v>
      </c>
      <c r="F598" s="11">
        <v>4</v>
      </c>
      <c r="G598" s="10">
        <v>3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4</v>
      </c>
      <c r="V598" s="10">
        <v>3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2</v>
      </c>
      <c r="AL598" s="10">
        <v>2</v>
      </c>
      <c r="AM598" s="10">
        <v>3</v>
      </c>
      <c r="AN598" s="29">
        <v>0.22</v>
      </c>
    </row>
    <row r="599">
      <c r="A599" s="23">
        <v>5032</v>
      </c>
      <c r="B599" s="4" t="s">
        <v>852</v>
      </c>
      <c r="C599" s="4" t="s">
        <v>65</v>
      </c>
      <c r="D599" s="4" t="s">
        <v>87</v>
      </c>
      <c r="E599" s="4" t="s">
        <v>409</v>
      </c>
      <c r="F599" s="6">
        <v>2</v>
      </c>
      <c r="G599" s="5">
        <v>2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2</v>
      </c>
      <c r="V599" s="5">
        <v>2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31">
        <v>0</v>
      </c>
    </row>
    <row r="600">
      <c r="A600" s="24">
        <v>5048</v>
      </c>
      <c r="B600" s="9" t="s">
        <v>853</v>
      </c>
      <c r="C600" s="9" t="s">
        <v>65</v>
      </c>
      <c r="D600" s="9" t="s">
        <v>84</v>
      </c>
      <c r="E600" s="9" t="s">
        <v>85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0.26</v>
      </c>
    </row>
    <row r="601">
      <c r="A601" s="23">
        <v>5049</v>
      </c>
      <c r="B601" s="4" t="s">
        <v>854</v>
      </c>
      <c r="C601" s="4" t="s">
        <v>65</v>
      </c>
      <c r="D601" s="4" t="s">
        <v>101</v>
      </c>
      <c r="E601" s="4" t="s">
        <v>249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0.32</v>
      </c>
    </row>
    <row r="602">
      <c r="A602" s="24">
        <v>5057</v>
      </c>
      <c r="B602" s="9" t="s">
        <v>855</v>
      </c>
      <c r="C602" s="9" t="s">
        <v>65</v>
      </c>
      <c r="D602" s="9" t="s">
        <v>74</v>
      </c>
      <c r="E602" s="9" t="s">
        <v>366</v>
      </c>
      <c r="F602" s="11">
        <v>1</v>
      </c>
      <c r="G602" s="12">
        <v>0</v>
      </c>
      <c r="H602" s="12">
        <v>0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2">
        <v>0</v>
      </c>
      <c r="W602" s="12">
        <v>0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0.17</v>
      </c>
    </row>
    <row r="603">
      <c r="A603" s="23">
        <v>5058</v>
      </c>
      <c r="B603" s="4" t="s">
        <v>856</v>
      </c>
      <c r="C603" s="4" t="s">
        <v>65</v>
      </c>
      <c r="D603" s="4" t="s">
        <v>74</v>
      </c>
      <c r="E603" s="4" t="s">
        <v>75</v>
      </c>
      <c r="F603" s="6">
        <v>2</v>
      </c>
      <c r="G603" s="5">
        <v>1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2</v>
      </c>
      <c r="V603" s="5">
        <v>1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0.25</v>
      </c>
    </row>
    <row r="604">
      <c r="A604" s="24">
        <v>5060</v>
      </c>
      <c r="B604" s="9" t="s">
        <v>857</v>
      </c>
      <c r="C604" s="9" t="s">
        <v>65</v>
      </c>
      <c r="D604" s="9" t="s">
        <v>71</v>
      </c>
      <c r="E604" s="9" t="s">
        <v>476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0.17</v>
      </c>
    </row>
    <row r="605">
      <c r="A605" s="23">
        <v>5063</v>
      </c>
      <c r="B605" s="4" t="s">
        <v>858</v>
      </c>
      <c r="C605" s="4" t="s">
        <v>65</v>
      </c>
      <c r="D605" s="4" t="s">
        <v>120</v>
      </c>
      <c r="E605" s="4" t="s">
        <v>121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1">
        <v>0</v>
      </c>
    </row>
    <row r="606">
      <c r="A606" s="24">
        <v>5064</v>
      </c>
      <c r="B606" s="9" t="s">
        <v>859</v>
      </c>
      <c r="C606" s="9" t="s">
        <v>65</v>
      </c>
      <c r="D606" s="9" t="s">
        <v>71</v>
      </c>
      <c r="E606" s="9" t="s">
        <v>476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0.37</v>
      </c>
    </row>
    <row r="607">
      <c r="A607" s="23">
        <v>5065</v>
      </c>
      <c r="B607" s="4" t="s">
        <v>860</v>
      </c>
      <c r="C607" s="4" t="s">
        <v>65</v>
      </c>
      <c r="D607" s="4" t="s">
        <v>79</v>
      </c>
      <c r="E607" s="4" t="s">
        <v>133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1">
        <v>0</v>
      </c>
    </row>
    <row r="608">
      <c r="A608" s="24">
        <v>5069</v>
      </c>
      <c r="B608" s="9" t="s">
        <v>861</v>
      </c>
      <c r="C608" s="9" t="s">
        <v>65</v>
      </c>
      <c r="D608" s="9" t="s">
        <v>87</v>
      </c>
      <c r="E608" s="9" t="s">
        <v>93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0">
        <v>0</v>
      </c>
    </row>
    <row r="609">
      <c r="A609" s="23">
        <v>5074</v>
      </c>
      <c r="B609" s="4" t="s">
        <v>862</v>
      </c>
      <c r="C609" s="4" t="s">
        <v>65</v>
      </c>
      <c r="D609" s="4" t="s">
        <v>87</v>
      </c>
      <c r="E609" s="4" t="s">
        <v>295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31">
        <v>0</v>
      </c>
    </row>
    <row r="610">
      <c r="A610" s="24">
        <v>5085</v>
      </c>
      <c r="B610" s="9" t="s">
        <v>863</v>
      </c>
      <c r="C610" s="9" t="s">
        <v>65</v>
      </c>
      <c r="D610" s="9" t="s">
        <v>84</v>
      </c>
      <c r="E610" s="9" t="s">
        <v>147</v>
      </c>
      <c r="F610" s="11">
        <v>4</v>
      </c>
      <c r="G610" s="10">
        <v>4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3</v>
      </c>
      <c r="V610" s="10">
        <v>3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4</v>
      </c>
      <c r="AK610" s="13">
        <v>4</v>
      </c>
      <c r="AL610" s="10">
        <v>4</v>
      </c>
      <c r="AM610" s="10">
        <v>4</v>
      </c>
      <c r="AN610" s="30">
        <v>0</v>
      </c>
    </row>
    <row r="611">
      <c r="A611" s="23">
        <v>5102</v>
      </c>
      <c r="B611" s="4" t="s">
        <v>864</v>
      </c>
      <c r="C611" s="4" t="s">
        <v>65</v>
      </c>
      <c r="D611" s="4" t="s">
        <v>127</v>
      </c>
      <c r="E611" s="4" t="s">
        <v>128</v>
      </c>
      <c r="F611" s="6">
        <v>3</v>
      </c>
      <c r="G611" s="5">
        <v>3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3</v>
      </c>
      <c r="V611" s="5">
        <v>3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3</v>
      </c>
      <c r="AK611" s="8">
        <v>3</v>
      </c>
      <c r="AL611" s="5">
        <v>3</v>
      </c>
      <c r="AM611" s="5">
        <v>3</v>
      </c>
      <c r="AN611" s="31">
        <v>0</v>
      </c>
    </row>
    <row r="612">
      <c r="A612" s="24">
        <v>5103</v>
      </c>
      <c r="B612" s="9" t="s">
        <v>865</v>
      </c>
      <c r="C612" s="9" t="s">
        <v>135</v>
      </c>
      <c r="D612" s="9" t="s">
        <v>375</v>
      </c>
      <c r="E612" s="9" t="s">
        <v>457</v>
      </c>
      <c r="F612" s="11">
        <v>6</v>
      </c>
      <c r="G612" s="10">
        <v>1</v>
      </c>
      <c r="H612" s="12">
        <v>0</v>
      </c>
      <c r="I612" s="10">
        <v>4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6</v>
      </c>
      <c r="V612" s="10">
        <v>1</v>
      </c>
      <c r="W612" s="12">
        <v>0</v>
      </c>
      <c r="X612" s="10">
        <v>4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1.5</v>
      </c>
      <c r="AL612" s="10">
        <v>1</v>
      </c>
      <c r="AM612" s="10">
        <v>3</v>
      </c>
      <c r="AN612" s="29">
        <v>0.24</v>
      </c>
    </row>
    <row r="613">
      <c r="A613" s="23">
        <v>5116</v>
      </c>
      <c r="B613" s="4" t="s">
        <v>866</v>
      </c>
      <c r="C613" s="4" t="s">
        <v>65</v>
      </c>
      <c r="D613" s="4" t="s">
        <v>79</v>
      </c>
      <c r="E613" s="4" t="s">
        <v>80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5129</v>
      </c>
      <c r="B614" s="9" t="s">
        <v>867</v>
      </c>
      <c r="C614" s="9" t="s">
        <v>65</v>
      </c>
      <c r="D614" s="9" t="s">
        <v>79</v>
      </c>
      <c r="E614" s="9" t="s">
        <v>96</v>
      </c>
      <c r="F614" s="11">
        <v>1</v>
      </c>
      <c r="G614" s="12">
        <v>0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2">
        <v>0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0.25</v>
      </c>
    </row>
    <row r="615">
      <c r="A615" s="23">
        <v>5149</v>
      </c>
      <c r="B615" s="4" t="s">
        <v>868</v>
      </c>
      <c r="C615" s="4" t="s">
        <v>65</v>
      </c>
      <c r="D615" s="4" t="s">
        <v>79</v>
      </c>
      <c r="E615" s="4" t="s">
        <v>141</v>
      </c>
      <c r="F615" s="6">
        <v>2</v>
      </c>
      <c r="G615" s="7">
        <v>0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28">
        <v>0.25</v>
      </c>
    </row>
    <row r="616">
      <c r="A616" s="24">
        <v>5153</v>
      </c>
      <c r="B616" s="9" t="s">
        <v>869</v>
      </c>
      <c r="C616" s="9" t="s">
        <v>65</v>
      </c>
      <c r="D616" s="9" t="s">
        <v>79</v>
      </c>
      <c r="E616" s="9" t="s">
        <v>141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5169</v>
      </c>
      <c r="B617" s="4" t="s">
        <v>870</v>
      </c>
      <c r="C617" s="4" t="s">
        <v>65</v>
      </c>
      <c r="D617" s="4" t="s">
        <v>101</v>
      </c>
      <c r="E617" s="4" t="s">
        <v>102</v>
      </c>
      <c r="F617" s="6">
        <v>1</v>
      </c>
      <c r="G617" s="7">
        <v>0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0.25</v>
      </c>
    </row>
    <row r="618">
      <c r="A618" s="24">
        <v>5171</v>
      </c>
      <c r="B618" s="9" t="s">
        <v>871</v>
      </c>
      <c r="C618" s="9" t="s">
        <v>65</v>
      </c>
      <c r="D618" s="9" t="s">
        <v>74</v>
      </c>
      <c r="E618" s="9" t="s">
        <v>366</v>
      </c>
      <c r="F618" s="11">
        <v>2</v>
      </c>
      <c r="G618" s="10">
        <v>1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2</v>
      </c>
      <c r="V618" s="10">
        <v>1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0">
        <v>0</v>
      </c>
    </row>
    <row r="619">
      <c r="A619" s="23">
        <v>5172</v>
      </c>
      <c r="B619" s="4" t="s">
        <v>872</v>
      </c>
      <c r="C619" s="4" t="s">
        <v>494</v>
      </c>
      <c r="D619" s="4" t="s">
        <v>495</v>
      </c>
      <c r="E619" s="4" t="s">
        <v>305</v>
      </c>
      <c r="F619" s="6">
        <v>1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1">
        <v>0</v>
      </c>
    </row>
    <row r="620">
      <c r="A620" s="24">
        <v>5192</v>
      </c>
      <c r="B620" s="9" t="s">
        <v>873</v>
      </c>
      <c r="C620" s="9" t="s">
        <v>65</v>
      </c>
      <c r="D620" s="9" t="s">
        <v>111</v>
      </c>
      <c r="E620" s="9" t="s">
        <v>200</v>
      </c>
      <c r="F620" s="11">
        <v>2</v>
      </c>
      <c r="G620" s="12">
        <v>0</v>
      </c>
      <c r="H620" s="12">
        <v>0</v>
      </c>
      <c r="I620" s="12">
        <v>0</v>
      </c>
      <c r="J620" s="10">
        <v>2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2</v>
      </c>
      <c r="V620" s="12">
        <v>0</v>
      </c>
      <c r="W620" s="12">
        <v>0</v>
      </c>
      <c r="X620" s="12">
        <v>0</v>
      </c>
      <c r="Y620" s="10">
        <v>2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29">
        <v>0.5</v>
      </c>
    </row>
    <row r="621">
      <c r="A621" s="23">
        <v>5193</v>
      </c>
      <c r="B621" s="4" t="s">
        <v>874</v>
      </c>
      <c r="C621" s="4" t="s">
        <v>65</v>
      </c>
      <c r="D621" s="4" t="s">
        <v>79</v>
      </c>
      <c r="E621" s="4" t="s">
        <v>80</v>
      </c>
      <c r="F621" s="6">
        <v>3</v>
      </c>
      <c r="G621" s="7">
        <v>0</v>
      </c>
      <c r="H621" s="7">
        <v>0</v>
      </c>
      <c r="I621" s="7">
        <v>0</v>
      </c>
      <c r="J621" s="5">
        <v>3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3</v>
      </c>
      <c r="V621" s="7">
        <v>0</v>
      </c>
      <c r="W621" s="7">
        <v>0</v>
      </c>
      <c r="X621" s="7">
        <v>0</v>
      </c>
      <c r="Y621" s="5">
        <v>3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28">
        <v>0.75</v>
      </c>
    </row>
    <row r="622">
      <c r="A622" s="24">
        <v>5200</v>
      </c>
      <c r="B622" s="9" t="s">
        <v>875</v>
      </c>
      <c r="C622" s="9" t="s">
        <v>65</v>
      </c>
      <c r="D622" s="9" t="s">
        <v>74</v>
      </c>
      <c r="E622" s="9" t="s">
        <v>75</v>
      </c>
      <c r="F622" s="11">
        <v>4</v>
      </c>
      <c r="G622" s="10">
        <v>4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4</v>
      </c>
      <c r="V622" s="10">
        <v>4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</v>
      </c>
      <c r="AL622" s="10">
        <v>2</v>
      </c>
      <c r="AM622" s="10">
        <v>3</v>
      </c>
      <c r="AN622" s="29">
        <v>0.37</v>
      </c>
    </row>
    <row r="623">
      <c r="A623" s="23">
        <v>5209</v>
      </c>
      <c r="B623" s="4" t="s">
        <v>876</v>
      </c>
      <c r="C623" s="4" t="s">
        <v>65</v>
      </c>
      <c r="D623" s="4" t="s">
        <v>71</v>
      </c>
      <c r="E623" s="4" t="s">
        <v>123</v>
      </c>
      <c r="F623" s="6">
        <v>2</v>
      </c>
      <c r="G623" s="5">
        <v>2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</v>
      </c>
      <c r="V623" s="5">
        <v>2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2</v>
      </c>
      <c r="AL623" s="5">
        <v>2</v>
      </c>
      <c r="AM623" s="5">
        <v>2</v>
      </c>
      <c r="AN623" s="31">
        <v>0</v>
      </c>
    </row>
    <row r="624">
      <c r="A624" s="24">
        <v>5249</v>
      </c>
      <c r="B624" s="9" t="s">
        <v>877</v>
      </c>
      <c r="C624" s="9" t="s">
        <v>65</v>
      </c>
      <c r="D624" s="9" t="s">
        <v>79</v>
      </c>
      <c r="E624" s="9" t="s">
        <v>80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0.33</v>
      </c>
    </row>
    <row r="625">
      <c r="A625" s="23">
        <v>5252</v>
      </c>
      <c r="B625" s="4" t="s">
        <v>878</v>
      </c>
      <c r="C625" s="4" t="s">
        <v>65</v>
      </c>
      <c r="D625" s="4" t="s">
        <v>79</v>
      </c>
      <c r="E625" s="4" t="s">
        <v>80</v>
      </c>
      <c r="F625" s="6">
        <v>1</v>
      </c>
      <c r="G625" s="7">
        <v>0</v>
      </c>
      <c r="H625" s="5">
        <v>1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7">
        <v>0</v>
      </c>
      <c r="W625" s="5">
        <v>1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0.25</v>
      </c>
    </row>
    <row r="626">
      <c r="A626" s="24">
        <v>5259</v>
      </c>
      <c r="B626" s="9" t="s">
        <v>879</v>
      </c>
      <c r="C626" s="9" t="s">
        <v>65</v>
      </c>
      <c r="D626" s="9" t="s">
        <v>79</v>
      </c>
      <c r="E626" s="9" t="s">
        <v>80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0.26</v>
      </c>
    </row>
    <row r="627">
      <c r="A627" s="23">
        <v>5262</v>
      </c>
      <c r="B627" s="4" t="s">
        <v>880</v>
      </c>
      <c r="C627" s="4" t="s">
        <v>65</v>
      </c>
      <c r="D627" s="4" t="s">
        <v>79</v>
      </c>
      <c r="E627" s="4" t="s">
        <v>80</v>
      </c>
      <c r="F627" s="6">
        <v>3</v>
      </c>
      <c r="G627" s="7">
        <v>0</v>
      </c>
      <c r="H627" s="7">
        <v>0</v>
      </c>
      <c r="I627" s="7">
        <v>0</v>
      </c>
      <c r="J627" s="5">
        <v>3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3</v>
      </c>
      <c r="V627" s="7">
        <v>0</v>
      </c>
      <c r="W627" s="7">
        <v>0</v>
      </c>
      <c r="X627" s="7">
        <v>0</v>
      </c>
      <c r="Y627" s="5">
        <v>3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3</v>
      </c>
      <c r="AK627" s="8">
        <v>3</v>
      </c>
      <c r="AL627" s="5">
        <v>3</v>
      </c>
      <c r="AM627" s="5">
        <v>3</v>
      </c>
      <c r="AN627" s="28">
        <v>0.75</v>
      </c>
    </row>
    <row r="628">
      <c r="A628" s="24">
        <v>5265</v>
      </c>
      <c r="B628" s="9" t="s">
        <v>881</v>
      </c>
      <c r="C628" s="9" t="s">
        <v>65</v>
      </c>
      <c r="D628" s="9" t="s">
        <v>79</v>
      </c>
      <c r="E628" s="9" t="s">
        <v>80</v>
      </c>
      <c r="F628" s="11">
        <v>1</v>
      </c>
      <c r="G628" s="12">
        <v>0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2">
        <v>0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5278</v>
      </c>
      <c r="B629" s="4" t="s">
        <v>882</v>
      </c>
      <c r="C629" s="4" t="s">
        <v>65</v>
      </c>
      <c r="D629" s="4" t="s">
        <v>79</v>
      </c>
      <c r="E629" s="4" t="s">
        <v>80</v>
      </c>
      <c r="F629" s="6">
        <v>2</v>
      </c>
      <c r="G629" s="5">
        <v>1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2</v>
      </c>
      <c r="V629" s="5">
        <v>1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5301</v>
      </c>
      <c r="B630" s="9" t="s">
        <v>883</v>
      </c>
      <c r="C630" s="9" t="s">
        <v>65</v>
      </c>
      <c r="D630" s="9" t="s">
        <v>127</v>
      </c>
      <c r="E630" s="9" t="s">
        <v>884</v>
      </c>
      <c r="F630" s="11">
        <v>6</v>
      </c>
      <c r="G630" s="10">
        <v>2</v>
      </c>
      <c r="H630" s="12">
        <v>0</v>
      </c>
      <c r="I630" s="12">
        <v>0</v>
      </c>
      <c r="J630" s="10">
        <v>4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6</v>
      </c>
      <c r="V630" s="10">
        <v>2</v>
      </c>
      <c r="W630" s="12">
        <v>0</v>
      </c>
      <c r="X630" s="12">
        <v>0</v>
      </c>
      <c r="Y630" s="10">
        <v>4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3</v>
      </c>
      <c r="AN630" s="29">
        <v>1</v>
      </c>
    </row>
    <row r="631">
      <c r="A631" s="23">
        <v>5305</v>
      </c>
      <c r="B631" s="4" t="s">
        <v>885</v>
      </c>
      <c r="C631" s="4" t="s">
        <v>65</v>
      </c>
      <c r="D631" s="4" t="s">
        <v>101</v>
      </c>
      <c r="E631" s="4" t="s">
        <v>249</v>
      </c>
      <c r="F631" s="6">
        <v>2</v>
      </c>
      <c r="G631" s="5">
        <v>1</v>
      </c>
      <c r="H631" s="7">
        <v>0</v>
      </c>
      <c r="I631" s="5">
        <v>1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2</v>
      </c>
      <c r="V631" s="5">
        <v>1</v>
      </c>
      <c r="W631" s="7">
        <v>0</v>
      </c>
      <c r="X631" s="5">
        <v>1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0.37</v>
      </c>
    </row>
    <row r="632">
      <c r="A632" s="24">
        <v>5315</v>
      </c>
      <c r="B632" s="9" t="s">
        <v>886</v>
      </c>
      <c r="C632" s="9" t="s">
        <v>65</v>
      </c>
      <c r="D632" s="9" t="s">
        <v>74</v>
      </c>
      <c r="E632" s="9" t="s">
        <v>366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0">
        <v>0</v>
      </c>
    </row>
    <row r="633">
      <c r="A633" s="23">
        <v>5328</v>
      </c>
      <c r="B633" s="4" t="s">
        <v>887</v>
      </c>
      <c r="C633" s="4" t="s">
        <v>65</v>
      </c>
      <c r="D633" s="4" t="s">
        <v>74</v>
      </c>
      <c r="E633" s="4" t="s">
        <v>75</v>
      </c>
      <c r="F633" s="6">
        <v>2</v>
      </c>
      <c r="G633" s="5">
        <v>1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2</v>
      </c>
      <c r="V633" s="5">
        <v>1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5334</v>
      </c>
      <c r="B634" s="9" t="s">
        <v>888</v>
      </c>
      <c r="C634" s="9" t="s">
        <v>65</v>
      </c>
      <c r="D634" s="9" t="s">
        <v>111</v>
      </c>
      <c r="E634" s="9" t="s">
        <v>755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0">
        <v>0</v>
      </c>
    </row>
    <row r="635">
      <c r="A635" s="23">
        <v>5353</v>
      </c>
      <c r="B635" s="4" t="s">
        <v>889</v>
      </c>
      <c r="C635" s="4" t="s">
        <v>65</v>
      </c>
      <c r="D635" s="4" t="s">
        <v>101</v>
      </c>
      <c r="E635" s="4" t="s">
        <v>102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1">
        <v>0</v>
      </c>
    </row>
    <row r="636">
      <c r="A636" s="24">
        <v>5367</v>
      </c>
      <c r="B636" s="9" t="s">
        <v>890</v>
      </c>
      <c r="C636" s="9" t="s">
        <v>65</v>
      </c>
      <c r="D636" s="9" t="s">
        <v>111</v>
      </c>
      <c r="E636" s="9" t="s">
        <v>151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5371</v>
      </c>
      <c r="B637" s="4" t="s">
        <v>891</v>
      </c>
      <c r="C637" s="4" t="s">
        <v>65</v>
      </c>
      <c r="D637" s="4" t="s">
        <v>111</v>
      </c>
      <c r="E637" s="4" t="s">
        <v>112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1">
        <v>0</v>
      </c>
    </row>
    <row r="638">
      <c r="A638" s="24">
        <v>5382</v>
      </c>
      <c r="B638" s="9" t="s">
        <v>892</v>
      </c>
      <c r="C638" s="9" t="s">
        <v>65</v>
      </c>
      <c r="D638" s="9" t="s">
        <v>71</v>
      </c>
      <c r="E638" s="9" t="s">
        <v>116</v>
      </c>
      <c r="F638" s="11">
        <v>4</v>
      </c>
      <c r="G638" s="10">
        <v>2</v>
      </c>
      <c r="H638" s="10">
        <v>1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4</v>
      </c>
      <c r="V638" s="10">
        <v>2</v>
      </c>
      <c r="W638" s="10">
        <v>1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1.33</v>
      </c>
      <c r="AL638" s="10">
        <v>1</v>
      </c>
      <c r="AM638" s="10">
        <v>2</v>
      </c>
      <c r="AN638" s="30">
        <v>0</v>
      </c>
    </row>
    <row r="639">
      <c r="A639" s="23">
        <v>5402</v>
      </c>
      <c r="B639" s="4" t="s">
        <v>893</v>
      </c>
      <c r="C639" s="4" t="s">
        <v>65</v>
      </c>
      <c r="D639" s="4" t="s">
        <v>101</v>
      </c>
      <c r="E639" s="4" t="s">
        <v>102</v>
      </c>
      <c r="F639" s="6">
        <v>4</v>
      </c>
      <c r="G639" s="5">
        <v>3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3</v>
      </c>
      <c r="V639" s="5">
        <v>2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</v>
      </c>
      <c r="AL639" s="5">
        <v>2</v>
      </c>
      <c r="AM639" s="5">
        <v>3</v>
      </c>
      <c r="AN639" s="28">
        <v>0.75</v>
      </c>
    </row>
    <row r="640">
      <c r="A640" s="24">
        <v>5427</v>
      </c>
      <c r="B640" s="9" t="s">
        <v>894</v>
      </c>
      <c r="C640" s="9" t="s">
        <v>135</v>
      </c>
      <c r="D640" s="9" t="s">
        <v>489</v>
      </c>
      <c r="E640" s="9" t="s">
        <v>895</v>
      </c>
      <c r="F640" s="11">
        <v>1</v>
      </c>
      <c r="G640" s="12">
        <v>0</v>
      </c>
      <c r="H640" s="12">
        <v>0</v>
      </c>
      <c r="I640" s="10">
        <v>1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2">
        <v>0</v>
      </c>
      <c r="W640" s="12">
        <v>0</v>
      </c>
      <c r="X640" s="10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0">
        <v>0</v>
      </c>
    </row>
    <row r="641">
      <c r="A641" s="23">
        <v>5438</v>
      </c>
      <c r="B641" s="4" t="s">
        <v>896</v>
      </c>
      <c r="C641" s="4" t="s">
        <v>65</v>
      </c>
      <c r="D641" s="4" t="s">
        <v>71</v>
      </c>
      <c r="E641" s="4" t="s">
        <v>247</v>
      </c>
      <c r="F641" s="6">
        <v>2</v>
      </c>
      <c r="G641" s="7">
        <v>0</v>
      </c>
      <c r="H641" s="7">
        <v>0</v>
      </c>
      <c r="I641" s="7">
        <v>0</v>
      </c>
      <c r="J641" s="5">
        <v>2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7">
        <v>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</v>
      </c>
      <c r="AL641" s="5">
        <v>2</v>
      </c>
      <c r="AM641" s="5">
        <v>2</v>
      </c>
      <c r="AN641" s="28">
        <v>0.22</v>
      </c>
    </row>
    <row r="642">
      <c r="A642" s="24">
        <v>5446</v>
      </c>
      <c r="B642" s="9" t="s">
        <v>897</v>
      </c>
      <c r="C642" s="9" t="s">
        <v>65</v>
      </c>
      <c r="D642" s="9" t="s">
        <v>111</v>
      </c>
      <c r="E642" s="9" t="s">
        <v>125</v>
      </c>
      <c r="F642" s="11">
        <v>2</v>
      </c>
      <c r="G642" s="12">
        <v>0</v>
      </c>
      <c r="H642" s="12">
        <v>0</v>
      </c>
      <c r="I642" s="12">
        <v>0</v>
      </c>
      <c r="J642" s="10">
        <v>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2</v>
      </c>
      <c r="V642" s="12">
        <v>0</v>
      </c>
      <c r="W642" s="12">
        <v>0</v>
      </c>
      <c r="X642" s="12">
        <v>0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29">
        <v>0.5</v>
      </c>
    </row>
    <row r="643">
      <c r="A643" s="23">
        <v>5475</v>
      </c>
      <c r="B643" s="4" t="s">
        <v>898</v>
      </c>
      <c r="C643" s="4" t="s">
        <v>65</v>
      </c>
      <c r="D643" s="4" t="s">
        <v>87</v>
      </c>
      <c r="E643" s="4" t="s">
        <v>899</v>
      </c>
      <c r="F643" s="6">
        <v>2</v>
      </c>
      <c r="G643" s="7">
        <v>0</v>
      </c>
      <c r="H643" s="7">
        <v>0</v>
      </c>
      <c r="I643" s="7">
        <v>0</v>
      </c>
      <c r="J643" s="5">
        <v>2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2</v>
      </c>
      <c r="V643" s="7">
        <v>0</v>
      </c>
      <c r="W643" s="7">
        <v>0</v>
      </c>
      <c r="X643" s="7">
        <v>0</v>
      </c>
      <c r="Y643" s="5">
        <v>2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28">
        <v>0.52</v>
      </c>
    </row>
    <row r="644">
      <c r="A644" s="24">
        <v>5476</v>
      </c>
      <c r="B644" s="9" t="s">
        <v>900</v>
      </c>
      <c r="C644" s="9" t="s">
        <v>135</v>
      </c>
      <c r="D644" s="9" t="s">
        <v>323</v>
      </c>
      <c r="E644" s="9" t="s">
        <v>331</v>
      </c>
      <c r="F644" s="11">
        <v>5</v>
      </c>
      <c r="G644" s="12">
        <v>0</v>
      </c>
      <c r="H644" s="12">
        <v>0</v>
      </c>
      <c r="I644" s="12">
        <v>0</v>
      </c>
      <c r="J644" s="10">
        <v>5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5</v>
      </c>
      <c r="V644" s="12">
        <v>0</v>
      </c>
      <c r="W644" s="12">
        <v>0</v>
      </c>
      <c r="X644" s="12">
        <v>0</v>
      </c>
      <c r="Y644" s="10">
        <v>5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2.5</v>
      </c>
      <c r="AL644" s="10">
        <v>2</v>
      </c>
      <c r="AM644" s="10">
        <v>4</v>
      </c>
      <c r="AN644" s="29">
        <v>1.25</v>
      </c>
    </row>
    <row r="645">
      <c r="A645" s="23">
        <v>5479</v>
      </c>
      <c r="B645" s="4" t="s">
        <v>901</v>
      </c>
      <c r="C645" s="4" t="s">
        <v>65</v>
      </c>
      <c r="D645" s="4" t="s">
        <v>79</v>
      </c>
      <c r="E645" s="4" t="s">
        <v>195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0.26</v>
      </c>
    </row>
    <row r="646">
      <c r="A646" s="24">
        <v>5492</v>
      </c>
      <c r="B646" s="9" t="s">
        <v>902</v>
      </c>
      <c r="C646" s="9" t="s">
        <v>65</v>
      </c>
      <c r="D646" s="9" t="s">
        <v>101</v>
      </c>
      <c r="E646" s="9" t="s">
        <v>102</v>
      </c>
      <c r="F646" s="11">
        <v>7</v>
      </c>
      <c r="G646" s="10">
        <v>7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6</v>
      </c>
      <c r="V646" s="10">
        <v>6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7</v>
      </c>
      <c r="AK646" s="13">
        <v>7</v>
      </c>
      <c r="AL646" s="10">
        <v>7</v>
      </c>
      <c r="AM646" s="10">
        <v>7</v>
      </c>
      <c r="AN646" s="30">
        <v>0</v>
      </c>
    </row>
    <row r="647">
      <c r="A647" s="23">
        <v>5498</v>
      </c>
      <c r="B647" s="4" t="s">
        <v>903</v>
      </c>
      <c r="C647" s="4" t="s">
        <v>65</v>
      </c>
      <c r="D647" s="4" t="s">
        <v>79</v>
      </c>
      <c r="E647" s="4" t="s">
        <v>133</v>
      </c>
      <c r="F647" s="6">
        <v>1</v>
      </c>
      <c r="G647" s="7">
        <v>0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7">
        <v>0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1">
        <v>0</v>
      </c>
    </row>
    <row r="648">
      <c r="A648" s="24">
        <v>5500</v>
      </c>
      <c r="B648" s="9" t="s">
        <v>904</v>
      </c>
      <c r="C648" s="9" t="s">
        <v>65</v>
      </c>
      <c r="D648" s="9" t="s">
        <v>101</v>
      </c>
      <c r="E648" s="9" t="s">
        <v>102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0.25</v>
      </c>
    </row>
    <row r="649">
      <c r="A649" s="23">
        <v>5511</v>
      </c>
      <c r="B649" s="4" t="s">
        <v>905</v>
      </c>
      <c r="C649" s="4" t="s">
        <v>65</v>
      </c>
      <c r="D649" s="4" t="s">
        <v>66</v>
      </c>
      <c r="E649" s="4" t="s">
        <v>231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1">
        <v>0</v>
      </c>
    </row>
    <row r="650">
      <c r="A650" s="24">
        <v>5512</v>
      </c>
      <c r="B650" s="9" t="s">
        <v>906</v>
      </c>
      <c r="C650" s="9" t="s">
        <v>65</v>
      </c>
      <c r="D650" s="9" t="s">
        <v>79</v>
      </c>
      <c r="E650" s="9" t="s">
        <v>195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0.25</v>
      </c>
    </row>
    <row r="651">
      <c r="A651" s="23">
        <v>5515</v>
      </c>
      <c r="B651" s="4" t="s">
        <v>907</v>
      </c>
      <c r="C651" s="4" t="s">
        <v>65</v>
      </c>
      <c r="D651" s="4" t="s">
        <v>101</v>
      </c>
      <c r="E651" s="4" t="s">
        <v>249</v>
      </c>
      <c r="F651" s="6">
        <v>3</v>
      </c>
      <c r="G651" s="5">
        <v>3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3</v>
      </c>
      <c r="V651" s="5">
        <v>3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3</v>
      </c>
      <c r="AK651" s="8">
        <v>3</v>
      </c>
      <c r="AL651" s="5">
        <v>3</v>
      </c>
      <c r="AM651" s="5">
        <v>3</v>
      </c>
      <c r="AN651" s="31">
        <v>0</v>
      </c>
    </row>
    <row r="652">
      <c r="A652" s="24">
        <v>5517</v>
      </c>
      <c r="B652" s="9" t="s">
        <v>908</v>
      </c>
      <c r="C652" s="9" t="s">
        <v>65</v>
      </c>
      <c r="D652" s="9" t="s">
        <v>79</v>
      </c>
      <c r="E652" s="9" t="s">
        <v>133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0">
        <v>0</v>
      </c>
    </row>
    <row r="653">
      <c r="A653" s="23">
        <v>5536</v>
      </c>
      <c r="B653" s="4" t="s">
        <v>909</v>
      </c>
      <c r="C653" s="4" t="s">
        <v>135</v>
      </c>
      <c r="D653" s="4" t="s">
        <v>489</v>
      </c>
      <c r="E653" s="4" t="s">
        <v>635</v>
      </c>
      <c r="F653" s="6">
        <v>1</v>
      </c>
      <c r="G653" s="7">
        <v>0</v>
      </c>
      <c r="H653" s="5">
        <v>1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7">
        <v>0</v>
      </c>
      <c r="W653" s="5">
        <v>1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0.24</v>
      </c>
    </row>
    <row r="654">
      <c r="A654" s="24">
        <v>5561</v>
      </c>
      <c r="B654" s="9" t="s">
        <v>910</v>
      </c>
      <c r="C654" s="9" t="s">
        <v>65</v>
      </c>
      <c r="D654" s="9" t="s">
        <v>74</v>
      </c>
      <c r="E654" s="9" t="s">
        <v>366</v>
      </c>
      <c r="F654" s="11">
        <v>1</v>
      </c>
      <c r="G654" s="12">
        <v>0</v>
      </c>
      <c r="H654" s="10">
        <v>1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2">
        <v>0</v>
      </c>
      <c r="W654" s="10">
        <v>1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0.24</v>
      </c>
    </row>
    <row r="655">
      <c r="A655" s="23">
        <v>5595</v>
      </c>
      <c r="B655" s="4" t="s">
        <v>911</v>
      </c>
      <c r="C655" s="4" t="s">
        <v>494</v>
      </c>
      <c r="D655" s="4" t="s">
        <v>539</v>
      </c>
      <c r="E655" s="4" t="s">
        <v>305</v>
      </c>
      <c r="F655" s="6">
        <v>1</v>
      </c>
      <c r="G655" s="7">
        <v>0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7">
        <v>0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0.25</v>
      </c>
    </row>
    <row r="656">
      <c r="A656" s="24">
        <v>5777</v>
      </c>
      <c r="B656" s="9" t="s">
        <v>912</v>
      </c>
      <c r="C656" s="9" t="s">
        <v>494</v>
      </c>
      <c r="D656" s="9" t="s">
        <v>539</v>
      </c>
      <c r="E656" s="9" t="s">
        <v>305</v>
      </c>
      <c r="F656" s="11">
        <v>1</v>
      </c>
      <c r="G656" s="12">
        <v>0</v>
      </c>
      <c r="H656" s="12">
        <v>0</v>
      </c>
      <c r="I656" s="10">
        <v>1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2">
        <v>0</v>
      </c>
      <c r="W656" s="12">
        <v>0</v>
      </c>
      <c r="X656" s="10">
        <v>1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0.22</v>
      </c>
    </row>
    <row r="657">
      <c r="A657" s="23">
        <v>5780</v>
      </c>
      <c r="B657" s="4" t="s">
        <v>913</v>
      </c>
      <c r="C657" s="4" t="s">
        <v>494</v>
      </c>
      <c r="D657" s="4" t="s">
        <v>539</v>
      </c>
      <c r="E657" s="4" t="s">
        <v>305</v>
      </c>
      <c r="F657" s="6">
        <v>1</v>
      </c>
      <c r="G657" s="7">
        <v>0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</v>
      </c>
      <c r="V657" s="7">
        <v>0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5818</v>
      </c>
      <c r="B658" s="9" t="s">
        <v>914</v>
      </c>
      <c r="C658" s="9" t="s">
        <v>494</v>
      </c>
      <c r="D658" s="9" t="s">
        <v>497</v>
      </c>
      <c r="E658" s="9" t="s">
        <v>305</v>
      </c>
      <c r="F658" s="11">
        <v>1</v>
      </c>
      <c r="G658" s="12">
        <v>0</v>
      </c>
      <c r="H658" s="12">
        <v>0</v>
      </c>
      <c r="I658" s="10">
        <v>1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2">
        <v>0</v>
      </c>
      <c r="W658" s="12">
        <v>0</v>
      </c>
      <c r="X658" s="10">
        <v>1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5954</v>
      </c>
      <c r="B659" s="4" t="s">
        <v>915</v>
      </c>
      <c r="C659" s="4" t="s">
        <v>510</v>
      </c>
      <c r="D659" s="4" t="s">
        <v>916</v>
      </c>
      <c r="E659" s="4" t="s">
        <v>917</v>
      </c>
      <c r="F659" s="6">
        <v>3</v>
      </c>
      <c r="G659" s="7">
        <v>0</v>
      </c>
      <c r="H659" s="7">
        <v>0</v>
      </c>
      <c r="I659" s="7">
        <v>0</v>
      </c>
      <c r="J659" s="5">
        <v>3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3</v>
      </c>
      <c r="V659" s="7">
        <v>0</v>
      </c>
      <c r="W659" s="7">
        <v>0</v>
      </c>
      <c r="X659" s="7">
        <v>0</v>
      </c>
      <c r="Y659" s="5">
        <v>3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1.5</v>
      </c>
      <c r="AL659" s="5">
        <v>1</v>
      </c>
      <c r="AM659" s="5">
        <v>2</v>
      </c>
      <c r="AN659" s="28">
        <v>0.78</v>
      </c>
    </row>
    <row r="660">
      <c r="A660" s="24">
        <v>5959</v>
      </c>
      <c r="B660" s="9" t="s">
        <v>918</v>
      </c>
      <c r="C660" s="9" t="s">
        <v>573</v>
      </c>
      <c r="D660" s="9" t="s">
        <v>781</v>
      </c>
      <c r="E660" s="9" t="s">
        <v>305</v>
      </c>
      <c r="F660" s="11">
        <v>3</v>
      </c>
      <c r="G660" s="12">
        <v>0</v>
      </c>
      <c r="H660" s="12">
        <v>0</v>
      </c>
      <c r="I660" s="12">
        <v>0</v>
      </c>
      <c r="J660" s="10">
        <v>3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3</v>
      </c>
      <c r="V660" s="12">
        <v>0</v>
      </c>
      <c r="W660" s="12">
        <v>0</v>
      </c>
      <c r="X660" s="12">
        <v>0</v>
      </c>
      <c r="Y660" s="10">
        <v>3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3</v>
      </c>
      <c r="AK660" s="13">
        <v>3</v>
      </c>
      <c r="AL660" s="10">
        <v>3</v>
      </c>
      <c r="AM660" s="10">
        <v>3</v>
      </c>
      <c r="AN660" s="29">
        <v>0.78</v>
      </c>
    </row>
    <row r="661">
      <c r="A661" s="23">
        <v>6000</v>
      </c>
      <c r="B661" s="4" t="s">
        <v>919</v>
      </c>
      <c r="C661" s="4" t="s">
        <v>65</v>
      </c>
      <c r="D661" s="4" t="s">
        <v>87</v>
      </c>
      <c r="E661" s="4" t="s">
        <v>295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1">
        <v>0</v>
      </c>
    </row>
    <row r="662">
      <c r="A662" s="24">
        <v>6005</v>
      </c>
      <c r="B662" s="9" t="s">
        <v>920</v>
      </c>
      <c r="C662" s="9" t="s">
        <v>573</v>
      </c>
      <c r="D662" s="9" t="s">
        <v>781</v>
      </c>
      <c r="E662" s="9" t="s">
        <v>305</v>
      </c>
      <c r="F662" s="11">
        <v>2</v>
      </c>
      <c r="G662" s="12">
        <v>0</v>
      </c>
      <c r="H662" s="12">
        <v>0</v>
      </c>
      <c r="I662" s="10">
        <v>1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2">
        <v>0</v>
      </c>
      <c r="W662" s="12">
        <v>0</v>
      </c>
      <c r="X662" s="10">
        <v>1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0.5</v>
      </c>
    </row>
    <row r="663">
      <c r="A663" s="23">
        <v>6026</v>
      </c>
      <c r="B663" s="4" t="s">
        <v>921</v>
      </c>
      <c r="C663" s="4" t="s">
        <v>510</v>
      </c>
      <c r="D663" s="4" t="s">
        <v>511</v>
      </c>
      <c r="E663" s="4" t="s">
        <v>922</v>
      </c>
      <c r="F663" s="6">
        <v>1</v>
      </c>
      <c r="G663" s="7">
        <v>0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7">
        <v>0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6030</v>
      </c>
      <c r="B664" s="9" t="s">
        <v>923</v>
      </c>
      <c r="C664" s="9" t="s">
        <v>159</v>
      </c>
      <c r="D664" s="9" t="s">
        <v>160</v>
      </c>
      <c r="E664" s="9" t="s">
        <v>170</v>
      </c>
      <c r="F664" s="11">
        <v>1</v>
      </c>
      <c r="G664" s="12">
        <v>0</v>
      </c>
      <c r="H664" s="10">
        <v>1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2">
        <v>0</v>
      </c>
      <c r="W664" s="10">
        <v>1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6045</v>
      </c>
      <c r="B665" s="4" t="s">
        <v>924</v>
      </c>
      <c r="C665" s="4" t="s">
        <v>573</v>
      </c>
      <c r="D665" s="4" t="s">
        <v>781</v>
      </c>
      <c r="E665" s="4" t="s">
        <v>305</v>
      </c>
      <c r="F665" s="6">
        <v>2</v>
      </c>
      <c r="G665" s="7">
        <v>0</v>
      </c>
      <c r="H665" s="7">
        <v>0</v>
      </c>
      <c r="I665" s="5">
        <v>1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2</v>
      </c>
      <c r="V665" s="7">
        <v>0</v>
      </c>
      <c r="W665" s="7">
        <v>0</v>
      </c>
      <c r="X665" s="5">
        <v>1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0.5</v>
      </c>
    </row>
    <row r="666">
      <c r="A666" s="24">
        <v>6059</v>
      </c>
      <c r="B666" s="9" t="s">
        <v>925</v>
      </c>
      <c r="C666" s="9" t="s">
        <v>65</v>
      </c>
      <c r="D666" s="9" t="s">
        <v>111</v>
      </c>
      <c r="E666" s="9" t="s">
        <v>188</v>
      </c>
      <c r="F666" s="11">
        <v>2</v>
      </c>
      <c r="G666" s="10">
        <v>2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2</v>
      </c>
      <c r="V666" s="10">
        <v>2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2</v>
      </c>
      <c r="AL666" s="10">
        <v>2</v>
      </c>
      <c r="AM666" s="10">
        <v>2</v>
      </c>
      <c r="AN666" s="30">
        <v>0</v>
      </c>
    </row>
    <row r="667">
      <c r="A667" s="23">
        <v>6082</v>
      </c>
      <c r="B667" s="4" t="s">
        <v>926</v>
      </c>
      <c r="C667" s="4" t="s">
        <v>65</v>
      </c>
      <c r="D667" s="4" t="s">
        <v>101</v>
      </c>
      <c r="E667" s="4" t="s">
        <v>249</v>
      </c>
      <c r="F667" s="6">
        <v>3</v>
      </c>
      <c r="G667" s="5">
        <v>2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3</v>
      </c>
      <c r="V667" s="5">
        <v>2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31">
        <v>0</v>
      </c>
    </row>
    <row r="668">
      <c r="A668" s="24">
        <v>6108</v>
      </c>
      <c r="B668" s="9" t="s">
        <v>927</v>
      </c>
      <c r="C668" s="9" t="s">
        <v>65</v>
      </c>
      <c r="D668" s="9" t="s">
        <v>79</v>
      </c>
      <c r="E668" s="9" t="s">
        <v>131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6114</v>
      </c>
      <c r="B669" s="4" t="s">
        <v>928</v>
      </c>
      <c r="C669" s="4" t="s">
        <v>135</v>
      </c>
      <c r="D669" s="4" t="s">
        <v>217</v>
      </c>
      <c r="E669" s="4" t="s">
        <v>929</v>
      </c>
      <c r="F669" s="6">
        <v>3</v>
      </c>
      <c r="G669" s="7">
        <v>0</v>
      </c>
      <c r="H669" s="7">
        <v>0</v>
      </c>
      <c r="I669" s="5">
        <v>1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3</v>
      </c>
      <c r="V669" s="7">
        <v>0</v>
      </c>
      <c r="W669" s="7">
        <v>0</v>
      </c>
      <c r="X669" s="5">
        <v>1</v>
      </c>
      <c r="Y669" s="5">
        <v>2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1.5</v>
      </c>
      <c r="AL669" s="5">
        <v>1</v>
      </c>
      <c r="AM669" s="5">
        <v>2</v>
      </c>
      <c r="AN669" s="28">
        <v>0.52</v>
      </c>
    </row>
    <row r="670">
      <c r="A670" s="24">
        <v>6156</v>
      </c>
      <c r="B670" s="9" t="s">
        <v>930</v>
      </c>
      <c r="C670" s="9" t="s">
        <v>65</v>
      </c>
      <c r="D670" s="9" t="s">
        <v>127</v>
      </c>
      <c r="E670" s="9" t="s">
        <v>281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0.24</v>
      </c>
    </row>
    <row r="671">
      <c r="A671" s="23">
        <v>6171</v>
      </c>
      <c r="B671" s="4" t="s">
        <v>931</v>
      </c>
      <c r="C671" s="4" t="s">
        <v>65</v>
      </c>
      <c r="D671" s="4" t="s">
        <v>111</v>
      </c>
      <c r="E671" s="4" t="s">
        <v>112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1">
        <v>0</v>
      </c>
    </row>
    <row r="672">
      <c r="A672" s="24">
        <v>6202</v>
      </c>
      <c r="B672" s="9" t="s">
        <v>932</v>
      </c>
      <c r="C672" s="9" t="s">
        <v>573</v>
      </c>
      <c r="D672" s="9" t="s">
        <v>574</v>
      </c>
      <c r="E672" s="9" t="s">
        <v>305</v>
      </c>
      <c r="F672" s="11">
        <v>2</v>
      </c>
      <c r="G672" s="12">
        <v>0</v>
      </c>
      <c r="H672" s="12">
        <v>0</v>
      </c>
      <c r="I672" s="12">
        <v>0</v>
      </c>
      <c r="J672" s="10">
        <v>2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2</v>
      </c>
      <c r="V672" s="12">
        <v>0</v>
      </c>
      <c r="W672" s="12">
        <v>0</v>
      </c>
      <c r="X672" s="12">
        <v>0</v>
      </c>
      <c r="Y672" s="10">
        <v>2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29">
        <v>0.52</v>
      </c>
    </row>
    <row r="673">
      <c r="A673" s="23">
        <v>6228</v>
      </c>
      <c r="B673" s="4" t="s">
        <v>933</v>
      </c>
      <c r="C673" s="4" t="s">
        <v>510</v>
      </c>
      <c r="D673" s="4" t="s">
        <v>511</v>
      </c>
      <c r="E673" s="4" t="s">
        <v>922</v>
      </c>
      <c r="F673" s="6">
        <v>1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6277</v>
      </c>
      <c r="B674" s="9" t="s">
        <v>934</v>
      </c>
      <c r="C674" s="9" t="s">
        <v>65</v>
      </c>
      <c r="D674" s="9" t="s">
        <v>111</v>
      </c>
      <c r="E674" s="9" t="s">
        <v>571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0">
        <v>0</v>
      </c>
    </row>
    <row r="675">
      <c r="A675" s="23">
        <v>6286</v>
      </c>
      <c r="B675" s="4" t="s">
        <v>935</v>
      </c>
      <c r="C675" s="4" t="s">
        <v>65</v>
      </c>
      <c r="D675" s="4" t="s">
        <v>71</v>
      </c>
      <c r="E675" s="4" t="s">
        <v>476</v>
      </c>
      <c r="F675" s="6">
        <v>17</v>
      </c>
      <c r="G675" s="5">
        <v>1</v>
      </c>
      <c r="H675" s="7">
        <v>0</v>
      </c>
      <c r="I675" s="7">
        <v>0</v>
      </c>
      <c r="J675" s="5">
        <v>16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16</v>
      </c>
      <c r="V675" s="5">
        <v>1</v>
      </c>
      <c r="W675" s="7">
        <v>0</v>
      </c>
      <c r="X675" s="7">
        <v>0</v>
      </c>
      <c r="Y675" s="5">
        <v>15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5.67</v>
      </c>
      <c r="AL675" s="5">
        <v>1</v>
      </c>
      <c r="AM675" s="5">
        <v>15</v>
      </c>
      <c r="AN675" s="28">
        <v>3.75</v>
      </c>
    </row>
    <row r="676">
      <c r="A676" s="24">
        <v>6297</v>
      </c>
      <c r="B676" s="9" t="s">
        <v>936</v>
      </c>
      <c r="C676" s="9" t="s">
        <v>65</v>
      </c>
      <c r="D676" s="9" t="s">
        <v>79</v>
      </c>
      <c r="E676" s="9" t="s">
        <v>133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6303</v>
      </c>
      <c r="B677" s="4" t="s">
        <v>937</v>
      </c>
      <c r="C677" s="4" t="s">
        <v>65</v>
      </c>
      <c r="D677" s="4" t="s">
        <v>111</v>
      </c>
      <c r="E677" s="4" t="s">
        <v>151</v>
      </c>
      <c r="F677" s="6">
        <v>3</v>
      </c>
      <c r="G677" s="5">
        <v>3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3</v>
      </c>
      <c r="V677" s="5">
        <v>3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1.5</v>
      </c>
      <c r="AL677" s="5">
        <v>1</v>
      </c>
      <c r="AM677" s="5">
        <v>2</v>
      </c>
      <c r="AN677" s="31">
        <v>0</v>
      </c>
    </row>
    <row r="678">
      <c r="A678" s="24">
        <v>6313</v>
      </c>
      <c r="B678" s="9" t="s">
        <v>938</v>
      </c>
      <c r="C678" s="9" t="s">
        <v>159</v>
      </c>
      <c r="D678" s="9" t="s">
        <v>160</v>
      </c>
      <c r="E678" s="9" t="s">
        <v>168</v>
      </c>
      <c r="F678" s="11">
        <v>2</v>
      </c>
      <c r="G678" s="10">
        <v>1</v>
      </c>
      <c r="H678" s="12">
        <v>0</v>
      </c>
      <c r="I678" s="12">
        <v>0</v>
      </c>
      <c r="J678" s="12">
        <v>0</v>
      </c>
      <c r="K678" s="10">
        <v>1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2</v>
      </c>
      <c r="V678" s="10">
        <v>1</v>
      </c>
      <c r="W678" s="12">
        <v>0</v>
      </c>
      <c r="X678" s="12">
        <v>0</v>
      </c>
      <c r="Y678" s="12">
        <v>0</v>
      </c>
      <c r="Z678" s="10">
        <v>1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0">
        <v>0</v>
      </c>
    </row>
    <row r="679">
      <c r="A679" s="23">
        <v>6340</v>
      </c>
      <c r="B679" s="4" t="s">
        <v>939</v>
      </c>
      <c r="C679" s="4" t="s">
        <v>65</v>
      </c>
      <c r="D679" s="4" t="s">
        <v>101</v>
      </c>
      <c r="E679" s="4" t="s">
        <v>249</v>
      </c>
      <c r="F679" s="6">
        <v>1</v>
      </c>
      <c r="G679" s="7">
        <v>0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6345</v>
      </c>
      <c r="B680" s="9" t="s">
        <v>940</v>
      </c>
      <c r="C680" s="9" t="s">
        <v>65</v>
      </c>
      <c r="D680" s="9" t="s">
        <v>71</v>
      </c>
      <c r="E680" s="9" t="s">
        <v>476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0.26</v>
      </c>
    </row>
    <row r="681">
      <c r="A681" s="23">
        <v>6346</v>
      </c>
      <c r="B681" s="4" t="s">
        <v>941</v>
      </c>
      <c r="C681" s="4" t="s">
        <v>65</v>
      </c>
      <c r="D681" s="4" t="s">
        <v>79</v>
      </c>
      <c r="E681" s="4" t="s">
        <v>942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1">
        <v>0</v>
      </c>
    </row>
    <row r="682">
      <c r="A682" s="24">
        <v>6424</v>
      </c>
      <c r="B682" s="9" t="s">
        <v>943</v>
      </c>
      <c r="C682" s="9" t="s">
        <v>510</v>
      </c>
      <c r="D682" s="9" t="s">
        <v>944</v>
      </c>
      <c r="E682" s="9" t="s">
        <v>945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30">
        <v>0</v>
      </c>
    </row>
    <row r="683">
      <c r="A683" s="23">
        <v>6434</v>
      </c>
      <c r="B683" s="4" t="s">
        <v>542</v>
      </c>
      <c r="C683" s="4" t="s">
        <v>65</v>
      </c>
      <c r="D683" s="4" t="s">
        <v>71</v>
      </c>
      <c r="E683" s="4" t="s">
        <v>476</v>
      </c>
      <c r="F683" s="6">
        <v>1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0.25</v>
      </c>
    </row>
    <row r="684">
      <c r="A684" s="24">
        <v>6446</v>
      </c>
      <c r="B684" s="9" t="s">
        <v>946</v>
      </c>
      <c r="C684" s="9" t="s">
        <v>65</v>
      </c>
      <c r="D684" s="9" t="s">
        <v>71</v>
      </c>
      <c r="E684" s="9" t="s">
        <v>476</v>
      </c>
      <c r="F684" s="11">
        <v>9</v>
      </c>
      <c r="G684" s="12">
        <v>0</v>
      </c>
      <c r="H684" s="12">
        <v>0</v>
      </c>
      <c r="I684" s="12">
        <v>0</v>
      </c>
      <c r="J684" s="10">
        <v>9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7</v>
      </c>
      <c r="V684" s="12">
        <v>0</v>
      </c>
      <c r="W684" s="12">
        <v>0</v>
      </c>
      <c r="X684" s="12">
        <v>0</v>
      </c>
      <c r="Y684" s="10">
        <v>7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9</v>
      </c>
      <c r="AK684" s="13">
        <v>9</v>
      </c>
      <c r="AL684" s="10">
        <v>9</v>
      </c>
      <c r="AM684" s="10">
        <v>9</v>
      </c>
      <c r="AN684" s="29">
        <v>1.75</v>
      </c>
    </row>
    <row r="685">
      <c r="A685" s="23">
        <v>6447</v>
      </c>
      <c r="B685" s="4" t="s">
        <v>947</v>
      </c>
      <c r="C685" s="4" t="s">
        <v>65</v>
      </c>
      <c r="D685" s="4" t="s">
        <v>74</v>
      </c>
      <c r="E685" s="4" t="s">
        <v>77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0.26</v>
      </c>
    </row>
    <row r="686">
      <c r="A686" s="24">
        <v>6462</v>
      </c>
      <c r="B686" s="9" t="s">
        <v>948</v>
      </c>
      <c r="C686" s="9" t="s">
        <v>159</v>
      </c>
      <c r="D686" s="9" t="s">
        <v>533</v>
      </c>
      <c r="E686" s="9" t="s">
        <v>949</v>
      </c>
      <c r="F686" s="11">
        <v>2</v>
      </c>
      <c r="G686" s="12">
        <v>0</v>
      </c>
      <c r="H686" s="10">
        <v>2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2">
        <v>0</v>
      </c>
      <c r="W686" s="10">
        <v>1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29">
        <v>0.24</v>
      </c>
    </row>
    <row r="687">
      <c r="A687" s="23">
        <v>6467</v>
      </c>
      <c r="B687" s="4" t="s">
        <v>950</v>
      </c>
      <c r="C687" s="4" t="s">
        <v>65</v>
      </c>
      <c r="D687" s="4" t="s">
        <v>74</v>
      </c>
      <c r="E687" s="4" t="s">
        <v>75</v>
      </c>
      <c r="F687" s="6">
        <v>1</v>
      </c>
      <c r="G687" s="7">
        <v>0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7">
        <v>0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0.26</v>
      </c>
    </row>
    <row r="688">
      <c r="A688" s="24">
        <v>6483</v>
      </c>
      <c r="B688" s="9" t="s">
        <v>951</v>
      </c>
      <c r="C688" s="9" t="s">
        <v>65</v>
      </c>
      <c r="D688" s="9" t="s">
        <v>66</v>
      </c>
      <c r="E688" s="9" t="s">
        <v>69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0">
        <v>0</v>
      </c>
    </row>
    <row r="689">
      <c r="A689" s="23">
        <v>6485</v>
      </c>
      <c r="B689" s="4" t="s">
        <v>952</v>
      </c>
      <c r="C689" s="4" t="s">
        <v>65</v>
      </c>
      <c r="D689" s="4" t="s">
        <v>101</v>
      </c>
      <c r="E689" s="4" t="s">
        <v>102</v>
      </c>
      <c r="F689" s="6">
        <v>1</v>
      </c>
      <c r="G689" s="7">
        <v>0</v>
      </c>
      <c r="H689" s="7">
        <v>0</v>
      </c>
      <c r="I689" s="5">
        <v>1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7">
        <v>0</v>
      </c>
      <c r="W689" s="7">
        <v>0</v>
      </c>
      <c r="X689" s="5">
        <v>1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1">
        <v>0</v>
      </c>
    </row>
    <row r="690">
      <c r="A690" s="24">
        <v>6605</v>
      </c>
      <c r="B690" s="9" t="s">
        <v>953</v>
      </c>
      <c r="C690" s="9" t="s">
        <v>510</v>
      </c>
      <c r="D690" s="9" t="s">
        <v>511</v>
      </c>
      <c r="E690" s="9" t="s">
        <v>954</v>
      </c>
      <c r="F690" s="11">
        <v>1</v>
      </c>
      <c r="G690" s="12">
        <v>0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2">
        <v>0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0.26</v>
      </c>
    </row>
    <row r="691">
      <c r="A691" s="23">
        <v>6644</v>
      </c>
      <c r="B691" s="4" t="s">
        <v>955</v>
      </c>
      <c r="C691" s="4" t="s">
        <v>510</v>
      </c>
      <c r="D691" s="4" t="s">
        <v>566</v>
      </c>
      <c r="E691" s="4" t="s">
        <v>956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0.36</v>
      </c>
    </row>
    <row r="692">
      <c r="A692" s="24">
        <v>6660</v>
      </c>
      <c r="B692" s="9" t="s">
        <v>957</v>
      </c>
      <c r="C692" s="9" t="s">
        <v>65</v>
      </c>
      <c r="D692" s="9" t="s">
        <v>101</v>
      </c>
      <c r="E692" s="9" t="s">
        <v>289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0.25</v>
      </c>
    </row>
    <row r="693">
      <c r="A693" s="23">
        <v>6667</v>
      </c>
      <c r="B693" s="4" t="s">
        <v>958</v>
      </c>
      <c r="C693" s="4" t="s">
        <v>65</v>
      </c>
      <c r="D693" s="4" t="s">
        <v>101</v>
      </c>
      <c r="E693" s="4" t="s">
        <v>289</v>
      </c>
      <c r="F693" s="6">
        <v>5</v>
      </c>
      <c r="G693" s="7">
        <v>0</v>
      </c>
      <c r="H693" s="7">
        <v>0</v>
      </c>
      <c r="I693" s="7">
        <v>0</v>
      </c>
      <c r="J693" s="5">
        <v>5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2</v>
      </c>
      <c r="V693" s="7">
        <v>0</v>
      </c>
      <c r="W693" s="7">
        <v>0</v>
      </c>
      <c r="X693" s="7">
        <v>0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5</v>
      </c>
      <c r="AK693" s="8">
        <v>5</v>
      </c>
      <c r="AL693" s="5">
        <v>5</v>
      </c>
      <c r="AM693" s="5">
        <v>5</v>
      </c>
      <c r="AN693" s="28">
        <v>0.5</v>
      </c>
    </row>
    <row r="694">
      <c r="A694" s="24">
        <v>6697</v>
      </c>
      <c r="B694" s="9" t="s">
        <v>959</v>
      </c>
      <c r="C694" s="9" t="s">
        <v>573</v>
      </c>
      <c r="D694" s="9" t="s">
        <v>781</v>
      </c>
      <c r="E694" s="9" t="s">
        <v>305</v>
      </c>
      <c r="F694" s="11">
        <v>5</v>
      </c>
      <c r="G694" s="12">
        <v>0</v>
      </c>
      <c r="H694" s="12">
        <v>0</v>
      </c>
      <c r="I694" s="12">
        <v>0</v>
      </c>
      <c r="J694" s="10">
        <v>5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5</v>
      </c>
      <c r="V694" s="12">
        <v>0</v>
      </c>
      <c r="W694" s="12">
        <v>0</v>
      </c>
      <c r="X694" s="12">
        <v>0</v>
      </c>
      <c r="Y694" s="10">
        <v>5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2.5</v>
      </c>
      <c r="AL694" s="10">
        <v>2</v>
      </c>
      <c r="AM694" s="10">
        <v>4</v>
      </c>
      <c r="AN694" s="29">
        <v>1.3</v>
      </c>
    </row>
    <row r="695">
      <c r="A695" s="23">
        <v>6708</v>
      </c>
      <c r="B695" s="4" t="s">
        <v>960</v>
      </c>
      <c r="C695" s="4" t="s">
        <v>510</v>
      </c>
      <c r="D695" s="4" t="s">
        <v>961</v>
      </c>
      <c r="E695" s="4" t="s">
        <v>962</v>
      </c>
      <c r="F695" s="6">
        <v>1</v>
      </c>
      <c r="G695" s="7">
        <v>0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7">
        <v>0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0.25</v>
      </c>
    </row>
    <row r="696">
      <c r="A696" s="24">
        <v>6709</v>
      </c>
      <c r="B696" s="9" t="s">
        <v>963</v>
      </c>
      <c r="C696" s="9" t="s">
        <v>65</v>
      </c>
      <c r="D696" s="9" t="s">
        <v>98</v>
      </c>
      <c r="E696" s="9" t="s">
        <v>139</v>
      </c>
      <c r="F696" s="11">
        <v>3</v>
      </c>
      <c r="G696" s="10">
        <v>3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2</v>
      </c>
      <c r="V696" s="10">
        <v>2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1.5</v>
      </c>
      <c r="AL696" s="10">
        <v>1</v>
      </c>
      <c r="AM696" s="10">
        <v>2</v>
      </c>
      <c r="AN696" s="29">
        <v>0.39</v>
      </c>
    </row>
    <row r="697">
      <c r="A697" s="23">
        <v>6729</v>
      </c>
      <c r="B697" s="4" t="s">
        <v>964</v>
      </c>
      <c r="C697" s="4" t="s">
        <v>65</v>
      </c>
      <c r="D697" s="4" t="s">
        <v>101</v>
      </c>
      <c r="E697" s="4" t="s">
        <v>249</v>
      </c>
      <c r="F697" s="6">
        <v>3</v>
      </c>
      <c r="G697" s="5">
        <v>3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2</v>
      </c>
      <c r="V697" s="5">
        <v>2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1.5</v>
      </c>
      <c r="AL697" s="5">
        <v>1</v>
      </c>
      <c r="AM697" s="5">
        <v>2</v>
      </c>
      <c r="AN697" s="28">
        <v>0.39</v>
      </c>
    </row>
    <row r="698">
      <c r="A698" s="24">
        <v>6900</v>
      </c>
      <c r="B698" s="9" t="s">
        <v>965</v>
      </c>
      <c r="C698" s="9" t="s">
        <v>65</v>
      </c>
      <c r="D698" s="9" t="s">
        <v>111</v>
      </c>
      <c r="E698" s="9" t="s">
        <v>151</v>
      </c>
      <c r="F698" s="11">
        <v>2</v>
      </c>
      <c r="G698" s="10">
        <v>2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2</v>
      </c>
      <c r="V698" s="10">
        <v>2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6914</v>
      </c>
      <c r="B699" s="4" t="s">
        <v>966</v>
      </c>
      <c r="C699" s="4" t="s">
        <v>65</v>
      </c>
      <c r="D699" s="4" t="s">
        <v>120</v>
      </c>
      <c r="E699" s="4" t="s">
        <v>453</v>
      </c>
      <c r="F699" s="6">
        <v>2</v>
      </c>
      <c r="G699" s="7">
        <v>0</v>
      </c>
      <c r="H699" s="7">
        <v>0</v>
      </c>
      <c r="I699" s="7">
        <v>0</v>
      </c>
      <c r="J699" s="5">
        <v>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2</v>
      </c>
      <c r="V699" s="7">
        <v>0</v>
      </c>
      <c r="W699" s="7">
        <v>0</v>
      </c>
      <c r="X699" s="7">
        <v>0</v>
      </c>
      <c r="Y699" s="5">
        <v>2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28">
        <v>0.5</v>
      </c>
    </row>
    <row r="700">
      <c r="A700" s="24">
        <v>6923</v>
      </c>
      <c r="B700" s="9" t="s">
        <v>967</v>
      </c>
      <c r="C700" s="9" t="s">
        <v>65</v>
      </c>
      <c r="D700" s="9" t="s">
        <v>111</v>
      </c>
      <c r="E700" s="9" t="s">
        <v>151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30">
        <v>0</v>
      </c>
    </row>
    <row r="701">
      <c r="A701" s="23">
        <v>6970</v>
      </c>
      <c r="B701" s="4" t="s">
        <v>968</v>
      </c>
      <c r="C701" s="4" t="s">
        <v>135</v>
      </c>
      <c r="D701" s="4" t="s">
        <v>464</v>
      </c>
      <c r="E701" s="4" t="s">
        <v>969</v>
      </c>
      <c r="F701" s="6">
        <v>1</v>
      </c>
      <c r="G701" s="7">
        <v>0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7">
        <v>0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0.24</v>
      </c>
    </row>
    <row r="702">
      <c r="A702" s="24">
        <v>6997</v>
      </c>
      <c r="B702" s="9" t="s">
        <v>970</v>
      </c>
      <c r="C702" s="9" t="s">
        <v>135</v>
      </c>
      <c r="D702" s="9" t="s">
        <v>136</v>
      </c>
      <c r="E702" s="9" t="s">
        <v>394</v>
      </c>
      <c r="F702" s="11">
        <v>3</v>
      </c>
      <c r="G702" s="10">
        <v>1</v>
      </c>
      <c r="H702" s="12">
        <v>0</v>
      </c>
      <c r="I702" s="10">
        <v>2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3</v>
      </c>
      <c r="V702" s="10">
        <v>1</v>
      </c>
      <c r="W702" s="12">
        <v>0</v>
      </c>
      <c r="X702" s="10">
        <v>2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0.22</v>
      </c>
    </row>
    <row r="703">
      <c r="A703" s="23">
        <v>6998</v>
      </c>
      <c r="B703" s="4" t="s">
        <v>971</v>
      </c>
      <c r="C703" s="4" t="s">
        <v>135</v>
      </c>
      <c r="D703" s="4" t="s">
        <v>136</v>
      </c>
      <c r="E703" s="4" t="s">
        <v>394</v>
      </c>
      <c r="F703" s="6">
        <v>1</v>
      </c>
      <c r="G703" s="7">
        <v>0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</v>
      </c>
      <c r="V703" s="7">
        <v>0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28">
        <v>0.22</v>
      </c>
    </row>
    <row r="704">
      <c r="A704" s="24">
        <v>7162</v>
      </c>
      <c r="B704" s="9" t="s">
        <v>972</v>
      </c>
      <c r="C704" s="9" t="s">
        <v>973</v>
      </c>
      <c r="D704" s="9" t="s">
        <v>974</v>
      </c>
      <c r="E704" s="9" t="s">
        <v>975</v>
      </c>
      <c r="F704" s="11">
        <v>1</v>
      </c>
      <c r="G704" s="12">
        <v>0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</v>
      </c>
      <c r="V704" s="12">
        <v>0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0.22</v>
      </c>
    </row>
    <row r="705">
      <c r="A705" s="23">
        <v>7168</v>
      </c>
      <c r="B705" s="4" t="s">
        <v>976</v>
      </c>
      <c r="C705" s="4" t="s">
        <v>973</v>
      </c>
      <c r="D705" s="4" t="s">
        <v>974</v>
      </c>
      <c r="E705" s="4" t="s">
        <v>977</v>
      </c>
      <c r="F705" s="6">
        <v>3</v>
      </c>
      <c r="G705" s="7">
        <v>0</v>
      </c>
      <c r="H705" s="7">
        <v>0</v>
      </c>
      <c r="I705" s="5">
        <v>3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3</v>
      </c>
      <c r="V705" s="7">
        <v>0</v>
      </c>
      <c r="W705" s="7">
        <v>0</v>
      </c>
      <c r="X705" s="5">
        <v>3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3</v>
      </c>
      <c r="AK705" s="8">
        <v>3</v>
      </c>
      <c r="AL705" s="5">
        <v>3</v>
      </c>
      <c r="AM705" s="5">
        <v>3</v>
      </c>
      <c r="AN705" s="28">
        <v>0.51</v>
      </c>
    </row>
    <row r="706">
      <c r="A706" s="24">
        <v>7201</v>
      </c>
      <c r="B706" s="9" t="s">
        <v>978</v>
      </c>
      <c r="C706" s="9" t="s">
        <v>979</v>
      </c>
      <c r="D706" s="9" t="s">
        <v>980</v>
      </c>
      <c r="E706" s="9" t="s">
        <v>305</v>
      </c>
      <c r="F706" s="11">
        <v>2</v>
      </c>
      <c r="G706" s="12">
        <v>0</v>
      </c>
      <c r="H706" s="12">
        <v>0</v>
      </c>
      <c r="I706" s="12">
        <v>0</v>
      </c>
      <c r="J706" s="10">
        <v>2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2</v>
      </c>
      <c r="V706" s="12">
        <v>0</v>
      </c>
      <c r="W706" s="12">
        <v>0</v>
      </c>
      <c r="X706" s="12">
        <v>0</v>
      </c>
      <c r="Y706" s="10">
        <v>2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29">
        <v>0.5</v>
      </c>
    </row>
    <row r="707">
      <c r="A707" s="23">
        <v>7341</v>
      </c>
      <c r="B707" s="4" t="s">
        <v>981</v>
      </c>
      <c r="C707" s="4" t="s">
        <v>982</v>
      </c>
      <c r="D707" s="4" t="s">
        <v>305</v>
      </c>
      <c r="E707" s="4" t="s">
        <v>305</v>
      </c>
      <c r="F707" s="6">
        <v>24</v>
      </c>
      <c r="G707" s="7">
        <v>0</v>
      </c>
      <c r="H707" s="7">
        <v>0</v>
      </c>
      <c r="I707" s="5">
        <v>3</v>
      </c>
      <c r="J707" s="5">
        <v>21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21</v>
      </c>
      <c r="V707" s="7">
        <v>0</v>
      </c>
      <c r="W707" s="7">
        <v>0</v>
      </c>
      <c r="X707" s="5">
        <v>2</v>
      </c>
      <c r="Y707" s="5">
        <v>19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8</v>
      </c>
      <c r="AL707" s="5">
        <v>2</v>
      </c>
      <c r="AM707" s="5">
        <v>21</v>
      </c>
      <c r="AN707" s="28">
        <v>4.75</v>
      </c>
    </row>
    <row r="708">
      <c r="A708" s="24">
        <v>7349</v>
      </c>
      <c r="B708" s="9" t="s">
        <v>983</v>
      </c>
      <c r="C708" s="9" t="s">
        <v>135</v>
      </c>
      <c r="D708" s="9" t="s">
        <v>307</v>
      </c>
      <c r="E708" s="9" t="s">
        <v>984</v>
      </c>
      <c r="F708" s="11">
        <v>2</v>
      </c>
      <c r="G708" s="12">
        <v>0</v>
      </c>
      <c r="H708" s="12">
        <v>0</v>
      </c>
      <c r="I708" s="10">
        <v>2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2</v>
      </c>
      <c r="V708" s="12">
        <v>0</v>
      </c>
      <c r="W708" s="12">
        <v>0</v>
      </c>
      <c r="X708" s="10">
        <v>2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0.22</v>
      </c>
    </row>
    <row r="709">
      <c r="A709" s="23">
        <v>7370</v>
      </c>
      <c r="B709" s="4" t="s">
        <v>985</v>
      </c>
      <c r="C709" s="4" t="s">
        <v>65</v>
      </c>
      <c r="D709" s="4" t="s">
        <v>71</v>
      </c>
      <c r="E709" s="4" t="s">
        <v>116</v>
      </c>
      <c r="F709" s="6">
        <v>1</v>
      </c>
      <c r="G709" s="5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1">
        <v>0</v>
      </c>
    </row>
    <row r="710">
      <c r="A710" s="24">
        <v>7439</v>
      </c>
      <c r="B710" s="9" t="s">
        <v>986</v>
      </c>
      <c r="C710" s="9" t="s">
        <v>573</v>
      </c>
      <c r="D710" s="9" t="s">
        <v>716</v>
      </c>
      <c r="E710" s="9" t="s">
        <v>305</v>
      </c>
      <c r="F710" s="11">
        <v>4</v>
      </c>
      <c r="G710" s="12">
        <v>0</v>
      </c>
      <c r="H710" s="12">
        <v>0</v>
      </c>
      <c r="I710" s="10">
        <v>3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4</v>
      </c>
      <c r="V710" s="12">
        <v>0</v>
      </c>
      <c r="W710" s="12">
        <v>0</v>
      </c>
      <c r="X710" s="10">
        <v>3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1.33</v>
      </c>
      <c r="AL710" s="10">
        <v>1</v>
      </c>
      <c r="AM710" s="10">
        <v>2</v>
      </c>
      <c r="AN710" s="29">
        <v>0.25</v>
      </c>
    </row>
    <row r="711">
      <c r="A711" s="23">
        <v>7471</v>
      </c>
      <c r="B711" s="4" t="s">
        <v>987</v>
      </c>
      <c r="C711" s="4" t="s">
        <v>65</v>
      </c>
      <c r="D711" s="4" t="s">
        <v>74</v>
      </c>
      <c r="E711" s="4" t="s">
        <v>82</v>
      </c>
      <c r="F711" s="6">
        <v>1</v>
      </c>
      <c r="G711" s="7">
        <v>0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0.25</v>
      </c>
    </row>
    <row r="712">
      <c r="A712" s="24">
        <v>7490</v>
      </c>
      <c r="B712" s="9" t="s">
        <v>988</v>
      </c>
      <c r="C712" s="9" t="s">
        <v>65</v>
      </c>
      <c r="D712" s="9" t="s">
        <v>104</v>
      </c>
      <c r="E712" s="9" t="s">
        <v>105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0">
        <v>0</v>
      </c>
    </row>
    <row r="713">
      <c r="A713" s="23">
        <v>7534</v>
      </c>
      <c r="B713" s="4" t="s">
        <v>989</v>
      </c>
      <c r="C713" s="4" t="s">
        <v>65</v>
      </c>
      <c r="D713" s="4" t="s">
        <v>87</v>
      </c>
      <c r="E713" s="4" t="s">
        <v>93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1">
        <v>0</v>
      </c>
    </row>
    <row r="714">
      <c r="A714" s="24">
        <v>7537</v>
      </c>
      <c r="B714" s="9" t="s">
        <v>990</v>
      </c>
      <c r="C714" s="9" t="s">
        <v>65</v>
      </c>
      <c r="D714" s="9" t="s">
        <v>101</v>
      </c>
      <c r="E714" s="9" t="s">
        <v>249</v>
      </c>
      <c r="F714" s="11">
        <v>2</v>
      </c>
      <c r="G714" s="10">
        <v>1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0">
        <v>1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7552</v>
      </c>
      <c r="B715" s="4" t="s">
        <v>991</v>
      </c>
      <c r="C715" s="4" t="s">
        <v>135</v>
      </c>
      <c r="D715" s="4" t="s">
        <v>561</v>
      </c>
      <c r="E715" s="4" t="s">
        <v>305</v>
      </c>
      <c r="F715" s="6">
        <v>2</v>
      </c>
      <c r="G715" s="7">
        <v>0</v>
      </c>
      <c r="H715" s="7">
        <v>0</v>
      </c>
      <c r="I715" s="7">
        <v>0</v>
      </c>
      <c r="J715" s="5">
        <v>2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7">
        <v>0</v>
      </c>
      <c r="W715" s="7">
        <v>0</v>
      </c>
      <c r="X715" s="7">
        <v>0</v>
      </c>
      <c r="Y715" s="5">
        <v>2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</v>
      </c>
      <c r="AL715" s="5">
        <v>2</v>
      </c>
      <c r="AM715" s="5">
        <v>2</v>
      </c>
      <c r="AN715" s="28">
        <v>0.44</v>
      </c>
    </row>
    <row r="716">
      <c r="A716" s="24">
        <v>7561</v>
      </c>
      <c r="B716" s="9" t="s">
        <v>992</v>
      </c>
      <c r="C716" s="9" t="s">
        <v>135</v>
      </c>
      <c r="D716" s="9" t="s">
        <v>136</v>
      </c>
      <c r="E716" s="9" t="s">
        <v>394</v>
      </c>
      <c r="F716" s="11">
        <v>1</v>
      </c>
      <c r="G716" s="12">
        <v>0</v>
      </c>
      <c r="H716" s="12">
        <v>0</v>
      </c>
      <c r="I716" s="10">
        <v>1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2">
        <v>0</v>
      </c>
      <c r="W716" s="12">
        <v>0</v>
      </c>
      <c r="X716" s="10">
        <v>1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7589</v>
      </c>
      <c r="B717" s="4" t="s">
        <v>993</v>
      </c>
      <c r="C717" s="4" t="s">
        <v>65</v>
      </c>
      <c r="D717" s="4" t="s">
        <v>71</v>
      </c>
      <c r="E717" s="4" t="s">
        <v>116</v>
      </c>
      <c r="F717" s="6">
        <v>2</v>
      </c>
      <c r="G717" s="5">
        <v>2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</v>
      </c>
      <c r="V717" s="5">
        <v>2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</v>
      </c>
      <c r="AL717" s="5">
        <v>2</v>
      </c>
      <c r="AM717" s="5">
        <v>2</v>
      </c>
      <c r="AN717" s="31">
        <v>0</v>
      </c>
    </row>
    <row r="718">
      <c r="A718" s="24">
        <v>7591</v>
      </c>
      <c r="B718" s="9" t="s">
        <v>994</v>
      </c>
      <c r="C718" s="9" t="s">
        <v>65</v>
      </c>
      <c r="D718" s="9" t="s">
        <v>101</v>
      </c>
      <c r="E718" s="9" t="s">
        <v>102</v>
      </c>
      <c r="F718" s="11">
        <v>2</v>
      </c>
      <c r="G718" s="10">
        <v>2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2</v>
      </c>
      <c r="V718" s="10">
        <v>2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0.62</v>
      </c>
    </row>
    <row r="719">
      <c r="A719" s="23">
        <v>7598</v>
      </c>
      <c r="B719" s="4" t="s">
        <v>995</v>
      </c>
      <c r="C719" s="4" t="s">
        <v>65</v>
      </c>
      <c r="D719" s="4" t="s">
        <v>98</v>
      </c>
      <c r="E719" s="4" t="s">
        <v>522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31">
        <v>0</v>
      </c>
    </row>
    <row r="720">
      <c r="A720" s="24">
        <v>7622</v>
      </c>
      <c r="B720" s="9" t="s">
        <v>996</v>
      </c>
      <c r="C720" s="9" t="s">
        <v>65</v>
      </c>
      <c r="D720" s="9" t="s">
        <v>111</v>
      </c>
      <c r="E720" s="9" t="s">
        <v>188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30">
        <v>0</v>
      </c>
    </row>
    <row r="721">
      <c r="A721" s="23">
        <v>7633</v>
      </c>
      <c r="B721" s="4" t="s">
        <v>997</v>
      </c>
      <c r="C721" s="4" t="s">
        <v>65</v>
      </c>
      <c r="D721" s="4" t="s">
        <v>71</v>
      </c>
      <c r="E721" s="4" t="s">
        <v>123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31">
        <v>0</v>
      </c>
    </row>
    <row r="722">
      <c r="A722" s="24">
        <v>7650</v>
      </c>
      <c r="B722" s="9" t="s">
        <v>998</v>
      </c>
      <c r="C722" s="9" t="s">
        <v>65</v>
      </c>
      <c r="D722" s="9" t="s">
        <v>87</v>
      </c>
      <c r="E722" s="9" t="s">
        <v>409</v>
      </c>
      <c r="F722" s="11">
        <v>2</v>
      </c>
      <c r="G722" s="10">
        <v>1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2</v>
      </c>
      <c r="V722" s="10">
        <v>1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7665</v>
      </c>
      <c r="B723" s="4" t="s">
        <v>999</v>
      </c>
      <c r="C723" s="4" t="s">
        <v>65</v>
      </c>
      <c r="D723" s="4" t="s">
        <v>71</v>
      </c>
      <c r="E723" s="4" t="s">
        <v>72</v>
      </c>
      <c r="F723" s="6">
        <v>3</v>
      </c>
      <c r="G723" s="5">
        <v>3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3</v>
      </c>
      <c r="V723" s="5">
        <v>3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3</v>
      </c>
      <c r="AK723" s="8">
        <v>3</v>
      </c>
      <c r="AL723" s="5">
        <v>3</v>
      </c>
      <c r="AM723" s="5">
        <v>3</v>
      </c>
      <c r="AN723" s="31">
        <v>0</v>
      </c>
    </row>
    <row r="724">
      <c r="A724" s="24">
        <v>7793</v>
      </c>
      <c r="B724" s="9" t="s">
        <v>1000</v>
      </c>
      <c r="C724" s="9" t="s">
        <v>973</v>
      </c>
      <c r="D724" s="9" t="s">
        <v>974</v>
      </c>
      <c r="E724" s="9" t="s">
        <v>1001</v>
      </c>
      <c r="F724" s="11">
        <v>3</v>
      </c>
      <c r="G724" s="12">
        <v>0</v>
      </c>
      <c r="H724" s="12">
        <v>0</v>
      </c>
      <c r="I724" s="10">
        <v>3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3</v>
      </c>
      <c r="V724" s="12">
        <v>0</v>
      </c>
      <c r="W724" s="12">
        <v>0</v>
      </c>
      <c r="X724" s="10">
        <v>3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3</v>
      </c>
      <c r="AK724" s="13">
        <v>3</v>
      </c>
      <c r="AL724" s="10">
        <v>3</v>
      </c>
      <c r="AM724" s="10">
        <v>3</v>
      </c>
      <c r="AN724" s="29">
        <v>0.75</v>
      </c>
    </row>
    <row r="725">
      <c r="A725" s="23">
        <v>7925</v>
      </c>
      <c r="B725" s="4" t="s">
        <v>1002</v>
      </c>
      <c r="C725" s="4" t="s">
        <v>159</v>
      </c>
      <c r="D725" s="4" t="s">
        <v>748</v>
      </c>
      <c r="E725" s="4" t="s">
        <v>749</v>
      </c>
      <c r="F725" s="6">
        <v>1</v>
      </c>
      <c r="G725" s="7">
        <v>0</v>
      </c>
      <c r="H725" s="7">
        <v>0</v>
      </c>
      <c r="I725" s="5">
        <v>1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7">
        <v>0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1">
        <v>0</v>
      </c>
    </row>
    <row r="726">
      <c r="A726" s="24">
        <v>7935</v>
      </c>
      <c r="B726" s="9" t="s">
        <v>1003</v>
      </c>
      <c r="C726" s="9" t="s">
        <v>65</v>
      </c>
      <c r="D726" s="9" t="s">
        <v>120</v>
      </c>
      <c r="E726" s="9" t="s">
        <v>453</v>
      </c>
      <c r="F726" s="11">
        <v>1</v>
      </c>
      <c r="G726" s="12">
        <v>0</v>
      </c>
      <c r="H726" s="12">
        <v>0</v>
      </c>
      <c r="I726" s="10">
        <v>1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2">
        <v>0</v>
      </c>
      <c r="W726" s="12">
        <v>0</v>
      </c>
      <c r="X726" s="10">
        <v>1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0">
        <v>0</v>
      </c>
    </row>
    <row r="727">
      <c r="A727" s="23">
        <v>8021</v>
      </c>
      <c r="B727" s="4" t="s">
        <v>1004</v>
      </c>
      <c r="C727" s="4" t="s">
        <v>803</v>
      </c>
      <c r="D727" s="4" t="s">
        <v>804</v>
      </c>
      <c r="E727" s="4" t="s">
        <v>1005</v>
      </c>
      <c r="F727" s="6">
        <v>3</v>
      </c>
      <c r="G727" s="5">
        <v>1</v>
      </c>
      <c r="H727" s="7">
        <v>0</v>
      </c>
      <c r="I727" s="7">
        <v>0</v>
      </c>
      <c r="J727" s="5">
        <v>2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3</v>
      </c>
      <c r="V727" s="5">
        <v>1</v>
      </c>
      <c r="W727" s="7">
        <v>0</v>
      </c>
      <c r="X727" s="7">
        <v>0</v>
      </c>
      <c r="Y727" s="5">
        <v>2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1.5</v>
      </c>
      <c r="AL727" s="5">
        <v>1</v>
      </c>
      <c r="AM727" s="5">
        <v>2</v>
      </c>
      <c r="AN727" s="28">
        <v>0.5</v>
      </c>
    </row>
    <row r="728">
      <c r="A728" s="24">
        <v>8095</v>
      </c>
      <c r="B728" s="9" t="s">
        <v>1006</v>
      </c>
      <c r="C728" s="9" t="s">
        <v>65</v>
      </c>
      <c r="D728" s="9" t="s">
        <v>120</v>
      </c>
      <c r="E728" s="9" t="s">
        <v>121</v>
      </c>
      <c r="F728" s="11">
        <v>1</v>
      </c>
      <c r="G728" s="12">
        <v>0</v>
      </c>
      <c r="H728" s="12">
        <v>0</v>
      </c>
      <c r="I728" s="10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</v>
      </c>
      <c r="V728" s="12">
        <v>0</v>
      </c>
      <c r="W728" s="12">
        <v>0</v>
      </c>
      <c r="X728" s="10">
        <v>1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30">
        <v>0</v>
      </c>
    </row>
    <row r="729">
      <c r="A729" s="23">
        <v>8098</v>
      </c>
      <c r="B729" s="4" t="s">
        <v>1007</v>
      </c>
      <c r="C729" s="4" t="s">
        <v>159</v>
      </c>
      <c r="D729" s="4" t="s">
        <v>160</v>
      </c>
      <c r="E729" s="4" t="s">
        <v>161</v>
      </c>
      <c r="F729" s="6">
        <v>1</v>
      </c>
      <c r="G729" s="7">
        <v>0</v>
      </c>
      <c r="H729" s="7">
        <v>0</v>
      </c>
      <c r="I729" s="5">
        <v>1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7">
        <v>0</v>
      </c>
      <c r="W729" s="7">
        <v>0</v>
      </c>
      <c r="X729" s="5">
        <v>1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0.25</v>
      </c>
    </row>
    <row r="730">
      <c r="A730" s="24">
        <v>8107</v>
      </c>
      <c r="B730" s="9" t="s">
        <v>1008</v>
      </c>
      <c r="C730" s="9" t="s">
        <v>65</v>
      </c>
      <c r="D730" s="9" t="s">
        <v>71</v>
      </c>
      <c r="E730" s="9" t="s">
        <v>476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8111</v>
      </c>
      <c r="B731" s="4" t="s">
        <v>1009</v>
      </c>
      <c r="C731" s="4" t="s">
        <v>65</v>
      </c>
      <c r="D731" s="4" t="s">
        <v>71</v>
      </c>
      <c r="E731" s="4" t="s">
        <v>476</v>
      </c>
      <c r="F731" s="6">
        <v>3</v>
      </c>
      <c r="G731" s="7">
        <v>0</v>
      </c>
      <c r="H731" s="7">
        <v>0</v>
      </c>
      <c r="I731" s="7">
        <v>0</v>
      </c>
      <c r="J731" s="5">
        <v>3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2</v>
      </c>
      <c r="V731" s="7">
        <v>0</v>
      </c>
      <c r="W731" s="7">
        <v>0</v>
      </c>
      <c r="X731" s="7">
        <v>0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3</v>
      </c>
      <c r="AK731" s="8">
        <v>3</v>
      </c>
      <c r="AL731" s="5">
        <v>3</v>
      </c>
      <c r="AM731" s="5">
        <v>3</v>
      </c>
      <c r="AN731" s="28">
        <v>0.5</v>
      </c>
    </row>
    <row r="732">
      <c r="A732" s="24">
        <v>8119</v>
      </c>
      <c r="B732" s="9" t="s">
        <v>1010</v>
      </c>
      <c r="C732" s="9" t="s">
        <v>159</v>
      </c>
      <c r="D732" s="9" t="s">
        <v>1011</v>
      </c>
      <c r="E732" s="9" t="s">
        <v>305</v>
      </c>
      <c r="F732" s="11">
        <v>1</v>
      </c>
      <c r="G732" s="12">
        <v>0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2">
        <v>0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8213</v>
      </c>
      <c r="B733" s="4" t="s">
        <v>1012</v>
      </c>
      <c r="C733" s="4" t="s">
        <v>65</v>
      </c>
      <c r="D733" s="4" t="s">
        <v>101</v>
      </c>
      <c r="E733" s="4" t="s">
        <v>289</v>
      </c>
      <c r="F733" s="6">
        <v>3</v>
      </c>
      <c r="G733" s="5">
        <v>3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3</v>
      </c>
      <c r="V733" s="5">
        <v>3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1.5</v>
      </c>
      <c r="AL733" s="5">
        <v>1</v>
      </c>
      <c r="AM733" s="5">
        <v>2</v>
      </c>
      <c r="AN733" s="31">
        <v>0</v>
      </c>
    </row>
    <row r="734">
      <c r="A734" s="24">
        <v>8214</v>
      </c>
      <c r="B734" s="9" t="s">
        <v>1013</v>
      </c>
      <c r="C734" s="9" t="s">
        <v>65</v>
      </c>
      <c r="D734" s="9" t="s">
        <v>101</v>
      </c>
      <c r="E734" s="9" t="s">
        <v>342</v>
      </c>
      <c r="F734" s="11">
        <v>1</v>
      </c>
      <c r="G734" s="12">
        <v>0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2">
        <v>0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0.25</v>
      </c>
    </row>
    <row r="735">
      <c r="A735" s="23">
        <v>8278</v>
      </c>
      <c r="B735" s="4" t="s">
        <v>1014</v>
      </c>
      <c r="C735" s="4" t="s">
        <v>159</v>
      </c>
      <c r="D735" s="4" t="s">
        <v>1015</v>
      </c>
      <c r="E735" s="4" t="s">
        <v>1016</v>
      </c>
      <c r="F735" s="6">
        <v>1</v>
      </c>
      <c r="G735" s="7">
        <v>0</v>
      </c>
      <c r="H735" s="7">
        <v>0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7">
        <v>0</v>
      </c>
      <c r="W735" s="7">
        <v>0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1">
        <v>0</v>
      </c>
    </row>
    <row r="736">
      <c r="A736" s="24">
        <v>8289</v>
      </c>
      <c r="B736" s="9" t="s">
        <v>1017</v>
      </c>
      <c r="C736" s="9" t="s">
        <v>159</v>
      </c>
      <c r="D736" s="9" t="s">
        <v>172</v>
      </c>
      <c r="E736" s="9" t="s">
        <v>173</v>
      </c>
      <c r="F736" s="11">
        <v>3</v>
      </c>
      <c r="G736" s="12">
        <v>0</v>
      </c>
      <c r="H736" s="12">
        <v>0</v>
      </c>
      <c r="I736" s="10">
        <v>3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3</v>
      </c>
      <c r="V736" s="12">
        <v>0</v>
      </c>
      <c r="W736" s="12">
        <v>0</v>
      </c>
      <c r="X736" s="10">
        <v>3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3</v>
      </c>
      <c r="AL736" s="10">
        <v>3</v>
      </c>
      <c r="AM736" s="10">
        <v>3</v>
      </c>
      <c r="AN736" s="30">
        <v>0</v>
      </c>
    </row>
    <row r="737">
      <c r="A737" s="23">
        <v>8381</v>
      </c>
      <c r="B737" s="4" t="s">
        <v>1018</v>
      </c>
      <c r="C737" s="4" t="s">
        <v>135</v>
      </c>
      <c r="D737" s="4" t="s">
        <v>375</v>
      </c>
      <c r="E737" s="4" t="s">
        <v>1019</v>
      </c>
      <c r="F737" s="6">
        <v>3</v>
      </c>
      <c r="G737" s="7">
        <v>0</v>
      </c>
      <c r="H737" s="7">
        <v>0</v>
      </c>
      <c r="I737" s="7">
        <v>0</v>
      </c>
      <c r="J737" s="5">
        <v>3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3</v>
      </c>
      <c r="V737" s="7">
        <v>0</v>
      </c>
      <c r="W737" s="7">
        <v>0</v>
      </c>
      <c r="X737" s="7">
        <v>0</v>
      </c>
      <c r="Y737" s="5">
        <v>3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3</v>
      </c>
      <c r="AK737" s="8">
        <v>3</v>
      </c>
      <c r="AL737" s="5">
        <v>3</v>
      </c>
      <c r="AM737" s="5">
        <v>3</v>
      </c>
      <c r="AN737" s="28">
        <v>0.72</v>
      </c>
    </row>
    <row r="738">
      <c r="A738" s="24">
        <v>8478</v>
      </c>
      <c r="B738" s="9" t="s">
        <v>1020</v>
      </c>
      <c r="C738" s="9" t="s">
        <v>65</v>
      </c>
      <c r="D738" s="9" t="s">
        <v>111</v>
      </c>
      <c r="E738" s="9" t="s">
        <v>601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0">
        <v>0</v>
      </c>
    </row>
    <row r="739">
      <c r="A739" s="23">
        <v>8479</v>
      </c>
      <c r="B739" s="4" t="s">
        <v>1021</v>
      </c>
      <c r="C739" s="4" t="s">
        <v>65</v>
      </c>
      <c r="D739" s="4" t="s">
        <v>104</v>
      </c>
      <c r="E739" s="4" t="s">
        <v>107</v>
      </c>
      <c r="F739" s="6">
        <v>2</v>
      </c>
      <c r="G739" s="7">
        <v>0</v>
      </c>
      <c r="H739" s="7">
        <v>0</v>
      </c>
      <c r="I739" s="5">
        <v>1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2</v>
      </c>
      <c r="V739" s="7">
        <v>0</v>
      </c>
      <c r="W739" s="7">
        <v>0</v>
      </c>
      <c r="X739" s="5">
        <v>1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0.5</v>
      </c>
    </row>
    <row r="740">
      <c r="A740" s="24">
        <v>8481</v>
      </c>
      <c r="B740" s="9" t="s">
        <v>1022</v>
      </c>
      <c r="C740" s="9" t="s">
        <v>65</v>
      </c>
      <c r="D740" s="9" t="s">
        <v>74</v>
      </c>
      <c r="E740" s="9" t="s">
        <v>77</v>
      </c>
      <c r="F740" s="11">
        <v>2</v>
      </c>
      <c r="G740" s="10">
        <v>1</v>
      </c>
      <c r="H740" s="12">
        <v>0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2</v>
      </c>
      <c r="V740" s="10">
        <v>1</v>
      </c>
      <c r="W740" s="12">
        <v>0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30">
        <v>0</v>
      </c>
    </row>
    <row r="741">
      <c r="A741" s="23">
        <v>8535</v>
      </c>
      <c r="B741" s="4" t="s">
        <v>1023</v>
      </c>
      <c r="C741" s="4" t="s">
        <v>507</v>
      </c>
      <c r="D741" s="4" t="s">
        <v>1024</v>
      </c>
      <c r="E741" s="4" t="s">
        <v>305</v>
      </c>
      <c r="F741" s="6">
        <v>4</v>
      </c>
      <c r="G741" s="7">
        <v>0</v>
      </c>
      <c r="H741" s="7">
        <v>0</v>
      </c>
      <c r="I741" s="7">
        <v>0</v>
      </c>
      <c r="J741" s="5">
        <v>4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4</v>
      </c>
      <c r="V741" s="7">
        <v>0</v>
      </c>
      <c r="W741" s="7">
        <v>0</v>
      </c>
      <c r="X741" s="7">
        <v>0</v>
      </c>
      <c r="Y741" s="5">
        <v>4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4</v>
      </c>
      <c r="AK741" s="8">
        <v>4</v>
      </c>
      <c r="AL741" s="5">
        <v>4</v>
      </c>
      <c r="AM741" s="5">
        <v>4</v>
      </c>
      <c r="AN741" s="28">
        <v>1.04</v>
      </c>
    </row>
    <row r="742">
      <c r="A742" s="24">
        <v>8540</v>
      </c>
      <c r="B742" s="9" t="s">
        <v>1025</v>
      </c>
      <c r="C742" s="9" t="s">
        <v>65</v>
      </c>
      <c r="D742" s="9" t="s">
        <v>87</v>
      </c>
      <c r="E742" s="9" t="s">
        <v>93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0">
        <v>0</v>
      </c>
    </row>
    <row r="743">
      <c r="A743" s="23">
        <v>8546</v>
      </c>
      <c r="B743" s="4" t="s">
        <v>1026</v>
      </c>
      <c r="C743" s="4" t="s">
        <v>65</v>
      </c>
      <c r="D743" s="4" t="s">
        <v>111</v>
      </c>
      <c r="E743" s="4" t="s">
        <v>151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0.24</v>
      </c>
    </row>
    <row r="744">
      <c r="A744" s="24">
        <v>8564</v>
      </c>
      <c r="B744" s="9" t="s">
        <v>1027</v>
      </c>
      <c r="C744" s="9" t="s">
        <v>65</v>
      </c>
      <c r="D744" s="9" t="s">
        <v>111</v>
      </c>
      <c r="E744" s="9" t="s">
        <v>151</v>
      </c>
      <c r="F744" s="11">
        <v>2</v>
      </c>
      <c r="G744" s="10">
        <v>1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2</v>
      </c>
      <c r="V744" s="10">
        <v>1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0">
        <v>0</v>
      </c>
    </row>
    <row r="745">
      <c r="A745" s="23">
        <v>8587</v>
      </c>
      <c r="B745" s="4" t="s">
        <v>1028</v>
      </c>
      <c r="C745" s="4" t="s">
        <v>65</v>
      </c>
      <c r="D745" s="4" t="s">
        <v>66</v>
      </c>
      <c r="E745" s="4" t="s">
        <v>69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1">
        <v>0</v>
      </c>
    </row>
    <row r="746">
      <c r="A746" s="24">
        <v>8599</v>
      </c>
      <c r="B746" s="9" t="s">
        <v>1029</v>
      </c>
      <c r="C746" s="9" t="s">
        <v>65</v>
      </c>
      <c r="D746" s="9" t="s">
        <v>74</v>
      </c>
      <c r="E746" s="9" t="s">
        <v>77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0">
        <v>0</v>
      </c>
    </row>
    <row r="747">
      <c r="A747" s="23">
        <v>8635</v>
      </c>
      <c r="B747" s="4" t="s">
        <v>1030</v>
      </c>
      <c r="C747" s="4" t="s">
        <v>65</v>
      </c>
      <c r="D747" s="4" t="s">
        <v>79</v>
      </c>
      <c r="E747" s="4" t="s">
        <v>1031</v>
      </c>
      <c r="F747" s="6">
        <v>3</v>
      </c>
      <c r="G747" s="5">
        <v>3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3</v>
      </c>
      <c r="V747" s="5">
        <v>3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1.5</v>
      </c>
      <c r="AL747" s="5">
        <v>1</v>
      </c>
      <c r="AM747" s="5">
        <v>2</v>
      </c>
      <c r="AN747" s="28">
        <v>0.26</v>
      </c>
    </row>
    <row r="748">
      <c r="A748" s="24">
        <v>8651</v>
      </c>
      <c r="B748" s="9" t="s">
        <v>1032</v>
      </c>
      <c r="C748" s="9" t="s">
        <v>65</v>
      </c>
      <c r="D748" s="9" t="s">
        <v>127</v>
      </c>
      <c r="E748" s="9" t="s">
        <v>884</v>
      </c>
      <c r="F748" s="11">
        <v>2</v>
      </c>
      <c r="G748" s="10">
        <v>1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2</v>
      </c>
      <c r="V748" s="10">
        <v>1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0.25</v>
      </c>
    </row>
    <row r="749">
      <c r="A749" s="23">
        <v>8652</v>
      </c>
      <c r="B749" s="4" t="s">
        <v>1033</v>
      </c>
      <c r="C749" s="4" t="s">
        <v>159</v>
      </c>
      <c r="D749" s="4" t="s">
        <v>1034</v>
      </c>
      <c r="E749" s="4" t="s">
        <v>1035</v>
      </c>
      <c r="F749" s="6">
        <v>1</v>
      </c>
      <c r="G749" s="7">
        <v>0</v>
      </c>
      <c r="H749" s="7">
        <v>0</v>
      </c>
      <c r="I749" s="7">
        <v>0</v>
      </c>
      <c r="J749" s="7">
        <v>0</v>
      </c>
      <c r="K749" s="5">
        <v>1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</v>
      </c>
      <c r="V749" s="7">
        <v>0</v>
      </c>
      <c r="W749" s="7">
        <v>0</v>
      </c>
      <c r="X749" s="7">
        <v>0</v>
      </c>
      <c r="Y749" s="7">
        <v>0</v>
      </c>
      <c r="Z749" s="5">
        <v>1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1">
        <v>0</v>
      </c>
    </row>
    <row r="750">
      <c r="A750" s="24">
        <v>8695</v>
      </c>
      <c r="B750" s="9" t="s">
        <v>1036</v>
      </c>
      <c r="C750" s="9" t="s">
        <v>135</v>
      </c>
      <c r="D750" s="9" t="s">
        <v>217</v>
      </c>
      <c r="E750" s="9" t="s">
        <v>218</v>
      </c>
      <c r="F750" s="11">
        <v>1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0">
        <v>0</v>
      </c>
    </row>
    <row r="751">
      <c r="A751" s="23">
        <v>8706</v>
      </c>
      <c r="B751" s="4" t="s">
        <v>1037</v>
      </c>
      <c r="C751" s="4" t="s">
        <v>65</v>
      </c>
      <c r="D751" s="4" t="s">
        <v>127</v>
      </c>
      <c r="E751" s="4" t="s">
        <v>884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8715</v>
      </c>
      <c r="B752" s="9" t="s">
        <v>1038</v>
      </c>
      <c r="C752" s="9" t="s">
        <v>65</v>
      </c>
      <c r="D752" s="9" t="s">
        <v>79</v>
      </c>
      <c r="E752" s="9" t="s">
        <v>90</v>
      </c>
      <c r="F752" s="11">
        <v>4</v>
      </c>
      <c r="G752" s="10">
        <v>3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3</v>
      </c>
      <c r="V752" s="10">
        <v>2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</v>
      </c>
      <c r="AL752" s="10">
        <v>2</v>
      </c>
      <c r="AM752" s="10">
        <v>3</v>
      </c>
      <c r="AN752" s="29">
        <v>0.83</v>
      </c>
    </row>
    <row r="753">
      <c r="A753" s="23">
        <v>8723</v>
      </c>
      <c r="B753" s="4" t="s">
        <v>1039</v>
      </c>
      <c r="C753" s="4" t="s">
        <v>65</v>
      </c>
      <c r="D753" s="4" t="s">
        <v>84</v>
      </c>
      <c r="E753" s="4" t="s">
        <v>662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1">
        <v>0</v>
      </c>
    </row>
    <row r="754">
      <c r="A754" s="24">
        <v>8751</v>
      </c>
      <c r="B754" s="9" t="s">
        <v>1040</v>
      </c>
      <c r="C754" s="9" t="s">
        <v>65</v>
      </c>
      <c r="D754" s="9" t="s">
        <v>71</v>
      </c>
      <c r="E754" s="9" t="s">
        <v>72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8752</v>
      </c>
      <c r="B755" s="4" t="s">
        <v>1041</v>
      </c>
      <c r="C755" s="4" t="s">
        <v>573</v>
      </c>
      <c r="D755" s="4" t="s">
        <v>781</v>
      </c>
      <c r="E755" s="4" t="s">
        <v>305</v>
      </c>
      <c r="F755" s="6">
        <v>2</v>
      </c>
      <c r="G755" s="7">
        <v>0</v>
      </c>
      <c r="H755" s="7">
        <v>0</v>
      </c>
      <c r="I755" s="7">
        <v>0</v>
      </c>
      <c r="J755" s="5">
        <v>2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2</v>
      </c>
      <c r="V755" s="7">
        <v>0</v>
      </c>
      <c r="W755" s="7">
        <v>0</v>
      </c>
      <c r="X755" s="7">
        <v>0</v>
      </c>
      <c r="Y755" s="5">
        <v>2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28">
        <v>0.52</v>
      </c>
    </row>
    <row r="756">
      <c r="A756" s="24">
        <v>8795</v>
      </c>
      <c r="B756" s="9" t="s">
        <v>1042</v>
      </c>
      <c r="C756" s="9" t="s">
        <v>65</v>
      </c>
      <c r="D756" s="9" t="s">
        <v>87</v>
      </c>
      <c r="E756" s="9" t="s">
        <v>93</v>
      </c>
      <c r="F756" s="11">
        <v>4</v>
      </c>
      <c r="G756" s="10">
        <v>2</v>
      </c>
      <c r="H756" s="12">
        <v>0</v>
      </c>
      <c r="I756" s="10">
        <v>1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4</v>
      </c>
      <c r="V756" s="10">
        <v>2</v>
      </c>
      <c r="W756" s="12">
        <v>0</v>
      </c>
      <c r="X756" s="10">
        <v>1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1.33</v>
      </c>
      <c r="AL756" s="10">
        <v>1</v>
      </c>
      <c r="AM756" s="10">
        <v>2</v>
      </c>
      <c r="AN756" s="29">
        <v>0.25</v>
      </c>
    </row>
    <row r="757">
      <c r="A757" s="23">
        <v>8961</v>
      </c>
      <c r="B757" s="4" t="s">
        <v>1043</v>
      </c>
      <c r="C757" s="4" t="s">
        <v>65</v>
      </c>
      <c r="D757" s="4" t="s">
        <v>71</v>
      </c>
      <c r="E757" s="4" t="s">
        <v>202</v>
      </c>
      <c r="F757" s="6">
        <v>2</v>
      </c>
      <c r="G757" s="5">
        <v>2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2</v>
      </c>
      <c r="V757" s="5">
        <v>2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</v>
      </c>
      <c r="AL757" s="5">
        <v>2</v>
      </c>
      <c r="AM757" s="5">
        <v>2</v>
      </c>
      <c r="AN757" s="31">
        <v>0</v>
      </c>
    </row>
    <row r="758">
      <c r="A758" s="24">
        <v>9220</v>
      </c>
      <c r="B758" s="9" t="s">
        <v>1044</v>
      </c>
      <c r="C758" s="9" t="s">
        <v>65</v>
      </c>
      <c r="D758" s="9" t="s">
        <v>74</v>
      </c>
      <c r="E758" s="9" t="s">
        <v>77</v>
      </c>
      <c r="F758" s="11">
        <v>1</v>
      </c>
      <c r="G758" s="12">
        <v>0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2">
        <v>0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0.24</v>
      </c>
    </row>
    <row r="759">
      <c r="A759" s="23">
        <v>9221</v>
      </c>
      <c r="B759" s="4" t="s">
        <v>1045</v>
      </c>
      <c r="C759" s="4" t="s">
        <v>65</v>
      </c>
      <c r="D759" s="4" t="s">
        <v>74</v>
      </c>
      <c r="E759" s="4" t="s">
        <v>75</v>
      </c>
      <c r="F759" s="6">
        <v>7</v>
      </c>
      <c r="G759" s="5">
        <v>5</v>
      </c>
      <c r="H759" s="7">
        <v>0</v>
      </c>
      <c r="I759" s="5">
        <v>2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6</v>
      </c>
      <c r="V759" s="5">
        <v>4</v>
      </c>
      <c r="W759" s="7">
        <v>0</v>
      </c>
      <c r="X759" s="5">
        <v>2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3.5</v>
      </c>
      <c r="AL759" s="5">
        <v>3</v>
      </c>
      <c r="AM759" s="5">
        <v>5</v>
      </c>
      <c r="AN759" s="31">
        <v>0</v>
      </c>
    </row>
    <row r="760">
      <c r="A760" s="24">
        <v>9278</v>
      </c>
      <c r="B760" s="9" t="s">
        <v>1046</v>
      </c>
      <c r="C760" s="9" t="s">
        <v>65</v>
      </c>
      <c r="D760" s="9" t="s">
        <v>104</v>
      </c>
      <c r="E760" s="9" t="s">
        <v>107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0.35</v>
      </c>
    </row>
    <row r="761">
      <c r="A761" s="23">
        <v>9311</v>
      </c>
      <c r="B761" s="4" t="s">
        <v>1047</v>
      </c>
      <c r="C761" s="4" t="s">
        <v>65</v>
      </c>
      <c r="D761" s="4" t="s">
        <v>71</v>
      </c>
      <c r="E761" s="4" t="s">
        <v>476</v>
      </c>
      <c r="F761" s="6">
        <v>1</v>
      </c>
      <c r="G761" s="7">
        <v>0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7">
        <v>0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0.25</v>
      </c>
    </row>
    <row r="762">
      <c r="A762" s="24">
        <v>9466</v>
      </c>
      <c r="B762" s="9" t="s">
        <v>1048</v>
      </c>
      <c r="C762" s="9" t="s">
        <v>973</v>
      </c>
      <c r="D762" s="9" t="s">
        <v>1049</v>
      </c>
      <c r="E762" s="9" t="s">
        <v>305</v>
      </c>
      <c r="F762" s="11">
        <v>1</v>
      </c>
      <c r="G762" s="12">
        <v>0</v>
      </c>
      <c r="H762" s="12">
        <v>0</v>
      </c>
      <c r="I762" s="10">
        <v>1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2">
        <v>0</v>
      </c>
      <c r="W762" s="12">
        <v>0</v>
      </c>
      <c r="X762" s="10">
        <v>1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0.25</v>
      </c>
    </row>
    <row r="763">
      <c r="A763" s="23">
        <v>9483</v>
      </c>
      <c r="B763" s="4" t="s">
        <v>1050</v>
      </c>
      <c r="C763" s="4" t="s">
        <v>65</v>
      </c>
      <c r="D763" s="4" t="s">
        <v>127</v>
      </c>
      <c r="E763" s="4" t="s">
        <v>128</v>
      </c>
      <c r="F763" s="6">
        <v>2</v>
      </c>
      <c r="G763" s="7">
        <v>0</v>
      </c>
      <c r="H763" s="7">
        <v>0</v>
      </c>
      <c r="I763" s="5">
        <v>1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2</v>
      </c>
      <c r="V763" s="7">
        <v>0</v>
      </c>
      <c r="W763" s="7">
        <v>0</v>
      </c>
      <c r="X763" s="5">
        <v>1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0.26</v>
      </c>
    </row>
    <row r="764">
      <c r="A764" s="24">
        <v>9527</v>
      </c>
      <c r="B764" s="9" t="s">
        <v>1051</v>
      </c>
      <c r="C764" s="9" t="s">
        <v>65</v>
      </c>
      <c r="D764" s="9" t="s">
        <v>111</v>
      </c>
      <c r="E764" s="9" t="s">
        <v>200</v>
      </c>
      <c r="F764" s="11">
        <v>1</v>
      </c>
      <c r="G764" s="12">
        <v>0</v>
      </c>
      <c r="H764" s="10">
        <v>1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0">
        <v>1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0.24</v>
      </c>
    </row>
    <row r="765">
      <c r="A765" s="23">
        <v>9529</v>
      </c>
      <c r="B765" s="4" t="s">
        <v>1052</v>
      </c>
      <c r="C765" s="4" t="s">
        <v>65</v>
      </c>
      <c r="D765" s="4" t="s">
        <v>101</v>
      </c>
      <c r="E765" s="4" t="s">
        <v>289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1">
        <v>0</v>
      </c>
    </row>
    <row r="766">
      <c r="A766" s="24">
        <v>9558</v>
      </c>
      <c r="B766" s="9" t="s">
        <v>1053</v>
      </c>
      <c r="C766" s="9" t="s">
        <v>65</v>
      </c>
      <c r="D766" s="9" t="s">
        <v>87</v>
      </c>
      <c r="E766" s="9" t="s">
        <v>295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0.26</v>
      </c>
    </row>
    <row r="767">
      <c r="A767" s="23">
        <v>9616</v>
      </c>
      <c r="B767" s="4" t="s">
        <v>1054</v>
      </c>
      <c r="C767" s="4" t="s">
        <v>65</v>
      </c>
      <c r="D767" s="4" t="s">
        <v>71</v>
      </c>
      <c r="E767" s="4" t="s">
        <v>116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9630</v>
      </c>
      <c r="B768" s="9" t="s">
        <v>1055</v>
      </c>
      <c r="C768" s="9" t="s">
        <v>65</v>
      </c>
      <c r="D768" s="9" t="s">
        <v>79</v>
      </c>
      <c r="E768" s="9" t="s">
        <v>96</v>
      </c>
      <c r="F768" s="11">
        <v>4</v>
      </c>
      <c r="G768" s="10">
        <v>2</v>
      </c>
      <c r="H768" s="12">
        <v>0</v>
      </c>
      <c r="I768" s="12">
        <v>0</v>
      </c>
      <c r="J768" s="10">
        <v>2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4</v>
      </c>
      <c r="V768" s="10">
        <v>2</v>
      </c>
      <c r="W768" s="12">
        <v>0</v>
      </c>
      <c r="X768" s="12">
        <v>0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1.33</v>
      </c>
      <c r="AL768" s="10">
        <v>1</v>
      </c>
      <c r="AM768" s="10">
        <v>2</v>
      </c>
      <c r="AN768" s="29">
        <v>0.5</v>
      </c>
    </row>
    <row r="769">
      <c r="A769" s="23">
        <v>9645</v>
      </c>
      <c r="B769" s="4" t="s">
        <v>1056</v>
      </c>
      <c r="C769" s="4" t="s">
        <v>502</v>
      </c>
      <c r="D769" s="4" t="s">
        <v>305</v>
      </c>
      <c r="E769" s="4" t="s">
        <v>507</v>
      </c>
      <c r="F769" s="6">
        <v>1</v>
      </c>
      <c r="G769" s="7">
        <v>0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0.26</v>
      </c>
    </row>
    <row r="770">
      <c r="A770" s="24">
        <v>9746</v>
      </c>
      <c r="B770" s="9" t="s">
        <v>1057</v>
      </c>
      <c r="C770" s="9" t="s">
        <v>507</v>
      </c>
      <c r="D770" s="9" t="s">
        <v>614</v>
      </c>
      <c r="E770" s="9" t="s">
        <v>305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0">
        <v>0</v>
      </c>
    </row>
    <row r="771">
      <c r="A771" s="23">
        <v>9749</v>
      </c>
      <c r="B771" s="4" t="s">
        <v>1058</v>
      </c>
      <c r="C771" s="4" t="s">
        <v>510</v>
      </c>
      <c r="D771" s="4" t="s">
        <v>566</v>
      </c>
      <c r="E771" s="4" t="s">
        <v>567</v>
      </c>
      <c r="F771" s="6">
        <v>8</v>
      </c>
      <c r="G771" s="7">
        <v>0</v>
      </c>
      <c r="H771" s="7">
        <v>0</v>
      </c>
      <c r="I771" s="7">
        <v>0</v>
      </c>
      <c r="J771" s="5">
        <v>8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7</v>
      </c>
      <c r="V771" s="7">
        <v>0</v>
      </c>
      <c r="W771" s="7">
        <v>0</v>
      </c>
      <c r="X771" s="7">
        <v>0</v>
      </c>
      <c r="Y771" s="5">
        <v>7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8</v>
      </c>
      <c r="AK771" s="8">
        <v>8</v>
      </c>
      <c r="AL771" s="5">
        <v>8</v>
      </c>
      <c r="AM771" s="5">
        <v>8</v>
      </c>
      <c r="AN771" s="28">
        <v>1.82</v>
      </c>
    </row>
    <row r="772">
      <c r="A772" s="24">
        <v>9760</v>
      </c>
      <c r="B772" s="9" t="s">
        <v>1059</v>
      </c>
      <c r="C772" s="9" t="s">
        <v>135</v>
      </c>
      <c r="D772" s="9" t="s">
        <v>217</v>
      </c>
      <c r="E772" s="9" t="s">
        <v>218</v>
      </c>
      <c r="F772" s="11">
        <v>5</v>
      </c>
      <c r="G772" s="12">
        <v>0</v>
      </c>
      <c r="H772" s="12">
        <v>0</v>
      </c>
      <c r="I772" s="12">
        <v>0</v>
      </c>
      <c r="J772" s="10">
        <v>5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5</v>
      </c>
      <c r="V772" s="12">
        <v>0</v>
      </c>
      <c r="W772" s="12">
        <v>0</v>
      </c>
      <c r="X772" s="12">
        <v>0</v>
      </c>
      <c r="Y772" s="10">
        <v>5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5</v>
      </c>
      <c r="AK772" s="13">
        <v>5</v>
      </c>
      <c r="AL772" s="10">
        <v>5</v>
      </c>
      <c r="AM772" s="10">
        <v>5</v>
      </c>
      <c r="AN772" s="29">
        <v>1.3</v>
      </c>
    </row>
    <row r="773">
      <c r="A773" s="23">
        <v>9770</v>
      </c>
      <c r="B773" s="4" t="s">
        <v>1060</v>
      </c>
      <c r="C773" s="4" t="s">
        <v>135</v>
      </c>
      <c r="D773" s="4" t="s">
        <v>402</v>
      </c>
      <c r="E773" s="4" t="s">
        <v>403</v>
      </c>
      <c r="F773" s="6">
        <v>2</v>
      </c>
      <c r="G773" s="7">
        <v>0</v>
      </c>
      <c r="H773" s="5">
        <v>1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2</v>
      </c>
      <c r="V773" s="7">
        <v>0</v>
      </c>
      <c r="W773" s="5">
        <v>1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9810</v>
      </c>
      <c r="B774" s="9" t="s">
        <v>1061</v>
      </c>
      <c r="C774" s="9" t="s">
        <v>159</v>
      </c>
      <c r="D774" s="9" t="s">
        <v>172</v>
      </c>
      <c r="E774" s="9" t="s">
        <v>181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0.22</v>
      </c>
    </row>
    <row r="775">
      <c r="A775" s="23">
        <v>9811</v>
      </c>
      <c r="B775" s="4" t="s">
        <v>1062</v>
      </c>
      <c r="C775" s="4" t="s">
        <v>65</v>
      </c>
      <c r="D775" s="4" t="s">
        <v>127</v>
      </c>
      <c r="E775" s="4" t="s">
        <v>128</v>
      </c>
      <c r="F775" s="6">
        <v>10</v>
      </c>
      <c r="G775" s="5">
        <v>9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10</v>
      </c>
      <c r="V775" s="5">
        <v>9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3.33</v>
      </c>
      <c r="AL775" s="5">
        <v>1</v>
      </c>
      <c r="AM775" s="5">
        <v>8</v>
      </c>
      <c r="AN775" s="31">
        <v>0</v>
      </c>
    </row>
    <row r="776">
      <c r="A776" s="24">
        <v>9826</v>
      </c>
      <c r="B776" s="9" t="s">
        <v>1063</v>
      </c>
      <c r="C776" s="9" t="s">
        <v>65</v>
      </c>
      <c r="D776" s="9" t="s">
        <v>74</v>
      </c>
      <c r="E776" s="9" t="s">
        <v>366</v>
      </c>
      <c r="F776" s="11">
        <v>1</v>
      </c>
      <c r="G776" s="12">
        <v>0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2">
        <v>0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9836</v>
      </c>
      <c r="B777" s="4" t="s">
        <v>1064</v>
      </c>
      <c r="C777" s="4" t="s">
        <v>65</v>
      </c>
      <c r="D777" s="4" t="s">
        <v>84</v>
      </c>
      <c r="E777" s="4" t="s">
        <v>147</v>
      </c>
      <c r="F777" s="6">
        <v>2</v>
      </c>
      <c r="G777" s="5">
        <v>1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2</v>
      </c>
      <c r="V777" s="5">
        <v>1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0.26</v>
      </c>
    </row>
    <row r="778">
      <c r="A778" s="24">
        <v>9840</v>
      </c>
      <c r="B778" s="9" t="s">
        <v>1065</v>
      </c>
      <c r="C778" s="9" t="s">
        <v>135</v>
      </c>
      <c r="D778" s="9" t="s">
        <v>136</v>
      </c>
      <c r="E778" s="9" t="s">
        <v>137</v>
      </c>
      <c r="F778" s="11">
        <v>2</v>
      </c>
      <c r="G778" s="12">
        <v>0</v>
      </c>
      <c r="H778" s="12">
        <v>0</v>
      </c>
      <c r="I778" s="12">
        <v>0</v>
      </c>
      <c r="J778" s="10">
        <v>1</v>
      </c>
      <c r="K778" s="12">
        <v>0</v>
      </c>
      <c r="L778" s="10">
        <v>1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2</v>
      </c>
      <c r="V778" s="12">
        <v>0</v>
      </c>
      <c r="W778" s="12">
        <v>0</v>
      </c>
      <c r="X778" s="12">
        <v>0</v>
      </c>
      <c r="Y778" s="10">
        <v>1</v>
      </c>
      <c r="Z778" s="12">
        <v>0</v>
      </c>
      <c r="AA778" s="10">
        <v>1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30">
        <v>0</v>
      </c>
    </row>
    <row r="779">
      <c r="A779" s="23">
        <v>10018</v>
      </c>
      <c r="B779" s="4" t="s">
        <v>1066</v>
      </c>
      <c r="C779" s="4" t="s">
        <v>65</v>
      </c>
      <c r="D779" s="4" t="s">
        <v>111</v>
      </c>
      <c r="E779" s="4" t="s">
        <v>188</v>
      </c>
      <c r="F779" s="6">
        <v>4</v>
      </c>
      <c r="G779" s="7">
        <v>0</v>
      </c>
      <c r="H779" s="7">
        <v>0</v>
      </c>
      <c r="I779" s="5">
        <v>3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4</v>
      </c>
      <c r="V779" s="7">
        <v>0</v>
      </c>
      <c r="W779" s="7">
        <v>0</v>
      </c>
      <c r="X779" s="5">
        <v>3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</v>
      </c>
      <c r="AL779" s="5">
        <v>2</v>
      </c>
      <c r="AM779" s="5">
        <v>3</v>
      </c>
      <c r="AN779" s="28">
        <v>0.75</v>
      </c>
    </row>
    <row r="780">
      <c r="A780" s="24">
        <v>10049</v>
      </c>
      <c r="B780" s="9" t="s">
        <v>1067</v>
      </c>
      <c r="C780" s="9" t="s">
        <v>303</v>
      </c>
      <c r="D780" s="9" t="s">
        <v>649</v>
      </c>
      <c r="E780" s="9" t="s">
        <v>305</v>
      </c>
      <c r="F780" s="11">
        <v>1</v>
      </c>
      <c r="G780" s="12">
        <v>0</v>
      </c>
      <c r="H780" s="10">
        <v>1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2">
        <v>0</v>
      </c>
      <c r="W780" s="10">
        <v>1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0">
        <v>0</v>
      </c>
    </row>
    <row r="781">
      <c r="A781" s="23">
        <v>10050</v>
      </c>
      <c r="B781" s="4" t="s">
        <v>1068</v>
      </c>
      <c r="C781" s="4" t="s">
        <v>65</v>
      </c>
      <c r="D781" s="4" t="s">
        <v>79</v>
      </c>
      <c r="E781" s="4" t="s">
        <v>133</v>
      </c>
      <c r="F781" s="6">
        <v>2</v>
      </c>
      <c r="G781" s="5">
        <v>2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31">
        <v>0</v>
      </c>
    </row>
    <row r="782">
      <c r="A782" s="24">
        <v>10075</v>
      </c>
      <c r="B782" s="9" t="s">
        <v>1069</v>
      </c>
      <c r="C782" s="9" t="s">
        <v>502</v>
      </c>
      <c r="D782" s="9" t="s">
        <v>772</v>
      </c>
      <c r="E782" s="9" t="s">
        <v>1070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30">
        <v>0</v>
      </c>
    </row>
    <row r="783">
      <c r="A783" s="23">
        <v>10096</v>
      </c>
      <c r="B783" s="4" t="s">
        <v>1071</v>
      </c>
      <c r="C783" s="4" t="s">
        <v>494</v>
      </c>
      <c r="D783" s="4" t="s">
        <v>539</v>
      </c>
      <c r="E783" s="4" t="s">
        <v>305</v>
      </c>
      <c r="F783" s="6">
        <v>2</v>
      </c>
      <c r="G783" s="7">
        <v>0</v>
      </c>
      <c r="H783" s="7">
        <v>0</v>
      </c>
      <c r="I783" s="7">
        <v>0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2</v>
      </c>
      <c r="V783" s="7">
        <v>0</v>
      </c>
      <c r="W783" s="7">
        <v>0</v>
      </c>
      <c r="X783" s="7">
        <v>0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0.44</v>
      </c>
    </row>
    <row r="784">
      <c r="A784" s="24">
        <v>10126</v>
      </c>
      <c r="B784" s="9" t="s">
        <v>1072</v>
      </c>
      <c r="C784" s="9" t="s">
        <v>973</v>
      </c>
      <c r="D784" s="9" t="s">
        <v>1049</v>
      </c>
      <c r="E784" s="9" t="s">
        <v>1073</v>
      </c>
      <c r="F784" s="11">
        <v>1</v>
      </c>
      <c r="G784" s="12">
        <v>0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2">
        <v>0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0.25</v>
      </c>
    </row>
    <row r="785">
      <c r="A785" s="23">
        <v>10130</v>
      </c>
      <c r="B785" s="4" t="s">
        <v>1074</v>
      </c>
      <c r="C785" s="4" t="s">
        <v>65</v>
      </c>
      <c r="D785" s="4" t="s">
        <v>66</v>
      </c>
      <c r="E785" s="4" t="s">
        <v>67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0.38</v>
      </c>
    </row>
    <row r="786">
      <c r="A786" s="24">
        <v>10178</v>
      </c>
      <c r="B786" s="9" t="s">
        <v>1075</v>
      </c>
      <c r="C786" s="9" t="s">
        <v>65</v>
      </c>
      <c r="D786" s="9" t="s">
        <v>74</v>
      </c>
      <c r="E786" s="9" t="s">
        <v>118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0.26</v>
      </c>
    </row>
    <row r="787">
      <c r="A787" s="23">
        <v>10187</v>
      </c>
      <c r="B787" s="4" t="s">
        <v>1076</v>
      </c>
      <c r="C787" s="4" t="s">
        <v>159</v>
      </c>
      <c r="D787" s="4" t="s">
        <v>337</v>
      </c>
      <c r="E787" s="4" t="s">
        <v>337</v>
      </c>
      <c r="F787" s="6">
        <v>2</v>
      </c>
      <c r="G787" s="5">
        <v>2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2</v>
      </c>
      <c r="V787" s="5">
        <v>2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31">
        <v>0</v>
      </c>
    </row>
    <row r="788">
      <c r="A788" s="24">
        <v>10213</v>
      </c>
      <c r="B788" s="9" t="s">
        <v>1077</v>
      </c>
      <c r="C788" s="9" t="s">
        <v>494</v>
      </c>
      <c r="D788" s="9" t="s">
        <v>1078</v>
      </c>
      <c r="E788" s="9" t="s">
        <v>305</v>
      </c>
      <c r="F788" s="11">
        <v>1</v>
      </c>
      <c r="G788" s="12">
        <v>0</v>
      </c>
      <c r="H788" s="12">
        <v>0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2">
        <v>0</v>
      </c>
      <c r="W788" s="12">
        <v>0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0.24</v>
      </c>
    </row>
    <row r="789">
      <c r="A789" s="23">
        <v>10214</v>
      </c>
      <c r="B789" s="4" t="s">
        <v>1079</v>
      </c>
      <c r="C789" s="4" t="s">
        <v>65</v>
      </c>
      <c r="D789" s="4" t="s">
        <v>127</v>
      </c>
      <c r="E789" s="4" t="s">
        <v>1080</v>
      </c>
      <c r="F789" s="6">
        <v>1</v>
      </c>
      <c r="G789" s="7">
        <v>0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</v>
      </c>
      <c r="V789" s="7">
        <v>0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10269</v>
      </c>
      <c r="B790" s="9" t="s">
        <v>1081</v>
      </c>
      <c r="C790" s="9" t="s">
        <v>65</v>
      </c>
      <c r="D790" s="9" t="s">
        <v>111</v>
      </c>
      <c r="E790" s="9" t="s">
        <v>200</v>
      </c>
      <c r="F790" s="11">
        <v>1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10385</v>
      </c>
      <c r="B791" s="4" t="s">
        <v>1082</v>
      </c>
      <c r="C791" s="4" t="s">
        <v>159</v>
      </c>
      <c r="D791" s="4" t="s">
        <v>533</v>
      </c>
      <c r="E791" s="4" t="s">
        <v>949</v>
      </c>
      <c r="F791" s="6">
        <v>3</v>
      </c>
      <c r="G791" s="5">
        <v>1</v>
      </c>
      <c r="H791" s="7">
        <v>0</v>
      </c>
      <c r="I791" s="5">
        <v>1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3</v>
      </c>
      <c r="V791" s="5">
        <v>1</v>
      </c>
      <c r="W791" s="7">
        <v>0</v>
      </c>
      <c r="X791" s="5">
        <v>1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0.75</v>
      </c>
    </row>
    <row r="792">
      <c r="A792" s="24">
        <v>10487</v>
      </c>
      <c r="B792" s="9" t="s">
        <v>1083</v>
      </c>
      <c r="C792" s="9" t="s">
        <v>159</v>
      </c>
      <c r="D792" s="9" t="s">
        <v>160</v>
      </c>
      <c r="E792" s="9" t="s">
        <v>161</v>
      </c>
      <c r="F792" s="11">
        <v>2</v>
      </c>
      <c r="G792" s="10">
        <v>1</v>
      </c>
      <c r="H792" s="12">
        <v>0</v>
      </c>
      <c r="I792" s="12">
        <v>0</v>
      </c>
      <c r="J792" s="12">
        <v>0</v>
      </c>
      <c r="K792" s="10">
        <v>1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2</v>
      </c>
      <c r="V792" s="10">
        <v>1</v>
      </c>
      <c r="W792" s="12">
        <v>0</v>
      </c>
      <c r="X792" s="12">
        <v>0</v>
      </c>
      <c r="Y792" s="12">
        <v>0</v>
      </c>
      <c r="Z792" s="10">
        <v>1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30">
        <v>0</v>
      </c>
    </row>
    <row r="793">
      <c r="A793" s="23">
        <v>10542</v>
      </c>
      <c r="B793" s="4" t="s">
        <v>1084</v>
      </c>
      <c r="C793" s="4" t="s">
        <v>65</v>
      </c>
      <c r="D793" s="4" t="s">
        <v>74</v>
      </c>
      <c r="E793" s="4" t="s">
        <v>118</v>
      </c>
      <c r="F793" s="6">
        <v>1</v>
      </c>
      <c r="G793" s="7">
        <v>0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10577</v>
      </c>
      <c r="B794" s="9" t="s">
        <v>1085</v>
      </c>
      <c r="C794" s="9" t="s">
        <v>573</v>
      </c>
      <c r="D794" s="9" t="s">
        <v>574</v>
      </c>
      <c r="E794" s="9" t="s">
        <v>305</v>
      </c>
      <c r="F794" s="11">
        <v>4</v>
      </c>
      <c r="G794" s="12">
        <v>0</v>
      </c>
      <c r="H794" s="12">
        <v>0</v>
      </c>
      <c r="I794" s="12">
        <v>0</v>
      </c>
      <c r="J794" s="10">
        <v>4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3</v>
      </c>
      <c r="V794" s="12">
        <v>0</v>
      </c>
      <c r="W794" s="12">
        <v>0</v>
      </c>
      <c r="X794" s="12">
        <v>0</v>
      </c>
      <c r="Y794" s="10">
        <v>3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1.33</v>
      </c>
      <c r="AL794" s="10">
        <v>1</v>
      </c>
      <c r="AM794" s="10">
        <v>2</v>
      </c>
      <c r="AN794" s="29">
        <v>0.78</v>
      </c>
    </row>
    <row r="795">
      <c r="A795" s="23">
        <v>10604</v>
      </c>
      <c r="B795" s="4" t="s">
        <v>1086</v>
      </c>
      <c r="C795" s="4" t="s">
        <v>135</v>
      </c>
      <c r="D795" s="4" t="s">
        <v>217</v>
      </c>
      <c r="E795" s="4" t="s">
        <v>929</v>
      </c>
      <c r="F795" s="6">
        <v>3</v>
      </c>
      <c r="G795" s="7">
        <v>0</v>
      </c>
      <c r="H795" s="7">
        <v>0</v>
      </c>
      <c r="I795" s="5">
        <v>2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3</v>
      </c>
      <c r="V795" s="7">
        <v>0</v>
      </c>
      <c r="W795" s="7">
        <v>0</v>
      </c>
      <c r="X795" s="5">
        <v>2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28">
        <v>0.24</v>
      </c>
    </row>
    <row r="796">
      <c r="A796" s="24">
        <v>10638</v>
      </c>
      <c r="B796" s="9" t="s">
        <v>1087</v>
      </c>
      <c r="C796" s="9" t="s">
        <v>65</v>
      </c>
      <c r="D796" s="9" t="s">
        <v>71</v>
      </c>
      <c r="E796" s="9" t="s">
        <v>476</v>
      </c>
      <c r="F796" s="11">
        <v>1</v>
      </c>
      <c r="G796" s="12">
        <v>0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2">
        <v>0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10651</v>
      </c>
      <c r="B797" s="4" t="s">
        <v>1088</v>
      </c>
      <c r="C797" s="4" t="s">
        <v>65</v>
      </c>
      <c r="D797" s="4" t="s">
        <v>111</v>
      </c>
      <c r="E797" s="4" t="s">
        <v>571</v>
      </c>
      <c r="F797" s="6">
        <v>3</v>
      </c>
      <c r="G797" s="7">
        <v>0</v>
      </c>
      <c r="H797" s="7">
        <v>0</v>
      </c>
      <c r="I797" s="5">
        <v>3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3</v>
      </c>
      <c r="V797" s="7">
        <v>0</v>
      </c>
      <c r="W797" s="7">
        <v>0</v>
      </c>
      <c r="X797" s="5">
        <v>3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3</v>
      </c>
      <c r="AK797" s="8">
        <v>3</v>
      </c>
      <c r="AL797" s="5">
        <v>3</v>
      </c>
      <c r="AM797" s="5">
        <v>3</v>
      </c>
      <c r="AN797" s="28">
        <v>0.75</v>
      </c>
    </row>
    <row r="798">
      <c r="A798" s="24">
        <v>10725</v>
      </c>
      <c r="B798" s="9" t="s">
        <v>1089</v>
      </c>
      <c r="C798" s="9" t="s">
        <v>982</v>
      </c>
      <c r="D798" s="9" t="s">
        <v>305</v>
      </c>
      <c r="E798" s="9" t="s">
        <v>305</v>
      </c>
      <c r="F798" s="11">
        <v>2</v>
      </c>
      <c r="G798" s="12">
        <v>0</v>
      </c>
      <c r="H798" s="12">
        <v>0</v>
      </c>
      <c r="I798" s="10">
        <v>2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2">
        <v>0</v>
      </c>
      <c r="W798" s="12">
        <v>0</v>
      </c>
      <c r="X798" s="10">
        <v>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30">
        <v>0</v>
      </c>
    </row>
    <row r="799">
      <c r="A799" s="23">
        <v>10734</v>
      </c>
      <c r="B799" s="4" t="s">
        <v>1090</v>
      </c>
      <c r="C799" s="4" t="s">
        <v>303</v>
      </c>
      <c r="D799" s="4" t="s">
        <v>1091</v>
      </c>
      <c r="E799" s="4" t="s">
        <v>305</v>
      </c>
      <c r="F799" s="6">
        <v>2</v>
      </c>
      <c r="G799" s="7">
        <v>0</v>
      </c>
      <c r="H799" s="7">
        <v>0</v>
      </c>
      <c r="I799" s="7">
        <v>0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</v>
      </c>
      <c r="V799" s="7">
        <v>0</v>
      </c>
      <c r="W799" s="7">
        <v>0</v>
      </c>
      <c r="X799" s="7">
        <v>0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28">
        <v>0.52</v>
      </c>
    </row>
    <row r="800">
      <c r="A800" s="24">
        <v>10746</v>
      </c>
      <c r="B800" s="9" t="s">
        <v>1092</v>
      </c>
      <c r="C800" s="9" t="s">
        <v>159</v>
      </c>
      <c r="D800" s="9" t="s">
        <v>172</v>
      </c>
      <c r="E800" s="9" t="s">
        <v>181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30">
        <v>0</v>
      </c>
    </row>
    <row r="801">
      <c r="A801" s="23">
        <v>10862</v>
      </c>
      <c r="B801" s="4" t="s">
        <v>1093</v>
      </c>
      <c r="C801" s="4" t="s">
        <v>159</v>
      </c>
      <c r="D801" s="4" t="s">
        <v>160</v>
      </c>
      <c r="E801" s="4" t="s">
        <v>161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0.26</v>
      </c>
    </row>
    <row r="802">
      <c r="A802" s="24">
        <v>10957</v>
      </c>
      <c r="B802" s="9" t="s">
        <v>1094</v>
      </c>
      <c r="C802" s="9" t="s">
        <v>135</v>
      </c>
      <c r="D802" s="9" t="s">
        <v>375</v>
      </c>
      <c r="E802" s="9" t="s">
        <v>457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0.35</v>
      </c>
    </row>
    <row r="803">
      <c r="A803" s="23">
        <v>11185</v>
      </c>
      <c r="B803" s="4" t="s">
        <v>1095</v>
      </c>
      <c r="C803" s="4" t="s">
        <v>65</v>
      </c>
      <c r="D803" s="4" t="s">
        <v>84</v>
      </c>
      <c r="E803" s="4" t="s">
        <v>147</v>
      </c>
      <c r="F803" s="6">
        <v>2</v>
      </c>
      <c r="G803" s="7">
        <v>0</v>
      </c>
      <c r="H803" s="7">
        <v>0</v>
      </c>
      <c r="I803" s="7">
        <v>0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28">
        <v>0.26</v>
      </c>
    </row>
    <row r="804">
      <c r="A804" s="24">
        <v>11268</v>
      </c>
      <c r="B804" s="9" t="s">
        <v>1096</v>
      </c>
      <c r="C804" s="9" t="s">
        <v>573</v>
      </c>
      <c r="D804" s="9" t="s">
        <v>716</v>
      </c>
      <c r="E804" s="9" t="s">
        <v>305</v>
      </c>
      <c r="F804" s="11">
        <v>4</v>
      </c>
      <c r="G804" s="12">
        <v>0</v>
      </c>
      <c r="H804" s="12">
        <v>0</v>
      </c>
      <c r="I804" s="10">
        <v>1</v>
      </c>
      <c r="J804" s="10">
        <v>3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4</v>
      </c>
      <c r="V804" s="12">
        <v>0</v>
      </c>
      <c r="W804" s="12">
        <v>0</v>
      </c>
      <c r="X804" s="10">
        <v>1</v>
      </c>
      <c r="Y804" s="10">
        <v>3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</v>
      </c>
      <c r="AL804" s="10">
        <v>2</v>
      </c>
      <c r="AM804" s="10">
        <v>3</v>
      </c>
      <c r="AN804" s="29">
        <v>0.78</v>
      </c>
    </row>
    <row r="805">
      <c r="A805" s="23">
        <v>11281</v>
      </c>
      <c r="B805" s="4" t="s">
        <v>1097</v>
      </c>
      <c r="C805" s="4" t="s">
        <v>65</v>
      </c>
      <c r="D805" s="4" t="s">
        <v>98</v>
      </c>
      <c r="E805" s="4" t="s">
        <v>1098</v>
      </c>
      <c r="F805" s="6">
        <v>2</v>
      </c>
      <c r="G805" s="5">
        <v>1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2</v>
      </c>
      <c r="V805" s="5">
        <v>1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0.25</v>
      </c>
    </row>
    <row r="806">
      <c r="A806" s="24">
        <v>11363</v>
      </c>
      <c r="B806" s="9" t="s">
        <v>1099</v>
      </c>
      <c r="C806" s="9" t="s">
        <v>135</v>
      </c>
      <c r="D806" s="9" t="s">
        <v>402</v>
      </c>
      <c r="E806" s="9" t="s">
        <v>459</v>
      </c>
      <c r="F806" s="11">
        <v>1</v>
      </c>
      <c r="G806" s="12">
        <v>0</v>
      </c>
      <c r="H806" s="12">
        <v>0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2">
        <v>0</v>
      </c>
      <c r="W806" s="12">
        <v>0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11423</v>
      </c>
      <c r="B807" s="4" t="s">
        <v>1100</v>
      </c>
      <c r="C807" s="4" t="s">
        <v>65</v>
      </c>
      <c r="D807" s="4" t="s">
        <v>101</v>
      </c>
      <c r="E807" s="4" t="s">
        <v>102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1">
        <v>0</v>
      </c>
    </row>
    <row r="808">
      <c r="A808" s="24">
        <v>11431</v>
      </c>
      <c r="B808" s="9" t="s">
        <v>1101</v>
      </c>
      <c r="C808" s="9" t="s">
        <v>65</v>
      </c>
      <c r="D808" s="9" t="s">
        <v>66</v>
      </c>
      <c r="E808" s="9" t="s">
        <v>69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30">
        <v>0</v>
      </c>
    </row>
    <row r="809">
      <c r="A809" s="23">
        <v>11529</v>
      </c>
      <c r="B809" s="4" t="s">
        <v>1102</v>
      </c>
      <c r="C809" s="4" t="s">
        <v>65</v>
      </c>
      <c r="D809" s="4" t="s">
        <v>111</v>
      </c>
      <c r="E809" s="4" t="s">
        <v>188</v>
      </c>
      <c r="F809" s="6">
        <v>1</v>
      </c>
      <c r="G809" s="7">
        <v>0</v>
      </c>
      <c r="H809" s="7">
        <v>0</v>
      </c>
      <c r="I809" s="7">
        <v>0</v>
      </c>
      <c r="J809" s="7">
        <v>0</v>
      </c>
      <c r="K809" s="5">
        <v>1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7">
        <v>0</v>
      </c>
      <c r="W809" s="7">
        <v>0</v>
      </c>
      <c r="X809" s="7">
        <v>0</v>
      </c>
      <c r="Y809" s="7">
        <v>0</v>
      </c>
      <c r="Z809" s="5">
        <v>1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1">
        <v>0</v>
      </c>
    </row>
    <row r="810">
      <c r="A810" s="24">
        <v>11531</v>
      </c>
      <c r="B810" s="9" t="s">
        <v>1103</v>
      </c>
      <c r="C810" s="9" t="s">
        <v>65</v>
      </c>
      <c r="D810" s="9" t="s">
        <v>79</v>
      </c>
      <c r="E810" s="9" t="s">
        <v>195</v>
      </c>
      <c r="F810" s="11">
        <v>3</v>
      </c>
      <c r="G810" s="12">
        <v>0</v>
      </c>
      <c r="H810" s="12">
        <v>0</v>
      </c>
      <c r="I810" s="12">
        <v>0</v>
      </c>
      <c r="J810" s="10">
        <v>3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2">
        <v>0</v>
      </c>
      <c r="W810" s="12">
        <v>0</v>
      </c>
      <c r="X810" s="12">
        <v>0</v>
      </c>
      <c r="Y810" s="10">
        <v>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29">
        <v>0.52</v>
      </c>
    </row>
    <row r="811">
      <c r="A811" s="23">
        <v>11597</v>
      </c>
      <c r="B811" s="4" t="s">
        <v>1104</v>
      </c>
      <c r="C811" s="4" t="s">
        <v>65</v>
      </c>
      <c r="D811" s="4" t="s">
        <v>111</v>
      </c>
      <c r="E811" s="4" t="s">
        <v>210</v>
      </c>
      <c r="F811" s="6">
        <v>2</v>
      </c>
      <c r="G811" s="5">
        <v>2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2</v>
      </c>
      <c r="V811" s="5">
        <v>2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31">
        <v>0</v>
      </c>
    </row>
    <row r="812">
      <c r="A812" s="24">
        <v>11599</v>
      </c>
      <c r="B812" s="9" t="s">
        <v>1105</v>
      </c>
      <c r="C812" s="9" t="s">
        <v>65</v>
      </c>
      <c r="D812" s="9" t="s">
        <v>79</v>
      </c>
      <c r="E812" s="9" t="s">
        <v>96</v>
      </c>
      <c r="F812" s="11">
        <v>2</v>
      </c>
      <c r="G812" s="12">
        <v>0</v>
      </c>
      <c r="H812" s="12">
        <v>0</v>
      </c>
      <c r="I812" s="12">
        <v>0</v>
      </c>
      <c r="J812" s="10">
        <v>2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2</v>
      </c>
      <c r="V812" s="12">
        <v>0</v>
      </c>
      <c r="W812" s="12">
        <v>0</v>
      </c>
      <c r="X812" s="12">
        <v>0</v>
      </c>
      <c r="Y812" s="10">
        <v>2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0.52</v>
      </c>
    </row>
    <row r="813">
      <c r="A813" s="23">
        <v>11618</v>
      </c>
      <c r="B813" s="4" t="s">
        <v>1106</v>
      </c>
      <c r="C813" s="4" t="s">
        <v>159</v>
      </c>
      <c r="D813" s="4" t="s">
        <v>385</v>
      </c>
      <c r="E813" s="4" t="s">
        <v>386</v>
      </c>
      <c r="F813" s="6">
        <v>7</v>
      </c>
      <c r="G813" s="5">
        <v>1</v>
      </c>
      <c r="H813" s="7">
        <v>0</v>
      </c>
      <c r="I813" s="5">
        <v>4</v>
      </c>
      <c r="J813" s="5">
        <v>1</v>
      </c>
      <c r="K813" s="5">
        <v>1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7</v>
      </c>
      <c r="V813" s="5">
        <v>1</v>
      </c>
      <c r="W813" s="7">
        <v>0</v>
      </c>
      <c r="X813" s="5">
        <v>4</v>
      </c>
      <c r="Y813" s="5">
        <v>1</v>
      </c>
      <c r="Z813" s="5">
        <v>1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1.4</v>
      </c>
      <c r="AL813" s="5">
        <v>1</v>
      </c>
      <c r="AM813" s="5">
        <v>3</v>
      </c>
      <c r="AN813" s="31">
        <v>0</v>
      </c>
    </row>
    <row r="814">
      <c r="A814" s="24">
        <v>11636</v>
      </c>
      <c r="B814" s="9" t="s">
        <v>1107</v>
      </c>
      <c r="C814" s="9" t="s">
        <v>65</v>
      </c>
      <c r="D814" s="9" t="s">
        <v>101</v>
      </c>
      <c r="E814" s="9" t="s">
        <v>102</v>
      </c>
      <c r="F814" s="11">
        <v>5</v>
      </c>
      <c r="G814" s="10">
        <v>5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4</v>
      </c>
      <c r="V814" s="10">
        <v>4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5</v>
      </c>
      <c r="AK814" s="13">
        <v>5</v>
      </c>
      <c r="AL814" s="10">
        <v>5</v>
      </c>
      <c r="AM814" s="10">
        <v>5</v>
      </c>
      <c r="AN814" s="30">
        <v>0</v>
      </c>
    </row>
    <row r="815">
      <c r="A815" s="23">
        <v>11638</v>
      </c>
      <c r="B815" s="4" t="s">
        <v>1108</v>
      </c>
      <c r="C815" s="4" t="s">
        <v>65</v>
      </c>
      <c r="D815" s="4" t="s">
        <v>111</v>
      </c>
      <c r="E815" s="4" t="s">
        <v>151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1">
        <v>0</v>
      </c>
    </row>
    <row r="816">
      <c r="A816" s="24">
        <v>11639</v>
      </c>
      <c r="B816" s="9" t="s">
        <v>1109</v>
      </c>
      <c r="C816" s="9" t="s">
        <v>65</v>
      </c>
      <c r="D816" s="9" t="s">
        <v>111</v>
      </c>
      <c r="E816" s="9" t="s">
        <v>114</v>
      </c>
      <c r="F816" s="11">
        <v>4</v>
      </c>
      <c r="G816" s="10">
        <v>4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4</v>
      </c>
      <c r="AK816" s="13">
        <v>4</v>
      </c>
      <c r="AL816" s="10">
        <v>4</v>
      </c>
      <c r="AM816" s="10">
        <v>4</v>
      </c>
      <c r="AN816" s="29">
        <v>0.26</v>
      </c>
    </row>
    <row r="817">
      <c r="A817" s="23">
        <v>11678</v>
      </c>
      <c r="B817" s="4" t="s">
        <v>1110</v>
      </c>
      <c r="C817" s="4" t="s">
        <v>65</v>
      </c>
      <c r="D817" s="4" t="s">
        <v>101</v>
      </c>
      <c r="E817" s="4" t="s">
        <v>102</v>
      </c>
      <c r="F817" s="6">
        <v>2</v>
      </c>
      <c r="G817" s="7">
        <v>0</v>
      </c>
      <c r="H817" s="7">
        <v>0</v>
      </c>
      <c r="I817" s="5">
        <v>2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2</v>
      </c>
      <c r="V817" s="7">
        <v>0</v>
      </c>
      <c r="W817" s="7">
        <v>0</v>
      </c>
      <c r="X817" s="5">
        <v>2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28">
        <v>0.48</v>
      </c>
    </row>
    <row r="818">
      <c r="A818" s="24">
        <v>11848</v>
      </c>
      <c r="B818" s="9" t="s">
        <v>1111</v>
      </c>
      <c r="C818" s="9" t="s">
        <v>65</v>
      </c>
      <c r="D818" s="9" t="s">
        <v>71</v>
      </c>
      <c r="E818" s="9" t="s">
        <v>123</v>
      </c>
      <c r="F818" s="11">
        <v>18</v>
      </c>
      <c r="G818" s="12">
        <v>0</v>
      </c>
      <c r="H818" s="12">
        <v>0</v>
      </c>
      <c r="I818" s="12">
        <v>0</v>
      </c>
      <c r="J818" s="10">
        <v>18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17</v>
      </c>
      <c r="V818" s="12">
        <v>0</v>
      </c>
      <c r="W818" s="12">
        <v>0</v>
      </c>
      <c r="X818" s="12">
        <v>0</v>
      </c>
      <c r="Y818" s="10">
        <v>17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18</v>
      </c>
      <c r="AK818" s="13">
        <v>18</v>
      </c>
      <c r="AL818" s="10">
        <v>18</v>
      </c>
      <c r="AM818" s="10">
        <v>18</v>
      </c>
      <c r="AN818" s="29">
        <v>4.08</v>
      </c>
    </row>
    <row r="819">
      <c r="A819" s="23">
        <v>11852</v>
      </c>
      <c r="B819" s="4" t="s">
        <v>1112</v>
      </c>
      <c r="C819" s="4" t="s">
        <v>65</v>
      </c>
      <c r="D819" s="4" t="s">
        <v>71</v>
      </c>
      <c r="E819" s="4" t="s">
        <v>116</v>
      </c>
      <c r="F819" s="6">
        <v>2</v>
      </c>
      <c r="G819" s="7">
        <v>0</v>
      </c>
      <c r="H819" s="7">
        <v>0</v>
      </c>
      <c r="I819" s="5">
        <v>2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2</v>
      </c>
      <c r="V819" s="7">
        <v>0</v>
      </c>
      <c r="W819" s="7">
        <v>0</v>
      </c>
      <c r="X819" s="5">
        <v>2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28">
        <v>0.5</v>
      </c>
    </row>
    <row r="820">
      <c r="A820" s="24">
        <v>11858</v>
      </c>
      <c r="B820" s="9" t="s">
        <v>1113</v>
      </c>
      <c r="C820" s="9" t="s">
        <v>65</v>
      </c>
      <c r="D820" s="9" t="s">
        <v>79</v>
      </c>
      <c r="E820" s="9" t="s">
        <v>390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0.22</v>
      </c>
    </row>
    <row r="821">
      <c r="A821" s="23">
        <v>11933</v>
      </c>
      <c r="B821" s="4" t="s">
        <v>1114</v>
      </c>
      <c r="C821" s="4" t="s">
        <v>65</v>
      </c>
      <c r="D821" s="4" t="s">
        <v>111</v>
      </c>
      <c r="E821" s="4" t="s">
        <v>114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1">
        <v>0</v>
      </c>
    </row>
    <row r="822">
      <c r="A822" s="24">
        <v>11936</v>
      </c>
      <c r="B822" s="9" t="s">
        <v>1115</v>
      </c>
      <c r="C822" s="9" t="s">
        <v>65</v>
      </c>
      <c r="D822" s="9" t="s">
        <v>71</v>
      </c>
      <c r="E822" s="9" t="s">
        <v>72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11969</v>
      </c>
      <c r="B823" s="4" t="s">
        <v>1116</v>
      </c>
      <c r="C823" s="4" t="s">
        <v>65</v>
      </c>
      <c r="D823" s="4" t="s">
        <v>71</v>
      </c>
      <c r="E823" s="4" t="s">
        <v>202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31">
        <v>0</v>
      </c>
    </row>
    <row r="824">
      <c r="A824" s="24">
        <v>12014</v>
      </c>
      <c r="B824" s="9" t="s">
        <v>1117</v>
      </c>
      <c r="C824" s="9" t="s">
        <v>65</v>
      </c>
      <c r="D824" s="9" t="s">
        <v>74</v>
      </c>
      <c r="E824" s="9" t="s">
        <v>77</v>
      </c>
      <c r="F824" s="11">
        <v>2</v>
      </c>
      <c r="G824" s="10">
        <v>1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2</v>
      </c>
      <c r="V824" s="10">
        <v>1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12026</v>
      </c>
      <c r="B825" s="4" t="s">
        <v>1118</v>
      </c>
      <c r="C825" s="4" t="s">
        <v>65</v>
      </c>
      <c r="D825" s="4" t="s">
        <v>74</v>
      </c>
      <c r="E825" s="4" t="s">
        <v>660</v>
      </c>
      <c r="F825" s="6">
        <v>1</v>
      </c>
      <c r="G825" s="7">
        <v>0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7">
        <v>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0.25</v>
      </c>
    </row>
    <row r="826">
      <c r="A826" s="24">
        <v>12061</v>
      </c>
      <c r="B826" s="9" t="s">
        <v>1119</v>
      </c>
      <c r="C826" s="9" t="s">
        <v>65</v>
      </c>
      <c r="D826" s="9" t="s">
        <v>101</v>
      </c>
      <c r="E826" s="9" t="s">
        <v>102</v>
      </c>
      <c r="F826" s="11">
        <v>1</v>
      </c>
      <c r="G826" s="10">
        <v>1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1</v>
      </c>
      <c r="V826" s="10">
        <v>1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0">
        <v>0</v>
      </c>
    </row>
    <row r="827">
      <c r="A827" s="23">
        <v>12063</v>
      </c>
      <c r="B827" s="4" t="s">
        <v>1120</v>
      </c>
      <c r="C827" s="4" t="s">
        <v>65</v>
      </c>
      <c r="D827" s="4" t="s">
        <v>101</v>
      </c>
      <c r="E827" s="4" t="s">
        <v>102</v>
      </c>
      <c r="F827" s="6">
        <v>1</v>
      </c>
      <c r="G827" s="7">
        <v>0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7">
        <v>0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0.25</v>
      </c>
    </row>
    <row r="828">
      <c r="A828" s="24">
        <v>12072</v>
      </c>
      <c r="B828" s="9" t="s">
        <v>1121</v>
      </c>
      <c r="C828" s="9" t="s">
        <v>65</v>
      </c>
      <c r="D828" s="9" t="s">
        <v>84</v>
      </c>
      <c r="E828" s="9" t="s">
        <v>85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30">
        <v>0</v>
      </c>
    </row>
    <row r="829">
      <c r="A829" s="23">
        <v>12074</v>
      </c>
      <c r="B829" s="4" t="s">
        <v>1122</v>
      </c>
      <c r="C829" s="4" t="s">
        <v>65</v>
      </c>
      <c r="D829" s="4" t="s">
        <v>127</v>
      </c>
      <c r="E829" s="4" t="s">
        <v>128</v>
      </c>
      <c r="F829" s="6">
        <v>4</v>
      </c>
      <c r="G829" s="5">
        <v>3</v>
      </c>
      <c r="H829" s="7">
        <v>0</v>
      </c>
      <c r="I829" s="7">
        <v>0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4</v>
      </c>
      <c r="V829" s="5">
        <v>3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</v>
      </c>
      <c r="AL829" s="5">
        <v>2</v>
      </c>
      <c r="AM829" s="5">
        <v>3</v>
      </c>
      <c r="AN829" s="31">
        <v>0</v>
      </c>
    </row>
    <row r="830">
      <c r="A830" s="24">
        <v>12102</v>
      </c>
      <c r="B830" s="9" t="s">
        <v>1123</v>
      </c>
      <c r="C830" s="9" t="s">
        <v>65</v>
      </c>
      <c r="D830" s="9" t="s">
        <v>66</v>
      </c>
      <c r="E830" s="9" t="s">
        <v>231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0.25</v>
      </c>
    </row>
    <row r="831">
      <c r="A831" s="23">
        <v>12128</v>
      </c>
      <c r="B831" s="4" t="s">
        <v>1124</v>
      </c>
      <c r="C831" s="4" t="s">
        <v>65</v>
      </c>
      <c r="D831" s="4" t="s">
        <v>74</v>
      </c>
      <c r="E831" s="4" t="s">
        <v>75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12192</v>
      </c>
      <c r="B832" s="9" t="s">
        <v>1125</v>
      </c>
      <c r="C832" s="9" t="s">
        <v>159</v>
      </c>
      <c r="D832" s="9" t="s">
        <v>160</v>
      </c>
      <c r="E832" s="9" t="s">
        <v>170</v>
      </c>
      <c r="F832" s="11">
        <v>1</v>
      </c>
      <c r="G832" s="12">
        <v>0</v>
      </c>
      <c r="H832" s="12">
        <v>0</v>
      </c>
      <c r="I832" s="12">
        <v>0</v>
      </c>
      <c r="J832" s="12">
        <v>0</v>
      </c>
      <c r="K832" s="10">
        <v>1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2">
        <v>0</v>
      </c>
      <c r="W832" s="12">
        <v>0</v>
      </c>
      <c r="X832" s="12">
        <v>0</v>
      </c>
      <c r="Y832" s="12">
        <v>0</v>
      </c>
      <c r="Z832" s="10">
        <v>1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30">
        <v>0</v>
      </c>
    </row>
    <row r="833">
      <c r="A833" s="23">
        <v>12231</v>
      </c>
      <c r="B833" s="4" t="s">
        <v>1126</v>
      </c>
      <c r="C833" s="4" t="s">
        <v>65</v>
      </c>
      <c r="D833" s="4" t="s">
        <v>66</v>
      </c>
      <c r="E833" s="4" t="s">
        <v>69</v>
      </c>
      <c r="F833" s="6">
        <v>4</v>
      </c>
      <c r="G833" s="5">
        <v>4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4</v>
      </c>
      <c r="V833" s="5">
        <v>4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4</v>
      </c>
      <c r="AK833" s="8">
        <v>4</v>
      </c>
      <c r="AL833" s="5">
        <v>4</v>
      </c>
      <c r="AM833" s="5">
        <v>4</v>
      </c>
      <c r="AN833" s="31">
        <v>0</v>
      </c>
    </row>
    <row r="834">
      <c r="A834" s="24">
        <v>12252</v>
      </c>
      <c r="B834" s="9" t="s">
        <v>1127</v>
      </c>
      <c r="C834" s="9" t="s">
        <v>65</v>
      </c>
      <c r="D834" s="9" t="s">
        <v>111</v>
      </c>
      <c r="E834" s="9" t="s">
        <v>151</v>
      </c>
      <c r="F834" s="11">
        <v>1</v>
      </c>
      <c r="G834" s="12">
        <v>0</v>
      </c>
      <c r="H834" s="12">
        <v>0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2">
        <v>0</v>
      </c>
      <c r="W834" s="12">
        <v>0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12286</v>
      </c>
      <c r="B835" s="4" t="s">
        <v>1128</v>
      </c>
      <c r="C835" s="4" t="s">
        <v>573</v>
      </c>
      <c r="D835" s="4" t="s">
        <v>589</v>
      </c>
      <c r="E835" s="4" t="s">
        <v>305</v>
      </c>
      <c r="F835" s="6">
        <v>1</v>
      </c>
      <c r="G835" s="7">
        <v>0</v>
      </c>
      <c r="H835" s="5">
        <v>1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7">
        <v>0</v>
      </c>
      <c r="W835" s="5">
        <v>1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1">
        <v>0</v>
      </c>
    </row>
    <row r="836">
      <c r="A836" s="24">
        <v>12289</v>
      </c>
      <c r="B836" s="9" t="s">
        <v>1129</v>
      </c>
      <c r="C836" s="9" t="s">
        <v>510</v>
      </c>
      <c r="D836" s="9" t="s">
        <v>511</v>
      </c>
      <c r="E836" s="9" t="s">
        <v>1130</v>
      </c>
      <c r="F836" s="11">
        <v>4</v>
      </c>
      <c r="G836" s="12">
        <v>0</v>
      </c>
      <c r="H836" s="12">
        <v>0</v>
      </c>
      <c r="I836" s="12">
        <v>0</v>
      </c>
      <c r="J836" s="10">
        <v>4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4</v>
      </c>
      <c r="V836" s="12">
        <v>0</v>
      </c>
      <c r="W836" s="12">
        <v>0</v>
      </c>
      <c r="X836" s="12">
        <v>0</v>
      </c>
      <c r="Y836" s="10">
        <v>4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4</v>
      </c>
      <c r="AK836" s="13">
        <v>4</v>
      </c>
      <c r="AL836" s="10">
        <v>4</v>
      </c>
      <c r="AM836" s="10">
        <v>4</v>
      </c>
      <c r="AN836" s="29">
        <v>1.04</v>
      </c>
    </row>
    <row r="837">
      <c r="A837" s="23">
        <v>12370</v>
      </c>
      <c r="B837" s="4" t="s">
        <v>1131</v>
      </c>
      <c r="C837" s="4" t="s">
        <v>135</v>
      </c>
      <c r="D837" s="4" t="s">
        <v>375</v>
      </c>
      <c r="E837" s="4" t="s">
        <v>457</v>
      </c>
      <c r="F837" s="6">
        <v>1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5">
        <v>1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5">
        <v>1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1">
        <v>0</v>
      </c>
    </row>
    <row r="838">
      <c r="A838" s="24">
        <v>12453</v>
      </c>
      <c r="B838" s="9" t="s">
        <v>1132</v>
      </c>
      <c r="C838" s="9" t="s">
        <v>573</v>
      </c>
      <c r="D838" s="9" t="s">
        <v>589</v>
      </c>
      <c r="E838" s="9" t="s">
        <v>305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0.26</v>
      </c>
    </row>
    <row r="839">
      <c r="A839" s="23">
        <v>12483</v>
      </c>
      <c r="B839" s="4" t="s">
        <v>1133</v>
      </c>
      <c r="C839" s="4" t="s">
        <v>135</v>
      </c>
      <c r="D839" s="4" t="s">
        <v>136</v>
      </c>
      <c r="E839" s="4" t="s">
        <v>137</v>
      </c>
      <c r="F839" s="6">
        <v>1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5">
        <v>1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5">
        <v>1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1">
        <v>0</v>
      </c>
    </row>
    <row r="840">
      <c r="A840" s="24">
        <v>12494</v>
      </c>
      <c r="B840" s="9" t="s">
        <v>1134</v>
      </c>
      <c r="C840" s="9" t="s">
        <v>159</v>
      </c>
      <c r="D840" s="9" t="s">
        <v>385</v>
      </c>
      <c r="E840" s="9" t="s">
        <v>386</v>
      </c>
      <c r="F840" s="11">
        <v>1</v>
      </c>
      <c r="G840" s="12">
        <v>0</v>
      </c>
      <c r="H840" s="12">
        <v>0</v>
      </c>
      <c r="I840" s="10">
        <v>1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2">
        <v>0</v>
      </c>
      <c r="W840" s="12">
        <v>0</v>
      </c>
      <c r="X840" s="10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12495</v>
      </c>
      <c r="B841" s="4" t="s">
        <v>1135</v>
      </c>
      <c r="C841" s="4" t="s">
        <v>159</v>
      </c>
      <c r="D841" s="4" t="s">
        <v>533</v>
      </c>
      <c r="E841" s="4" t="s">
        <v>743</v>
      </c>
      <c r="F841" s="6">
        <v>1</v>
      </c>
      <c r="G841" s="7">
        <v>0</v>
      </c>
      <c r="H841" s="5">
        <v>1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5">
        <v>1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0.24</v>
      </c>
    </row>
    <row r="842">
      <c r="A842" s="24">
        <v>12614</v>
      </c>
      <c r="B842" s="9" t="s">
        <v>1136</v>
      </c>
      <c r="C842" s="9" t="s">
        <v>303</v>
      </c>
      <c r="D842" s="9" t="s">
        <v>579</v>
      </c>
      <c r="E842" s="9" t="s">
        <v>305</v>
      </c>
      <c r="F842" s="11">
        <v>2</v>
      </c>
      <c r="G842" s="12">
        <v>0</v>
      </c>
      <c r="H842" s="10">
        <v>1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2">
        <v>0</v>
      </c>
      <c r="W842" s="10">
        <v>1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0.62</v>
      </c>
    </row>
    <row r="843">
      <c r="A843" s="23">
        <v>12649</v>
      </c>
      <c r="B843" s="4" t="s">
        <v>1137</v>
      </c>
      <c r="C843" s="4" t="s">
        <v>573</v>
      </c>
      <c r="D843" s="4" t="s">
        <v>589</v>
      </c>
      <c r="E843" s="4" t="s">
        <v>305</v>
      </c>
      <c r="F843" s="6">
        <v>1</v>
      </c>
      <c r="G843" s="7">
        <v>0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7">
        <v>0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0.26</v>
      </c>
    </row>
    <row r="844">
      <c r="A844" s="24">
        <v>12650</v>
      </c>
      <c r="B844" s="9" t="s">
        <v>1138</v>
      </c>
      <c r="C844" s="9" t="s">
        <v>135</v>
      </c>
      <c r="D844" s="9" t="s">
        <v>136</v>
      </c>
      <c r="E844" s="9" t="s">
        <v>394</v>
      </c>
      <c r="F844" s="11">
        <v>1</v>
      </c>
      <c r="G844" s="12">
        <v>0</v>
      </c>
      <c r="H844" s="12">
        <v>0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2">
        <v>0</v>
      </c>
      <c r="W844" s="12">
        <v>0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30">
        <v>0</v>
      </c>
    </row>
    <row r="845">
      <c r="A845" s="23">
        <v>12681</v>
      </c>
      <c r="B845" s="4" t="s">
        <v>1139</v>
      </c>
      <c r="C845" s="4" t="s">
        <v>65</v>
      </c>
      <c r="D845" s="4" t="s">
        <v>79</v>
      </c>
      <c r="E845" s="4" t="s">
        <v>80</v>
      </c>
      <c r="F845" s="6">
        <v>3</v>
      </c>
      <c r="G845" s="7">
        <v>0</v>
      </c>
      <c r="H845" s="7">
        <v>0</v>
      </c>
      <c r="I845" s="7">
        <v>0</v>
      </c>
      <c r="J845" s="5">
        <v>3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3</v>
      </c>
      <c r="V845" s="7">
        <v>0</v>
      </c>
      <c r="W845" s="7">
        <v>0</v>
      </c>
      <c r="X845" s="7">
        <v>0</v>
      </c>
      <c r="Y845" s="5">
        <v>3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1.5</v>
      </c>
      <c r="AL845" s="5">
        <v>1</v>
      </c>
      <c r="AM845" s="5">
        <v>2</v>
      </c>
      <c r="AN845" s="28">
        <v>0.78</v>
      </c>
    </row>
    <row r="846">
      <c r="A846" s="24">
        <v>12724</v>
      </c>
      <c r="B846" s="9" t="s">
        <v>1140</v>
      </c>
      <c r="C846" s="9" t="s">
        <v>65</v>
      </c>
      <c r="D846" s="9" t="s">
        <v>104</v>
      </c>
      <c r="E846" s="9" t="s">
        <v>107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12766</v>
      </c>
      <c r="B847" s="4" t="s">
        <v>1141</v>
      </c>
      <c r="C847" s="4" t="s">
        <v>973</v>
      </c>
      <c r="D847" s="4" t="s">
        <v>1049</v>
      </c>
      <c r="E847" s="4" t="s">
        <v>1142</v>
      </c>
      <c r="F847" s="6">
        <v>1</v>
      </c>
      <c r="G847" s="7">
        <v>0</v>
      </c>
      <c r="H847" s="7">
        <v>0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7">
        <v>0</v>
      </c>
      <c r="W847" s="7">
        <v>0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1">
        <v>0</v>
      </c>
    </row>
    <row r="848">
      <c r="A848" s="24">
        <v>12799</v>
      </c>
      <c r="B848" s="9" t="s">
        <v>1143</v>
      </c>
      <c r="C848" s="9" t="s">
        <v>65</v>
      </c>
      <c r="D848" s="9" t="s">
        <v>66</v>
      </c>
      <c r="E848" s="9" t="s">
        <v>69</v>
      </c>
      <c r="F848" s="11">
        <v>3</v>
      </c>
      <c r="G848" s="10">
        <v>3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3</v>
      </c>
      <c r="V848" s="10">
        <v>3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1.5</v>
      </c>
      <c r="AL848" s="10">
        <v>1</v>
      </c>
      <c r="AM848" s="10">
        <v>2</v>
      </c>
      <c r="AN848" s="29">
        <v>0.38</v>
      </c>
    </row>
    <row r="849">
      <c r="A849" s="23">
        <v>12807</v>
      </c>
      <c r="B849" s="4" t="s">
        <v>1144</v>
      </c>
      <c r="C849" s="4" t="s">
        <v>65</v>
      </c>
      <c r="D849" s="4" t="s">
        <v>87</v>
      </c>
      <c r="E849" s="4" t="s">
        <v>409</v>
      </c>
      <c r="F849" s="6">
        <v>2</v>
      </c>
      <c r="G849" s="5">
        <v>2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2</v>
      </c>
      <c r="V849" s="5">
        <v>2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31">
        <v>0</v>
      </c>
    </row>
    <row r="850">
      <c r="A850" s="24">
        <v>12808</v>
      </c>
      <c r="B850" s="9" t="s">
        <v>1145</v>
      </c>
      <c r="C850" s="9" t="s">
        <v>65</v>
      </c>
      <c r="D850" s="9" t="s">
        <v>111</v>
      </c>
      <c r="E850" s="9" t="s">
        <v>151</v>
      </c>
      <c r="F850" s="11">
        <v>1</v>
      </c>
      <c r="G850" s="12">
        <v>0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2">
        <v>0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0">
        <v>0</v>
      </c>
    </row>
    <row r="851">
      <c r="A851" s="23">
        <v>12809</v>
      </c>
      <c r="B851" s="4" t="s">
        <v>1146</v>
      </c>
      <c r="C851" s="4" t="s">
        <v>65</v>
      </c>
      <c r="D851" s="4" t="s">
        <v>71</v>
      </c>
      <c r="E851" s="4" t="s">
        <v>72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31">
        <v>0</v>
      </c>
    </row>
    <row r="852">
      <c r="A852" s="24">
        <v>12822</v>
      </c>
      <c r="B852" s="9" t="s">
        <v>1147</v>
      </c>
      <c r="C852" s="9" t="s">
        <v>65</v>
      </c>
      <c r="D852" s="9" t="s">
        <v>66</v>
      </c>
      <c r="E852" s="9" t="s">
        <v>231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12828</v>
      </c>
      <c r="B853" s="4" t="s">
        <v>1148</v>
      </c>
      <c r="C853" s="4" t="s">
        <v>65</v>
      </c>
      <c r="D853" s="4" t="s">
        <v>111</v>
      </c>
      <c r="E853" s="4" t="s">
        <v>151</v>
      </c>
      <c r="F853" s="6">
        <v>1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0.22</v>
      </c>
    </row>
    <row r="854">
      <c r="A854" s="24">
        <v>12836</v>
      </c>
      <c r="B854" s="9" t="s">
        <v>1149</v>
      </c>
      <c r="C854" s="9" t="s">
        <v>65</v>
      </c>
      <c r="D854" s="9" t="s">
        <v>120</v>
      </c>
      <c r="E854" s="9" t="s">
        <v>453</v>
      </c>
      <c r="F854" s="11">
        <v>1</v>
      </c>
      <c r="G854" s="12">
        <v>0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2">
        <v>0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12852</v>
      </c>
      <c r="B855" s="4" t="s">
        <v>1150</v>
      </c>
      <c r="C855" s="4" t="s">
        <v>65</v>
      </c>
      <c r="D855" s="4" t="s">
        <v>79</v>
      </c>
      <c r="E855" s="4" t="s">
        <v>405</v>
      </c>
      <c r="F855" s="6">
        <v>3</v>
      </c>
      <c r="G855" s="7">
        <v>0</v>
      </c>
      <c r="H855" s="7">
        <v>0</v>
      </c>
      <c r="I855" s="5">
        <v>3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3</v>
      </c>
      <c r="V855" s="7">
        <v>0</v>
      </c>
      <c r="W855" s="7">
        <v>0</v>
      </c>
      <c r="X855" s="5">
        <v>3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3</v>
      </c>
      <c r="AK855" s="8">
        <v>3</v>
      </c>
      <c r="AL855" s="5">
        <v>3</v>
      </c>
      <c r="AM855" s="5">
        <v>3</v>
      </c>
      <c r="AN855" s="28">
        <v>0.66</v>
      </c>
    </row>
    <row r="856">
      <c r="A856" s="24">
        <v>12854</v>
      </c>
      <c r="B856" s="9" t="s">
        <v>1151</v>
      </c>
      <c r="C856" s="9" t="s">
        <v>65</v>
      </c>
      <c r="D856" s="9" t="s">
        <v>79</v>
      </c>
      <c r="E856" s="9" t="s">
        <v>942</v>
      </c>
      <c r="F856" s="11">
        <v>1</v>
      </c>
      <c r="G856" s="12">
        <v>0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2">
        <v>0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0.25</v>
      </c>
    </row>
    <row r="857">
      <c r="A857" s="23">
        <v>12856</v>
      </c>
      <c r="B857" s="4" t="s">
        <v>1152</v>
      </c>
      <c r="C857" s="4" t="s">
        <v>303</v>
      </c>
      <c r="D857" s="4" t="s">
        <v>649</v>
      </c>
      <c r="E857" s="4" t="s">
        <v>305</v>
      </c>
      <c r="F857" s="6">
        <v>1</v>
      </c>
      <c r="G857" s="7">
        <v>0</v>
      </c>
      <c r="H857" s="7">
        <v>0</v>
      </c>
      <c r="I857" s="5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</v>
      </c>
      <c r="V857" s="7">
        <v>0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1">
        <v>0</v>
      </c>
    </row>
    <row r="858">
      <c r="A858" s="24">
        <v>12894</v>
      </c>
      <c r="B858" s="9" t="s">
        <v>1153</v>
      </c>
      <c r="C858" s="9" t="s">
        <v>65</v>
      </c>
      <c r="D858" s="9" t="s">
        <v>66</v>
      </c>
      <c r="E858" s="9" t="s">
        <v>69</v>
      </c>
      <c r="F858" s="11">
        <v>2</v>
      </c>
      <c r="G858" s="10">
        <v>1</v>
      </c>
      <c r="H858" s="12">
        <v>0</v>
      </c>
      <c r="I858" s="10">
        <v>1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2</v>
      </c>
      <c r="V858" s="10">
        <v>1</v>
      </c>
      <c r="W858" s="12">
        <v>0</v>
      </c>
      <c r="X858" s="10">
        <v>1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12907</v>
      </c>
      <c r="B859" s="4" t="s">
        <v>1154</v>
      </c>
      <c r="C859" s="4" t="s">
        <v>65</v>
      </c>
      <c r="D859" s="4" t="s">
        <v>79</v>
      </c>
      <c r="E859" s="4" t="s">
        <v>90</v>
      </c>
      <c r="F859" s="6">
        <v>5</v>
      </c>
      <c r="G859" s="5">
        <v>2</v>
      </c>
      <c r="H859" s="7">
        <v>0</v>
      </c>
      <c r="I859" s="7">
        <v>0</v>
      </c>
      <c r="J859" s="5">
        <v>3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3</v>
      </c>
      <c r="V859" s="5">
        <v>2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1.67</v>
      </c>
      <c r="AL859" s="5">
        <v>1</v>
      </c>
      <c r="AM859" s="5">
        <v>3</v>
      </c>
      <c r="AN859" s="28">
        <v>0.62</v>
      </c>
    </row>
    <row r="860">
      <c r="A860" s="24">
        <v>12924</v>
      </c>
      <c r="B860" s="9" t="s">
        <v>1155</v>
      </c>
      <c r="C860" s="9" t="s">
        <v>65</v>
      </c>
      <c r="D860" s="9" t="s">
        <v>71</v>
      </c>
      <c r="E860" s="9" t="s">
        <v>109</v>
      </c>
      <c r="F860" s="11">
        <v>2</v>
      </c>
      <c r="G860" s="12">
        <v>0</v>
      </c>
      <c r="H860" s="10">
        <v>2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2">
        <v>0</v>
      </c>
      <c r="W860" s="10">
        <v>2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29">
        <v>0.48</v>
      </c>
    </row>
    <row r="861">
      <c r="A861" s="23">
        <v>12929</v>
      </c>
      <c r="B861" s="4" t="s">
        <v>1156</v>
      </c>
      <c r="C861" s="4" t="s">
        <v>65</v>
      </c>
      <c r="D861" s="4" t="s">
        <v>71</v>
      </c>
      <c r="E861" s="4" t="s">
        <v>72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31">
        <v>0</v>
      </c>
    </row>
    <row r="862">
      <c r="A862" s="24">
        <v>13008</v>
      </c>
      <c r="B862" s="9" t="s">
        <v>1157</v>
      </c>
      <c r="C862" s="9" t="s">
        <v>65</v>
      </c>
      <c r="D862" s="9" t="s">
        <v>71</v>
      </c>
      <c r="E862" s="9" t="s">
        <v>72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13066</v>
      </c>
      <c r="B863" s="4" t="s">
        <v>1158</v>
      </c>
      <c r="C863" s="4" t="s">
        <v>65</v>
      </c>
      <c r="D863" s="4" t="s">
        <v>74</v>
      </c>
      <c r="E863" s="4" t="s">
        <v>82</v>
      </c>
      <c r="F863" s="6">
        <v>2</v>
      </c>
      <c r="G863" s="5">
        <v>1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2</v>
      </c>
      <c r="V863" s="5">
        <v>1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0.5</v>
      </c>
    </row>
    <row r="864">
      <c r="A864" s="24">
        <v>13075</v>
      </c>
      <c r="B864" s="9" t="s">
        <v>1159</v>
      </c>
      <c r="C864" s="9" t="s">
        <v>65</v>
      </c>
      <c r="D864" s="9" t="s">
        <v>71</v>
      </c>
      <c r="E864" s="9" t="s">
        <v>72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13153</v>
      </c>
      <c r="B865" s="4" t="s">
        <v>1160</v>
      </c>
      <c r="C865" s="4" t="s">
        <v>65</v>
      </c>
      <c r="D865" s="4" t="s">
        <v>84</v>
      </c>
      <c r="E865" s="4" t="s">
        <v>662</v>
      </c>
      <c r="F865" s="6">
        <v>1</v>
      </c>
      <c r="G865" s="5">
        <v>1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5">
        <v>1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13225</v>
      </c>
      <c r="B866" s="9" t="s">
        <v>1161</v>
      </c>
      <c r="C866" s="9" t="s">
        <v>65</v>
      </c>
      <c r="D866" s="9" t="s">
        <v>84</v>
      </c>
      <c r="E866" s="9" t="s">
        <v>147</v>
      </c>
      <c r="F866" s="11">
        <v>1</v>
      </c>
      <c r="G866" s="12">
        <v>0</v>
      </c>
      <c r="H866" s="12">
        <v>0</v>
      </c>
      <c r="I866" s="10">
        <v>1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2">
        <v>0</v>
      </c>
      <c r="W866" s="12">
        <v>0</v>
      </c>
      <c r="X866" s="10">
        <v>1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13261</v>
      </c>
      <c r="B867" s="4" t="s">
        <v>1162</v>
      </c>
      <c r="C867" s="4" t="s">
        <v>65</v>
      </c>
      <c r="D867" s="4" t="s">
        <v>79</v>
      </c>
      <c r="E867" s="4" t="s">
        <v>1163</v>
      </c>
      <c r="F867" s="6">
        <v>6</v>
      </c>
      <c r="G867" s="5">
        <v>2</v>
      </c>
      <c r="H867" s="7">
        <v>0</v>
      </c>
      <c r="I867" s="5">
        <v>3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6</v>
      </c>
      <c r="V867" s="5">
        <v>2</v>
      </c>
      <c r="W867" s="7">
        <v>0</v>
      </c>
      <c r="X867" s="5">
        <v>3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1.2</v>
      </c>
      <c r="AL867" s="5">
        <v>1</v>
      </c>
      <c r="AM867" s="5">
        <v>2</v>
      </c>
      <c r="AN867" s="28">
        <v>0.78</v>
      </c>
    </row>
    <row r="868">
      <c r="A868" s="24">
        <v>13263</v>
      </c>
      <c r="B868" s="9" t="s">
        <v>1164</v>
      </c>
      <c r="C868" s="9" t="s">
        <v>65</v>
      </c>
      <c r="D868" s="9" t="s">
        <v>84</v>
      </c>
      <c r="E868" s="9" t="s">
        <v>147</v>
      </c>
      <c r="F868" s="11">
        <v>1</v>
      </c>
      <c r="G868" s="12">
        <v>0</v>
      </c>
      <c r="H868" s="10">
        <v>1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1</v>
      </c>
      <c r="V868" s="12">
        <v>0</v>
      </c>
      <c r="W868" s="10">
        <v>1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0">
        <v>0</v>
      </c>
    </row>
    <row r="869">
      <c r="A869" s="23">
        <v>13268</v>
      </c>
      <c r="B869" s="4" t="s">
        <v>1165</v>
      </c>
      <c r="C869" s="4" t="s">
        <v>65</v>
      </c>
      <c r="D869" s="4" t="s">
        <v>87</v>
      </c>
      <c r="E869" s="4" t="s">
        <v>409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1">
        <v>0</v>
      </c>
    </row>
    <row r="870">
      <c r="A870" s="24">
        <v>13292</v>
      </c>
      <c r="B870" s="9" t="s">
        <v>1166</v>
      </c>
      <c r="C870" s="9" t="s">
        <v>65</v>
      </c>
      <c r="D870" s="9" t="s">
        <v>79</v>
      </c>
      <c r="E870" s="9" t="s">
        <v>390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13362</v>
      </c>
      <c r="B871" s="4" t="s">
        <v>1167</v>
      </c>
      <c r="C871" s="4" t="s">
        <v>65</v>
      </c>
      <c r="D871" s="4" t="s">
        <v>111</v>
      </c>
      <c r="E871" s="4" t="s">
        <v>200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0.38</v>
      </c>
    </row>
    <row r="872">
      <c r="A872" s="24">
        <v>13380</v>
      </c>
      <c r="B872" s="9" t="s">
        <v>1168</v>
      </c>
      <c r="C872" s="9" t="s">
        <v>135</v>
      </c>
      <c r="D872" s="9" t="s">
        <v>323</v>
      </c>
      <c r="E872" s="9" t="s">
        <v>324</v>
      </c>
      <c r="F872" s="11">
        <v>1</v>
      </c>
      <c r="G872" s="12">
        <v>0</v>
      </c>
      <c r="H872" s="12">
        <v>0</v>
      </c>
      <c r="I872" s="10">
        <v>1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2">
        <v>0</v>
      </c>
      <c r="W872" s="12">
        <v>0</v>
      </c>
      <c r="X872" s="10">
        <v>1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0">
        <v>0</v>
      </c>
    </row>
    <row r="873">
      <c r="A873" s="23">
        <v>13398</v>
      </c>
      <c r="B873" s="4" t="s">
        <v>1169</v>
      </c>
      <c r="C873" s="4" t="s">
        <v>65</v>
      </c>
      <c r="D873" s="4" t="s">
        <v>127</v>
      </c>
      <c r="E873" s="4" t="s">
        <v>813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0.26</v>
      </c>
    </row>
    <row r="874">
      <c r="A874" s="24">
        <v>13407</v>
      </c>
      <c r="B874" s="9" t="s">
        <v>1170</v>
      </c>
      <c r="C874" s="9" t="s">
        <v>65</v>
      </c>
      <c r="D874" s="9" t="s">
        <v>101</v>
      </c>
      <c r="E874" s="9" t="s">
        <v>102</v>
      </c>
      <c r="F874" s="11">
        <v>1</v>
      </c>
      <c r="G874" s="12">
        <v>0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2">
        <v>0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13411</v>
      </c>
      <c r="B875" s="4" t="s">
        <v>1171</v>
      </c>
      <c r="C875" s="4" t="s">
        <v>65</v>
      </c>
      <c r="D875" s="4" t="s">
        <v>101</v>
      </c>
      <c r="E875" s="4" t="s">
        <v>102</v>
      </c>
      <c r="F875" s="6">
        <v>3</v>
      </c>
      <c r="G875" s="5">
        <v>3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3</v>
      </c>
      <c r="V875" s="5">
        <v>3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3</v>
      </c>
      <c r="AK875" s="8">
        <v>3</v>
      </c>
      <c r="AL875" s="5">
        <v>3</v>
      </c>
      <c r="AM875" s="5">
        <v>3</v>
      </c>
      <c r="AN875" s="31">
        <v>0</v>
      </c>
    </row>
    <row r="876">
      <c r="A876" s="24">
        <v>13414</v>
      </c>
      <c r="B876" s="9" t="s">
        <v>1172</v>
      </c>
      <c r="C876" s="9" t="s">
        <v>65</v>
      </c>
      <c r="D876" s="9" t="s">
        <v>101</v>
      </c>
      <c r="E876" s="9" t="s">
        <v>102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0">
        <v>0</v>
      </c>
    </row>
    <row r="877">
      <c r="A877" s="23">
        <v>13434</v>
      </c>
      <c r="B877" s="4" t="s">
        <v>1173</v>
      </c>
      <c r="C877" s="4" t="s">
        <v>65</v>
      </c>
      <c r="D877" s="4" t="s">
        <v>101</v>
      </c>
      <c r="E877" s="4" t="s">
        <v>102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13456</v>
      </c>
      <c r="B878" s="9" t="s">
        <v>1174</v>
      </c>
      <c r="C878" s="9" t="s">
        <v>65</v>
      </c>
      <c r="D878" s="9" t="s">
        <v>101</v>
      </c>
      <c r="E878" s="9" t="s">
        <v>289</v>
      </c>
      <c r="F878" s="11">
        <v>3</v>
      </c>
      <c r="G878" s="10">
        <v>3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2</v>
      </c>
      <c r="V878" s="10">
        <v>2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3</v>
      </c>
      <c r="AK878" s="13">
        <v>3</v>
      </c>
      <c r="AL878" s="10">
        <v>3</v>
      </c>
      <c r="AM878" s="10">
        <v>3</v>
      </c>
      <c r="AN878" s="30">
        <v>0</v>
      </c>
    </row>
    <row r="879">
      <c r="A879" s="23">
        <v>13461</v>
      </c>
      <c r="B879" s="4" t="s">
        <v>1175</v>
      </c>
      <c r="C879" s="4" t="s">
        <v>65</v>
      </c>
      <c r="D879" s="4" t="s">
        <v>101</v>
      </c>
      <c r="E879" s="4" t="s">
        <v>102</v>
      </c>
      <c r="F879" s="6">
        <v>1</v>
      </c>
      <c r="G879" s="7">
        <v>0</v>
      </c>
      <c r="H879" s="5">
        <v>1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7">
        <v>0</v>
      </c>
      <c r="W879" s="5">
        <v>1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13472</v>
      </c>
      <c r="B880" s="9" t="s">
        <v>1176</v>
      </c>
      <c r="C880" s="9" t="s">
        <v>65</v>
      </c>
      <c r="D880" s="9" t="s">
        <v>101</v>
      </c>
      <c r="E880" s="9" t="s">
        <v>249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0">
        <v>0</v>
      </c>
    </row>
    <row r="881">
      <c r="A881" s="23">
        <v>13478</v>
      </c>
      <c r="B881" s="4" t="s">
        <v>1177</v>
      </c>
      <c r="C881" s="4" t="s">
        <v>65</v>
      </c>
      <c r="D881" s="4" t="s">
        <v>101</v>
      </c>
      <c r="E881" s="4" t="s">
        <v>102</v>
      </c>
      <c r="F881" s="6">
        <v>1</v>
      </c>
      <c r="G881" s="7">
        <v>0</v>
      </c>
      <c r="H881" s="7">
        <v>0</v>
      </c>
      <c r="I881" s="5">
        <v>1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</v>
      </c>
      <c r="V881" s="7">
        <v>0</v>
      </c>
      <c r="W881" s="7">
        <v>0</v>
      </c>
      <c r="X881" s="5">
        <v>1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0.24</v>
      </c>
    </row>
    <row r="882">
      <c r="A882" s="24">
        <v>13489</v>
      </c>
      <c r="B882" s="9" t="s">
        <v>1178</v>
      </c>
      <c r="C882" s="9" t="s">
        <v>65</v>
      </c>
      <c r="D882" s="9" t="s">
        <v>101</v>
      </c>
      <c r="E882" s="9" t="s">
        <v>102</v>
      </c>
      <c r="F882" s="11">
        <v>3</v>
      </c>
      <c r="G882" s="10">
        <v>3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0">
        <v>2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1.5</v>
      </c>
      <c r="AL882" s="10">
        <v>1</v>
      </c>
      <c r="AM882" s="10">
        <v>2</v>
      </c>
      <c r="AN882" s="30">
        <v>0</v>
      </c>
    </row>
    <row r="883">
      <c r="A883" s="23">
        <v>13504</v>
      </c>
      <c r="B883" s="4" t="s">
        <v>1179</v>
      </c>
      <c r="C883" s="4" t="s">
        <v>65</v>
      </c>
      <c r="D883" s="4" t="s">
        <v>84</v>
      </c>
      <c r="E883" s="4" t="s">
        <v>1180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31">
        <v>0</v>
      </c>
    </row>
    <row r="884">
      <c r="A884" s="24">
        <v>13505</v>
      </c>
      <c r="B884" s="9" t="s">
        <v>1181</v>
      </c>
      <c r="C884" s="9" t="s">
        <v>65</v>
      </c>
      <c r="D884" s="9" t="s">
        <v>71</v>
      </c>
      <c r="E884" s="9" t="s">
        <v>72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0">
        <v>0</v>
      </c>
    </row>
    <row r="885">
      <c r="A885" s="23">
        <v>13523</v>
      </c>
      <c r="B885" s="4" t="s">
        <v>1182</v>
      </c>
      <c r="C885" s="4" t="s">
        <v>65</v>
      </c>
      <c r="D885" s="4" t="s">
        <v>111</v>
      </c>
      <c r="E885" s="4" t="s">
        <v>200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0.22</v>
      </c>
    </row>
    <row r="886">
      <c r="A886" s="24">
        <v>13532</v>
      </c>
      <c r="B886" s="9" t="s">
        <v>1183</v>
      </c>
      <c r="C886" s="9" t="s">
        <v>65</v>
      </c>
      <c r="D886" s="9" t="s">
        <v>79</v>
      </c>
      <c r="E886" s="9" t="s">
        <v>131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0">
        <v>0</v>
      </c>
    </row>
    <row r="887">
      <c r="A887" s="23">
        <v>13567</v>
      </c>
      <c r="B887" s="4" t="s">
        <v>1184</v>
      </c>
      <c r="C887" s="4" t="s">
        <v>159</v>
      </c>
      <c r="D887" s="4" t="s">
        <v>385</v>
      </c>
      <c r="E887" s="4" t="s">
        <v>438</v>
      </c>
      <c r="F887" s="6">
        <v>1</v>
      </c>
      <c r="G887" s="7">
        <v>0</v>
      </c>
      <c r="H887" s="5">
        <v>1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7">
        <v>0</v>
      </c>
      <c r="W887" s="5">
        <v>1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13577</v>
      </c>
      <c r="B888" s="9" t="s">
        <v>1185</v>
      </c>
      <c r="C888" s="9" t="s">
        <v>159</v>
      </c>
      <c r="D888" s="9" t="s">
        <v>160</v>
      </c>
      <c r="E888" s="9" t="s">
        <v>168</v>
      </c>
      <c r="F888" s="11">
        <v>3</v>
      </c>
      <c r="G888" s="12">
        <v>0</v>
      </c>
      <c r="H888" s="12">
        <v>0</v>
      </c>
      <c r="I888" s="12">
        <v>0</v>
      </c>
      <c r="J888" s="12">
        <v>0</v>
      </c>
      <c r="K888" s="10">
        <v>3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2</v>
      </c>
      <c r="V888" s="12">
        <v>0</v>
      </c>
      <c r="W888" s="12">
        <v>0</v>
      </c>
      <c r="X888" s="12">
        <v>0</v>
      </c>
      <c r="Y888" s="12">
        <v>0</v>
      </c>
      <c r="Z888" s="10">
        <v>2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3</v>
      </c>
      <c r="AK888" s="13">
        <v>3</v>
      </c>
      <c r="AL888" s="10">
        <v>3</v>
      </c>
      <c r="AM888" s="10">
        <v>3</v>
      </c>
      <c r="AN888" s="30">
        <v>0</v>
      </c>
    </row>
    <row r="889">
      <c r="A889" s="23">
        <v>13586</v>
      </c>
      <c r="B889" s="4" t="s">
        <v>1186</v>
      </c>
      <c r="C889" s="4" t="s">
        <v>65</v>
      </c>
      <c r="D889" s="4" t="s">
        <v>79</v>
      </c>
      <c r="E889" s="4" t="s">
        <v>390</v>
      </c>
      <c r="F889" s="6">
        <v>2</v>
      </c>
      <c r="G889" s="5">
        <v>1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2</v>
      </c>
      <c r="V889" s="5">
        <v>1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0.52</v>
      </c>
    </row>
    <row r="890">
      <c r="A890" s="24">
        <v>13656</v>
      </c>
      <c r="B890" s="9" t="s">
        <v>1187</v>
      </c>
      <c r="C890" s="9" t="s">
        <v>65</v>
      </c>
      <c r="D890" s="9" t="s">
        <v>71</v>
      </c>
      <c r="E890" s="9" t="s">
        <v>72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13692</v>
      </c>
      <c r="B891" s="4" t="s">
        <v>1188</v>
      </c>
      <c r="C891" s="4" t="s">
        <v>65</v>
      </c>
      <c r="D891" s="4" t="s">
        <v>87</v>
      </c>
      <c r="E891" s="4" t="s">
        <v>899</v>
      </c>
      <c r="F891" s="6">
        <v>4</v>
      </c>
      <c r="G891" s="5">
        <v>4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3</v>
      </c>
      <c r="V891" s="5">
        <v>3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4</v>
      </c>
      <c r="AK891" s="8">
        <v>4</v>
      </c>
      <c r="AL891" s="5">
        <v>4</v>
      </c>
      <c r="AM891" s="5">
        <v>4</v>
      </c>
      <c r="AN891" s="31">
        <v>0</v>
      </c>
    </row>
    <row r="892">
      <c r="A892" s="24">
        <v>13698</v>
      </c>
      <c r="B892" s="9" t="s">
        <v>1189</v>
      </c>
      <c r="C892" s="9" t="s">
        <v>65</v>
      </c>
      <c r="D892" s="9" t="s">
        <v>66</v>
      </c>
      <c r="E892" s="9" t="s">
        <v>231</v>
      </c>
      <c r="F892" s="11">
        <v>1</v>
      </c>
      <c r="G892" s="12">
        <v>0</v>
      </c>
      <c r="H892" s="12">
        <v>0</v>
      </c>
      <c r="I892" s="10">
        <v>1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</v>
      </c>
      <c r="V892" s="12">
        <v>0</v>
      </c>
      <c r="W892" s="12">
        <v>0</v>
      </c>
      <c r="X892" s="10">
        <v>1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0.22</v>
      </c>
    </row>
    <row r="893">
      <c r="A893" s="23">
        <v>13700</v>
      </c>
      <c r="B893" s="4" t="s">
        <v>1190</v>
      </c>
      <c r="C893" s="4" t="s">
        <v>65</v>
      </c>
      <c r="D893" s="4" t="s">
        <v>66</v>
      </c>
      <c r="E893" s="4" t="s">
        <v>69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1">
        <v>0</v>
      </c>
    </row>
    <row r="894">
      <c r="A894" s="24">
        <v>13706</v>
      </c>
      <c r="B894" s="9" t="s">
        <v>1191</v>
      </c>
      <c r="C894" s="9" t="s">
        <v>65</v>
      </c>
      <c r="D894" s="9" t="s">
        <v>71</v>
      </c>
      <c r="E894" s="9" t="s">
        <v>109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0">
        <v>0</v>
      </c>
    </row>
    <row r="895">
      <c r="A895" s="23">
        <v>13715</v>
      </c>
      <c r="B895" s="4" t="s">
        <v>1192</v>
      </c>
      <c r="C895" s="4" t="s">
        <v>65</v>
      </c>
      <c r="D895" s="4" t="s">
        <v>66</v>
      </c>
      <c r="E895" s="4" t="s">
        <v>69</v>
      </c>
      <c r="F895" s="6">
        <v>3</v>
      </c>
      <c r="G895" s="5">
        <v>2</v>
      </c>
      <c r="H895" s="7">
        <v>0</v>
      </c>
      <c r="I895" s="5">
        <v>1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3</v>
      </c>
      <c r="V895" s="5">
        <v>2</v>
      </c>
      <c r="W895" s="7">
        <v>0</v>
      </c>
      <c r="X895" s="5">
        <v>1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0.24</v>
      </c>
    </row>
    <row r="896">
      <c r="A896" s="24">
        <v>13725</v>
      </c>
      <c r="B896" s="9" t="s">
        <v>1193</v>
      </c>
      <c r="C896" s="9" t="s">
        <v>65</v>
      </c>
      <c r="D896" s="9" t="s">
        <v>71</v>
      </c>
      <c r="E896" s="9" t="s">
        <v>202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30">
        <v>0</v>
      </c>
    </row>
    <row r="897">
      <c r="A897" s="23">
        <v>13801</v>
      </c>
      <c r="B897" s="4" t="s">
        <v>1194</v>
      </c>
      <c r="C897" s="4" t="s">
        <v>65</v>
      </c>
      <c r="D897" s="4" t="s">
        <v>66</v>
      </c>
      <c r="E897" s="4" t="s">
        <v>69</v>
      </c>
      <c r="F897" s="6">
        <v>3</v>
      </c>
      <c r="G897" s="5">
        <v>2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3</v>
      </c>
      <c r="V897" s="5">
        <v>2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1.5</v>
      </c>
      <c r="AL897" s="5">
        <v>1</v>
      </c>
      <c r="AM897" s="5">
        <v>2</v>
      </c>
      <c r="AN897" s="28">
        <v>0.25</v>
      </c>
    </row>
    <row r="898">
      <c r="A898" s="24">
        <v>13806</v>
      </c>
      <c r="B898" s="9" t="s">
        <v>1195</v>
      </c>
      <c r="C898" s="9" t="s">
        <v>65</v>
      </c>
      <c r="D898" s="9" t="s">
        <v>71</v>
      </c>
      <c r="E898" s="9" t="s">
        <v>299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13839</v>
      </c>
      <c r="B899" s="4" t="s">
        <v>1196</v>
      </c>
      <c r="C899" s="4" t="s">
        <v>159</v>
      </c>
      <c r="D899" s="4" t="s">
        <v>172</v>
      </c>
      <c r="E899" s="4" t="s">
        <v>1197</v>
      </c>
      <c r="F899" s="6">
        <v>1</v>
      </c>
      <c r="G899" s="7">
        <v>0</v>
      </c>
      <c r="H899" s="7">
        <v>0</v>
      </c>
      <c r="I899" s="7">
        <v>0</v>
      </c>
      <c r="J899" s="7">
        <v>0</v>
      </c>
      <c r="K899" s="5">
        <v>1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</v>
      </c>
      <c r="V899" s="7">
        <v>0</v>
      </c>
      <c r="W899" s="7">
        <v>0</v>
      </c>
      <c r="X899" s="7">
        <v>0</v>
      </c>
      <c r="Y899" s="7">
        <v>0</v>
      </c>
      <c r="Z899" s="5">
        <v>1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13862</v>
      </c>
      <c r="B900" s="9" t="s">
        <v>1198</v>
      </c>
      <c r="C900" s="9" t="s">
        <v>65</v>
      </c>
      <c r="D900" s="9" t="s">
        <v>111</v>
      </c>
      <c r="E900" s="9" t="s">
        <v>112</v>
      </c>
      <c r="F900" s="11">
        <v>1</v>
      </c>
      <c r="G900" s="12">
        <v>0</v>
      </c>
      <c r="H900" s="10">
        <v>1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2">
        <v>0</v>
      </c>
      <c r="W900" s="10">
        <v>1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0.26</v>
      </c>
    </row>
    <row r="901">
      <c r="A901" s="23">
        <v>13888</v>
      </c>
      <c r="B901" s="4" t="s">
        <v>1199</v>
      </c>
      <c r="C901" s="4" t="s">
        <v>65</v>
      </c>
      <c r="D901" s="4" t="s">
        <v>79</v>
      </c>
      <c r="E901" s="4" t="s">
        <v>195</v>
      </c>
      <c r="F901" s="6">
        <v>2</v>
      </c>
      <c r="G901" s="7">
        <v>0</v>
      </c>
      <c r="H901" s="7">
        <v>0</v>
      </c>
      <c r="I901" s="5">
        <v>1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2</v>
      </c>
      <c r="V901" s="7">
        <v>0</v>
      </c>
      <c r="W901" s="7">
        <v>0</v>
      </c>
      <c r="X901" s="5">
        <v>1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0.5</v>
      </c>
    </row>
    <row r="902">
      <c r="A902" s="24">
        <v>13898</v>
      </c>
      <c r="B902" s="9" t="s">
        <v>1200</v>
      </c>
      <c r="C902" s="9" t="s">
        <v>65</v>
      </c>
      <c r="D902" s="9" t="s">
        <v>79</v>
      </c>
      <c r="E902" s="9" t="s">
        <v>80</v>
      </c>
      <c r="F902" s="11">
        <v>1</v>
      </c>
      <c r="G902" s="12">
        <v>0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1</v>
      </c>
      <c r="V902" s="12">
        <v>0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13905</v>
      </c>
      <c r="B903" s="4" t="s">
        <v>1201</v>
      </c>
      <c r="C903" s="4" t="s">
        <v>65</v>
      </c>
      <c r="D903" s="4" t="s">
        <v>79</v>
      </c>
      <c r="E903" s="4" t="s">
        <v>195</v>
      </c>
      <c r="F903" s="6">
        <v>4</v>
      </c>
      <c r="G903" s="5">
        <v>1</v>
      </c>
      <c r="H903" s="7">
        <v>0</v>
      </c>
      <c r="I903" s="7">
        <v>0</v>
      </c>
      <c r="J903" s="5">
        <v>3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3</v>
      </c>
      <c r="V903" s="5">
        <v>1</v>
      </c>
      <c r="W903" s="7">
        <v>0</v>
      </c>
      <c r="X903" s="7">
        <v>0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1.33</v>
      </c>
      <c r="AL903" s="5">
        <v>1</v>
      </c>
      <c r="AM903" s="5">
        <v>2</v>
      </c>
      <c r="AN903" s="28">
        <v>0.75</v>
      </c>
    </row>
    <row r="904">
      <c r="A904" s="24">
        <v>13914</v>
      </c>
      <c r="B904" s="9" t="s">
        <v>1202</v>
      </c>
      <c r="C904" s="9" t="s">
        <v>65</v>
      </c>
      <c r="D904" s="9" t="s">
        <v>120</v>
      </c>
      <c r="E904" s="9" t="s">
        <v>453</v>
      </c>
      <c r="F904" s="11">
        <v>3</v>
      </c>
      <c r="G904" s="10">
        <v>1</v>
      </c>
      <c r="H904" s="12">
        <v>0</v>
      </c>
      <c r="I904" s="10">
        <v>1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3</v>
      </c>
      <c r="V904" s="10">
        <v>1</v>
      </c>
      <c r="W904" s="12">
        <v>0</v>
      </c>
      <c r="X904" s="10">
        <v>1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0.5</v>
      </c>
    </row>
    <row r="905">
      <c r="A905" s="23">
        <v>13917</v>
      </c>
      <c r="B905" s="4" t="s">
        <v>1203</v>
      </c>
      <c r="C905" s="4" t="s">
        <v>65</v>
      </c>
      <c r="D905" s="4" t="s">
        <v>66</v>
      </c>
      <c r="E905" s="4" t="s">
        <v>69</v>
      </c>
      <c r="F905" s="6">
        <v>2</v>
      </c>
      <c r="G905" s="7">
        <v>0</v>
      </c>
      <c r="H905" s="5">
        <v>1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2</v>
      </c>
      <c r="V905" s="7">
        <v>0</v>
      </c>
      <c r="W905" s="5">
        <v>1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0.48</v>
      </c>
    </row>
    <row r="906">
      <c r="A906" s="24">
        <v>13997</v>
      </c>
      <c r="B906" s="9" t="s">
        <v>1204</v>
      </c>
      <c r="C906" s="9" t="s">
        <v>65</v>
      </c>
      <c r="D906" s="9" t="s">
        <v>71</v>
      </c>
      <c r="E906" s="9" t="s">
        <v>116</v>
      </c>
      <c r="F906" s="11">
        <v>2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2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</v>
      </c>
      <c r="AL906" s="10">
        <v>2</v>
      </c>
      <c r="AM906" s="10">
        <v>2</v>
      </c>
      <c r="AN906" s="30">
        <v>0</v>
      </c>
    </row>
    <row r="907">
      <c r="A907" s="23">
        <v>14013</v>
      </c>
      <c r="B907" s="4" t="s">
        <v>1205</v>
      </c>
      <c r="C907" s="4" t="s">
        <v>65</v>
      </c>
      <c r="D907" s="4" t="s">
        <v>87</v>
      </c>
      <c r="E907" s="4" t="s">
        <v>409</v>
      </c>
      <c r="F907" s="6">
        <v>2</v>
      </c>
      <c r="G907" s="5">
        <v>2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2</v>
      </c>
      <c r="V907" s="5">
        <v>2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2</v>
      </c>
      <c r="AL907" s="5">
        <v>2</v>
      </c>
      <c r="AM907" s="5">
        <v>2</v>
      </c>
      <c r="AN907" s="31">
        <v>0</v>
      </c>
    </row>
    <row r="908">
      <c r="A908" s="24">
        <v>14023</v>
      </c>
      <c r="B908" s="9" t="s">
        <v>1206</v>
      </c>
      <c r="C908" s="9" t="s">
        <v>159</v>
      </c>
      <c r="D908" s="9" t="s">
        <v>1207</v>
      </c>
      <c r="E908" s="9" t="s">
        <v>1208</v>
      </c>
      <c r="F908" s="11">
        <v>1</v>
      </c>
      <c r="G908" s="12">
        <v>0</v>
      </c>
      <c r="H908" s="12">
        <v>0</v>
      </c>
      <c r="I908" s="12">
        <v>0</v>
      </c>
      <c r="J908" s="12">
        <v>0</v>
      </c>
      <c r="K908" s="10">
        <v>1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2">
        <v>0</v>
      </c>
      <c r="X908" s="12">
        <v>0</v>
      </c>
      <c r="Y908" s="12">
        <v>0</v>
      </c>
      <c r="Z908" s="10">
        <v>1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0">
        <v>0</v>
      </c>
    </row>
    <row r="909">
      <c r="A909" s="23">
        <v>14089</v>
      </c>
      <c r="B909" s="4" t="s">
        <v>1209</v>
      </c>
      <c r="C909" s="4" t="s">
        <v>65</v>
      </c>
      <c r="D909" s="4" t="s">
        <v>79</v>
      </c>
      <c r="E909" s="4" t="s">
        <v>390</v>
      </c>
      <c r="F909" s="6">
        <v>1</v>
      </c>
      <c r="G909" s="7">
        <v>0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7">
        <v>0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0.25</v>
      </c>
    </row>
    <row r="910">
      <c r="A910" s="24">
        <v>14092</v>
      </c>
      <c r="B910" s="9" t="s">
        <v>1210</v>
      </c>
      <c r="C910" s="9" t="s">
        <v>65</v>
      </c>
      <c r="D910" s="9" t="s">
        <v>84</v>
      </c>
      <c r="E910" s="9" t="s">
        <v>147</v>
      </c>
      <c r="F910" s="11">
        <v>1</v>
      </c>
      <c r="G910" s="12">
        <v>0</v>
      </c>
      <c r="H910" s="12">
        <v>0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2">
        <v>0</v>
      </c>
      <c r="W910" s="12">
        <v>0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0.26</v>
      </c>
    </row>
    <row r="911">
      <c r="A911" s="23">
        <v>14138</v>
      </c>
      <c r="B911" s="4" t="s">
        <v>1211</v>
      </c>
      <c r="C911" s="4" t="s">
        <v>65</v>
      </c>
      <c r="D911" s="4" t="s">
        <v>87</v>
      </c>
      <c r="E911" s="4" t="s">
        <v>93</v>
      </c>
      <c r="F911" s="6">
        <v>1</v>
      </c>
      <c r="G911" s="7">
        <v>0</v>
      </c>
      <c r="H911" s="5">
        <v>1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7">
        <v>0</v>
      </c>
      <c r="W911" s="5">
        <v>1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14159</v>
      </c>
      <c r="B912" s="9" t="s">
        <v>1212</v>
      </c>
      <c r="C912" s="9" t="s">
        <v>65</v>
      </c>
      <c r="D912" s="9" t="s">
        <v>71</v>
      </c>
      <c r="E912" s="9" t="s">
        <v>116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14171</v>
      </c>
      <c r="B913" s="4" t="s">
        <v>1213</v>
      </c>
      <c r="C913" s="4" t="s">
        <v>65</v>
      </c>
      <c r="D913" s="4" t="s">
        <v>71</v>
      </c>
      <c r="E913" s="4" t="s">
        <v>202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1">
        <v>0</v>
      </c>
    </row>
    <row r="914">
      <c r="A914" s="24">
        <v>14175</v>
      </c>
      <c r="B914" s="9" t="s">
        <v>1214</v>
      </c>
      <c r="C914" s="9" t="s">
        <v>65</v>
      </c>
      <c r="D914" s="9" t="s">
        <v>74</v>
      </c>
      <c r="E914" s="9" t="s">
        <v>366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30">
        <v>0</v>
      </c>
    </row>
    <row r="915">
      <c r="A915" s="23">
        <v>14188</v>
      </c>
      <c r="B915" s="4" t="s">
        <v>1215</v>
      </c>
      <c r="C915" s="4" t="s">
        <v>65</v>
      </c>
      <c r="D915" s="4" t="s">
        <v>111</v>
      </c>
      <c r="E915" s="4" t="s">
        <v>188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1">
        <v>0</v>
      </c>
    </row>
    <row r="916">
      <c r="A916" s="24">
        <v>14191</v>
      </c>
      <c r="B916" s="9" t="s">
        <v>1216</v>
      </c>
      <c r="C916" s="9" t="s">
        <v>973</v>
      </c>
      <c r="D916" s="9" t="s">
        <v>974</v>
      </c>
      <c r="E916" s="9" t="s">
        <v>305</v>
      </c>
      <c r="F916" s="11">
        <v>3</v>
      </c>
      <c r="G916" s="12">
        <v>0</v>
      </c>
      <c r="H916" s="12">
        <v>0</v>
      </c>
      <c r="I916" s="10">
        <v>1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3</v>
      </c>
      <c r="V916" s="12">
        <v>0</v>
      </c>
      <c r="W916" s="12">
        <v>0</v>
      </c>
      <c r="X916" s="10">
        <v>1</v>
      </c>
      <c r="Y916" s="10">
        <v>2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1.5</v>
      </c>
      <c r="AL916" s="10">
        <v>1</v>
      </c>
      <c r="AM916" s="10">
        <v>2</v>
      </c>
      <c r="AN916" s="29">
        <v>0.75</v>
      </c>
    </row>
    <row r="917">
      <c r="A917" s="23">
        <v>14192</v>
      </c>
      <c r="B917" s="4" t="s">
        <v>1217</v>
      </c>
      <c r="C917" s="4" t="s">
        <v>65</v>
      </c>
      <c r="D917" s="4" t="s">
        <v>111</v>
      </c>
      <c r="E917" s="4" t="s">
        <v>151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14240</v>
      </c>
      <c r="B918" s="9" t="s">
        <v>1218</v>
      </c>
      <c r="C918" s="9" t="s">
        <v>502</v>
      </c>
      <c r="D918" s="9" t="s">
        <v>503</v>
      </c>
      <c r="E918" s="9" t="s">
        <v>1219</v>
      </c>
      <c r="F918" s="11">
        <v>2</v>
      </c>
      <c r="G918" s="12">
        <v>0</v>
      </c>
      <c r="H918" s="12">
        <v>0</v>
      </c>
      <c r="I918" s="12">
        <v>0</v>
      </c>
      <c r="J918" s="10">
        <v>2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2</v>
      </c>
      <c r="V918" s="12">
        <v>0</v>
      </c>
      <c r="W918" s="12">
        <v>0</v>
      </c>
      <c r="X918" s="12">
        <v>0</v>
      </c>
      <c r="Y918" s="10">
        <v>2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29">
        <v>0.52</v>
      </c>
    </row>
    <row r="919">
      <c r="A919" s="23">
        <v>14296</v>
      </c>
      <c r="B919" s="4" t="s">
        <v>1220</v>
      </c>
      <c r="C919" s="4" t="s">
        <v>65</v>
      </c>
      <c r="D919" s="4" t="s">
        <v>71</v>
      </c>
      <c r="E919" s="4" t="s">
        <v>72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1">
        <v>0</v>
      </c>
    </row>
    <row r="920">
      <c r="A920" s="24">
        <v>14323</v>
      </c>
      <c r="B920" s="9" t="s">
        <v>1221</v>
      </c>
      <c r="C920" s="9" t="s">
        <v>65</v>
      </c>
      <c r="D920" s="9" t="s">
        <v>71</v>
      </c>
      <c r="E920" s="9" t="s">
        <v>72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0.22</v>
      </c>
    </row>
    <row r="921">
      <c r="A921" s="23">
        <v>14340</v>
      </c>
      <c r="B921" s="4" t="s">
        <v>1222</v>
      </c>
      <c r="C921" s="4" t="s">
        <v>65</v>
      </c>
      <c r="D921" s="4" t="s">
        <v>87</v>
      </c>
      <c r="E921" s="4" t="s">
        <v>409</v>
      </c>
      <c r="F921" s="6">
        <v>1</v>
      </c>
      <c r="G921" s="7">
        <v>0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7">
        <v>0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1">
        <v>0</v>
      </c>
    </row>
    <row r="922">
      <c r="A922" s="24">
        <v>14409</v>
      </c>
      <c r="B922" s="9" t="s">
        <v>1223</v>
      </c>
      <c r="C922" s="9" t="s">
        <v>159</v>
      </c>
      <c r="D922" s="9" t="s">
        <v>748</v>
      </c>
      <c r="E922" s="9" t="s">
        <v>749</v>
      </c>
      <c r="F922" s="11">
        <v>2</v>
      </c>
      <c r="G922" s="12">
        <v>0</v>
      </c>
      <c r="H922" s="12">
        <v>0</v>
      </c>
      <c r="I922" s="10">
        <v>1</v>
      </c>
      <c r="J922" s="12">
        <v>0</v>
      </c>
      <c r="K922" s="10">
        <v>1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2</v>
      </c>
      <c r="V922" s="12">
        <v>0</v>
      </c>
      <c r="W922" s="12">
        <v>0</v>
      </c>
      <c r="X922" s="10">
        <v>1</v>
      </c>
      <c r="Y922" s="12">
        <v>0</v>
      </c>
      <c r="Z922" s="10">
        <v>1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0">
        <v>0</v>
      </c>
    </row>
    <row r="923">
      <c r="A923" s="23">
        <v>14418</v>
      </c>
      <c r="B923" s="4" t="s">
        <v>1224</v>
      </c>
      <c r="C923" s="4" t="s">
        <v>65</v>
      </c>
      <c r="D923" s="4" t="s">
        <v>84</v>
      </c>
      <c r="E923" s="4" t="s">
        <v>147</v>
      </c>
      <c r="F923" s="6">
        <v>4</v>
      </c>
      <c r="G923" s="7">
        <v>0</v>
      </c>
      <c r="H923" s="7">
        <v>0</v>
      </c>
      <c r="I923" s="5">
        <v>1</v>
      </c>
      <c r="J923" s="5">
        <v>3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3</v>
      </c>
      <c r="V923" s="7">
        <v>0</v>
      </c>
      <c r="W923" s="7">
        <v>0</v>
      </c>
      <c r="X923" s="5">
        <v>1</v>
      </c>
      <c r="Y923" s="5">
        <v>2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1.33</v>
      </c>
      <c r="AL923" s="5">
        <v>1</v>
      </c>
      <c r="AM923" s="5">
        <v>2</v>
      </c>
      <c r="AN923" s="28">
        <v>0.75</v>
      </c>
    </row>
    <row r="924">
      <c r="A924" s="24">
        <v>14436</v>
      </c>
      <c r="B924" s="9" t="s">
        <v>1225</v>
      </c>
      <c r="C924" s="9" t="s">
        <v>65</v>
      </c>
      <c r="D924" s="9" t="s">
        <v>66</v>
      </c>
      <c r="E924" s="9" t="s">
        <v>69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0">
        <v>0</v>
      </c>
    </row>
    <row r="925">
      <c r="A925" s="23">
        <v>14469</v>
      </c>
      <c r="B925" s="4" t="s">
        <v>1226</v>
      </c>
      <c r="C925" s="4" t="s">
        <v>65</v>
      </c>
      <c r="D925" s="4" t="s">
        <v>111</v>
      </c>
      <c r="E925" s="4" t="s">
        <v>114</v>
      </c>
      <c r="F925" s="6">
        <v>2</v>
      </c>
      <c r="G925" s="5">
        <v>1</v>
      </c>
      <c r="H925" s="7">
        <v>0</v>
      </c>
      <c r="I925" s="5">
        <v>1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5">
        <v>1</v>
      </c>
      <c r="W925" s="7">
        <v>0</v>
      </c>
      <c r="X925" s="5">
        <v>1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31">
        <v>0</v>
      </c>
    </row>
    <row r="926">
      <c r="A926" s="24">
        <v>14477</v>
      </c>
      <c r="B926" s="9" t="s">
        <v>1227</v>
      </c>
      <c r="C926" s="9" t="s">
        <v>65</v>
      </c>
      <c r="D926" s="9" t="s">
        <v>111</v>
      </c>
      <c r="E926" s="9" t="s">
        <v>200</v>
      </c>
      <c r="F926" s="11">
        <v>1</v>
      </c>
      <c r="G926" s="12">
        <v>0</v>
      </c>
      <c r="H926" s="10">
        <v>1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2">
        <v>0</v>
      </c>
      <c r="W926" s="10">
        <v>1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14478</v>
      </c>
      <c r="B927" s="4" t="s">
        <v>1228</v>
      </c>
      <c r="C927" s="4" t="s">
        <v>65</v>
      </c>
      <c r="D927" s="4" t="s">
        <v>111</v>
      </c>
      <c r="E927" s="4" t="s">
        <v>200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1">
        <v>0</v>
      </c>
    </row>
    <row r="928">
      <c r="A928" s="24">
        <v>14570</v>
      </c>
      <c r="B928" s="9" t="s">
        <v>1229</v>
      </c>
      <c r="C928" s="9" t="s">
        <v>494</v>
      </c>
      <c r="D928" s="9" t="s">
        <v>741</v>
      </c>
      <c r="E928" s="9" t="s">
        <v>305</v>
      </c>
      <c r="F928" s="11">
        <v>1</v>
      </c>
      <c r="G928" s="12">
        <v>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2">
        <v>0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0">
        <v>0</v>
      </c>
    </row>
    <row r="929">
      <c r="A929" s="23">
        <v>14601</v>
      </c>
      <c r="B929" s="4" t="s">
        <v>1230</v>
      </c>
      <c r="C929" s="4" t="s">
        <v>135</v>
      </c>
      <c r="D929" s="4" t="s">
        <v>375</v>
      </c>
      <c r="E929" s="4" t="s">
        <v>457</v>
      </c>
      <c r="F929" s="6">
        <v>1</v>
      </c>
      <c r="G929" s="7">
        <v>0</v>
      </c>
      <c r="H929" s="7">
        <v>0</v>
      </c>
      <c r="I929" s="5">
        <v>1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7">
        <v>0</v>
      </c>
      <c r="W929" s="7">
        <v>0</v>
      </c>
      <c r="X929" s="5">
        <v>1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1">
        <v>0</v>
      </c>
    </row>
    <row r="930">
      <c r="A930" s="24">
        <v>14613</v>
      </c>
      <c r="B930" s="9" t="s">
        <v>1231</v>
      </c>
      <c r="C930" s="9" t="s">
        <v>65</v>
      </c>
      <c r="D930" s="9" t="s">
        <v>101</v>
      </c>
      <c r="E930" s="9" t="s">
        <v>289</v>
      </c>
      <c r="F930" s="11">
        <v>1</v>
      </c>
      <c r="G930" s="12">
        <v>0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0.26</v>
      </c>
    </row>
    <row r="931">
      <c r="A931" s="23">
        <v>14624</v>
      </c>
      <c r="B931" s="4" t="s">
        <v>1232</v>
      </c>
      <c r="C931" s="4" t="s">
        <v>135</v>
      </c>
      <c r="D931" s="4" t="s">
        <v>323</v>
      </c>
      <c r="E931" s="4" t="s">
        <v>619</v>
      </c>
      <c r="F931" s="6">
        <v>1</v>
      </c>
      <c r="G931" s="7">
        <v>0</v>
      </c>
      <c r="H931" s="7">
        <v>0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7">
        <v>0</v>
      </c>
      <c r="W931" s="7">
        <v>0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31">
        <v>0</v>
      </c>
    </row>
    <row r="932">
      <c r="A932" s="24">
        <v>14625</v>
      </c>
      <c r="B932" s="9" t="s">
        <v>1233</v>
      </c>
      <c r="C932" s="9" t="s">
        <v>65</v>
      </c>
      <c r="D932" s="9" t="s">
        <v>79</v>
      </c>
      <c r="E932" s="9" t="s">
        <v>131</v>
      </c>
      <c r="F932" s="11">
        <v>1</v>
      </c>
      <c r="G932" s="12">
        <v>0</v>
      </c>
      <c r="H932" s="10">
        <v>1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2">
        <v>0</v>
      </c>
      <c r="W932" s="10">
        <v>1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14632</v>
      </c>
      <c r="B933" s="4" t="s">
        <v>1234</v>
      </c>
      <c r="C933" s="4" t="s">
        <v>973</v>
      </c>
      <c r="D933" s="4" t="s">
        <v>974</v>
      </c>
      <c r="E933" s="4" t="s">
        <v>1235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0.22</v>
      </c>
    </row>
    <row r="934">
      <c r="A934" s="24">
        <v>14676</v>
      </c>
      <c r="B934" s="9" t="s">
        <v>1236</v>
      </c>
      <c r="C934" s="9" t="s">
        <v>65</v>
      </c>
      <c r="D934" s="9" t="s">
        <v>111</v>
      </c>
      <c r="E934" s="9" t="s">
        <v>188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0">
        <v>0</v>
      </c>
    </row>
    <row r="935">
      <c r="A935" s="23">
        <v>14824</v>
      </c>
      <c r="B935" s="4" t="s">
        <v>1237</v>
      </c>
      <c r="C935" s="4" t="s">
        <v>135</v>
      </c>
      <c r="D935" s="4" t="s">
        <v>440</v>
      </c>
      <c r="E935" s="4" t="s">
        <v>1238</v>
      </c>
      <c r="F935" s="6">
        <v>3</v>
      </c>
      <c r="G935" s="7">
        <v>0</v>
      </c>
      <c r="H935" s="7">
        <v>0</v>
      </c>
      <c r="I935" s="5">
        <v>3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3</v>
      </c>
      <c r="V935" s="7">
        <v>0</v>
      </c>
      <c r="W935" s="7">
        <v>0</v>
      </c>
      <c r="X935" s="5">
        <v>3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1.5</v>
      </c>
      <c r="AL935" s="5">
        <v>1</v>
      </c>
      <c r="AM935" s="5">
        <v>2</v>
      </c>
      <c r="AN935" s="31">
        <v>0</v>
      </c>
    </row>
    <row r="936">
      <c r="A936" s="24">
        <v>14855</v>
      </c>
      <c r="B936" s="9" t="s">
        <v>1239</v>
      </c>
      <c r="C936" s="9" t="s">
        <v>65</v>
      </c>
      <c r="D936" s="9" t="s">
        <v>98</v>
      </c>
      <c r="E936" s="9" t="s">
        <v>139</v>
      </c>
      <c r="F936" s="11">
        <v>3</v>
      </c>
      <c r="G936" s="10">
        <v>1</v>
      </c>
      <c r="H936" s="12">
        <v>0</v>
      </c>
      <c r="I936" s="12">
        <v>0</v>
      </c>
      <c r="J936" s="10">
        <v>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3</v>
      </c>
      <c r="V936" s="10">
        <v>1</v>
      </c>
      <c r="W936" s="12">
        <v>0</v>
      </c>
      <c r="X936" s="12">
        <v>0</v>
      </c>
      <c r="Y936" s="10">
        <v>2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1.5</v>
      </c>
      <c r="AL936" s="10">
        <v>1</v>
      </c>
      <c r="AM936" s="10">
        <v>2</v>
      </c>
      <c r="AN936" s="29">
        <v>0.75</v>
      </c>
    </row>
    <row r="937">
      <c r="A937" s="23">
        <v>14883</v>
      </c>
      <c r="B937" s="4" t="s">
        <v>1240</v>
      </c>
      <c r="C937" s="4" t="s">
        <v>65</v>
      </c>
      <c r="D937" s="4" t="s">
        <v>79</v>
      </c>
      <c r="E937" s="4" t="s">
        <v>96</v>
      </c>
      <c r="F937" s="6">
        <v>1</v>
      </c>
      <c r="G937" s="7">
        <v>0</v>
      </c>
      <c r="H937" s="5">
        <v>1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7">
        <v>0</v>
      </c>
      <c r="W937" s="5">
        <v>1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0.25</v>
      </c>
    </row>
    <row r="938">
      <c r="A938" s="24">
        <v>14932</v>
      </c>
      <c r="B938" s="9" t="s">
        <v>1241</v>
      </c>
      <c r="C938" s="9" t="s">
        <v>135</v>
      </c>
      <c r="D938" s="9" t="s">
        <v>323</v>
      </c>
      <c r="E938" s="9" t="s">
        <v>333</v>
      </c>
      <c r="F938" s="11">
        <v>3</v>
      </c>
      <c r="G938" s="10">
        <v>1</v>
      </c>
      <c r="H938" s="12">
        <v>0</v>
      </c>
      <c r="I938" s="10">
        <v>1</v>
      </c>
      <c r="J938" s="12">
        <v>0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3</v>
      </c>
      <c r="V938" s="10">
        <v>1</v>
      </c>
      <c r="W938" s="12">
        <v>0</v>
      </c>
      <c r="X938" s="10">
        <v>1</v>
      </c>
      <c r="Y938" s="12">
        <v>0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30">
        <v>0</v>
      </c>
    </row>
    <row r="939">
      <c r="A939" s="23">
        <v>14963</v>
      </c>
      <c r="B939" s="4" t="s">
        <v>1242</v>
      </c>
      <c r="C939" s="4" t="s">
        <v>65</v>
      </c>
      <c r="D939" s="4" t="s">
        <v>71</v>
      </c>
      <c r="E939" s="4" t="s">
        <v>116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1">
        <v>0</v>
      </c>
    </row>
    <row r="940">
      <c r="A940" s="24">
        <v>14978</v>
      </c>
      <c r="B940" s="9" t="s">
        <v>1243</v>
      </c>
      <c r="C940" s="9" t="s">
        <v>65</v>
      </c>
      <c r="D940" s="9" t="s">
        <v>71</v>
      </c>
      <c r="E940" s="9" t="s">
        <v>72</v>
      </c>
      <c r="F940" s="11">
        <v>2</v>
      </c>
      <c r="G940" s="10">
        <v>2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2</v>
      </c>
      <c r="V940" s="10">
        <v>2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15007</v>
      </c>
      <c r="B941" s="4" t="s">
        <v>1244</v>
      </c>
      <c r="C941" s="4" t="s">
        <v>65</v>
      </c>
      <c r="D941" s="4" t="s">
        <v>71</v>
      </c>
      <c r="E941" s="4" t="s">
        <v>476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1">
        <v>0</v>
      </c>
    </row>
    <row r="942">
      <c r="A942" s="24">
        <v>15010</v>
      </c>
      <c r="B942" s="9" t="s">
        <v>1245</v>
      </c>
      <c r="C942" s="9" t="s">
        <v>159</v>
      </c>
      <c r="D942" s="9" t="s">
        <v>172</v>
      </c>
      <c r="E942" s="9" t="s">
        <v>173</v>
      </c>
      <c r="F942" s="11">
        <v>3</v>
      </c>
      <c r="G942" s="12">
        <v>0</v>
      </c>
      <c r="H942" s="10">
        <v>1</v>
      </c>
      <c r="I942" s="10">
        <v>1</v>
      </c>
      <c r="J942" s="12">
        <v>0</v>
      </c>
      <c r="K942" s="10">
        <v>1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3</v>
      </c>
      <c r="V942" s="12">
        <v>0</v>
      </c>
      <c r="W942" s="10">
        <v>1</v>
      </c>
      <c r="X942" s="10">
        <v>1</v>
      </c>
      <c r="Y942" s="12">
        <v>0</v>
      </c>
      <c r="Z942" s="10">
        <v>1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0">
        <v>0</v>
      </c>
    </row>
    <row r="943">
      <c r="A943" s="23">
        <v>15027</v>
      </c>
      <c r="B943" s="4" t="s">
        <v>1246</v>
      </c>
      <c r="C943" s="4" t="s">
        <v>65</v>
      </c>
      <c r="D943" s="4" t="s">
        <v>104</v>
      </c>
      <c r="E943" s="4" t="s">
        <v>107</v>
      </c>
      <c r="F943" s="6">
        <v>1</v>
      </c>
      <c r="G943" s="5">
        <v>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31">
        <v>0</v>
      </c>
    </row>
    <row r="944">
      <c r="A944" s="24">
        <v>15122</v>
      </c>
      <c r="B944" s="9" t="s">
        <v>1247</v>
      </c>
      <c r="C944" s="9" t="s">
        <v>494</v>
      </c>
      <c r="D944" s="9" t="s">
        <v>1248</v>
      </c>
      <c r="E944" s="9" t="s">
        <v>305</v>
      </c>
      <c r="F944" s="11">
        <v>2</v>
      </c>
      <c r="G944" s="12">
        <v>0</v>
      </c>
      <c r="H944" s="12">
        <v>0</v>
      </c>
      <c r="I944" s="10">
        <v>1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2</v>
      </c>
      <c r="V944" s="12">
        <v>0</v>
      </c>
      <c r="W944" s="12">
        <v>0</v>
      </c>
      <c r="X944" s="10">
        <v>1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0">
        <v>0</v>
      </c>
    </row>
    <row r="945">
      <c r="A945" s="23">
        <v>15222</v>
      </c>
      <c r="B945" s="4" t="s">
        <v>1249</v>
      </c>
      <c r="C945" s="4" t="s">
        <v>135</v>
      </c>
      <c r="D945" s="4" t="s">
        <v>136</v>
      </c>
      <c r="E945" s="4" t="s">
        <v>1250</v>
      </c>
      <c r="F945" s="6">
        <v>1</v>
      </c>
      <c r="G945" s="7">
        <v>0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</v>
      </c>
      <c r="V945" s="7">
        <v>0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0.17</v>
      </c>
    </row>
    <row r="946">
      <c r="A946" s="24">
        <v>15322</v>
      </c>
      <c r="B946" s="9" t="s">
        <v>1251</v>
      </c>
      <c r="C946" s="9" t="s">
        <v>65</v>
      </c>
      <c r="D946" s="9" t="s">
        <v>111</v>
      </c>
      <c r="E946" s="9" t="s">
        <v>151</v>
      </c>
      <c r="F946" s="11">
        <v>2</v>
      </c>
      <c r="G946" s="10">
        <v>2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2</v>
      </c>
      <c r="V946" s="10">
        <v>2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2</v>
      </c>
      <c r="AK946" s="13">
        <v>2</v>
      </c>
      <c r="AL946" s="10">
        <v>2</v>
      </c>
      <c r="AM946" s="10">
        <v>2</v>
      </c>
      <c r="AN946" s="30">
        <v>0</v>
      </c>
    </row>
    <row r="947">
      <c r="A947" s="23">
        <v>15326</v>
      </c>
      <c r="B947" s="4" t="s">
        <v>1252</v>
      </c>
      <c r="C947" s="4" t="s">
        <v>65</v>
      </c>
      <c r="D947" s="4" t="s">
        <v>111</v>
      </c>
      <c r="E947" s="4" t="s">
        <v>151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1">
        <v>0</v>
      </c>
    </row>
    <row r="948">
      <c r="A948" s="24">
        <v>15332</v>
      </c>
      <c r="B948" s="9" t="s">
        <v>1253</v>
      </c>
      <c r="C948" s="9" t="s">
        <v>135</v>
      </c>
      <c r="D948" s="9" t="s">
        <v>489</v>
      </c>
      <c r="E948" s="9" t="s">
        <v>558</v>
      </c>
      <c r="F948" s="11">
        <v>1</v>
      </c>
      <c r="G948" s="12">
        <v>0</v>
      </c>
      <c r="H948" s="12">
        <v>0</v>
      </c>
      <c r="I948" s="10">
        <v>1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</v>
      </c>
      <c r="V948" s="12">
        <v>0</v>
      </c>
      <c r="W948" s="12">
        <v>0</v>
      </c>
      <c r="X948" s="10">
        <v>1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0">
        <v>0</v>
      </c>
    </row>
    <row r="949">
      <c r="A949" s="23">
        <v>15377</v>
      </c>
      <c r="B949" s="4" t="s">
        <v>1254</v>
      </c>
      <c r="C949" s="4" t="s">
        <v>65</v>
      </c>
      <c r="D949" s="4" t="s">
        <v>66</v>
      </c>
      <c r="E949" s="4" t="s">
        <v>69</v>
      </c>
      <c r="F949" s="6">
        <v>1</v>
      </c>
      <c r="G949" s="7">
        <v>0</v>
      </c>
      <c r="H949" s="5">
        <v>1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5">
        <v>1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1">
        <v>0</v>
      </c>
    </row>
    <row r="950">
      <c r="A950" s="24">
        <v>15406</v>
      </c>
      <c r="B950" s="9" t="s">
        <v>1255</v>
      </c>
      <c r="C950" s="9" t="s">
        <v>65</v>
      </c>
      <c r="D950" s="9" t="s">
        <v>79</v>
      </c>
      <c r="E950" s="9" t="s">
        <v>141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15408</v>
      </c>
      <c r="B951" s="4" t="s">
        <v>1256</v>
      </c>
      <c r="C951" s="4" t="s">
        <v>982</v>
      </c>
      <c r="D951" s="4" t="s">
        <v>305</v>
      </c>
      <c r="E951" s="4" t="s">
        <v>305</v>
      </c>
      <c r="F951" s="6">
        <v>1</v>
      </c>
      <c r="G951" s="7">
        <v>0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7">
        <v>0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0.25</v>
      </c>
    </row>
    <row r="952">
      <c r="A952" s="24">
        <v>15551</v>
      </c>
      <c r="B952" s="9" t="s">
        <v>1257</v>
      </c>
      <c r="C952" s="9" t="s">
        <v>65</v>
      </c>
      <c r="D952" s="9" t="s">
        <v>111</v>
      </c>
      <c r="E952" s="9" t="s">
        <v>151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15556</v>
      </c>
      <c r="B953" s="4" t="s">
        <v>1258</v>
      </c>
      <c r="C953" s="4" t="s">
        <v>573</v>
      </c>
      <c r="D953" s="4" t="s">
        <v>781</v>
      </c>
      <c r="E953" s="4" t="s">
        <v>305</v>
      </c>
      <c r="F953" s="6">
        <v>3</v>
      </c>
      <c r="G953" s="7">
        <v>0</v>
      </c>
      <c r="H953" s="7">
        <v>0</v>
      </c>
      <c r="I953" s="5">
        <v>1</v>
      </c>
      <c r="J953" s="5">
        <v>2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3</v>
      </c>
      <c r="V953" s="7">
        <v>0</v>
      </c>
      <c r="W953" s="7">
        <v>0</v>
      </c>
      <c r="X953" s="5">
        <v>1</v>
      </c>
      <c r="Y953" s="5">
        <v>2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0.52</v>
      </c>
    </row>
    <row r="954">
      <c r="A954" s="24">
        <v>15726</v>
      </c>
      <c r="B954" s="9" t="s">
        <v>1259</v>
      </c>
      <c r="C954" s="9" t="s">
        <v>65</v>
      </c>
      <c r="D954" s="9" t="s">
        <v>79</v>
      </c>
      <c r="E954" s="9" t="s">
        <v>195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30">
        <v>0</v>
      </c>
    </row>
    <row r="955">
      <c r="A955" s="23">
        <v>15730</v>
      </c>
      <c r="B955" s="4" t="s">
        <v>1260</v>
      </c>
      <c r="C955" s="4" t="s">
        <v>135</v>
      </c>
      <c r="D955" s="4" t="s">
        <v>217</v>
      </c>
      <c r="E955" s="4" t="s">
        <v>218</v>
      </c>
      <c r="F955" s="6">
        <v>1</v>
      </c>
      <c r="G955" s="7">
        <v>0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7">
        <v>0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31">
        <v>0</v>
      </c>
    </row>
    <row r="956">
      <c r="A956" s="24">
        <v>15748</v>
      </c>
      <c r="B956" s="9" t="s">
        <v>1261</v>
      </c>
      <c r="C956" s="9" t="s">
        <v>65</v>
      </c>
      <c r="D956" s="9" t="s">
        <v>98</v>
      </c>
      <c r="E956" s="9" t="s">
        <v>139</v>
      </c>
      <c r="F956" s="11">
        <v>1</v>
      </c>
      <c r="G956" s="12">
        <v>0</v>
      </c>
      <c r="H956" s="10">
        <v>1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2">
        <v>0</v>
      </c>
      <c r="W956" s="10">
        <v>1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15774</v>
      </c>
      <c r="B957" s="4" t="s">
        <v>1262</v>
      </c>
      <c r="C957" s="4" t="s">
        <v>65</v>
      </c>
      <c r="D957" s="4" t="s">
        <v>111</v>
      </c>
      <c r="E957" s="4" t="s">
        <v>188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1">
        <v>0</v>
      </c>
    </row>
    <row r="958">
      <c r="A958" s="24">
        <v>15869</v>
      </c>
      <c r="B958" s="9" t="s">
        <v>1263</v>
      </c>
      <c r="C958" s="9" t="s">
        <v>65</v>
      </c>
      <c r="D958" s="9" t="s">
        <v>101</v>
      </c>
      <c r="E958" s="9" t="s">
        <v>249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0.26</v>
      </c>
    </row>
    <row r="959">
      <c r="A959" s="23">
        <v>15881</v>
      </c>
      <c r="B959" s="4" t="s">
        <v>1264</v>
      </c>
      <c r="C959" s="4" t="s">
        <v>65</v>
      </c>
      <c r="D959" s="4" t="s">
        <v>87</v>
      </c>
      <c r="E959" s="4" t="s">
        <v>295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1">
        <v>0</v>
      </c>
    </row>
    <row r="960">
      <c r="A960" s="24">
        <v>15982</v>
      </c>
      <c r="B960" s="9" t="s">
        <v>1265</v>
      </c>
      <c r="C960" s="9" t="s">
        <v>135</v>
      </c>
      <c r="D960" s="9" t="s">
        <v>402</v>
      </c>
      <c r="E960" s="9" t="s">
        <v>403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16015</v>
      </c>
      <c r="B961" s="4" t="s">
        <v>1266</v>
      </c>
      <c r="C961" s="4" t="s">
        <v>573</v>
      </c>
      <c r="D961" s="4" t="s">
        <v>1267</v>
      </c>
      <c r="E961" s="4" t="s">
        <v>305</v>
      </c>
      <c r="F961" s="6">
        <v>1</v>
      </c>
      <c r="G961" s="7">
        <v>0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</v>
      </c>
      <c r="V961" s="7">
        <v>0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16029</v>
      </c>
      <c r="B962" s="9" t="s">
        <v>1268</v>
      </c>
      <c r="C962" s="9" t="s">
        <v>982</v>
      </c>
      <c r="D962" s="9" t="s">
        <v>1269</v>
      </c>
      <c r="E962" s="9" t="s">
        <v>305</v>
      </c>
      <c r="F962" s="11">
        <v>6</v>
      </c>
      <c r="G962" s="12">
        <v>0</v>
      </c>
      <c r="H962" s="12">
        <v>0</v>
      </c>
      <c r="I962" s="12">
        <v>0</v>
      </c>
      <c r="J962" s="10">
        <v>6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5</v>
      </c>
      <c r="V962" s="12">
        <v>0</v>
      </c>
      <c r="W962" s="12">
        <v>0</v>
      </c>
      <c r="X962" s="12">
        <v>0</v>
      </c>
      <c r="Y962" s="10">
        <v>5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</v>
      </c>
      <c r="AL962" s="10">
        <v>2</v>
      </c>
      <c r="AM962" s="10">
        <v>2</v>
      </c>
      <c r="AN962" s="29">
        <v>1.3</v>
      </c>
    </row>
    <row r="963">
      <c r="A963" s="23">
        <v>16032</v>
      </c>
      <c r="B963" s="4" t="s">
        <v>1270</v>
      </c>
      <c r="C963" s="4" t="s">
        <v>65</v>
      </c>
      <c r="D963" s="4" t="s">
        <v>111</v>
      </c>
      <c r="E963" s="4" t="s">
        <v>151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31">
        <v>0</v>
      </c>
    </row>
    <row r="964">
      <c r="A964" s="24">
        <v>16033</v>
      </c>
      <c r="B964" s="9" t="s">
        <v>1271</v>
      </c>
      <c r="C964" s="9" t="s">
        <v>65</v>
      </c>
      <c r="D964" s="9" t="s">
        <v>111</v>
      </c>
      <c r="E964" s="9" t="s">
        <v>151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16051</v>
      </c>
      <c r="B965" s="4" t="s">
        <v>1272</v>
      </c>
      <c r="C965" s="4" t="s">
        <v>65</v>
      </c>
      <c r="D965" s="4" t="s">
        <v>71</v>
      </c>
      <c r="E965" s="4" t="s">
        <v>202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0.25</v>
      </c>
    </row>
    <row r="966">
      <c r="A966" s="24">
        <v>16091</v>
      </c>
      <c r="B966" s="9" t="s">
        <v>1273</v>
      </c>
      <c r="C966" s="9" t="s">
        <v>65</v>
      </c>
      <c r="D966" s="9" t="s">
        <v>120</v>
      </c>
      <c r="E966" s="9" t="s">
        <v>453</v>
      </c>
      <c r="F966" s="11">
        <v>1</v>
      </c>
      <c r="G966" s="12">
        <v>0</v>
      </c>
      <c r="H966" s="12">
        <v>0</v>
      </c>
      <c r="I966" s="10">
        <v>1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</v>
      </c>
      <c r="V966" s="12">
        <v>0</v>
      </c>
      <c r="W966" s="12">
        <v>0</v>
      </c>
      <c r="X966" s="10">
        <v>1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30">
        <v>0</v>
      </c>
    </row>
    <row r="967">
      <c r="A967" s="23">
        <v>16098</v>
      </c>
      <c r="B967" s="4" t="s">
        <v>1274</v>
      </c>
      <c r="C967" s="4" t="s">
        <v>65</v>
      </c>
      <c r="D967" s="4" t="s">
        <v>104</v>
      </c>
      <c r="E967" s="4" t="s">
        <v>105</v>
      </c>
      <c r="F967" s="6">
        <v>2</v>
      </c>
      <c r="G967" s="7">
        <v>0</v>
      </c>
      <c r="H967" s="7">
        <v>0</v>
      </c>
      <c r="I967" s="5">
        <v>2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2</v>
      </c>
      <c r="V967" s="7">
        <v>0</v>
      </c>
      <c r="W967" s="7">
        <v>0</v>
      </c>
      <c r="X967" s="5">
        <v>2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28">
        <v>0.5</v>
      </c>
    </row>
    <row r="968">
      <c r="A968" s="24">
        <v>16124</v>
      </c>
      <c r="B968" s="9" t="s">
        <v>1275</v>
      </c>
      <c r="C968" s="9" t="s">
        <v>159</v>
      </c>
      <c r="D968" s="9" t="s">
        <v>1015</v>
      </c>
      <c r="E968" s="9" t="s">
        <v>1016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30">
        <v>0</v>
      </c>
    </row>
    <row r="969">
      <c r="A969" s="23">
        <v>16129</v>
      </c>
      <c r="B969" s="4" t="s">
        <v>1276</v>
      </c>
      <c r="C969" s="4" t="s">
        <v>303</v>
      </c>
      <c r="D969" s="4" t="s">
        <v>304</v>
      </c>
      <c r="E969" s="4" t="s">
        <v>305</v>
      </c>
      <c r="F969" s="6">
        <v>1</v>
      </c>
      <c r="G969" s="7">
        <v>0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1">
        <v>0</v>
      </c>
    </row>
    <row r="970">
      <c r="A970" s="24">
        <v>16137</v>
      </c>
      <c r="B970" s="9" t="s">
        <v>1277</v>
      </c>
      <c r="C970" s="9" t="s">
        <v>510</v>
      </c>
      <c r="D970" s="9" t="s">
        <v>566</v>
      </c>
      <c r="E970" s="9" t="s">
        <v>567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0.26</v>
      </c>
    </row>
    <row r="971">
      <c r="A971" s="23">
        <v>16143</v>
      </c>
      <c r="B971" s="4" t="s">
        <v>1278</v>
      </c>
      <c r="C971" s="4" t="s">
        <v>65</v>
      </c>
      <c r="D971" s="4" t="s">
        <v>84</v>
      </c>
      <c r="E971" s="4" t="s">
        <v>147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1">
        <v>0</v>
      </c>
    </row>
    <row r="972">
      <c r="A972" s="24">
        <v>16206</v>
      </c>
      <c r="B972" s="9" t="s">
        <v>1279</v>
      </c>
      <c r="C972" s="9" t="s">
        <v>65</v>
      </c>
      <c r="D972" s="9" t="s">
        <v>71</v>
      </c>
      <c r="E972" s="9" t="s">
        <v>72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0.22</v>
      </c>
    </row>
    <row r="973">
      <c r="A973" s="23">
        <v>16212</v>
      </c>
      <c r="B973" s="4" t="s">
        <v>1280</v>
      </c>
      <c r="C973" s="4" t="s">
        <v>65</v>
      </c>
      <c r="D973" s="4" t="s">
        <v>71</v>
      </c>
      <c r="E973" s="4" t="s">
        <v>116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1">
        <v>0</v>
      </c>
    </row>
    <row r="974">
      <c r="A974" s="24">
        <v>16240</v>
      </c>
      <c r="B974" s="9" t="s">
        <v>1281</v>
      </c>
      <c r="C974" s="9" t="s">
        <v>65</v>
      </c>
      <c r="D974" s="9" t="s">
        <v>101</v>
      </c>
      <c r="E974" s="9" t="s">
        <v>249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0.24</v>
      </c>
    </row>
    <row r="975">
      <c r="A975" s="23">
        <v>16250</v>
      </c>
      <c r="B975" s="4" t="s">
        <v>1282</v>
      </c>
      <c r="C975" s="4" t="s">
        <v>510</v>
      </c>
      <c r="D975" s="4" t="s">
        <v>566</v>
      </c>
      <c r="E975" s="4" t="s">
        <v>567</v>
      </c>
      <c r="F975" s="6">
        <v>3</v>
      </c>
      <c r="G975" s="7">
        <v>0</v>
      </c>
      <c r="H975" s="7">
        <v>0</v>
      </c>
      <c r="I975" s="7">
        <v>0</v>
      </c>
      <c r="J975" s="5">
        <v>3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2</v>
      </c>
      <c r="V975" s="7">
        <v>0</v>
      </c>
      <c r="W975" s="7">
        <v>0</v>
      </c>
      <c r="X975" s="7">
        <v>0</v>
      </c>
      <c r="Y975" s="5">
        <v>2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1.5</v>
      </c>
      <c r="AL975" s="5">
        <v>1</v>
      </c>
      <c r="AM975" s="5">
        <v>2</v>
      </c>
      <c r="AN975" s="28">
        <v>0.52</v>
      </c>
    </row>
    <row r="976">
      <c r="A976" s="24">
        <v>16301</v>
      </c>
      <c r="B976" s="9" t="s">
        <v>1283</v>
      </c>
      <c r="C976" s="9" t="s">
        <v>65</v>
      </c>
      <c r="D976" s="9" t="s">
        <v>101</v>
      </c>
      <c r="E976" s="9" t="s">
        <v>249</v>
      </c>
      <c r="F976" s="11">
        <v>4</v>
      </c>
      <c r="G976" s="12">
        <v>0</v>
      </c>
      <c r="H976" s="12">
        <v>0</v>
      </c>
      <c r="I976" s="12">
        <v>0</v>
      </c>
      <c r="J976" s="10">
        <v>4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4</v>
      </c>
      <c r="V976" s="12">
        <v>0</v>
      </c>
      <c r="W976" s="12">
        <v>0</v>
      </c>
      <c r="X976" s="12">
        <v>0</v>
      </c>
      <c r="Y976" s="10">
        <v>4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4</v>
      </c>
      <c r="AK976" s="13">
        <v>4</v>
      </c>
      <c r="AL976" s="10">
        <v>4</v>
      </c>
      <c r="AM976" s="10">
        <v>4</v>
      </c>
      <c r="AN976" s="29">
        <v>1.04</v>
      </c>
    </row>
    <row r="977">
      <c r="A977" s="23">
        <v>16345</v>
      </c>
      <c r="B977" s="4" t="s">
        <v>1284</v>
      </c>
      <c r="C977" s="4" t="s">
        <v>135</v>
      </c>
      <c r="D977" s="4" t="s">
        <v>375</v>
      </c>
      <c r="E977" s="4" t="s">
        <v>457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0.25</v>
      </c>
    </row>
    <row r="978">
      <c r="A978" s="24">
        <v>16347</v>
      </c>
      <c r="B978" s="9" t="s">
        <v>1285</v>
      </c>
      <c r="C978" s="9" t="s">
        <v>982</v>
      </c>
      <c r="D978" s="9" t="s">
        <v>305</v>
      </c>
      <c r="E978" s="9" t="s">
        <v>305</v>
      </c>
      <c r="F978" s="11">
        <v>8</v>
      </c>
      <c r="G978" s="12">
        <v>0</v>
      </c>
      <c r="H978" s="12">
        <v>0</v>
      </c>
      <c r="I978" s="12">
        <v>0</v>
      </c>
      <c r="J978" s="10">
        <v>8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7</v>
      </c>
      <c r="V978" s="12">
        <v>0</v>
      </c>
      <c r="W978" s="12">
        <v>0</v>
      </c>
      <c r="X978" s="12">
        <v>0</v>
      </c>
      <c r="Y978" s="10">
        <v>7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2.67</v>
      </c>
      <c r="AL978" s="10">
        <v>2</v>
      </c>
      <c r="AM978" s="10">
        <v>5</v>
      </c>
      <c r="AN978" s="29">
        <v>1.82</v>
      </c>
    </row>
    <row r="979">
      <c r="A979" s="23">
        <v>16350</v>
      </c>
      <c r="B979" s="4" t="s">
        <v>1286</v>
      </c>
      <c r="C979" s="4" t="s">
        <v>135</v>
      </c>
      <c r="D979" s="4" t="s">
        <v>402</v>
      </c>
      <c r="E979" s="4" t="s">
        <v>403</v>
      </c>
      <c r="F979" s="6">
        <v>1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5">
        <v>1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5">
        <v>1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0.26</v>
      </c>
    </row>
    <row r="980">
      <c r="A980" s="24">
        <v>16351</v>
      </c>
      <c r="B980" s="9" t="s">
        <v>1287</v>
      </c>
      <c r="C980" s="9" t="s">
        <v>65</v>
      </c>
      <c r="D980" s="9" t="s">
        <v>98</v>
      </c>
      <c r="E980" s="9" t="s">
        <v>787</v>
      </c>
      <c r="F980" s="11">
        <v>2</v>
      </c>
      <c r="G980" s="10">
        <v>1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2</v>
      </c>
      <c r="V980" s="10">
        <v>1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0.25</v>
      </c>
    </row>
    <row r="981">
      <c r="A981" s="23">
        <v>16371</v>
      </c>
      <c r="B981" s="4" t="s">
        <v>1288</v>
      </c>
      <c r="C981" s="4" t="s">
        <v>135</v>
      </c>
      <c r="D981" s="4" t="s">
        <v>402</v>
      </c>
      <c r="E981" s="4" t="s">
        <v>459</v>
      </c>
      <c r="F981" s="6">
        <v>1</v>
      </c>
      <c r="G981" s="7">
        <v>0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7">
        <v>0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0.25</v>
      </c>
    </row>
    <row r="982">
      <c r="A982" s="24">
        <v>16471</v>
      </c>
      <c r="B982" s="9" t="s">
        <v>1289</v>
      </c>
      <c r="C982" s="9" t="s">
        <v>65</v>
      </c>
      <c r="D982" s="9" t="s">
        <v>71</v>
      </c>
      <c r="E982" s="9" t="s">
        <v>72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30">
        <v>0</v>
      </c>
    </row>
    <row r="983">
      <c r="A983" s="23">
        <v>16483</v>
      </c>
      <c r="B983" s="4" t="s">
        <v>1290</v>
      </c>
      <c r="C983" s="4" t="s">
        <v>303</v>
      </c>
      <c r="D983" s="4" t="s">
        <v>579</v>
      </c>
      <c r="E983" s="4" t="s">
        <v>305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1">
        <v>0</v>
      </c>
    </row>
    <row r="984">
      <c r="A984" s="24">
        <v>16504</v>
      </c>
      <c r="B984" s="9" t="s">
        <v>1291</v>
      </c>
      <c r="C984" s="9" t="s">
        <v>65</v>
      </c>
      <c r="D984" s="9" t="s">
        <v>74</v>
      </c>
      <c r="E984" s="9" t="s">
        <v>77</v>
      </c>
      <c r="F984" s="11">
        <v>3</v>
      </c>
      <c r="G984" s="12">
        <v>0</v>
      </c>
      <c r="H984" s="12">
        <v>0</v>
      </c>
      <c r="I984" s="12">
        <v>0</v>
      </c>
      <c r="J984" s="10">
        <v>3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3</v>
      </c>
      <c r="V984" s="12">
        <v>0</v>
      </c>
      <c r="W984" s="12">
        <v>0</v>
      </c>
      <c r="X984" s="12">
        <v>0</v>
      </c>
      <c r="Y984" s="10">
        <v>3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1.5</v>
      </c>
      <c r="AL984" s="10">
        <v>1</v>
      </c>
      <c r="AM984" s="10">
        <v>2</v>
      </c>
      <c r="AN984" s="29">
        <v>0.78</v>
      </c>
    </row>
    <row r="985">
      <c r="A985" s="23">
        <v>16540</v>
      </c>
      <c r="B985" s="4" t="s">
        <v>1292</v>
      </c>
      <c r="C985" s="4" t="s">
        <v>65</v>
      </c>
      <c r="D985" s="4" t="s">
        <v>101</v>
      </c>
      <c r="E985" s="4" t="s">
        <v>102</v>
      </c>
      <c r="F985" s="6">
        <v>2</v>
      </c>
      <c r="G985" s="7">
        <v>0</v>
      </c>
      <c r="H985" s="7">
        <v>0</v>
      </c>
      <c r="I985" s="7">
        <v>0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2</v>
      </c>
      <c r="AL985" s="5">
        <v>2</v>
      </c>
      <c r="AM985" s="5">
        <v>2</v>
      </c>
      <c r="AN985" s="28">
        <v>0.26</v>
      </c>
    </row>
    <row r="986">
      <c r="A986" s="24">
        <v>16604</v>
      </c>
      <c r="B986" s="9" t="s">
        <v>1293</v>
      </c>
      <c r="C986" s="9" t="s">
        <v>159</v>
      </c>
      <c r="D986" s="9" t="s">
        <v>172</v>
      </c>
      <c r="E986" s="9" t="s">
        <v>1197</v>
      </c>
      <c r="F986" s="11">
        <v>1</v>
      </c>
      <c r="G986" s="12">
        <v>0</v>
      </c>
      <c r="H986" s="12">
        <v>0</v>
      </c>
      <c r="I986" s="12">
        <v>0</v>
      </c>
      <c r="J986" s="12">
        <v>0</v>
      </c>
      <c r="K986" s="10">
        <v>1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2">
        <v>0</v>
      </c>
      <c r="W986" s="12">
        <v>0</v>
      </c>
      <c r="X986" s="12">
        <v>0</v>
      </c>
      <c r="Y986" s="12">
        <v>0</v>
      </c>
      <c r="Z986" s="10">
        <v>1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16606</v>
      </c>
      <c r="B987" s="4" t="s">
        <v>1294</v>
      </c>
      <c r="C987" s="4" t="s">
        <v>65</v>
      </c>
      <c r="D987" s="4" t="s">
        <v>74</v>
      </c>
      <c r="E987" s="4" t="s">
        <v>75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1">
        <v>0</v>
      </c>
    </row>
    <row r="988">
      <c r="A988" s="24">
        <v>16622</v>
      </c>
      <c r="B988" s="9" t="s">
        <v>1295</v>
      </c>
      <c r="C988" s="9" t="s">
        <v>1296</v>
      </c>
      <c r="D988" s="9" t="s">
        <v>305</v>
      </c>
      <c r="E988" s="9" t="s">
        <v>1297</v>
      </c>
      <c r="F988" s="11">
        <v>2</v>
      </c>
      <c r="G988" s="12">
        <v>0</v>
      </c>
      <c r="H988" s="10">
        <v>1</v>
      </c>
      <c r="I988" s="10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2</v>
      </c>
      <c r="V988" s="12">
        <v>0</v>
      </c>
      <c r="W988" s="10">
        <v>1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0">
        <v>0</v>
      </c>
    </row>
    <row r="989">
      <c r="A989" s="23">
        <v>16627</v>
      </c>
      <c r="B989" s="4" t="s">
        <v>1298</v>
      </c>
      <c r="C989" s="4" t="s">
        <v>65</v>
      </c>
      <c r="D989" s="4" t="s">
        <v>87</v>
      </c>
      <c r="E989" s="4" t="s">
        <v>93</v>
      </c>
      <c r="F989" s="6">
        <v>6</v>
      </c>
      <c r="G989" s="5">
        <v>4</v>
      </c>
      <c r="H989" s="7">
        <v>0</v>
      </c>
      <c r="I989" s="7">
        <v>0</v>
      </c>
      <c r="J989" s="5">
        <v>2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6</v>
      </c>
      <c r="V989" s="5">
        <v>4</v>
      </c>
      <c r="W989" s="7">
        <v>0</v>
      </c>
      <c r="X989" s="7">
        <v>0</v>
      </c>
      <c r="Y989" s="5">
        <v>2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</v>
      </c>
      <c r="AK989" s="8">
        <v>3</v>
      </c>
      <c r="AL989" s="5">
        <v>3</v>
      </c>
      <c r="AM989" s="5">
        <v>4</v>
      </c>
      <c r="AN989" s="28">
        <v>0.5</v>
      </c>
    </row>
    <row r="990">
      <c r="A990" s="24">
        <v>16660</v>
      </c>
      <c r="B990" s="9" t="s">
        <v>1299</v>
      </c>
      <c r="C990" s="9" t="s">
        <v>65</v>
      </c>
      <c r="D990" s="9" t="s">
        <v>71</v>
      </c>
      <c r="E990" s="9" t="s">
        <v>116</v>
      </c>
      <c r="F990" s="11">
        <v>1</v>
      </c>
      <c r="G990" s="12">
        <v>0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2">
        <v>0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0.25</v>
      </c>
    </row>
    <row r="991">
      <c r="A991" s="23">
        <v>16728</v>
      </c>
      <c r="B991" s="4" t="s">
        <v>1300</v>
      </c>
      <c r="C991" s="4" t="s">
        <v>494</v>
      </c>
      <c r="D991" s="4" t="s">
        <v>539</v>
      </c>
      <c r="E991" s="4" t="s">
        <v>305</v>
      </c>
      <c r="F991" s="6">
        <v>1</v>
      </c>
      <c r="G991" s="7">
        <v>0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7">
        <v>0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0.26</v>
      </c>
    </row>
    <row r="992">
      <c r="A992" s="24">
        <v>16742</v>
      </c>
      <c r="B992" s="9" t="s">
        <v>1301</v>
      </c>
      <c r="C992" s="9" t="s">
        <v>135</v>
      </c>
      <c r="D992" s="9" t="s">
        <v>353</v>
      </c>
      <c r="E992" s="9" t="s">
        <v>354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16767</v>
      </c>
      <c r="B993" s="4" t="s">
        <v>1302</v>
      </c>
      <c r="C993" s="4" t="s">
        <v>510</v>
      </c>
      <c r="D993" s="4" t="s">
        <v>596</v>
      </c>
      <c r="E993" s="4" t="s">
        <v>1303</v>
      </c>
      <c r="F993" s="6">
        <v>2</v>
      </c>
      <c r="G993" s="7">
        <v>0</v>
      </c>
      <c r="H993" s="7">
        <v>0</v>
      </c>
      <c r="I993" s="7">
        <v>0</v>
      </c>
      <c r="J993" s="5">
        <v>2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2</v>
      </c>
      <c r="V993" s="7">
        <v>0</v>
      </c>
      <c r="W993" s="7">
        <v>0</v>
      </c>
      <c r="X993" s="7">
        <v>0</v>
      </c>
      <c r="Y993" s="5">
        <v>2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0.52</v>
      </c>
    </row>
    <row r="994">
      <c r="A994" s="24">
        <v>16845</v>
      </c>
      <c r="B994" s="9" t="s">
        <v>1304</v>
      </c>
      <c r="C994" s="9" t="s">
        <v>65</v>
      </c>
      <c r="D994" s="9" t="s">
        <v>74</v>
      </c>
      <c r="E994" s="9" t="s">
        <v>75</v>
      </c>
      <c r="F994" s="11">
        <v>1</v>
      </c>
      <c r="G994" s="12">
        <v>0</v>
      </c>
      <c r="H994" s="12">
        <v>0</v>
      </c>
      <c r="I994" s="10">
        <v>1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2">
        <v>0</v>
      </c>
      <c r="W994" s="12">
        <v>0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16904</v>
      </c>
      <c r="B995" s="4" t="s">
        <v>1305</v>
      </c>
      <c r="C995" s="4" t="s">
        <v>65</v>
      </c>
      <c r="D995" s="4" t="s">
        <v>98</v>
      </c>
      <c r="E995" s="4" t="s">
        <v>1306</v>
      </c>
      <c r="F995" s="6">
        <v>2</v>
      </c>
      <c r="G995" s="7">
        <v>0</v>
      </c>
      <c r="H995" s="7">
        <v>0</v>
      </c>
      <c r="I995" s="7">
        <v>0</v>
      </c>
      <c r="J995" s="5">
        <v>2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2</v>
      </c>
      <c r="V995" s="7">
        <v>0</v>
      </c>
      <c r="W995" s="7">
        <v>0</v>
      </c>
      <c r="X995" s="7">
        <v>0</v>
      </c>
      <c r="Y995" s="5">
        <v>2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0.5</v>
      </c>
    </row>
    <row r="996">
      <c r="A996" s="24">
        <v>16922</v>
      </c>
      <c r="B996" s="9" t="s">
        <v>1307</v>
      </c>
      <c r="C996" s="9" t="s">
        <v>159</v>
      </c>
      <c r="D996" s="9" t="s">
        <v>172</v>
      </c>
      <c r="E996" s="9" t="s">
        <v>173</v>
      </c>
      <c r="F996" s="11">
        <v>2</v>
      </c>
      <c r="G996" s="12">
        <v>0</v>
      </c>
      <c r="H996" s="12">
        <v>0</v>
      </c>
      <c r="I996" s="10">
        <v>1</v>
      </c>
      <c r="J996" s="12">
        <v>0</v>
      </c>
      <c r="K996" s="10">
        <v>1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2</v>
      </c>
      <c r="V996" s="12">
        <v>0</v>
      </c>
      <c r="W996" s="12">
        <v>0</v>
      </c>
      <c r="X996" s="10">
        <v>1</v>
      </c>
      <c r="Y996" s="12">
        <v>0</v>
      </c>
      <c r="Z996" s="10">
        <v>1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0">
        <v>0</v>
      </c>
    </row>
    <row r="997">
      <c r="A997" s="23">
        <v>16970</v>
      </c>
      <c r="B997" s="4" t="s">
        <v>1308</v>
      </c>
      <c r="C997" s="4" t="s">
        <v>65</v>
      </c>
      <c r="D997" s="4" t="s">
        <v>79</v>
      </c>
      <c r="E997" s="4" t="s">
        <v>195</v>
      </c>
      <c r="F997" s="6">
        <v>2</v>
      </c>
      <c r="G997" s="7">
        <v>0</v>
      </c>
      <c r="H997" s="7">
        <v>0</v>
      </c>
      <c r="I997" s="7">
        <v>0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2</v>
      </c>
      <c r="V997" s="7">
        <v>0</v>
      </c>
      <c r="W997" s="7">
        <v>0</v>
      </c>
      <c r="X997" s="7">
        <v>0</v>
      </c>
      <c r="Y997" s="5">
        <v>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0.5</v>
      </c>
    </row>
    <row r="998">
      <c r="A998" s="24">
        <v>16979</v>
      </c>
      <c r="B998" s="9" t="s">
        <v>1309</v>
      </c>
      <c r="C998" s="9" t="s">
        <v>65</v>
      </c>
      <c r="D998" s="9" t="s">
        <v>111</v>
      </c>
      <c r="E998" s="9" t="s">
        <v>200</v>
      </c>
      <c r="F998" s="11">
        <v>2</v>
      </c>
      <c r="G998" s="12">
        <v>0</v>
      </c>
      <c r="H998" s="10">
        <v>2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2</v>
      </c>
      <c r="V998" s="12">
        <v>0</v>
      </c>
      <c r="W998" s="10">
        <v>2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29">
        <v>0.5</v>
      </c>
    </row>
    <row r="999">
      <c r="A999" s="23">
        <v>16992</v>
      </c>
      <c r="B999" s="4" t="s">
        <v>1310</v>
      </c>
      <c r="C999" s="4" t="s">
        <v>65</v>
      </c>
      <c r="D999" s="4" t="s">
        <v>79</v>
      </c>
      <c r="E999" s="4" t="s">
        <v>80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0.26</v>
      </c>
    </row>
    <row r="1000">
      <c r="A1000" s="24">
        <v>17022</v>
      </c>
      <c r="B1000" s="9" t="s">
        <v>1311</v>
      </c>
      <c r="C1000" s="9" t="s">
        <v>65</v>
      </c>
      <c r="D1000" s="9" t="s">
        <v>74</v>
      </c>
      <c r="E1000" s="9" t="s">
        <v>77</v>
      </c>
      <c r="F1000" s="11">
        <v>1</v>
      </c>
      <c r="G1000" s="12">
        <v>0</v>
      </c>
      <c r="H1000" s="10">
        <v>1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2">
        <v>0</v>
      </c>
      <c r="W1000" s="10">
        <v>1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17030</v>
      </c>
      <c r="B1001" s="4" t="s">
        <v>1312</v>
      </c>
      <c r="C1001" s="4" t="s">
        <v>65</v>
      </c>
      <c r="D1001" s="4" t="s">
        <v>120</v>
      </c>
      <c r="E1001" s="4" t="s">
        <v>453</v>
      </c>
      <c r="F1001" s="6">
        <v>1</v>
      </c>
      <c r="G1001" s="7">
        <v>0</v>
      </c>
      <c r="H1001" s="7">
        <v>0</v>
      </c>
      <c r="I1001" s="5">
        <v>1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7">
        <v>0</v>
      </c>
      <c r="W1001" s="7">
        <v>0</v>
      </c>
      <c r="X1001" s="5">
        <v>1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0.25</v>
      </c>
    </row>
    <row r="1002">
      <c r="A1002" s="24">
        <v>17033</v>
      </c>
      <c r="B1002" s="9" t="s">
        <v>1313</v>
      </c>
      <c r="C1002" s="9" t="s">
        <v>65</v>
      </c>
      <c r="D1002" s="9" t="s">
        <v>120</v>
      </c>
      <c r="E1002" s="9" t="s">
        <v>121</v>
      </c>
      <c r="F1002" s="11">
        <v>3</v>
      </c>
      <c r="G1002" s="12">
        <v>0</v>
      </c>
      <c r="H1002" s="10">
        <v>1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3</v>
      </c>
      <c r="V1002" s="12">
        <v>0</v>
      </c>
      <c r="W1002" s="10">
        <v>1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1.5</v>
      </c>
      <c r="AL1002" s="10">
        <v>1</v>
      </c>
      <c r="AM1002" s="10">
        <v>2</v>
      </c>
      <c r="AN1002" s="29">
        <v>0.75</v>
      </c>
    </row>
    <row r="1003">
      <c r="A1003" s="23">
        <v>17037</v>
      </c>
      <c r="B1003" s="4" t="s">
        <v>1314</v>
      </c>
      <c r="C1003" s="4" t="s">
        <v>65</v>
      </c>
      <c r="D1003" s="4" t="s">
        <v>71</v>
      </c>
      <c r="E1003" s="4" t="s">
        <v>72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17038</v>
      </c>
      <c r="B1004" s="9" t="s">
        <v>1315</v>
      </c>
      <c r="C1004" s="9" t="s">
        <v>65</v>
      </c>
      <c r="D1004" s="9" t="s">
        <v>71</v>
      </c>
      <c r="E1004" s="9" t="s">
        <v>72</v>
      </c>
      <c r="F1004" s="11">
        <v>3</v>
      </c>
      <c r="G1004" s="12">
        <v>0</v>
      </c>
      <c r="H1004" s="10">
        <v>1</v>
      </c>
      <c r="I1004" s="12">
        <v>0</v>
      </c>
      <c r="J1004" s="10">
        <v>2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3</v>
      </c>
      <c r="V1004" s="12">
        <v>0</v>
      </c>
      <c r="W1004" s="10">
        <v>1</v>
      </c>
      <c r="X1004" s="12">
        <v>0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0.75</v>
      </c>
    </row>
    <row r="1005">
      <c r="A1005" s="23">
        <v>17064</v>
      </c>
      <c r="B1005" s="4" t="s">
        <v>1316</v>
      </c>
      <c r="C1005" s="4" t="s">
        <v>65</v>
      </c>
      <c r="D1005" s="4" t="s">
        <v>127</v>
      </c>
      <c r="E1005" s="4" t="s">
        <v>128</v>
      </c>
      <c r="F1005" s="6">
        <v>7</v>
      </c>
      <c r="G1005" s="5">
        <v>6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7</v>
      </c>
      <c r="V1005" s="5">
        <v>6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3.5</v>
      </c>
      <c r="AL1005" s="5">
        <v>3</v>
      </c>
      <c r="AM1005" s="5">
        <v>6</v>
      </c>
      <c r="AN1005" s="28">
        <v>1.75</v>
      </c>
    </row>
    <row r="1006">
      <c r="A1006" s="24">
        <v>17102</v>
      </c>
      <c r="B1006" s="9" t="s">
        <v>1317</v>
      </c>
      <c r="C1006" s="9" t="s">
        <v>65</v>
      </c>
      <c r="D1006" s="9" t="s">
        <v>79</v>
      </c>
      <c r="E1006" s="9" t="s">
        <v>80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17137</v>
      </c>
      <c r="B1007" s="4" t="s">
        <v>1318</v>
      </c>
      <c r="C1007" s="4" t="s">
        <v>65</v>
      </c>
      <c r="D1007" s="4" t="s">
        <v>120</v>
      </c>
      <c r="E1007" s="4" t="s">
        <v>121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1">
        <v>0</v>
      </c>
    </row>
    <row r="1008">
      <c r="A1008" s="24">
        <v>17213</v>
      </c>
      <c r="B1008" s="9" t="s">
        <v>1319</v>
      </c>
      <c r="C1008" s="9" t="s">
        <v>65</v>
      </c>
      <c r="D1008" s="9" t="s">
        <v>71</v>
      </c>
      <c r="E1008" s="9" t="s">
        <v>72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2</v>
      </c>
      <c r="V1008" s="10">
        <v>2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30">
        <v>0</v>
      </c>
    </row>
    <row r="1009">
      <c r="A1009" s="23">
        <v>17223</v>
      </c>
      <c r="B1009" s="4" t="s">
        <v>1320</v>
      </c>
      <c r="C1009" s="4" t="s">
        <v>65</v>
      </c>
      <c r="D1009" s="4" t="s">
        <v>101</v>
      </c>
      <c r="E1009" s="4" t="s">
        <v>289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1">
        <v>0</v>
      </c>
    </row>
    <row r="1010">
      <c r="A1010" s="24">
        <v>17234</v>
      </c>
      <c r="B1010" s="9" t="s">
        <v>1321</v>
      </c>
      <c r="C1010" s="9" t="s">
        <v>135</v>
      </c>
      <c r="D1010" s="9" t="s">
        <v>136</v>
      </c>
      <c r="E1010" s="9" t="s">
        <v>394</v>
      </c>
      <c r="F1010" s="11">
        <v>1</v>
      </c>
      <c r="G1010" s="12">
        <v>0</v>
      </c>
      <c r="H1010" s="10">
        <v>1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2">
        <v>0</v>
      </c>
      <c r="W1010" s="10">
        <v>1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0.24</v>
      </c>
    </row>
    <row r="1011">
      <c r="A1011" s="23">
        <v>17244</v>
      </c>
      <c r="B1011" s="4" t="s">
        <v>1322</v>
      </c>
      <c r="C1011" s="4" t="s">
        <v>135</v>
      </c>
      <c r="D1011" s="4" t="s">
        <v>353</v>
      </c>
      <c r="E1011" s="4" t="s">
        <v>1323</v>
      </c>
      <c r="F1011" s="6">
        <v>2</v>
      </c>
      <c r="G1011" s="7">
        <v>0</v>
      </c>
      <c r="H1011" s="5">
        <v>1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2</v>
      </c>
      <c r="V1011" s="7">
        <v>0</v>
      </c>
      <c r="W1011" s="5">
        <v>1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0.5</v>
      </c>
    </row>
    <row r="1012">
      <c r="A1012" s="24">
        <v>17249</v>
      </c>
      <c r="B1012" s="9" t="s">
        <v>1324</v>
      </c>
      <c r="C1012" s="9" t="s">
        <v>135</v>
      </c>
      <c r="D1012" s="9" t="s">
        <v>1325</v>
      </c>
      <c r="E1012" s="9" t="s">
        <v>1326</v>
      </c>
      <c r="F1012" s="11">
        <v>3</v>
      </c>
      <c r="G1012" s="12">
        <v>0</v>
      </c>
      <c r="H1012" s="12">
        <v>0</v>
      </c>
      <c r="I1012" s="10">
        <v>1</v>
      </c>
      <c r="J1012" s="10">
        <v>1</v>
      </c>
      <c r="K1012" s="12">
        <v>0</v>
      </c>
      <c r="L1012" s="10">
        <v>1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3</v>
      </c>
      <c r="V1012" s="12">
        <v>0</v>
      </c>
      <c r="W1012" s="12">
        <v>0</v>
      </c>
      <c r="X1012" s="10">
        <v>1</v>
      </c>
      <c r="Y1012" s="10">
        <v>1</v>
      </c>
      <c r="Z1012" s="12">
        <v>0</v>
      </c>
      <c r="AA1012" s="10">
        <v>1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17256</v>
      </c>
      <c r="B1013" s="4" t="s">
        <v>1327</v>
      </c>
      <c r="C1013" s="4" t="s">
        <v>159</v>
      </c>
      <c r="D1013" s="4" t="s">
        <v>160</v>
      </c>
      <c r="E1013" s="4" t="s">
        <v>161</v>
      </c>
      <c r="F1013" s="6">
        <v>1</v>
      </c>
      <c r="G1013" s="7">
        <v>0</v>
      </c>
      <c r="H1013" s="7">
        <v>0</v>
      </c>
      <c r="I1013" s="5">
        <v>1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7">
        <v>0</v>
      </c>
      <c r="W1013" s="7">
        <v>0</v>
      </c>
      <c r="X1013" s="5">
        <v>1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0.24</v>
      </c>
    </row>
    <row r="1014">
      <c r="A1014" s="24">
        <v>17310</v>
      </c>
      <c r="B1014" s="9" t="s">
        <v>1328</v>
      </c>
      <c r="C1014" s="9" t="s">
        <v>573</v>
      </c>
      <c r="D1014" s="9" t="s">
        <v>781</v>
      </c>
      <c r="E1014" s="9" t="s">
        <v>305</v>
      </c>
      <c r="F1014" s="11">
        <v>1</v>
      </c>
      <c r="G1014" s="12">
        <v>0</v>
      </c>
      <c r="H1014" s="12">
        <v>0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2">
        <v>0</v>
      </c>
      <c r="W1014" s="12">
        <v>0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17315</v>
      </c>
      <c r="B1015" s="4" t="s">
        <v>1329</v>
      </c>
      <c r="C1015" s="4" t="s">
        <v>65</v>
      </c>
      <c r="D1015" s="4" t="s">
        <v>84</v>
      </c>
      <c r="E1015" s="4" t="s">
        <v>85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1">
        <v>0</v>
      </c>
    </row>
    <row r="1016">
      <c r="A1016" s="24">
        <v>17347</v>
      </c>
      <c r="B1016" s="9" t="s">
        <v>1330</v>
      </c>
      <c r="C1016" s="9" t="s">
        <v>65</v>
      </c>
      <c r="D1016" s="9" t="s">
        <v>74</v>
      </c>
      <c r="E1016" s="9" t="s">
        <v>660</v>
      </c>
      <c r="F1016" s="11">
        <v>1</v>
      </c>
      <c r="G1016" s="12">
        <v>0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2">
        <v>0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17359</v>
      </c>
      <c r="B1017" s="4" t="s">
        <v>1331</v>
      </c>
      <c r="C1017" s="4" t="s">
        <v>65</v>
      </c>
      <c r="D1017" s="4" t="s">
        <v>111</v>
      </c>
      <c r="E1017" s="4" t="s">
        <v>200</v>
      </c>
      <c r="F1017" s="6">
        <v>2</v>
      </c>
      <c r="G1017" s="7">
        <v>0</v>
      </c>
      <c r="H1017" s="5">
        <v>1</v>
      </c>
      <c r="I1017" s="5">
        <v>1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2</v>
      </c>
      <c r="V1017" s="7">
        <v>0</v>
      </c>
      <c r="W1017" s="5">
        <v>1</v>
      </c>
      <c r="X1017" s="5">
        <v>1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0.44</v>
      </c>
    </row>
    <row r="1018">
      <c r="A1018" s="24">
        <v>17365</v>
      </c>
      <c r="B1018" s="9" t="s">
        <v>1332</v>
      </c>
      <c r="C1018" s="9" t="s">
        <v>65</v>
      </c>
      <c r="D1018" s="9" t="s">
        <v>71</v>
      </c>
      <c r="E1018" s="9" t="s">
        <v>116</v>
      </c>
      <c r="F1018" s="11">
        <v>4</v>
      </c>
      <c r="G1018" s="12">
        <v>0</v>
      </c>
      <c r="H1018" s="12">
        <v>0</v>
      </c>
      <c r="I1018" s="12">
        <v>0</v>
      </c>
      <c r="J1018" s="10">
        <v>3</v>
      </c>
      <c r="K1018" s="10">
        <v>1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4</v>
      </c>
      <c r="V1018" s="12">
        <v>0</v>
      </c>
      <c r="W1018" s="12">
        <v>0</v>
      </c>
      <c r="X1018" s="12">
        <v>0</v>
      </c>
      <c r="Y1018" s="10">
        <v>3</v>
      </c>
      <c r="Z1018" s="10">
        <v>1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</v>
      </c>
      <c r="AL1018" s="10">
        <v>2</v>
      </c>
      <c r="AM1018" s="10">
        <v>3</v>
      </c>
      <c r="AN1018" s="29">
        <v>0.75</v>
      </c>
    </row>
    <row r="1019">
      <c r="A1019" s="23">
        <v>17416</v>
      </c>
      <c r="B1019" s="4" t="s">
        <v>1333</v>
      </c>
      <c r="C1019" s="4" t="s">
        <v>65</v>
      </c>
      <c r="D1019" s="4" t="s">
        <v>111</v>
      </c>
      <c r="E1019" s="4" t="s">
        <v>200</v>
      </c>
      <c r="F1019" s="6">
        <v>3</v>
      </c>
      <c r="G1019" s="5">
        <v>1</v>
      </c>
      <c r="H1019" s="7">
        <v>0</v>
      </c>
      <c r="I1019" s="7">
        <v>0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3</v>
      </c>
      <c r="V1019" s="5">
        <v>1</v>
      </c>
      <c r="W1019" s="7">
        <v>0</v>
      </c>
      <c r="X1019" s="7">
        <v>0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0.87</v>
      </c>
    </row>
    <row r="1020">
      <c r="A1020" s="24">
        <v>17459</v>
      </c>
      <c r="B1020" s="9" t="s">
        <v>1334</v>
      </c>
      <c r="C1020" s="9" t="s">
        <v>65</v>
      </c>
      <c r="D1020" s="9" t="s">
        <v>74</v>
      </c>
      <c r="E1020" s="9" t="s">
        <v>366</v>
      </c>
      <c r="F1020" s="11">
        <v>1</v>
      </c>
      <c r="G1020" s="12">
        <v>0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2">
        <v>0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0.36</v>
      </c>
    </row>
    <row r="1021">
      <c r="A1021" s="23">
        <v>17469</v>
      </c>
      <c r="B1021" s="4" t="s">
        <v>1335</v>
      </c>
      <c r="C1021" s="4" t="s">
        <v>135</v>
      </c>
      <c r="D1021" s="4" t="s">
        <v>307</v>
      </c>
      <c r="E1021" s="4" t="s">
        <v>1336</v>
      </c>
      <c r="F1021" s="6">
        <v>7</v>
      </c>
      <c r="G1021" s="7">
        <v>0</v>
      </c>
      <c r="H1021" s="7">
        <v>0</v>
      </c>
      <c r="I1021" s="7">
        <v>0</v>
      </c>
      <c r="J1021" s="5">
        <v>7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7</v>
      </c>
      <c r="V1021" s="7">
        <v>0</v>
      </c>
      <c r="W1021" s="7">
        <v>0</v>
      </c>
      <c r="X1021" s="7">
        <v>0</v>
      </c>
      <c r="Y1021" s="5">
        <v>7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7</v>
      </c>
      <c r="AK1021" s="8">
        <v>7</v>
      </c>
      <c r="AL1021" s="5">
        <v>7</v>
      </c>
      <c r="AM1021" s="5">
        <v>7</v>
      </c>
      <c r="AN1021" s="28">
        <v>1.82</v>
      </c>
    </row>
    <row r="1022">
      <c r="A1022" s="24">
        <v>17486</v>
      </c>
      <c r="B1022" s="9" t="s">
        <v>1337</v>
      </c>
      <c r="C1022" s="9" t="s">
        <v>135</v>
      </c>
      <c r="D1022" s="9" t="s">
        <v>375</v>
      </c>
      <c r="E1022" s="9" t="s">
        <v>457</v>
      </c>
      <c r="F1022" s="11">
        <v>2</v>
      </c>
      <c r="G1022" s="12">
        <v>0</v>
      </c>
      <c r="H1022" s="12">
        <v>0</v>
      </c>
      <c r="I1022" s="10">
        <v>2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2</v>
      </c>
      <c r="V1022" s="12">
        <v>0</v>
      </c>
      <c r="W1022" s="12">
        <v>0</v>
      </c>
      <c r="X1022" s="10">
        <v>2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</v>
      </c>
      <c r="AL1022" s="10">
        <v>2</v>
      </c>
      <c r="AM1022" s="10">
        <v>2</v>
      </c>
      <c r="AN1022" s="29">
        <v>0.48</v>
      </c>
    </row>
    <row r="1023">
      <c r="A1023" s="23">
        <v>17487</v>
      </c>
      <c r="B1023" s="4" t="s">
        <v>1338</v>
      </c>
      <c r="C1023" s="4" t="s">
        <v>65</v>
      </c>
      <c r="D1023" s="4" t="s">
        <v>71</v>
      </c>
      <c r="E1023" s="4" t="s">
        <v>123</v>
      </c>
      <c r="F1023" s="6">
        <v>2</v>
      </c>
      <c r="G1023" s="5">
        <v>2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31">
        <v>0</v>
      </c>
    </row>
    <row r="1024">
      <c r="A1024" s="24">
        <v>17491</v>
      </c>
      <c r="B1024" s="9" t="s">
        <v>1339</v>
      </c>
      <c r="C1024" s="9" t="s">
        <v>159</v>
      </c>
      <c r="D1024" s="9" t="s">
        <v>160</v>
      </c>
      <c r="E1024" s="9" t="s">
        <v>170</v>
      </c>
      <c r="F1024" s="11">
        <v>1</v>
      </c>
      <c r="G1024" s="12">
        <v>0</v>
      </c>
      <c r="H1024" s="12">
        <v>0</v>
      </c>
      <c r="I1024" s="10">
        <v>1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0.24</v>
      </c>
    </row>
    <row r="1025">
      <c r="A1025" s="23">
        <v>17492</v>
      </c>
      <c r="B1025" s="4" t="s">
        <v>1340</v>
      </c>
      <c r="C1025" s="4" t="s">
        <v>159</v>
      </c>
      <c r="D1025" s="4" t="s">
        <v>160</v>
      </c>
      <c r="E1025" s="4" t="s">
        <v>161</v>
      </c>
      <c r="F1025" s="6">
        <v>1</v>
      </c>
      <c r="G1025" s="7">
        <v>0</v>
      </c>
      <c r="H1025" s="7">
        <v>0</v>
      </c>
      <c r="I1025" s="7">
        <v>0</v>
      </c>
      <c r="J1025" s="7">
        <v>0</v>
      </c>
      <c r="K1025" s="5">
        <v>1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1</v>
      </c>
      <c r="V1025" s="7">
        <v>0</v>
      </c>
      <c r="W1025" s="7">
        <v>0</v>
      </c>
      <c r="X1025" s="7">
        <v>0</v>
      </c>
      <c r="Y1025" s="7">
        <v>0</v>
      </c>
      <c r="Z1025" s="5">
        <v>1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1">
        <v>0</v>
      </c>
    </row>
    <row r="1026">
      <c r="A1026" s="24">
        <v>17564</v>
      </c>
      <c r="B1026" s="9" t="s">
        <v>1341</v>
      </c>
      <c r="C1026" s="9" t="s">
        <v>65</v>
      </c>
      <c r="D1026" s="9" t="s">
        <v>111</v>
      </c>
      <c r="E1026" s="9" t="s">
        <v>112</v>
      </c>
      <c r="F1026" s="11">
        <v>2</v>
      </c>
      <c r="G1026" s="10">
        <v>2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2</v>
      </c>
      <c r="V1026" s="10">
        <v>2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2</v>
      </c>
      <c r="AL1026" s="10">
        <v>2</v>
      </c>
      <c r="AM1026" s="10">
        <v>2</v>
      </c>
      <c r="AN1026" s="30">
        <v>0</v>
      </c>
    </row>
    <row r="1027">
      <c r="A1027" s="23">
        <v>17571</v>
      </c>
      <c r="B1027" s="4" t="s">
        <v>1342</v>
      </c>
      <c r="C1027" s="4" t="s">
        <v>159</v>
      </c>
      <c r="D1027" s="4" t="s">
        <v>160</v>
      </c>
      <c r="E1027" s="4" t="s">
        <v>161</v>
      </c>
      <c r="F1027" s="6">
        <v>6</v>
      </c>
      <c r="G1027" s="5">
        <v>5</v>
      </c>
      <c r="H1027" s="5">
        <v>1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3</v>
      </c>
      <c r="V1027" s="5">
        <v>2</v>
      </c>
      <c r="W1027" s="5">
        <v>1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3</v>
      </c>
      <c r="AL1027" s="5">
        <v>3</v>
      </c>
      <c r="AM1027" s="5">
        <v>5</v>
      </c>
      <c r="AN1027" s="31">
        <v>0</v>
      </c>
    </row>
    <row r="1028">
      <c r="A1028" s="24">
        <v>17572</v>
      </c>
      <c r="B1028" s="9" t="s">
        <v>1343</v>
      </c>
      <c r="C1028" s="9" t="s">
        <v>159</v>
      </c>
      <c r="D1028" s="9" t="s">
        <v>160</v>
      </c>
      <c r="E1028" s="9" t="s">
        <v>161</v>
      </c>
      <c r="F1028" s="11">
        <v>5</v>
      </c>
      <c r="G1028" s="12">
        <v>0</v>
      </c>
      <c r="H1028" s="10">
        <v>1</v>
      </c>
      <c r="I1028" s="12">
        <v>0</v>
      </c>
      <c r="J1028" s="10">
        <v>4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4</v>
      </c>
      <c r="V1028" s="12">
        <v>0</v>
      </c>
      <c r="W1028" s="10">
        <v>1</v>
      </c>
      <c r="X1028" s="12">
        <v>0</v>
      </c>
      <c r="Y1028" s="10">
        <v>3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2.5</v>
      </c>
      <c r="AL1028" s="10">
        <v>2</v>
      </c>
      <c r="AM1028" s="10">
        <v>4</v>
      </c>
      <c r="AN1028" s="29">
        <v>0.75</v>
      </c>
    </row>
    <row r="1029">
      <c r="A1029" s="23">
        <v>17573</v>
      </c>
      <c r="B1029" s="4" t="s">
        <v>1344</v>
      </c>
      <c r="C1029" s="4" t="s">
        <v>159</v>
      </c>
      <c r="D1029" s="4" t="s">
        <v>172</v>
      </c>
      <c r="E1029" s="4" t="s">
        <v>183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1">
        <v>0</v>
      </c>
    </row>
    <row r="1030">
      <c r="A1030" s="24">
        <v>17595</v>
      </c>
      <c r="B1030" s="9" t="s">
        <v>1345</v>
      </c>
      <c r="C1030" s="9" t="s">
        <v>65</v>
      </c>
      <c r="D1030" s="9" t="s">
        <v>74</v>
      </c>
      <c r="E1030" s="9" t="s">
        <v>82</v>
      </c>
      <c r="F1030" s="11">
        <v>1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0.25</v>
      </c>
    </row>
    <row r="1031">
      <c r="A1031" s="23">
        <v>17596</v>
      </c>
      <c r="B1031" s="4" t="s">
        <v>1346</v>
      </c>
      <c r="C1031" s="4" t="s">
        <v>65</v>
      </c>
      <c r="D1031" s="4" t="s">
        <v>74</v>
      </c>
      <c r="E1031" s="4" t="s">
        <v>366</v>
      </c>
      <c r="F1031" s="6">
        <v>1</v>
      </c>
      <c r="G1031" s="7">
        <v>0</v>
      </c>
      <c r="H1031" s="5">
        <v>1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7">
        <v>0</v>
      </c>
      <c r="W1031" s="5">
        <v>1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17712</v>
      </c>
      <c r="B1032" s="9" t="s">
        <v>1347</v>
      </c>
      <c r="C1032" s="9" t="s">
        <v>65</v>
      </c>
      <c r="D1032" s="9" t="s">
        <v>87</v>
      </c>
      <c r="E1032" s="9" t="s">
        <v>409</v>
      </c>
      <c r="F1032" s="11">
        <v>3</v>
      </c>
      <c r="G1032" s="10">
        <v>2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3</v>
      </c>
      <c r="V1032" s="10">
        <v>2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1.5</v>
      </c>
      <c r="AL1032" s="10">
        <v>1</v>
      </c>
      <c r="AM1032" s="10">
        <v>2</v>
      </c>
      <c r="AN1032" s="29">
        <v>0.25</v>
      </c>
    </row>
    <row r="1033">
      <c r="A1033" s="23">
        <v>17737</v>
      </c>
      <c r="B1033" s="4" t="s">
        <v>1348</v>
      </c>
      <c r="C1033" s="4" t="s">
        <v>65</v>
      </c>
      <c r="D1033" s="4" t="s">
        <v>120</v>
      </c>
      <c r="E1033" s="4" t="s">
        <v>453</v>
      </c>
      <c r="F1033" s="6">
        <v>4</v>
      </c>
      <c r="G1033" s="5">
        <v>1</v>
      </c>
      <c r="H1033" s="7">
        <v>0</v>
      </c>
      <c r="I1033" s="7">
        <v>0</v>
      </c>
      <c r="J1033" s="5">
        <v>2</v>
      </c>
      <c r="K1033" s="7">
        <v>0</v>
      </c>
      <c r="L1033" s="5">
        <v>1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4</v>
      </c>
      <c r="V1033" s="5">
        <v>1</v>
      </c>
      <c r="W1033" s="7">
        <v>0</v>
      </c>
      <c r="X1033" s="7">
        <v>0</v>
      </c>
      <c r="Y1033" s="5">
        <v>2</v>
      </c>
      <c r="Z1033" s="7">
        <v>0</v>
      </c>
      <c r="AA1033" s="5">
        <v>1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1.33</v>
      </c>
      <c r="AL1033" s="5">
        <v>1</v>
      </c>
      <c r="AM1033" s="5">
        <v>2</v>
      </c>
      <c r="AN1033" s="28">
        <v>0.5</v>
      </c>
    </row>
    <row r="1034">
      <c r="A1034" s="24">
        <v>17738</v>
      </c>
      <c r="B1034" s="9" t="s">
        <v>1349</v>
      </c>
      <c r="C1034" s="9" t="s">
        <v>65</v>
      </c>
      <c r="D1034" s="9" t="s">
        <v>87</v>
      </c>
      <c r="E1034" s="9" t="s">
        <v>409</v>
      </c>
      <c r="F1034" s="11">
        <v>4</v>
      </c>
      <c r="G1034" s="10">
        <v>3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4</v>
      </c>
      <c r="V1034" s="10">
        <v>3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2</v>
      </c>
      <c r="AM1034" s="10">
        <v>3</v>
      </c>
      <c r="AN1034" s="29">
        <v>0.24</v>
      </c>
    </row>
    <row r="1035">
      <c r="A1035" s="23">
        <v>17767</v>
      </c>
      <c r="B1035" s="4" t="s">
        <v>1350</v>
      </c>
      <c r="C1035" s="4" t="s">
        <v>159</v>
      </c>
      <c r="D1035" s="4" t="s">
        <v>172</v>
      </c>
      <c r="E1035" s="4" t="s">
        <v>173</v>
      </c>
      <c r="F1035" s="6">
        <v>2</v>
      </c>
      <c r="G1035" s="5">
        <v>1</v>
      </c>
      <c r="H1035" s="7">
        <v>0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</v>
      </c>
      <c r="V1035" s="5">
        <v>1</v>
      </c>
      <c r="W1035" s="7">
        <v>0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1">
        <v>0</v>
      </c>
    </row>
    <row r="1036">
      <c r="A1036" s="24">
        <v>17934</v>
      </c>
      <c r="B1036" s="9" t="s">
        <v>1351</v>
      </c>
      <c r="C1036" s="9" t="s">
        <v>65</v>
      </c>
      <c r="D1036" s="9" t="s">
        <v>87</v>
      </c>
      <c r="E1036" s="9" t="s">
        <v>295</v>
      </c>
      <c r="F1036" s="11">
        <v>1</v>
      </c>
      <c r="G1036" s="12">
        <v>0</v>
      </c>
      <c r="H1036" s="10">
        <v>1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</v>
      </c>
      <c r="V1036" s="12">
        <v>0</v>
      </c>
      <c r="W1036" s="10">
        <v>1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17998</v>
      </c>
      <c r="B1037" s="4" t="s">
        <v>1352</v>
      </c>
      <c r="C1037" s="4" t="s">
        <v>65</v>
      </c>
      <c r="D1037" s="4" t="s">
        <v>101</v>
      </c>
      <c r="E1037" s="4" t="s">
        <v>102</v>
      </c>
      <c r="F1037" s="6">
        <v>2</v>
      </c>
      <c r="G1037" s="5">
        <v>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2</v>
      </c>
      <c r="V1037" s="5">
        <v>2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31">
        <v>0</v>
      </c>
    </row>
    <row r="1038">
      <c r="A1038" s="24">
        <v>18050</v>
      </c>
      <c r="B1038" s="9" t="s">
        <v>1353</v>
      </c>
      <c r="C1038" s="9" t="s">
        <v>65</v>
      </c>
      <c r="D1038" s="9" t="s">
        <v>71</v>
      </c>
      <c r="E1038" s="9" t="s">
        <v>476</v>
      </c>
      <c r="F1038" s="11">
        <v>19</v>
      </c>
      <c r="G1038" s="12">
        <v>0</v>
      </c>
      <c r="H1038" s="12">
        <v>0</v>
      </c>
      <c r="I1038" s="12">
        <v>0</v>
      </c>
      <c r="J1038" s="10">
        <v>19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19</v>
      </c>
      <c r="V1038" s="12">
        <v>0</v>
      </c>
      <c r="W1038" s="12">
        <v>0</v>
      </c>
      <c r="X1038" s="12">
        <v>0</v>
      </c>
      <c r="Y1038" s="10">
        <v>19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19</v>
      </c>
      <c r="AK1038" s="13">
        <v>19</v>
      </c>
      <c r="AL1038" s="10">
        <v>19</v>
      </c>
      <c r="AM1038" s="10">
        <v>19</v>
      </c>
      <c r="AN1038" s="29">
        <v>4.75</v>
      </c>
    </row>
    <row r="1039">
      <c r="A1039" s="23">
        <v>18076</v>
      </c>
      <c r="B1039" s="4" t="s">
        <v>1354</v>
      </c>
      <c r="C1039" s="4" t="s">
        <v>159</v>
      </c>
      <c r="D1039" s="4" t="s">
        <v>160</v>
      </c>
      <c r="E1039" s="4" t="s">
        <v>161</v>
      </c>
      <c r="F1039" s="6">
        <v>1</v>
      </c>
      <c r="G1039" s="7">
        <v>0</v>
      </c>
      <c r="H1039" s="7">
        <v>0</v>
      </c>
      <c r="I1039" s="7">
        <v>0</v>
      </c>
      <c r="J1039" s="7">
        <v>0</v>
      </c>
      <c r="K1039" s="5">
        <v>1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7">
        <v>0</v>
      </c>
      <c r="X1039" s="7">
        <v>0</v>
      </c>
      <c r="Y1039" s="7">
        <v>0</v>
      </c>
      <c r="Z1039" s="5">
        <v>1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1">
        <v>0</v>
      </c>
    </row>
    <row r="1040">
      <c r="A1040" s="24">
        <v>18079</v>
      </c>
      <c r="B1040" s="9" t="s">
        <v>1355</v>
      </c>
      <c r="C1040" s="9" t="s">
        <v>159</v>
      </c>
      <c r="D1040" s="9" t="s">
        <v>172</v>
      </c>
      <c r="E1040" s="9" t="s">
        <v>173</v>
      </c>
      <c r="F1040" s="11">
        <v>3</v>
      </c>
      <c r="G1040" s="12">
        <v>0</v>
      </c>
      <c r="H1040" s="12">
        <v>0</v>
      </c>
      <c r="I1040" s="10">
        <v>3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3</v>
      </c>
      <c r="V1040" s="12">
        <v>0</v>
      </c>
      <c r="W1040" s="12">
        <v>0</v>
      </c>
      <c r="X1040" s="10">
        <v>3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3</v>
      </c>
      <c r="AK1040" s="13">
        <v>3</v>
      </c>
      <c r="AL1040" s="10">
        <v>3</v>
      </c>
      <c r="AM1040" s="10">
        <v>3</v>
      </c>
      <c r="AN1040" s="30">
        <v>0</v>
      </c>
    </row>
    <row r="1041">
      <c r="A1041" s="23">
        <v>18083</v>
      </c>
      <c r="B1041" s="4" t="s">
        <v>1356</v>
      </c>
      <c r="C1041" s="4" t="s">
        <v>159</v>
      </c>
      <c r="D1041" s="4" t="s">
        <v>385</v>
      </c>
      <c r="E1041" s="4" t="s">
        <v>438</v>
      </c>
      <c r="F1041" s="6">
        <v>1</v>
      </c>
      <c r="G1041" s="7">
        <v>0</v>
      </c>
      <c r="H1041" s="7">
        <v>0</v>
      </c>
      <c r="I1041" s="7">
        <v>0</v>
      </c>
      <c r="J1041" s="7">
        <v>0</v>
      </c>
      <c r="K1041" s="5">
        <v>1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7">
        <v>0</v>
      </c>
      <c r="W1041" s="7">
        <v>0</v>
      </c>
      <c r="X1041" s="7">
        <v>0</v>
      </c>
      <c r="Y1041" s="7">
        <v>0</v>
      </c>
      <c r="Z1041" s="5">
        <v>1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1">
        <v>0</v>
      </c>
    </row>
    <row r="1042">
      <c r="A1042" s="24">
        <v>18150</v>
      </c>
      <c r="B1042" s="9" t="s">
        <v>1357</v>
      </c>
      <c r="C1042" s="9" t="s">
        <v>135</v>
      </c>
      <c r="D1042" s="9" t="s">
        <v>217</v>
      </c>
      <c r="E1042" s="9" t="s">
        <v>218</v>
      </c>
      <c r="F1042" s="11">
        <v>3</v>
      </c>
      <c r="G1042" s="12">
        <v>0</v>
      </c>
      <c r="H1042" s="12">
        <v>0</v>
      </c>
      <c r="I1042" s="12">
        <v>0</v>
      </c>
      <c r="J1042" s="10">
        <v>3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3</v>
      </c>
      <c r="V1042" s="12">
        <v>0</v>
      </c>
      <c r="W1042" s="12">
        <v>0</v>
      </c>
      <c r="X1042" s="12">
        <v>0</v>
      </c>
      <c r="Y1042" s="10">
        <v>3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1.5</v>
      </c>
      <c r="AL1042" s="10">
        <v>1</v>
      </c>
      <c r="AM1042" s="10">
        <v>2</v>
      </c>
      <c r="AN1042" s="29">
        <v>0.75</v>
      </c>
    </row>
    <row r="1043">
      <c r="A1043" s="23">
        <v>18234</v>
      </c>
      <c r="B1043" s="4" t="s">
        <v>1358</v>
      </c>
      <c r="C1043" s="4" t="s">
        <v>159</v>
      </c>
      <c r="D1043" s="4" t="s">
        <v>1034</v>
      </c>
      <c r="E1043" s="4" t="s">
        <v>1359</v>
      </c>
      <c r="F1043" s="6">
        <v>1</v>
      </c>
      <c r="G1043" s="7">
        <v>0</v>
      </c>
      <c r="H1043" s="7">
        <v>0</v>
      </c>
      <c r="I1043" s="7">
        <v>0</v>
      </c>
      <c r="J1043" s="7">
        <v>0</v>
      </c>
      <c r="K1043" s="5">
        <v>1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7">
        <v>0</v>
      </c>
      <c r="W1043" s="7">
        <v>0</v>
      </c>
      <c r="X1043" s="7">
        <v>0</v>
      </c>
      <c r="Y1043" s="7">
        <v>0</v>
      </c>
      <c r="Z1043" s="5">
        <v>1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1">
        <v>0</v>
      </c>
    </row>
    <row r="1044">
      <c r="A1044" s="24">
        <v>18252</v>
      </c>
      <c r="B1044" s="9" t="s">
        <v>1360</v>
      </c>
      <c r="C1044" s="9" t="s">
        <v>65</v>
      </c>
      <c r="D1044" s="9" t="s">
        <v>79</v>
      </c>
      <c r="E1044" s="9" t="s">
        <v>141</v>
      </c>
      <c r="F1044" s="11">
        <v>99</v>
      </c>
      <c r="G1044" s="10">
        <v>1</v>
      </c>
      <c r="H1044" s="12">
        <v>0</v>
      </c>
      <c r="I1044" s="10">
        <v>1</v>
      </c>
      <c r="J1044" s="10">
        <v>97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85</v>
      </c>
      <c r="V1044" s="10">
        <v>1</v>
      </c>
      <c r="W1044" s="12">
        <v>0</v>
      </c>
      <c r="X1044" s="10">
        <v>1</v>
      </c>
      <c r="Y1044" s="10">
        <v>83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19.8</v>
      </c>
      <c r="AL1044" s="10">
        <v>1</v>
      </c>
      <c r="AM1044" s="10">
        <v>93</v>
      </c>
      <c r="AN1044" s="29">
        <v>20.75</v>
      </c>
    </row>
    <row r="1045">
      <c r="A1045" s="23">
        <v>18276</v>
      </c>
      <c r="B1045" s="4" t="s">
        <v>1361</v>
      </c>
      <c r="C1045" s="4" t="s">
        <v>573</v>
      </c>
      <c r="D1045" s="4" t="s">
        <v>582</v>
      </c>
      <c r="E1045" s="4" t="s">
        <v>305</v>
      </c>
      <c r="F1045" s="6">
        <v>1</v>
      </c>
      <c r="G1045" s="7">
        <v>0</v>
      </c>
      <c r="H1045" s="7">
        <v>0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7">
        <v>0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1">
        <v>0</v>
      </c>
    </row>
    <row r="1046">
      <c r="A1046" s="24">
        <v>18343</v>
      </c>
      <c r="B1046" s="9" t="s">
        <v>1362</v>
      </c>
      <c r="C1046" s="9" t="s">
        <v>135</v>
      </c>
      <c r="D1046" s="9" t="s">
        <v>323</v>
      </c>
      <c r="E1046" s="9" t="s">
        <v>324</v>
      </c>
      <c r="F1046" s="11">
        <v>4</v>
      </c>
      <c r="G1046" s="10">
        <v>2</v>
      </c>
      <c r="H1046" s="12">
        <v>0</v>
      </c>
      <c r="I1046" s="10">
        <v>1</v>
      </c>
      <c r="J1046" s="12">
        <v>0</v>
      </c>
      <c r="K1046" s="12">
        <v>0</v>
      </c>
      <c r="L1046" s="10">
        <v>1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4</v>
      </c>
      <c r="V1046" s="10">
        <v>2</v>
      </c>
      <c r="W1046" s="12">
        <v>0</v>
      </c>
      <c r="X1046" s="10">
        <v>1</v>
      </c>
      <c r="Y1046" s="12">
        <v>0</v>
      </c>
      <c r="Z1046" s="12">
        <v>0</v>
      </c>
      <c r="AA1046" s="10">
        <v>1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1.33</v>
      </c>
      <c r="AL1046" s="10">
        <v>1</v>
      </c>
      <c r="AM1046" s="10">
        <v>2</v>
      </c>
      <c r="AN1046" s="30">
        <v>0</v>
      </c>
    </row>
    <row r="1047">
      <c r="A1047" s="23">
        <v>18354</v>
      </c>
      <c r="B1047" s="4" t="s">
        <v>1363</v>
      </c>
      <c r="C1047" s="4" t="s">
        <v>135</v>
      </c>
      <c r="D1047" s="4" t="s">
        <v>1325</v>
      </c>
      <c r="E1047" s="4" t="s">
        <v>1364</v>
      </c>
      <c r="F1047" s="6">
        <v>2</v>
      </c>
      <c r="G1047" s="7">
        <v>0</v>
      </c>
      <c r="H1047" s="7">
        <v>0</v>
      </c>
      <c r="I1047" s="7">
        <v>0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2</v>
      </c>
      <c r="V1047" s="7">
        <v>0</v>
      </c>
      <c r="W1047" s="7">
        <v>0</v>
      </c>
      <c r="X1047" s="7">
        <v>0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</v>
      </c>
      <c r="AL1047" s="5">
        <v>2</v>
      </c>
      <c r="AM1047" s="5">
        <v>2</v>
      </c>
      <c r="AN1047" s="28">
        <v>0.48</v>
      </c>
    </row>
    <row r="1048">
      <c r="A1048" s="24">
        <v>18402</v>
      </c>
      <c r="B1048" s="9" t="s">
        <v>1365</v>
      </c>
      <c r="C1048" s="9" t="s">
        <v>1366</v>
      </c>
      <c r="D1048" s="9" t="s">
        <v>1367</v>
      </c>
      <c r="E1048" s="9" t="s">
        <v>305</v>
      </c>
      <c r="F1048" s="11">
        <v>1</v>
      </c>
      <c r="G1048" s="12">
        <v>0</v>
      </c>
      <c r="H1048" s="12">
        <v>0</v>
      </c>
      <c r="I1048" s="10">
        <v>1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2">
        <v>0</v>
      </c>
      <c r="X1048" s="10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30">
        <v>0</v>
      </c>
    </row>
    <row r="1049">
      <c r="A1049" s="23">
        <v>18451</v>
      </c>
      <c r="B1049" s="4" t="s">
        <v>1368</v>
      </c>
      <c r="C1049" s="4" t="s">
        <v>502</v>
      </c>
      <c r="D1049" s="4" t="s">
        <v>503</v>
      </c>
      <c r="E1049" s="4" t="s">
        <v>504</v>
      </c>
      <c r="F1049" s="6">
        <v>1</v>
      </c>
      <c r="G1049" s="7">
        <v>0</v>
      </c>
      <c r="H1049" s="5">
        <v>1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</v>
      </c>
      <c r="V1049" s="7">
        <v>0</v>
      </c>
      <c r="W1049" s="5">
        <v>1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1">
        <v>0</v>
      </c>
    </row>
    <row r="1050">
      <c r="A1050" s="24">
        <v>18460</v>
      </c>
      <c r="B1050" s="9" t="s">
        <v>1369</v>
      </c>
      <c r="C1050" s="9" t="s">
        <v>159</v>
      </c>
      <c r="D1050" s="9" t="s">
        <v>172</v>
      </c>
      <c r="E1050" s="9" t="s">
        <v>173</v>
      </c>
      <c r="F1050" s="11">
        <v>5</v>
      </c>
      <c r="G1050" s="10">
        <v>1</v>
      </c>
      <c r="H1050" s="12">
        <v>0</v>
      </c>
      <c r="I1050" s="10">
        <v>3</v>
      </c>
      <c r="J1050" s="12">
        <v>0</v>
      </c>
      <c r="K1050" s="10">
        <v>1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4</v>
      </c>
      <c r="V1050" s="10">
        <v>1</v>
      </c>
      <c r="W1050" s="12">
        <v>0</v>
      </c>
      <c r="X1050" s="10">
        <v>2</v>
      </c>
      <c r="Y1050" s="12">
        <v>0</v>
      </c>
      <c r="Z1050" s="10">
        <v>1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1.67</v>
      </c>
      <c r="AL1050" s="10">
        <v>1</v>
      </c>
      <c r="AM1050" s="10">
        <v>3</v>
      </c>
      <c r="AN1050" s="30">
        <v>0</v>
      </c>
    </row>
    <row r="1051">
      <c r="A1051" s="23">
        <v>18487</v>
      </c>
      <c r="B1051" s="4" t="s">
        <v>1370</v>
      </c>
      <c r="C1051" s="4" t="s">
        <v>159</v>
      </c>
      <c r="D1051" s="4" t="s">
        <v>172</v>
      </c>
      <c r="E1051" s="4" t="s">
        <v>176</v>
      </c>
      <c r="F1051" s="6">
        <v>1</v>
      </c>
      <c r="G1051" s="7">
        <v>0</v>
      </c>
      <c r="H1051" s="7">
        <v>0</v>
      </c>
      <c r="I1051" s="5">
        <v>1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7">
        <v>0</v>
      </c>
      <c r="W1051" s="7">
        <v>0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1">
        <v>0</v>
      </c>
    </row>
    <row r="1052">
      <c r="A1052" s="24">
        <v>18489</v>
      </c>
      <c r="B1052" s="9" t="s">
        <v>1371</v>
      </c>
      <c r="C1052" s="9" t="s">
        <v>135</v>
      </c>
      <c r="D1052" s="9" t="s">
        <v>307</v>
      </c>
      <c r="E1052" s="9" t="s">
        <v>1372</v>
      </c>
      <c r="F1052" s="11">
        <v>2</v>
      </c>
      <c r="G1052" s="12">
        <v>0</v>
      </c>
      <c r="H1052" s="10">
        <v>1</v>
      </c>
      <c r="I1052" s="10">
        <v>1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2</v>
      </c>
      <c r="V1052" s="12">
        <v>0</v>
      </c>
      <c r="W1052" s="10">
        <v>1</v>
      </c>
      <c r="X1052" s="10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0.5</v>
      </c>
    </row>
    <row r="1053">
      <c r="A1053" s="23">
        <v>18542</v>
      </c>
      <c r="B1053" s="4" t="s">
        <v>1373</v>
      </c>
      <c r="C1053" s="4" t="s">
        <v>65</v>
      </c>
      <c r="D1053" s="4" t="s">
        <v>111</v>
      </c>
      <c r="E1053" s="4" t="s">
        <v>188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18607</v>
      </c>
      <c r="B1054" s="9" t="s">
        <v>1374</v>
      </c>
      <c r="C1054" s="9" t="s">
        <v>65</v>
      </c>
      <c r="D1054" s="9" t="s">
        <v>71</v>
      </c>
      <c r="E1054" s="9" t="s">
        <v>72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0.25</v>
      </c>
    </row>
    <row r="1055">
      <c r="A1055" s="23">
        <v>18612</v>
      </c>
      <c r="B1055" s="4" t="s">
        <v>1375</v>
      </c>
      <c r="C1055" s="4" t="s">
        <v>65</v>
      </c>
      <c r="D1055" s="4" t="s">
        <v>74</v>
      </c>
      <c r="E1055" s="4" t="s">
        <v>366</v>
      </c>
      <c r="F1055" s="6">
        <v>1</v>
      </c>
      <c r="G1055" s="7">
        <v>0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18686</v>
      </c>
      <c r="B1056" s="9" t="s">
        <v>1376</v>
      </c>
      <c r="C1056" s="9" t="s">
        <v>65</v>
      </c>
      <c r="D1056" s="9" t="s">
        <v>111</v>
      </c>
      <c r="E1056" s="9" t="s">
        <v>151</v>
      </c>
      <c r="F1056" s="11">
        <v>2</v>
      </c>
      <c r="G1056" s="12">
        <v>0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29">
        <v>0.25</v>
      </c>
    </row>
    <row r="1057">
      <c r="A1057" s="23">
        <v>18722</v>
      </c>
      <c r="B1057" s="4" t="s">
        <v>1377</v>
      </c>
      <c r="C1057" s="4" t="s">
        <v>159</v>
      </c>
      <c r="D1057" s="4" t="s">
        <v>1378</v>
      </c>
      <c r="E1057" s="4" t="s">
        <v>1379</v>
      </c>
      <c r="F1057" s="6">
        <v>1</v>
      </c>
      <c r="G1057" s="7">
        <v>0</v>
      </c>
      <c r="H1057" s="5">
        <v>1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5">
        <v>1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1">
        <v>0</v>
      </c>
    </row>
    <row r="1058">
      <c r="A1058" s="24">
        <v>18736</v>
      </c>
      <c r="B1058" s="9" t="s">
        <v>1380</v>
      </c>
      <c r="C1058" s="9" t="s">
        <v>510</v>
      </c>
      <c r="D1058" s="9" t="s">
        <v>944</v>
      </c>
      <c r="E1058" s="9" t="s">
        <v>1381</v>
      </c>
      <c r="F1058" s="11">
        <v>2</v>
      </c>
      <c r="G1058" s="12">
        <v>0</v>
      </c>
      <c r="H1058" s="10">
        <v>1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2</v>
      </c>
      <c r="V1058" s="12">
        <v>0</v>
      </c>
      <c r="W1058" s="10">
        <v>1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0.52</v>
      </c>
    </row>
    <row r="1059">
      <c r="A1059" s="23">
        <v>18754</v>
      </c>
      <c r="B1059" s="4" t="s">
        <v>1382</v>
      </c>
      <c r="C1059" s="4" t="s">
        <v>65</v>
      </c>
      <c r="D1059" s="4" t="s">
        <v>111</v>
      </c>
      <c r="E1059" s="4" t="s">
        <v>114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0.25</v>
      </c>
    </row>
    <row r="1060">
      <c r="A1060" s="24">
        <v>18755</v>
      </c>
      <c r="B1060" s="9" t="s">
        <v>1383</v>
      </c>
      <c r="C1060" s="9" t="s">
        <v>65</v>
      </c>
      <c r="D1060" s="9" t="s">
        <v>74</v>
      </c>
      <c r="E1060" s="9" t="s">
        <v>75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30">
        <v>0</v>
      </c>
    </row>
    <row r="1061">
      <c r="A1061" s="23">
        <v>18850</v>
      </c>
      <c r="B1061" s="4" t="s">
        <v>1384</v>
      </c>
      <c r="C1061" s="4" t="s">
        <v>573</v>
      </c>
      <c r="D1061" s="4" t="s">
        <v>716</v>
      </c>
      <c r="E1061" s="4" t="s">
        <v>305</v>
      </c>
      <c r="F1061" s="6">
        <v>1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18878</v>
      </c>
      <c r="B1062" s="9" t="s">
        <v>1385</v>
      </c>
      <c r="C1062" s="9" t="s">
        <v>135</v>
      </c>
      <c r="D1062" s="9" t="s">
        <v>323</v>
      </c>
      <c r="E1062" s="9" t="s">
        <v>333</v>
      </c>
      <c r="F1062" s="11">
        <v>1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  <c r="L1062" s="10">
        <v>1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2">
        <v>0</v>
      </c>
      <c r="W1062" s="12">
        <v>0</v>
      </c>
      <c r="X1062" s="12">
        <v>0</v>
      </c>
      <c r="Y1062" s="12">
        <v>0</v>
      </c>
      <c r="Z1062" s="12">
        <v>0</v>
      </c>
      <c r="AA1062" s="10">
        <v>1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18933</v>
      </c>
      <c r="B1063" s="4" t="s">
        <v>1386</v>
      </c>
      <c r="C1063" s="4" t="s">
        <v>65</v>
      </c>
      <c r="D1063" s="4" t="s">
        <v>87</v>
      </c>
      <c r="E1063" s="4" t="s">
        <v>93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1">
        <v>0</v>
      </c>
    </row>
    <row r="1064">
      <c r="A1064" s="24">
        <v>19034</v>
      </c>
      <c r="B1064" s="9" t="s">
        <v>1387</v>
      </c>
      <c r="C1064" s="9" t="s">
        <v>573</v>
      </c>
      <c r="D1064" s="9" t="s">
        <v>716</v>
      </c>
      <c r="E1064" s="9" t="s">
        <v>305</v>
      </c>
      <c r="F1064" s="11">
        <v>1</v>
      </c>
      <c r="G1064" s="12">
        <v>0</v>
      </c>
      <c r="H1064" s="12">
        <v>0</v>
      </c>
      <c r="I1064" s="10">
        <v>1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2">
        <v>0</v>
      </c>
      <c r="W1064" s="12">
        <v>0</v>
      </c>
      <c r="X1064" s="10">
        <v>1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19038</v>
      </c>
      <c r="B1065" s="4" t="s">
        <v>1388</v>
      </c>
      <c r="C1065" s="4" t="s">
        <v>65</v>
      </c>
      <c r="D1065" s="4" t="s">
        <v>71</v>
      </c>
      <c r="E1065" s="4" t="s">
        <v>299</v>
      </c>
      <c r="F1065" s="6">
        <v>1</v>
      </c>
      <c r="G1065" s="7">
        <v>0</v>
      </c>
      <c r="H1065" s="5">
        <v>1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7">
        <v>0</v>
      </c>
      <c r="W1065" s="5">
        <v>1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0.25</v>
      </c>
    </row>
    <row r="1066">
      <c r="A1066" s="24">
        <v>19131</v>
      </c>
      <c r="B1066" s="9" t="s">
        <v>1389</v>
      </c>
      <c r="C1066" s="9" t="s">
        <v>65</v>
      </c>
      <c r="D1066" s="9" t="s">
        <v>71</v>
      </c>
      <c r="E1066" s="9" t="s">
        <v>476</v>
      </c>
      <c r="F1066" s="11">
        <v>1</v>
      </c>
      <c r="G1066" s="12">
        <v>0</v>
      </c>
      <c r="H1066" s="10">
        <v>1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</v>
      </c>
      <c r="V1066" s="12">
        <v>0</v>
      </c>
      <c r="W1066" s="10">
        <v>1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19191</v>
      </c>
      <c r="B1067" s="4" t="s">
        <v>1390</v>
      </c>
      <c r="C1067" s="4" t="s">
        <v>135</v>
      </c>
      <c r="D1067" s="4" t="s">
        <v>489</v>
      </c>
      <c r="E1067" s="4" t="s">
        <v>635</v>
      </c>
      <c r="F1067" s="6">
        <v>1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5">
        <v>1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5">
        <v>1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0.24</v>
      </c>
    </row>
    <row r="1068">
      <c r="A1068" s="24">
        <v>19200</v>
      </c>
      <c r="B1068" s="9" t="s">
        <v>1391</v>
      </c>
      <c r="C1068" s="9" t="s">
        <v>65</v>
      </c>
      <c r="D1068" s="9" t="s">
        <v>104</v>
      </c>
      <c r="E1068" s="9" t="s">
        <v>1392</v>
      </c>
      <c r="F1068" s="11">
        <v>1</v>
      </c>
      <c r="G1068" s="12">
        <v>0</v>
      </c>
      <c r="H1068" s="10">
        <v>1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</v>
      </c>
      <c r="V1068" s="12">
        <v>0</v>
      </c>
      <c r="W1068" s="10">
        <v>1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0.25</v>
      </c>
    </row>
    <row r="1069">
      <c r="A1069" s="23">
        <v>19311</v>
      </c>
      <c r="B1069" s="4" t="s">
        <v>1393</v>
      </c>
      <c r="C1069" s="4" t="s">
        <v>159</v>
      </c>
      <c r="D1069" s="4" t="s">
        <v>1394</v>
      </c>
      <c r="E1069" s="4" t="s">
        <v>1394</v>
      </c>
      <c r="F1069" s="6">
        <v>1</v>
      </c>
      <c r="G1069" s="7">
        <v>0</v>
      </c>
      <c r="H1069" s="5">
        <v>1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</v>
      </c>
      <c r="V1069" s="7">
        <v>0</v>
      </c>
      <c r="W1069" s="5">
        <v>1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19348</v>
      </c>
      <c r="B1070" s="9" t="s">
        <v>1395</v>
      </c>
      <c r="C1070" s="9" t="s">
        <v>159</v>
      </c>
      <c r="D1070" s="9" t="s">
        <v>160</v>
      </c>
      <c r="E1070" s="9" t="s">
        <v>168</v>
      </c>
      <c r="F1070" s="11">
        <v>1</v>
      </c>
      <c r="G1070" s="12">
        <v>0</v>
      </c>
      <c r="H1070" s="12">
        <v>0</v>
      </c>
      <c r="I1070" s="12">
        <v>0</v>
      </c>
      <c r="J1070" s="12">
        <v>0</v>
      </c>
      <c r="K1070" s="10">
        <v>1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2">
        <v>0</v>
      </c>
      <c r="W1070" s="12">
        <v>0</v>
      </c>
      <c r="X1070" s="12">
        <v>0</v>
      </c>
      <c r="Y1070" s="12">
        <v>0</v>
      </c>
      <c r="Z1070" s="10">
        <v>1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0">
        <v>0</v>
      </c>
    </row>
    <row r="1071">
      <c r="A1071" s="23">
        <v>19420</v>
      </c>
      <c r="B1071" s="4" t="s">
        <v>1396</v>
      </c>
      <c r="C1071" s="4" t="s">
        <v>65</v>
      </c>
      <c r="D1071" s="4" t="s">
        <v>84</v>
      </c>
      <c r="E1071" s="4" t="s">
        <v>85</v>
      </c>
      <c r="F1071" s="6">
        <v>3</v>
      </c>
      <c r="G1071" s="5">
        <v>2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3</v>
      </c>
      <c r="V1071" s="5">
        <v>2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2</v>
      </c>
      <c r="AN1071" s="28">
        <v>0.75</v>
      </c>
    </row>
    <row r="1072">
      <c r="A1072" s="24">
        <v>19421</v>
      </c>
      <c r="B1072" s="9" t="s">
        <v>1397</v>
      </c>
      <c r="C1072" s="9" t="s">
        <v>65</v>
      </c>
      <c r="D1072" s="9" t="s">
        <v>87</v>
      </c>
      <c r="E1072" s="9" t="s">
        <v>93</v>
      </c>
      <c r="F1072" s="11">
        <v>3</v>
      </c>
      <c r="G1072" s="10">
        <v>2</v>
      </c>
      <c r="H1072" s="10">
        <v>1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3</v>
      </c>
      <c r="V1072" s="10">
        <v>2</v>
      </c>
      <c r="W1072" s="10">
        <v>1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1.5</v>
      </c>
      <c r="AL1072" s="10">
        <v>1</v>
      </c>
      <c r="AM1072" s="10">
        <v>2</v>
      </c>
      <c r="AN1072" s="29">
        <v>0.75</v>
      </c>
    </row>
    <row r="1073">
      <c r="A1073" s="23">
        <v>19424</v>
      </c>
      <c r="B1073" s="4" t="s">
        <v>1398</v>
      </c>
      <c r="C1073" s="4" t="s">
        <v>65</v>
      </c>
      <c r="D1073" s="4" t="s">
        <v>127</v>
      </c>
      <c r="E1073" s="4" t="s">
        <v>884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19425</v>
      </c>
      <c r="B1074" s="9" t="s">
        <v>1399</v>
      </c>
      <c r="C1074" s="9" t="s">
        <v>65</v>
      </c>
      <c r="D1074" s="9" t="s">
        <v>74</v>
      </c>
      <c r="E1074" s="9" t="s">
        <v>75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19427</v>
      </c>
      <c r="B1075" s="4" t="s">
        <v>1400</v>
      </c>
      <c r="C1075" s="4" t="s">
        <v>65</v>
      </c>
      <c r="D1075" s="4" t="s">
        <v>84</v>
      </c>
      <c r="E1075" s="4" t="s">
        <v>85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0.25</v>
      </c>
    </row>
    <row r="1076">
      <c r="A1076" s="49">
        <v>19430</v>
      </c>
      <c r="B1076" s="43" t="s">
        <v>1401</v>
      </c>
      <c r="C1076" s="43" t="s">
        <v>65</v>
      </c>
      <c r="D1076" s="43" t="s">
        <v>101</v>
      </c>
      <c r="E1076" s="43" t="s">
        <v>342</v>
      </c>
      <c r="F1076" s="44">
        <v>1</v>
      </c>
      <c r="G1076" s="45">
        <v>0</v>
      </c>
      <c r="H1076" s="45">
        <v>0</v>
      </c>
      <c r="I1076" s="45">
        <v>0</v>
      </c>
      <c r="J1076" s="46">
        <v>1</v>
      </c>
      <c r="K1076" s="45">
        <v>0</v>
      </c>
      <c r="L1076" s="45">
        <v>0</v>
      </c>
      <c r="M1076" s="45">
        <v>0</v>
      </c>
      <c r="N1076" s="45">
        <v>0</v>
      </c>
      <c r="O1076" s="45">
        <v>0</v>
      </c>
      <c r="P1076" s="45">
        <v>0</v>
      </c>
      <c r="Q1076" s="45">
        <v>0</v>
      </c>
      <c r="R1076" s="45">
        <v>0</v>
      </c>
      <c r="S1076" s="45">
        <v>0</v>
      </c>
      <c r="T1076" s="51">
        <v>0</v>
      </c>
      <c r="U1076" s="44">
        <v>1</v>
      </c>
      <c r="V1076" s="45">
        <v>0</v>
      </c>
      <c r="W1076" s="45">
        <v>0</v>
      </c>
      <c r="X1076" s="45">
        <v>0</v>
      </c>
      <c r="Y1076" s="46">
        <v>1</v>
      </c>
      <c r="Z1076" s="45">
        <v>0</v>
      </c>
      <c r="AA1076" s="45">
        <v>0</v>
      </c>
      <c r="AB1076" s="45">
        <v>0</v>
      </c>
      <c r="AC1076" s="45">
        <v>0</v>
      </c>
      <c r="AD1076" s="45">
        <v>0</v>
      </c>
      <c r="AE1076" s="45">
        <v>0</v>
      </c>
      <c r="AF1076" s="45">
        <v>0</v>
      </c>
      <c r="AG1076" s="45">
        <v>0</v>
      </c>
      <c r="AH1076" s="45">
        <v>0</v>
      </c>
      <c r="AI1076" s="45">
        <v>0</v>
      </c>
      <c r="AJ1076" s="46">
        <v>1</v>
      </c>
      <c r="AK1076" s="47">
        <v>1</v>
      </c>
      <c r="AL1076" s="46">
        <v>1</v>
      </c>
      <c r="AM1076" s="46">
        <v>1</v>
      </c>
      <c r="AN1076" s="50">
        <v>0.25</v>
      </c>
    </row>
    <row r="1078">
      <c r="A1078" s="52" t="s">
        <v>0</v>
      </c>
      <c r="B1078" s="52" t="s">
        <v>0</v>
      </c>
      <c r="C1078" s="52" t="s">
        <v>0</v>
      </c>
      <c r="D1078" s="52" t="s">
        <v>0</v>
      </c>
      <c r="E1078" s="53" t="s">
        <v>58</v>
      </c>
      <c r="F1078" s="40">
        <f>SUM(F3:F1076)</f>
      </c>
      <c r="G1078" s="39">
        <f>SUM(G3:G1076)</f>
      </c>
      <c r="H1078" s="39">
        <f>SUM(H3:H1076)</f>
      </c>
      <c r="I1078" s="39">
        <f>SUM(I3:I1076)</f>
      </c>
      <c r="J1078" s="39">
        <f>SUM(J3:J1076)</f>
      </c>
      <c r="K1078" s="39">
        <f>SUM(K3:K1076)</f>
      </c>
      <c r="L1078" s="39">
        <f>SUM(L3:L1076)</f>
      </c>
      <c r="M1078" s="39">
        <f>SUM(M3:M1076)</f>
      </c>
      <c r="N1078" s="39">
        <f>SUM(N3:N1076)</f>
      </c>
      <c r="O1078" s="39">
        <f>SUM(O3:O1076)</f>
      </c>
      <c r="P1078" s="39">
        <f>SUM(P3:P1076)</f>
      </c>
      <c r="Q1078" s="39">
        <f>SUM(Q3:Q1076)</f>
      </c>
      <c r="R1078" s="39">
        <f>SUM(R3:R1076)</f>
      </c>
      <c r="S1078" s="39">
        <f>SUM(S3:S1076)</f>
      </c>
      <c r="T1078" s="39">
        <f>SUM(T3:T1076)</f>
      </c>
      <c r="U1078" s="40">
        <f>SUM(U3:U1076)</f>
      </c>
      <c r="V1078" s="39">
        <f>SUM(V3:V1076)</f>
      </c>
      <c r="W1078" s="39">
        <f>SUM(W3:W1076)</f>
      </c>
      <c r="X1078" s="39">
        <f>SUM(X3:X1076)</f>
      </c>
      <c r="Y1078" s="39">
        <f>SUM(Y3:Y1076)</f>
      </c>
      <c r="Z1078" s="39">
        <f>SUM(Z3:Z1076)</f>
      </c>
      <c r="AA1078" s="39">
        <f>SUM(AA3:AA1076)</f>
      </c>
      <c r="AB1078" s="39">
        <f>SUM(AB3:AB1076)</f>
      </c>
      <c r="AC1078" s="39">
        <f>SUM(AC3:AC1076)</f>
      </c>
      <c r="AD1078" s="39">
        <f>SUM(AD3:AD1076)</f>
      </c>
      <c r="AE1078" s="39">
        <f>SUM(AE3:AE1076)</f>
      </c>
      <c r="AF1078" s="39">
        <f>SUM(AF3:AF1076)</f>
      </c>
      <c r="AG1078" s="39">
        <f>SUM(AG3:AG1076)</f>
      </c>
      <c r="AH1078" s="39">
        <f>SUM(AH3:AH1076)</f>
      </c>
      <c r="AI1078" s="39">
        <f>SUM(AI3:AI1076)</f>
      </c>
      <c r="AJ1078" s="39">
        <f>MIN(AJ3:AJ1076)</f>
      </c>
      <c r="AK1078" s="39">
        <f>AVERAGE(AK3:AK1076)</f>
      </c>
      <c r="AL1078" s="39">
        <f>MEDIAN(AL3:AL1076)</f>
      </c>
      <c r="AM1078" s="39">
        <f>Max(AM3:AM1076)</f>
      </c>
      <c r="AN1078" s="41">
        <f>SUM(AN3:AN1076)</f>
      </c>
    </row>
  </sheetData>
  <autoFilter ref="A2:AN1076"/>
  <mergeCells>
    <mergeCell ref="A1:E1"/>
    <mergeCell ref="F1:T1"/>
    <mergeCell ref="U1:AI1"/>
    <mergeCell ref="AJ1:AN1"/>
    <mergeCell ref="A1078:D107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1402</v>
      </c>
      <c r="B1" s="55" t="s">
        <v>1403</v>
      </c>
    </row>
    <row r="2">
      <c r="A2" s="54" t="s">
        <v>1404</v>
      </c>
      <c r="B2" s="55" t="s">
        <v>1405</v>
      </c>
    </row>
    <row r="3">
      <c r="A3" s="1"/>
      <c r="B3" s="1"/>
    </row>
    <row r="4">
      <c r="A4" s="54" t="s">
        <v>1406</v>
      </c>
      <c r="B4" s="55" t="s">
        <v>1407</v>
      </c>
    </row>
    <row r="5">
      <c r="A5" s="54" t="s">
        <v>1408</v>
      </c>
      <c r="B5" s="55" t="s">
        <v>1409</v>
      </c>
    </row>
    <row r="6">
      <c r="A6" s="54" t="s">
        <v>1410</v>
      </c>
      <c r="B6" s="55"/>
    </row>
    <row r="7">
      <c r="A7" s="54" t="s">
        <v>1411</v>
      </c>
      <c r="B7" s="55"/>
    </row>
    <row r="8">
      <c r="A8" s="54" t="s">
        <v>1412</v>
      </c>
      <c r="B8" s="55" t="s">
        <v>1413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1414</v>
      </c>
      <c r="B12" s="55" t="s">
        <v>1415</v>
      </c>
    </row>
    <row r="13">
      <c r="A13" s="54" t="s">
        <v>1416</v>
      </c>
      <c r="B13" s="55" t="s">
        <v>1417</v>
      </c>
    </row>
    <row r="14">
      <c r="A14" s="54" t="s">
        <v>1418</v>
      </c>
      <c r="B14" s="55" t="s">
        <v>1419</v>
      </c>
    </row>
    <row r="15">
      <c r="A15" s="54" t="s">
        <v>1420</v>
      </c>
      <c r="B15" s="55" t="s">
        <v>1421</v>
      </c>
    </row>
    <row r="16">
      <c r="A16" s="54" t="s">
        <v>1422</v>
      </c>
      <c r="B16" s="55" t="s">
        <v>1423</v>
      </c>
    </row>
  </sheetData>
  <headerFooter/>
</worksheet>
</file>