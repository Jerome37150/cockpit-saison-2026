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Global!$A$2:$AM$31</definedName>
    <definedName name="_xlnm._FilterDatabase" localSheetId="2" hidden="1">Establishment!$A$2:$AN$1278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<sst xmlns="http://schemas.openxmlformats.org/spreadsheetml/2006/main" count="1638" uniqueCount="1638">
  <si>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</si>
  <si>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</si>
  <si>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</si>
  <si>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</si>
  <si>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</si>
  <si>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</si>
  <si>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</si>
  <si>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</si>
  <si>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</si>
  <si>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</si>
  <si>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</si>
  <si>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</si>
  <si>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</si>
  <si>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</si>
  <si>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</si>
  <si>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</si>
  <si>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</si>
  <si>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</si>
  <si>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</si>
  <si>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</si>
  <si>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</si>
  <si>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</si>
  <si>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</si>
  <si>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</si>
  <si>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</si>
  <si>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</si>
  <si>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</si>
  <si>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</si>
  <si>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</si>
  <si>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</si>
  <si>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</si>
  <si>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</si>
  <si>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</si>
  <si>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</si>
  <si>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</si>
  <si>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</si>
  <si>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</si>
  <si>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</si>
  <si>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</si>
  <si>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</si>
  <si>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</si>
  <si>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</si>
  <si>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</si>
  <si>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</si>
  <si>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</si>
  <si>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</si>
  <si>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</si>
  <si>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</si>
  <si>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</si>
  <si>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</si>
  <si>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</si>
  <si>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</si>
  <si>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</si>
  <si>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</si>
  <si>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</si>
  <si>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</si>
  <si>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</si>
  <si>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</si>
  <si>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</si>
  <si>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</si>
  <si>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</si>
  <si>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</si>
  <si>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</si>
  <si>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</si>
  <si>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</si>
  <si>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</si>
  <si>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</si>
  <si>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</si>
  <si>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</si>
  <si>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</si>
  <si>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</si>
  <si>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</si>
  <si>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</si>
  <si>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</si>
  <si>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</si>
  <si>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</si>
  <si>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</si>
  <si>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</si>
  <si>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</si>
  <si>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</si>
  <si>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</si>
  <si>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</si>
  <si>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</si>
  <si>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</si>
  <si>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</si>
  <si>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</si>
  <si>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</si>
  <si>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</si>
  <si>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</si>
  <si>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</si>
  <si>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</si>
  <si>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</si>
  <si>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</si>
  <si>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</si>
  <si>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</si>
  <si>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</si>
  <si>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</si>
  <si>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</si>
  <si>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</si>
  <si>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</si>
  <si>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</si>
  <si>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</si>
  <si>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</si>
  <si>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</si>
  <si>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</si>
  <si>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</si>
  <si>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</si>
  <si>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</si>
  <si>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</si>
  <si>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</si>
  <si>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</si>
  <si>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Camping Sandaya Château des Marais</t>
  </si>
  <si>
    <t>Centre-Val de Loire</t>
  </si>
  <si>
    <t>Loir-et-Cher</t>
  </si>
  <si>
    <t>Le Logis du Breuil</t>
  </si>
  <si>
    <t>Nouvelle-Aquitaine</t>
  </si>
  <si>
    <t>Charente-Maritime</t>
  </si>
  <si>
    <t>Lou P'tit Poun</t>
  </si>
  <si>
    <t>Landes</t>
  </si>
  <si>
    <t>Camping Terra Verdon</t>
  </si>
  <si>
    <t>Camping Naturiste Arnaoutchot</t>
  </si>
  <si>
    <t>Centre de Vacances Naturiste le Colombier</t>
  </si>
  <si>
    <t>YELLOH! VILLAGE - LE BRASILIA</t>
  </si>
  <si>
    <t>Domaine Laborde</t>
  </si>
  <si>
    <t>Dordogne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</si>
  <si>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</si>
  <si>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</si>
  <si>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</si>
  <si>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</si>
  <si>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</si>
  <si>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</si>
  <si>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</si>
  <si>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</si>
  <si>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Bretagne</t>
  </si>
  <si>
    <t>Finistère</t>
  </si>
  <si>
    <t>Camping Club Tikayan La Vallée du Paradis</t>
  </si>
  <si>
    <t>Camping Qualité le Val de Saures</t>
  </si>
  <si>
    <t>Aveyron</t>
  </si>
  <si>
    <t>Camping Le Val Saint Jean</t>
  </si>
  <si>
    <t>Cantal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</si>
  <si>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</si>
  <si>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</si>
  <si>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</si>
  <si>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</si>
  <si>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</si>
  <si>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</si>
  <si>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</si>
  <si>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</si>
  <si>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</si>
  <si>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</si>
  <si>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</si>
  <si>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</si>
  <si>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</si>
  <si>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</si>
  <si>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</si>
  <si>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YELLOH! VILLAGE - LE RIDIN</t>
  </si>
  <si>
    <t>Somme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</si>
  <si>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</si>
  <si>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</si>
  <si>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</si>
  <si>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</si>
  <si>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</si>
  <si>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</si>
  <si>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</si>
  <si>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</si>
  <si>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</si>
  <si>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</si>
  <si>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</si>
  <si>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</si>
  <si>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</si>
  <si>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</si>
  <si>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</si>
  <si>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</si>
  <si>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</si>
  <si>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</si>
  <si>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</si>
  <si>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</si>
  <si>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</si>
  <si>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</si>
  <si>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</si>
  <si>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</si>
  <si>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</si>
  <si>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</si>
  <si>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Camping Platja Cambrils</t>
  </si>
  <si>
    <t>Tarragone</t>
  </si>
  <si>
    <t>Camping El Astral</t>
  </si>
  <si>
    <t>Castille-et-León</t>
  </si>
  <si>
    <t>Valladolid</t>
  </si>
  <si>
    <t>Camping Roche</t>
  </si>
  <si>
    <t>Andalousie</t>
  </si>
  <si>
    <t>Cadix</t>
  </si>
  <si>
    <t>Camping La Rueda</t>
  </si>
  <si>
    <t>Barcelone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</si>
  <si>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</si>
  <si>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</si>
  <si>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</si>
  <si>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</si>
  <si>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</si>
  <si>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</si>
  <si>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</si>
  <si>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</si>
  <si>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</si>
  <si>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</si>
  <si>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</si>
  <si>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El Far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</si>
  <si>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</si>
  <si>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</si>
  <si>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</si>
  <si>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</si>
  <si>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</si>
  <si>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</si>
  <si>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</si>
  <si>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</si>
  <si>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</si>
  <si>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</si>
  <si>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</si>
  <si>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ACAPULCO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</si>
  <si>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</si>
  <si>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</si>
  <si>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</si>
  <si>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</si>
  <si>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</si>
  <si>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</si>
  <si>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</si>
  <si>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</si>
  <si>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</si>
  <si>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</si>
  <si>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</si>
  <si>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La Venise Verte</t>
  </si>
  <si>
    <t>Deux-Sèvres</t>
  </si>
  <si>
    <t>Camping L'Hirondelle France *****</t>
  </si>
  <si>
    <t>Drôme</t>
  </si>
  <si>
    <t>Camping Le Paradis</t>
  </si>
  <si>
    <t>Camping Sunêlia Le Séquoia</t>
  </si>
  <si>
    <t>Lot</t>
  </si>
  <si>
    <t>Camping LA PRESQU'ILE DE GIENS</t>
  </si>
  <si>
    <t>Clico Chic - La Baie de Douarnenez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</si>
  <si>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</si>
  <si>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</si>
  <si>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</si>
  <si>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</si>
  <si>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</si>
  <si>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</si>
  <si>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</si>
  <si>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</si>
  <si>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Urbasa Bioitza</t>
  </si>
  <si>
    <t>Camping le Futuriste</t>
  </si>
  <si>
    <t>Vienne</t>
  </si>
  <si>
    <t>Esterel Caravaning</t>
  </si>
  <si>
    <t>Domaine de la Bergerie</t>
  </si>
  <si>
    <t>Le Pertuis du Rofo</t>
  </si>
  <si>
    <t>Morbihan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</si>
  <si>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</si>
  <si>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</si>
  <si>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</si>
  <si>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</si>
  <si>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</si>
  <si>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Vaucluse</t>
  </si>
  <si>
    <t>Camping Au Port Punay</t>
  </si>
  <si>
    <t>Siblu – Le Bois Dormant</t>
  </si>
  <si>
    <t>Siblu – Les Charmettes</t>
  </si>
  <si>
    <t>Camping du Lac de Saint Cyr</t>
  </si>
  <si>
    <t>Camping Parc Bellevue</t>
  </si>
  <si>
    <t>Camping Le Lac de Thoux</t>
  </si>
  <si>
    <t>Gers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</si>
  <si>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</si>
  <si>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</si>
  <si>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</si>
  <si>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</si>
  <si>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</si>
  <si>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</si>
  <si>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Chadotel Les Ecureuils</t>
  </si>
  <si>
    <t>Camping Eleovic</t>
  </si>
  <si>
    <t>Camping Homair - Domaine de la Brèche</t>
  </si>
  <si>
    <t>Camping Village de La Guyonnière</t>
  </si>
  <si>
    <t>Camping Les Charmes</t>
  </si>
  <si>
    <t>Flower Camping Au Bois Des Biches</t>
  </si>
  <si>
    <t>Camping Les Mizottes</t>
  </si>
  <si>
    <t>Camping Seasonova Haliotis</t>
  </si>
  <si>
    <t>Flower Camping Le Lac aux Oiseaux</t>
  </si>
  <si>
    <t>Camping Les Erables</t>
  </si>
  <si>
    <t>Camping Les Bords du Tarn</t>
  </si>
  <si>
    <t>Camping Canoë Gorges Du Tarn</t>
  </si>
  <si>
    <t>Flower Camping PEYRELADE</t>
  </si>
  <si>
    <t>Camping Beau-Rivage</t>
  </si>
  <si>
    <t>Camping Les Cantarelles</t>
  </si>
  <si>
    <t xml:space="preserve">Camping Domaine de  La SERRE</t>
  </si>
  <si>
    <t>Ariège</t>
  </si>
  <si>
    <t>Camping du Lac Mercus</t>
  </si>
  <si>
    <t>Camping PARC DE PALETES</t>
  </si>
  <si>
    <t>Flower Camping LA BEXANELLE</t>
  </si>
  <si>
    <t>Domaine du Lac de Neguenou</t>
  </si>
  <si>
    <t>Lot-et-Garonne</t>
  </si>
  <si>
    <t>Camping la Prade</t>
  </si>
  <si>
    <t>Tarn</t>
  </si>
  <si>
    <t>Camping Des 3 Lacs</t>
  </si>
  <si>
    <t>Camping la Provençale</t>
  </si>
  <si>
    <t>Camping LE CLOS DE LA LERE</t>
  </si>
  <si>
    <t>Tarn-et-Garonne</t>
  </si>
  <si>
    <t xml:space="preserve"> AZUN NATURE Chalets-Camping &amp; Spa</t>
  </si>
  <si>
    <t>Camping LE MONLOO</t>
  </si>
  <si>
    <t>Flower Camping Pyrénées Natura</t>
  </si>
  <si>
    <t>Camping LE RUISSEAU</t>
  </si>
  <si>
    <t>Camping D'ARROUACH Lourdes</t>
  </si>
  <si>
    <t>Camping LE HOUNTA</t>
  </si>
  <si>
    <t>Camping Pradelongue</t>
  </si>
  <si>
    <t>Haute-Garonne</t>
  </si>
  <si>
    <t>Camping NAMASTE</t>
  </si>
  <si>
    <t>Camping LE PYRENEEN</t>
  </si>
  <si>
    <t>Flower Camping l'Escale du Perthuis</t>
  </si>
  <si>
    <t>CAMPING LE CLOS BOUYSSAC</t>
  </si>
  <si>
    <t>Camping Les Cigales</t>
  </si>
  <si>
    <t>Domaine Naturiste Le Clos Barrat</t>
  </si>
  <si>
    <t>Camping LA TRUFFIERE à Saint Cirq Lapopie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</si>
  <si>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</si>
  <si>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</si>
  <si>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</si>
  <si>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</si>
  <si>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</si>
  <si>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</si>
  <si>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</si>
  <si>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</si>
  <si>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</si>
  <si>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</si>
  <si>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Au Soleil d'Oc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</si>
  <si>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</si>
  <si>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</si>
  <si>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</si>
  <si>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</si>
  <si>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</si>
  <si>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</si>
  <si>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</si>
  <si>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</si>
  <si>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</si>
  <si>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Flower Camping Le Vieux Moulin</t>
  </si>
  <si>
    <t>ROMANEE Kervilor</t>
  </si>
  <si>
    <t>Camping de la Plage</t>
  </si>
  <si>
    <t>Glamping Sainte-Suzanne</t>
  </si>
  <si>
    <t>Mayenne</t>
  </si>
  <si>
    <t>Camping Ecologique le Lac O Fées</t>
  </si>
  <si>
    <t>Camping - Club Mahana</t>
  </si>
  <si>
    <t>Camping Les Murmures du Lignon</t>
  </si>
  <si>
    <t>Haute-Loire</t>
  </si>
  <si>
    <t>Camping Tikayan La Bergerie Plage</t>
  </si>
  <si>
    <t>Camping Site de Gorge Vent</t>
  </si>
  <si>
    <t>Flower Camping le Dolium</t>
  </si>
  <si>
    <t>Camping Lloret Blau</t>
  </si>
  <si>
    <t>Village de gîtes et de vacances*** Les Hauts de Saint Privat</t>
  </si>
  <si>
    <t>Lozère</t>
  </si>
  <si>
    <t>Flower Camping le Montana</t>
  </si>
  <si>
    <t>Hautes-Alpes</t>
  </si>
  <si>
    <t>Chadotel Les Jardins Catalans</t>
  </si>
  <si>
    <t>Camping le Mas des Roses</t>
  </si>
  <si>
    <t>Camping la Mer Blanche</t>
  </si>
  <si>
    <t>Camping Ecoresponsable Le Rêve</t>
  </si>
  <si>
    <t>Camping Village Costa Verde</t>
  </si>
  <si>
    <t>Marches</t>
  </si>
  <si>
    <t>Macerata</t>
  </si>
  <si>
    <t>Hermitage des Dunes</t>
  </si>
  <si>
    <t>Recreatiepark en Jachthaven De Scherpenhof</t>
  </si>
  <si>
    <t>Pays-Bas</t>
  </si>
  <si>
    <t>Gueldre</t>
  </si>
  <si>
    <t>UNKNOWN</t>
  </si>
  <si>
    <t>Camping Le Château de Rochetaillée</t>
  </si>
  <si>
    <t>Camping de Savel</t>
  </si>
  <si>
    <t>Camping Harrobia</t>
  </si>
  <si>
    <t>Camping Belvédère de l'Obiou</t>
  </si>
  <si>
    <t>Camping Duna Munguy</t>
  </si>
  <si>
    <t>Camping Au Pré Du Lac</t>
  </si>
  <si>
    <t>Camping Les 7 Laux</t>
  </si>
  <si>
    <t>Camping La Sfinge</t>
  </si>
  <si>
    <t>Ligurie</t>
  </si>
  <si>
    <t>La Spezia</t>
  </si>
  <si>
    <t>Camping Les Puits Tournants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</si>
  <si>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</si>
  <si>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</si>
  <si>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</si>
  <si>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</si>
  <si>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</si>
  <si>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</si>
  <si>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</si>
  <si>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</si>
  <si>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</si>
  <si>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La Playa Ibiza</t>
  </si>
  <si>
    <t>Îles Baléares</t>
  </si>
  <si>
    <t>Camping Sunêlia Villaggio dei Fiori</t>
  </si>
  <si>
    <t>Villaggio C'era una Volta</t>
  </si>
  <si>
    <t>Camping Sandaya Les Alicourts</t>
  </si>
  <si>
    <t>Camping Sandaya La Côte de Nacre</t>
  </si>
  <si>
    <t>Calvados</t>
  </si>
  <si>
    <t>Sites et Paysages 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</si>
  <si>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</si>
  <si>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</si>
  <si>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</si>
  <si>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</si>
  <si>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</si>
  <si>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</si>
  <si>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</si>
  <si>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ROMANEE Cormoran</t>
  </si>
  <si>
    <t xml:space="preserve">Camping Club Le Trianon - MS Vacances </t>
  </si>
  <si>
    <t>Camping Etang des Haizes</t>
  </si>
  <si>
    <t>Camping La Nouzarède</t>
  </si>
  <si>
    <t>Flower Camping le FONDESPIERRE</t>
  </si>
  <si>
    <t>Slow Village | Anduze</t>
  </si>
  <si>
    <t>Camping Saint Paul</t>
  </si>
  <si>
    <t>Camping DE LA PISCINE</t>
  </si>
  <si>
    <t>Camping l'Étoile d'Or</t>
  </si>
  <si>
    <t>Camping Le Domaine de Champé</t>
  </si>
  <si>
    <t>Camping Les Marsouins - Ciela Village</t>
  </si>
  <si>
    <t>Camping La Sirène</t>
  </si>
  <si>
    <t>Camping Les Tulipes</t>
  </si>
  <si>
    <t>Camping Le Rhône</t>
  </si>
  <si>
    <t>Camping MARIUS</t>
  </si>
  <si>
    <t>Bouches-du-Rhône</t>
  </si>
  <si>
    <t>Camping Côté Plage</t>
  </si>
  <si>
    <t>Camping de l'Océan</t>
  </si>
  <si>
    <t>Camping Seasonova Saint Michel</t>
  </si>
  <si>
    <t>Villaggio Camping delle Rose</t>
  </si>
  <si>
    <t>Émilie-Romagne</t>
  </si>
  <si>
    <t>Forlì-Cesena</t>
  </si>
  <si>
    <t>Camping Le Port Chéri</t>
  </si>
  <si>
    <t>Camping Prades Park</t>
  </si>
  <si>
    <t>Camping Village Rocchette</t>
  </si>
  <si>
    <t>Toscane</t>
  </si>
  <si>
    <t>Grosseto</t>
  </si>
  <si>
    <t>Torre Pendente Camping Village</t>
  </si>
  <si>
    <t>Pisa</t>
  </si>
  <si>
    <t>Toscana Holiday Village</t>
  </si>
  <si>
    <t>INTERNATIONAL GLAMPING LAGO DI BRACCIANO</t>
  </si>
  <si>
    <t>Latium</t>
  </si>
  <si>
    <t>Roma Capitale</t>
  </si>
  <si>
    <t>Camping Sandaya La Ribeyre</t>
  </si>
  <si>
    <t>Puy-de-Dôme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</si>
  <si>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</si>
  <si>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</si>
  <si>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</si>
  <si>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</si>
  <si>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</si>
  <si>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</si>
  <si>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</si>
  <si>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</si>
  <si>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</si>
  <si>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</si>
  <si>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Camping Sunêlia le Petit Bois</t>
  </si>
  <si>
    <t>Camping de la Forêt</t>
  </si>
  <si>
    <t>Seine-Maritime</t>
  </si>
  <si>
    <t>Alannia Guardamar</t>
  </si>
  <si>
    <t>Alicante</t>
  </si>
  <si>
    <t>Flower Camping l'Epi Bleu</t>
  </si>
  <si>
    <t>Camping Village Il Poggetto</t>
  </si>
  <si>
    <t>Firenze</t>
  </si>
  <si>
    <t>Flower Camping Cap Finistère</t>
  </si>
  <si>
    <t>Camping Sunêlia L'Orangerie de Lanniron</t>
  </si>
  <si>
    <t>Camping Les Bords de Loue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</si>
  <si>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</si>
  <si>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</si>
  <si>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</si>
  <si>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</si>
  <si>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</si>
  <si>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</si>
  <si>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Wecamp L'Escala Punta Mila</t>
  </si>
  <si>
    <t>CAMPING LA PIERRE VERTE</t>
  </si>
  <si>
    <t>Camping L'Atlantys</t>
  </si>
  <si>
    <t>Camping Resort la Forêt</t>
  </si>
  <si>
    <t>Camping Los Batanes</t>
  </si>
  <si>
    <t>Albacete</t>
  </si>
  <si>
    <t>Homair - Mayotte Vacances</t>
  </si>
  <si>
    <t>Camping Sandaya Aloha</t>
  </si>
  <si>
    <t>Château Camping La Grange Fort</t>
  </si>
  <si>
    <t>Camping Parc de Fierbois</t>
  </si>
  <si>
    <t>Indre-et-Loire</t>
  </si>
  <si>
    <t>Camping Village Le Diomedee</t>
  </si>
  <si>
    <t>Pouilles</t>
  </si>
  <si>
    <t>Foggia</t>
  </si>
  <si>
    <t>Camping Neptune</t>
  </si>
  <si>
    <t>Domaine des Chênes</t>
  </si>
  <si>
    <t>Camping Les Coudoulets</t>
  </si>
  <si>
    <t>Camping Domaine Arleblanc</t>
  </si>
  <si>
    <t>Flower Camping Vitamin</t>
  </si>
  <si>
    <t>Camping U Casone</t>
  </si>
  <si>
    <t>Camping Merko Lacarra</t>
  </si>
  <si>
    <t>CAMPING GAVIN</t>
  </si>
  <si>
    <t>Aragon</t>
  </si>
  <si>
    <t>Huesca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</si>
  <si>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</si>
  <si>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</si>
  <si>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</si>
  <si>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</si>
  <si>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</si>
  <si>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</si>
  <si>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</si>
  <si>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</si>
  <si>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</si>
  <si>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</si>
  <si>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Camping Village Panoramico Fiesole</t>
  </si>
  <si>
    <t>Camping Campix</t>
  </si>
  <si>
    <t>Oise</t>
  </si>
  <si>
    <t>Camping Le Lieu</t>
  </si>
  <si>
    <t>Camping Le Pastural</t>
  </si>
  <si>
    <t>Camping Du Vieux Château</t>
  </si>
  <si>
    <t>CAMPING LA DIGUE</t>
  </si>
  <si>
    <t>Huttopia Lac de Rillé</t>
  </si>
  <si>
    <t>Camping Les Routes de Provence</t>
  </si>
  <si>
    <t>Camping Les Loges</t>
  </si>
  <si>
    <t>Camping del Mar</t>
  </si>
  <si>
    <t>Village Camping Les Pêcheurs</t>
  </si>
  <si>
    <t>Camping Les Coteaux du Lac</t>
  </si>
  <si>
    <t>Camping Au Vallon Rouge</t>
  </si>
  <si>
    <t>Domaine de la Plage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</si>
  <si>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</si>
  <si>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</si>
  <si>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</si>
  <si>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</si>
  <si>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</si>
  <si>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</si>
  <si>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</si>
  <si>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</si>
  <si>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</si>
  <si>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</si>
  <si>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</si>
  <si>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</si>
  <si>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</si>
  <si>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</si>
  <si>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</si>
  <si>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</si>
  <si>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Resort Almanat Naturista FKK</t>
  </si>
  <si>
    <t>CAMPING LA GAVIOTA</t>
  </si>
  <si>
    <t>Cala llevado - Sea Green by Sunêlia</t>
  </si>
  <si>
    <t>Camping LAS LOMAS</t>
  </si>
  <si>
    <t>Camping les Embruns</t>
  </si>
  <si>
    <t>Camping Val Rendena</t>
  </si>
  <si>
    <t>Camping Sandaya Les Tamaris</t>
  </si>
  <si>
    <t>Camping Club Plage Sud - MS Vacances</t>
  </si>
  <si>
    <t>Gitavillage Talamone</t>
  </si>
  <si>
    <t>Camping Village Lago Levico****</t>
  </si>
  <si>
    <t>Camping les Charmilles</t>
  </si>
  <si>
    <t>Camping LA GARENNE</t>
  </si>
  <si>
    <t>Camping CAVALLO MORTO</t>
  </si>
  <si>
    <t>Corse-du-Sud</t>
  </si>
  <si>
    <t>Riva di Ugento Beach Camping Resort</t>
  </si>
  <si>
    <t>Lecce</t>
  </si>
  <si>
    <t>Camping Sandaya Domaine du Verdon</t>
  </si>
  <si>
    <t>Camping La Pinède</t>
  </si>
  <si>
    <t>Camping Lou Pibou</t>
  </si>
  <si>
    <t>Ushuaïa Villages - Camping Le Lavandin ***</t>
  </si>
  <si>
    <t>Campasun Camping Du Soleil</t>
  </si>
  <si>
    <t>Camping LANDES OCEANES</t>
  </si>
  <si>
    <t>Domaine Chasteuil Verdon Provence</t>
  </si>
  <si>
    <t>Camping Le Moulin</t>
  </si>
  <si>
    <t>Camping Notre Dame</t>
  </si>
  <si>
    <t>Camping naturiste Verdon Provence</t>
  </si>
  <si>
    <t>Flower Camping La Rivière</t>
  </si>
  <si>
    <t>CAMPING de KERALOUET</t>
  </si>
  <si>
    <t xml:space="preserve">Camping Club Le Vivier - MS Vacances </t>
  </si>
  <si>
    <t>Camping la Ferme de Mayocq</t>
  </si>
  <si>
    <t xml:space="preserve">Camping Au Tylo Soleil </t>
  </si>
  <si>
    <t>Holiday Village &amp; Camping Nettuno</t>
  </si>
  <si>
    <t>Campanie</t>
  </si>
  <si>
    <t>Napoli</t>
  </si>
  <si>
    <t>Camping La Pindière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</si>
  <si>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</si>
  <si>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</si>
  <si>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</si>
  <si>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</si>
  <si>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</si>
  <si>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</si>
  <si>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</si>
  <si>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</si>
  <si>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</si>
  <si>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Saint Jean</t>
  </si>
  <si>
    <t>Camping Sunêlia L'Aiguille Creuse</t>
  </si>
  <si>
    <t>Camping de l'Île du Chéran</t>
  </si>
  <si>
    <t>La Rocca Camping</t>
  </si>
  <si>
    <t>CAMPING BELLEVUE MER</t>
  </si>
  <si>
    <t>Bocage du Lac</t>
  </si>
  <si>
    <t>Camping Kerlaz</t>
  </si>
  <si>
    <t>Camping de Kérantérec</t>
  </si>
  <si>
    <t>Camping Fontisson</t>
  </si>
  <si>
    <t>Camping La Chapelle Saint Claude</t>
  </si>
  <si>
    <t>Camping du Pont de Braye</t>
  </si>
  <si>
    <t>Camping Mas des Lavandes</t>
  </si>
  <si>
    <t>Camping &amp; Spa CAP SOLEIL</t>
  </si>
  <si>
    <t>Camping OLVA LES EUCALYPTUS</t>
  </si>
  <si>
    <t>Camping La Cascade</t>
  </si>
  <si>
    <t>Camping COUDERC</t>
  </si>
  <si>
    <t>Camping Les Tailladis</t>
  </si>
  <si>
    <t>Vakantiepark Witterzomer</t>
  </si>
  <si>
    <t>Drenthe</t>
  </si>
  <si>
    <t xml:space="preserve">Camping Emmen </t>
  </si>
  <si>
    <t>Camping Village Internazionale</t>
  </si>
  <si>
    <t>Les Méditerranées - Camping Beach Garden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</si>
  <si>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</si>
  <si>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</si>
  <si>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</si>
  <si>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</si>
  <si>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</si>
  <si>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</si>
  <si>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</si>
  <si>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</si>
  <si>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</si>
  <si>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</si>
  <si>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</si>
  <si>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</si>
  <si>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</si>
  <si>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</si>
  <si>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</si>
  <si>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</si>
  <si>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</si>
  <si>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Flower Camping les Gorges de l'Aveyron</t>
  </si>
  <si>
    <t>Delftse Hout</t>
  </si>
  <si>
    <t>Camping Beauregard</t>
  </si>
  <si>
    <t>YELLOH! VILLAGE - Camping Plage du Dramont</t>
  </si>
  <si>
    <t>Mini-Camping en Kloostertuin Werendijke</t>
  </si>
  <si>
    <t>Zélande</t>
  </si>
  <si>
    <t>Camping Oos Heem</t>
  </si>
  <si>
    <t>Camping de Tournus</t>
  </si>
  <si>
    <t>Saône-et-Loire</t>
  </si>
  <si>
    <t>Flower Camping Le Bel Air</t>
  </si>
  <si>
    <t>Camping Le BeauVezé ****</t>
  </si>
  <si>
    <t>Flower Camping Le Riviera</t>
  </si>
  <si>
    <t>Camping des Etangs</t>
  </si>
  <si>
    <t>Cher</t>
  </si>
  <si>
    <t>Flower Camping Le Jardin de Sully</t>
  </si>
  <si>
    <t>Loiret</t>
  </si>
  <si>
    <t>Camping Kerscolper</t>
  </si>
  <si>
    <t>Camping Paradis Aloé</t>
  </si>
  <si>
    <t>Camping Le Varquez-sur-Mer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</si>
  <si>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</si>
  <si>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</si>
  <si>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</si>
  <si>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</si>
  <si>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</si>
  <si>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</si>
  <si>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</si>
  <si>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</si>
  <si>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</si>
  <si>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</si>
  <si>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</si>
  <si>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</si>
  <si>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</si>
  <si>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</si>
  <si>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</si>
  <si>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</si>
  <si>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</si>
  <si>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</si>
  <si>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</si>
  <si>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Azzurro Camping Village - Lake Bracciano</t>
  </si>
  <si>
    <t>Castel Camping Château de Martragny</t>
  </si>
  <si>
    <t>Camping Sunêlia Les Sablons</t>
  </si>
  <si>
    <t>Camping Sandaya Les Péneyrals</t>
  </si>
  <si>
    <t>CAMPING LE PARC</t>
  </si>
  <si>
    <t>Camping Homair - Rivages des Landes</t>
  </si>
  <si>
    <t>Camping am Waldbad</t>
  </si>
  <si>
    <t>Carinthie</t>
  </si>
  <si>
    <t>Bezirk Spittal an der Drau</t>
  </si>
  <si>
    <t>Relais de la Sarvaz</t>
  </si>
  <si>
    <t>Martigny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</si>
  <si>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</si>
  <si>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</si>
  <si>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</si>
  <si>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</si>
  <si>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</si>
  <si>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</si>
  <si>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</si>
  <si>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</si>
  <si>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</si>
  <si>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Baia Blu la Tortuga</t>
  </si>
  <si>
    <t>Baia Holiday Piccola Gardiola</t>
  </si>
  <si>
    <t>Lombardie</t>
  </si>
  <si>
    <t>Brescia</t>
  </si>
  <si>
    <t>Baia Holiday Poljana</t>
  </si>
  <si>
    <t>Croatie</t>
  </si>
  <si>
    <t>Comitat de Primorje-Gorski Kotar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</si>
  <si>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</si>
  <si>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</si>
  <si>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</si>
  <si>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</si>
  <si>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</si>
  <si>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</si>
  <si>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</si>
  <si>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</si>
  <si>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</si>
  <si>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</si>
  <si>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</si>
  <si>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International Camping Torre di Cerrano</t>
  </si>
  <si>
    <t>Abruzzes</t>
  </si>
  <si>
    <t>Teramo</t>
  </si>
  <si>
    <t>Alpen-Caravanpark Tennsee</t>
  </si>
  <si>
    <t>Bavière</t>
  </si>
  <si>
    <t>Haute-Bavière</t>
  </si>
  <si>
    <t>Complejo Turístico Puente de las Herrerías</t>
  </si>
  <si>
    <t>Jaén</t>
  </si>
  <si>
    <t>Camping les Berges du Canal</t>
  </si>
  <si>
    <t>Camping La Buganvilla</t>
  </si>
  <si>
    <t>Camping auf Kengert</t>
  </si>
  <si>
    <t>Canton Diekirch</t>
  </si>
  <si>
    <t>Camping Les 2 Lacs</t>
  </si>
  <si>
    <t>Camping Les Arches</t>
  </si>
  <si>
    <t>Camping les Peupliers</t>
  </si>
  <si>
    <t>Camping Le Moulin de Gournier</t>
  </si>
  <si>
    <t>CAMPING LA SOURCE</t>
  </si>
  <si>
    <t>Camping du Pont</t>
  </si>
  <si>
    <t>Camping Le Clapas</t>
  </si>
  <si>
    <t>Camping le Verger de Jastres</t>
  </si>
  <si>
    <t>Camping Kautenbach</t>
  </si>
  <si>
    <t>Canton Wiltz</t>
  </si>
  <si>
    <t>Camping Troisvierges</t>
  </si>
  <si>
    <t>Canton Clervaux</t>
  </si>
  <si>
    <t>Camping Les Sables</t>
  </si>
  <si>
    <t>Camping Il Rospo</t>
  </si>
  <si>
    <t>Gênes</t>
  </si>
  <si>
    <t>Camping La douce Ardèche</t>
  </si>
  <si>
    <t>Camp des Gorges | Camping Nature ***</t>
  </si>
  <si>
    <t>Camping Sandaya La Roubine</t>
  </si>
  <si>
    <t>Camping Le Sous-Bois Ardèche</t>
  </si>
  <si>
    <t>Komfortcamp KlüthseeCamp und Naturcamp Seeblick</t>
  </si>
  <si>
    <t>Schleswig-Holstein</t>
  </si>
  <si>
    <t>Camping Park Soline</t>
  </si>
  <si>
    <t>Comitat de Zadar</t>
  </si>
  <si>
    <t>Camping dei Fiori</t>
  </si>
  <si>
    <t>Baia Holiday Isuledda</t>
  </si>
  <si>
    <t>Camping Sandaya Soustons Village</t>
  </si>
  <si>
    <t>Castelwood</t>
  </si>
  <si>
    <t>le Petit Liou Sites &amp; Paysages</t>
  </si>
  <si>
    <t>Camping Le Bois Fleuri</t>
  </si>
  <si>
    <t>Eure-et-Loir</t>
  </si>
  <si>
    <t>Les Hameaux des Marines - Terres de France</t>
  </si>
  <si>
    <t>Camping Sandaya La Grande Côte</t>
  </si>
  <si>
    <t>Siblu - Les Oyats</t>
  </si>
  <si>
    <t>Camping Club Navarrosse Plage - MS Vacances</t>
  </si>
  <si>
    <t>Camping La Dourbie</t>
  </si>
  <si>
    <t>Camping le Pontet - ARDECHE</t>
  </si>
  <si>
    <t>Camping Le Village De L'Armorique</t>
  </si>
  <si>
    <t>SAGONE RESORT</t>
  </si>
  <si>
    <t>Camping Seasonova Le Brabois</t>
  </si>
  <si>
    <t>Meurthe-et-Moselle</t>
  </si>
  <si>
    <t>Camping Sandaya La Nublière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</si>
  <si>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</si>
  <si>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</si>
  <si>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</si>
  <si>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</si>
  <si>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</si>
  <si>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Maistra Camping Porto Sole</t>
  </si>
  <si>
    <t>Comitat d'Istrie</t>
  </si>
  <si>
    <t>Maistra Camping Valkanela</t>
  </si>
  <si>
    <t>Maistra Camping Koversada Covered Campsite</t>
  </si>
  <si>
    <t>Maistra Camping Vestar</t>
  </si>
  <si>
    <t>Camping du Buisson</t>
  </si>
  <si>
    <t>Camping Les Alizés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</si>
  <si>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</si>
  <si>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</si>
  <si>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</si>
  <si>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</si>
  <si>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</si>
  <si>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Montagne des Vosges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</si>
  <si>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</si>
  <si>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</si>
  <si>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</si>
  <si>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</si>
  <si>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</si>
  <si>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</si>
  <si>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</si>
  <si>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</si>
  <si>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</si>
  <si>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</si>
  <si>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</si>
  <si>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</si>
  <si>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Cinq Châteaux</t>
  </si>
  <si>
    <t>Camping La Peyrugue</t>
  </si>
  <si>
    <t>Camping le Pigeonnier</t>
  </si>
  <si>
    <t>Camping La Rivière</t>
  </si>
  <si>
    <t>Slow Village | Séveilles</t>
  </si>
  <si>
    <t>Camping Le Pech Charmant</t>
  </si>
  <si>
    <t>Camping Le Port de Limeuil</t>
  </si>
  <si>
    <t>Camping La Butte</t>
  </si>
  <si>
    <t>Camping Le Pont de Mazerat</t>
  </si>
  <si>
    <t xml:space="preserve">Domaine de l'Etang de Bazange | Sites et Paysages </t>
  </si>
  <si>
    <t>Camping L'Agrion Bleu</t>
  </si>
  <si>
    <t>Camping Le Plein Air Neuvicois</t>
  </si>
  <si>
    <t>Camping la Ferme de Perdigat</t>
  </si>
  <si>
    <t>Camping Le Pontillou</t>
  </si>
  <si>
    <t>CAMPING Paradis Le Rocher De La Granelle</t>
  </si>
  <si>
    <t>Camping Sandaya Le Grand Dague</t>
  </si>
  <si>
    <t xml:space="preserve">Clico Chic - Camping  la Linotte</t>
  </si>
  <si>
    <t>Camping Cabo de Gata</t>
  </si>
  <si>
    <t>Camping Alpes Dauphiné</t>
  </si>
  <si>
    <t>Camping-Caravaneige l'Iscle de Prelles</t>
  </si>
  <si>
    <t>Camping l'Olivier</t>
  </si>
  <si>
    <t>Camping Village Glamping Torre del Porticciolo</t>
  </si>
  <si>
    <t>Camping Les Princes d'Orange</t>
  </si>
  <si>
    <t>Camping Les Cascades</t>
  </si>
  <si>
    <t>CAMPING VORAPARC</t>
  </si>
  <si>
    <t>Le Domaine du CASTEX - Camping &amp; Hébergement</t>
  </si>
  <si>
    <t>Camping Le Moulin de Cantizac</t>
  </si>
  <si>
    <t>Camping Homair - Le Soleil des Landes</t>
  </si>
  <si>
    <t>Camping Linda</t>
  </si>
  <si>
    <t xml:space="preserve">Club del Sole Tenuta Primero Grado Family Collection </t>
  </si>
  <si>
    <t>Frioul-Vénétie julienne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</si>
  <si>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</si>
  <si>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</si>
  <si>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</si>
  <si>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</si>
  <si>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</si>
  <si>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</si>
  <si>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</si>
  <si>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</si>
  <si>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les 3 Sablières</t>
  </si>
  <si>
    <t>Camping Les Dunes</t>
  </si>
  <si>
    <t>Camping Les PHILIPPONS</t>
  </si>
  <si>
    <t>Camping Port Pothuau</t>
  </si>
  <si>
    <t>Camping Le Parc</t>
  </si>
  <si>
    <t>Camping Homair - La Plage d'Argens</t>
  </si>
  <si>
    <t>Flower Camping Orly d'Azur</t>
  </si>
  <si>
    <t>Camping les Fouguières</t>
  </si>
  <si>
    <t>Camping Santa Maria di Leuca</t>
  </si>
  <si>
    <t>Camping LA TOUR FONDUE</t>
  </si>
  <si>
    <t>Camping Les Playes</t>
  </si>
  <si>
    <t>Camping Sandaya Village Flottant de Pressac</t>
  </si>
  <si>
    <t>Camping Liesbos</t>
  </si>
  <si>
    <t>Brabant-Septentrional</t>
  </si>
  <si>
    <t>Camping de Zeehoeve</t>
  </si>
  <si>
    <t>Frise</t>
  </si>
  <si>
    <t>Camping des Neiges</t>
  </si>
  <si>
    <t>Camping l'Horizon</t>
  </si>
  <si>
    <t>Camping du Col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</si>
  <si>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</si>
  <si>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</si>
  <si>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</si>
  <si>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</si>
  <si>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</si>
  <si>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</si>
  <si>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</si>
  <si>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de Saumont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</si>
  <si>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</si>
  <si>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</si>
  <si>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</si>
  <si>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</si>
  <si>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</si>
  <si>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</si>
  <si>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</si>
  <si>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</si>
  <si>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</si>
  <si>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</si>
  <si>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</si>
  <si>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</si>
  <si>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</si>
  <si>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</si>
  <si>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</si>
  <si>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Sarthe</t>
  </si>
  <si>
    <t>Camping La Farigoulette</t>
  </si>
  <si>
    <t>St. Michael Camping Village iNTERNATiONAL</t>
  </si>
  <si>
    <t>Campeggio Smeraldo</t>
  </si>
  <si>
    <t>Camping Village Baia Azzurra</t>
  </si>
  <si>
    <t xml:space="preserve">Camping Siesta </t>
  </si>
  <si>
    <t>Flandre</t>
  </si>
  <si>
    <t>Anvers</t>
  </si>
  <si>
    <t>CAMPING LES CHATAIGNIERS</t>
  </si>
  <si>
    <t>Recreatiepark De Achterste Hoef</t>
  </si>
  <si>
    <t>Zaragoza Camping</t>
  </si>
  <si>
    <t>Saragosse</t>
  </si>
  <si>
    <t>Camping Tunnel International</t>
  </si>
  <si>
    <t>Vallée d'Aoste</t>
  </si>
  <si>
    <t>Camping Le Fun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</si>
  <si>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</si>
  <si>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</si>
  <si>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</si>
  <si>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</si>
  <si>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</si>
  <si>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</si>
  <si>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</si>
  <si>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</si>
  <si>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GLOBO BARCELONA</t>
  </si>
  <si>
    <t>Cambrils Park Family Resort ****</t>
  </si>
  <si>
    <t>Camping &amp; Resort Sangulí Salou</t>
  </si>
  <si>
    <t>Camping Au Pont du Dognon</t>
  </si>
  <si>
    <t>Haute-Vienne</t>
  </si>
  <si>
    <t>Camping Playa de Poniente</t>
  </si>
  <si>
    <t>Camping Sandaya Ondres Océan</t>
  </si>
  <si>
    <t>Baia di Gallipoli Camping Village</t>
  </si>
  <si>
    <t>PRL Aux Etangs du Bos</t>
  </si>
  <si>
    <t>Camping L'Escapade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</si>
  <si>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</si>
  <si>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</si>
  <si>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</si>
  <si>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</si>
  <si>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</si>
  <si>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Flower Camping des Lacs</t>
  </si>
  <si>
    <t>Camping La Presqu'île de Champaubert</t>
  </si>
  <si>
    <t>Camping Domein de Schuur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</si>
  <si>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</si>
  <si>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</si>
  <si>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</si>
  <si>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</si>
  <si>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</si>
  <si>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Breuils</t>
  </si>
  <si>
    <t>Meuse</t>
  </si>
  <si>
    <t>Siblu – Bonne Anse Plage</t>
  </si>
  <si>
    <t>Siblu – Domaine de Litteau</t>
  </si>
  <si>
    <t>Flower Camping Les 3 Ours</t>
  </si>
  <si>
    <t>Val de Landrouet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</si>
  <si>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</si>
  <si>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</si>
  <si>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</si>
  <si>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</si>
  <si>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</si>
  <si>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L'Ombrage</t>
  </si>
  <si>
    <t>Flower Camping Le Clos Auroy</t>
  </si>
  <si>
    <t>Flower Camping Le Belvédère - Auvergne - Cantal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</si>
  <si>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</si>
  <si>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</si>
  <si>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</si>
  <si>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</si>
  <si>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</si>
  <si>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</si>
  <si>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</si>
  <si>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Le Gallo Romain</t>
  </si>
  <si>
    <t>Camping Les Ephélides</t>
  </si>
  <si>
    <t>Camping Fusina</t>
  </si>
  <si>
    <t>Huttopia Arcachon</t>
  </si>
  <si>
    <t>Camping Le Rochat-Belle-Isle</t>
  </si>
  <si>
    <t>Il Tridente Camping Village</t>
  </si>
  <si>
    <t>Camping Le Marqueval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</si>
  <si>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</si>
  <si>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</si>
  <si>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</si>
  <si>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</si>
  <si>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</si>
  <si>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</si>
  <si>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La Clé de Saône</t>
  </si>
  <si>
    <t>Camping La Brande</t>
  </si>
  <si>
    <t>Camping de la Pelouse</t>
  </si>
  <si>
    <t>Camping La Ferme de Lann Hoedic</t>
  </si>
  <si>
    <t>Le Petit Trianon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</si>
  <si>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</si>
  <si>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</si>
  <si>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</si>
  <si>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</si>
  <si>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</si>
  <si>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Camping Sandaya Deux Fontaines</t>
  </si>
  <si>
    <t>Camping Les Terrasses de Bertheaume</t>
  </si>
  <si>
    <t>Le Haut Chandelalar</t>
  </si>
  <si>
    <t>Camping LA CHAPOULIÈRE</t>
  </si>
  <si>
    <t>Camping de la Croix Saint Martin</t>
  </si>
  <si>
    <t>Allier</t>
  </si>
  <si>
    <t>Camping Les Baleines</t>
  </si>
  <si>
    <t>Camping Antioche d'Oléron</t>
  </si>
  <si>
    <t>Flower Camping l'Ile des Trois Rois</t>
  </si>
  <si>
    <t>Camping Pegomas</t>
  </si>
  <si>
    <t>Camping Le Pommier</t>
  </si>
  <si>
    <t>Camping de Thoissey - Val de Saône</t>
  </si>
  <si>
    <t>Ain</t>
  </si>
  <si>
    <t>Camping La Llosa</t>
  </si>
  <si>
    <t>Camping Emeraude - Sea Green by Sunêlia</t>
  </si>
  <si>
    <t>Camping de la Baie de Somme</t>
  </si>
  <si>
    <t>Camping ERREKA - Sea Green by Sunêlia</t>
  </si>
  <si>
    <t>Camping Yelloh! Village Saint Pabu Plage</t>
  </si>
  <si>
    <t>Camping La Tour des Prises Ile de Ré</t>
  </si>
  <si>
    <t>CAMPING LES TRUFFIERES***</t>
  </si>
  <si>
    <t>YELLOH VILLAGE La Plage Fleurie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</si>
  <si>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</si>
  <si>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</si>
  <si>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</si>
  <si>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</si>
  <si>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</si>
  <si>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Belle Roche</t>
  </si>
  <si>
    <t>Camping La Sierrecilla</t>
  </si>
  <si>
    <t>Flower Camping La Chênaie</t>
  </si>
  <si>
    <t>Camping Le Hameau des Champs</t>
  </si>
  <si>
    <t>Camping de La Roche Percée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</si>
  <si>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</si>
  <si>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</si>
  <si>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</si>
  <si>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</si>
  <si>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</si>
  <si>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</si>
  <si>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</si>
  <si>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Chadotel La Dune des Sables</t>
  </si>
  <si>
    <t>Camping Sandaya Le Kerou</t>
  </si>
  <si>
    <t>Camping La Ferme de Bouzencourt</t>
  </si>
  <si>
    <t>Camping Bois de Gravière</t>
  </si>
  <si>
    <t>Camping du Mettey****</t>
  </si>
  <si>
    <t>MIRAMARE Village - Apartments - Camping</t>
  </si>
  <si>
    <t>Livorno</t>
  </si>
  <si>
    <t>Camping Léman Plage</t>
  </si>
  <si>
    <t>Camping La Ferme</t>
  </si>
  <si>
    <t>Camping Le Petit Lac</t>
  </si>
  <si>
    <t>Camping Kerabus</t>
  </si>
  <si>
    <t>Charme Camping Heidepark</t>
  </si>
  <si>
    <t>Overijssel</t>
  </si>
  <si>
    <t>Camping Cambrils Caban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</si>
  <si>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</si>
  <si>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</si>
  <si>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</si>
  <si>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</si>
  <si>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</si>
  <si>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</si>
  <si>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de L'Ile Verte</t>
  </si>
  <si>
    <t>Camping l'Oasis des Garrigues</t>
  </si>
  <si>
    <t>Domaine des BLACHAS</t>
  </si>
  <si>
    <t>CAMPING LES PLATANES</t>
  </si>
  <si>
    <t>Camping de l'Ardèche ***</t>
  </si>
  <si>
    <t>Camping Le Diamant</t>
  </si>
  <si>
    <t>Flower Camping Les Bouleaux</t>
  </si>
  <si>
    <t>Haut-Rhin</t>
  </si>
  <si>
    <t>Camping de Locouarn</t>
  </si>
  <si>
    <t>Le Pascalounet</t>
  </si>
  <si>
    <t>Camping de Montréal</t>
  </si>
  <si>
    <t>Camping Goyetchea</t>
  </si>
  <si>
    <t>Camping La Fontaine du Hallate en Morbihan</t>
  </si>
  <si>
    <t xml:space="preserve">Plein Air Locations - Camping  Acapulco</t>
  </si>
  <si>
    <t>Plein Air Locations - Camping Les Genêts</t>
  </si>
  <si>
    <t>Camping Nature L'Airial****</t>
  </si>
  <si>
    <t>Camping le Grand Cerf</t>
  </si>
  <si>
    <t>Camping Le Floride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</si>
  <si>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</si>
  <si>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</si>
  <si>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</si>
  <si>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</si>
  <si>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</si>
  <si>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</si>
  <si>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</si>
  <si>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</si>
  <si>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</si>
  <si>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Les Vernières</t>
  </si>
  <si>
    <t>Flower Camping Le Conleau</t>
  </si>
  <si>
    <t>Flower Camping du Lac de La Chausselière</t>
  </si>
  <si>
    <t>CAMPING LA COMBE D'OYANS</t>
  </si>
  <si>
    <t>ROMANEE Fort Espagnol</t>
  </si>
  <si>
    <t>Baia Holiday Capo d’Orso</t>
  </si>
  <si>
    <t>Camping RIO VERO</t>
  </si>
  <si>
    <t>Camping L'Hippocampe - Les Chalets de la Mer</t>
  </si>
  <si>
    <t>Familiecamping De Molenhoek</t>
  </si>
  <si>
    <t>Siblu Duinzicht</t>
  </si>
  <si>
    <t>Camping Valkenburg - Maastricht</t>
  </si>
  <si>
    <t>Limbourg</t>
  </si>
  <si>
    <t>Camping Aan Veluwe</t>
  </si>
  <si>
    <t>Recreatiepark De Koornmolen</t>
  </si>
  <si>
    <t>Recreatiepark de Leistert</t>
  </si>
  <si>
    <t>Camping De Heldense Bossen</t>
  </si>
  <si>
    <t>Siblu - Camping Meerwijck</t>
  </si>
  <si>
    <t>Recreatiepark Beringerzand</t>
  </si>
  <si>
    <t>Vakantieoord De Bronzen Emmer</t>
  </si>
  <si>
    <t>Camping Hitjesvijver</t>
  </si>
  <si>
    <t>Recreatiepark De Paalberg</t>
  </si>
  <si>
    <t>Alpencamping Nenzing</t>
  </si>
  <si>
    <t>Vorarlberg</t>
  </si>
  <si>
    <t>Bezirk Bludenz</t>
  </si>
  <si>
    <t>Camping-Mobilheimpark Am Mühlenteich</t>
  </si>
  <si>
    <t>Rhénanie-Palatinat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</si>
  <si>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</si>
  <si>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</si>
  <si>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</si>
  <si>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</si>
  <si>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</si>
  <si>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</si>
  <si>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</si>
  <si>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Capalonga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</si>
  <si>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</si>
  <si>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</si>
  <si>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</si>
  <si>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</si>
  <si>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</si>
  <si>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</si>
  <si>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Ferrara</t>
  </si>
  <si>
    <t>Camping Kleinenzhof</t>
  </si>
  <si>
    <t>Ferienpark Terrassencamping Süd-See</t>
  </si>
  <si>
    <t>Camping Seespitz</t>
  </si>
  <si>
    <t>Finca L'Air Marin</t>
  </si>
  <si>
    <t>Camping de L'Arche</t>
  </si>
  <si>
    <t>Domaine du Pra de Mars</t>
  </si>
  <si>
    <t>Camping Les Sables Vignier Plage</t>
  </si>
  <si>
    <t>Camping Roca Grossa</t>
  </si>
  <si>
    <t>Yelloh! Village Parc Sainte Brigitte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</si>
  <si>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</si>
  <si>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</si>
  <si>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</si>
  <si>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</si>
  <si>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</si>
  <si>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</si>
  <si>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Flower Camping Le Clot du Jay</t>
  </si>
  <si>
    <t>Flower Camping Le Saint Michelet</t>
  </si>
  <si>
    <t>Campasun Camping Les Hautes Prairies</t>
  </si>
  <si>
    <t>Wecamp Pirineos</t>
  </si>
  <si>
    <t>Camping Les Vagues</t>
  </si>
  <si>
    <t>Camping de Paris</t>
  </si>
  <si>
    <t>Donau Camping Marbach</t>
  </si>
  <si>
    <t>Basse-Autriche</t>
  </si>
  <si>
    <t>Bezirk Melk</t>
  </si>
  <si>
    <t>Camping Seasonova Les Vosges du Nord</t>
  </si>
  <si>
    <t>Camping Olympia</t>
  </si>
  <si>
    <t>Camping Ötztal Längenfeld</t>
  </si>
  <si>
    <t>Bezirk Imst</t>
  </si>
  <si>
    <t>Campingpark Bad Liebenzell</t>
  </si>
  <si>
    <t>Camping La Buissière</t>
  </si>
  <si>
    <t>Camping Les Couesnons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</si>
  <si>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</si>
  <si>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</si>
  <si>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</si>
  <si>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</si>
  <si>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</si>
  <si>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</si>
  <si>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</si>
  <si>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Renéville</t>
  </si>
  <si>
    <t>Camping de Kersentic</t>
  </si>
  <si>
    <t>Camping The Quiet Site</t>
  </si>
  <si>
    <t>Angleterre</t>
  </si>
  <si>
    <t>Cumbria</t>
  </si>
  <si>
    <t>Grand Paris</t>
  </si>
  <si>
    <t>Val-d'Oise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</si>
  <si>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</si>
  <si>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</si>
  <si>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</si>
  <si>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</si>
  <si>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</si>
  <si>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 xml:space="preserve">Camping  des Landes d'Armagnac</t>
  </si>
  <si>
    <t>Hvalpsund Familie Camping</t>
  </si>
  <si>
    <t>Danemark</t>
  </si>
  <si>
    <t>Jutland du Nord</t>
  </si>
  <si>
    <t>Vesthimmerlands Kommune</t>
  </si>
  <si>
    <t>Langstone Manor Holiday Park</t>
  </si>
  <si>
    <t>Devon</t>
  </si>
  <si>
    <t>Camping APV Antioche</t>
  </si>
  <si>
    <t>Camping Adria</t>
  </si>
  <si>
    <t>Slovénie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</si>
  <si>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</si>
  <si>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</si>
  <si>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</si>
  <si>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</si>
  <si>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</si>
  <si>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L'Étang du Pays Blanc</t>
  </si>
  <si>
    <t>Torre Rinalda Beach Camping &amp; Resort</t>
  </si>
  <si>
    <t>Camping Sabbiadoro</t>
  </si>
  <si>
    <t>Flower Camping Le Mat</t>
  </si>
  <si>
    <t>Sandaya Europa Village</t>
  </si>
  <si>
    <t>Camping Seasonova Les Portes d'Alsace</t>
  </si>
  <si>
    <t>Camping Des 2 Rives</t>
  </si>
  <si>
    <t>Camping Le Blayais et l'Alicat</t>
  </si>
  <si>
    <t>Camping OSTREA</t>
  </si>
  <si>
    <t>Camping Aquarev</t>
  </si>
  <si>
    <t>Flower Camping Des 2 Rivières</t>
  </si>
  <si>
    <t>Camping Les Peupliers</t>
  </si>
  <si>
    <t>Camping Le Palais de la Mer</t>
  </si>
  <si>
    <t>Sejs Bakker Camping</t>
  </si>
  <si>
    <t>Jutland central</t>
  </si>
  <si>
    <t>Silkeborg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</si>
  <si>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</si>
  <si>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</si>
  <si>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</si>
  <si>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</si>
  <si>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</si>
  <si>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</si>
  <si>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</si>
  <si>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</si>
  <si>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</si>
  <si>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Merendella</t>
  </si>
  <si>
    <t>Camping &amp; Bungalows Platja Brava</t>
  </si>
  <si>
    <t xml:space="preserve">Camping  &amp; Aire Naturelle Le Mas de Rome</t>
  </si>
  <si>
    <t>Camping La Garenne à Saint-Laurent-du-Pape / ARDECHE</t>
  </si>
  <si>
    <t>Villenpark Sanghen</t>
  </si>
  <si>
    <t>Camping Iris Park</t>
  </si>
  <si>
    <t>Camping La Touesse</t>
  </si>
  <si>
    <t>Camping Au Bord de Loire</t>
  </si>
  <si>
    <t>Camping Playa de Oyambre</t>
  </si>
  <si>
    <t>TAIGA Puerto Santa María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</si>
  <si>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</si>
  <si>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</si>
  <si>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</si>
  <si>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</si>
  <si>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</si>
  <si>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</si>
  <si>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</si>
  <si>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Vert Auxois</t>
  </si>
  <si>
    <t>Côte-d'Or</t>
  </si>
  <si>
    <t>Camping Le Schlossberg</t>
  </si>
  <si>
    <t>Camping Río Mundo</t>
  </si>
  <si>
    <t>Camping Brione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</si>
  <si>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</si>
  <si>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</si>
  <si>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</si>
  <si>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</si>
  <si>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</si>
  <si>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</si>
  <si>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</si>
  <si>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</si>
  <si>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Nature Le Valenty</t>
  </si>
  <si>
    <t>Camping Village La Chiocciola</t>
  </si>
  <si>
    <t>Arezzo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</si>
  <si>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</si>
  <si>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</si>
  <si>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</si>
  <si>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</si>
  <si>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</si>
  <si>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</si>
  <si>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</si>
  <si>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</si>
  <si>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</si>
  <si>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Camping Porte des Vosges</t>
  </si>
  <si>
    <t>Camping Le Repaire</t>
  </si>
  <si>
    <t>Camping Des Hautes Grées</t>
  </si>
  <si>
    <t>Camping Le Picard</t>
  </si>
  <si>
    <t>Camping Panorama del Chianti</t>
  </si>
  <si>
    <t>Camping Qualité l'Eden de la Vanoise</t>
  </si>
  <si>
    <t>Le Florenville – Camping</t>
  </si>
  <si>
    <t>TAIGA Almeria Playa</t>
  </si>
  <si>
    <t>Drau Camping Sachsenburg</t>
  </si>
  <si>
    <t>Camping Lac des Brenets</t>
  </si>
  <si>
    <t>Neuchâtel</t>
  </si>
  <si>
    <t>Camping Punta Lunga</t>
  </si>
  <si>
    <t>Camping Au Mica</t>
  </si>
  <si>
    <t>Flower Camping Les Micocouliers</t>
  </si>
  <si>
    <t>CAMPING DU LAC DE REMORAY</t>
  </si>
  <si>
    <t>Camping Les 2 Plages</t>
  </si>
  <si>
    <t>Camping L'Arquet - La Côte Bleue</t>
  </si>
  <si>
    <t>Camping Le Ragis</t>
  </si>
  <si>
    <t>Camping La Grange Neuve - Face à La Réserve Africaine de Sigean</t>
  </si>
  <si>
    <t>Camping Atlantica</t>
  </si>
  <si>
    <t>Camping de l'Aber</t>
  </si>
  <si>
    <t>Camping Du Colombier</t>
  </si>
  <si>
    <t>RCN Camping Laacher See</t>
  </si>
  <si>
    <t>Camping Paradis Les Amarines</t>
  </si>
  <si>
    <t>Camping Pueblo Blanco</t>
  </si>
  <si>
    <t>Ballum Camping</t>
  </si>
  <si>
    <t>Danemark-du-Sud</t>
  </si>
  <si>
    <t>Tønder Kommune</t>
  </si>
  <si>
    <t>Camping du Brec</t>
  </si>
  <si>
    <t>YELLOH! VILLAGE - LES BALEARES SON BOU</t>
  </si>
  <si>
    <t>Vallicella Glamping Resort</t>
  </si>
  <si>
    <t>Camping Laspaúles</t>
  </si>
  <si>
    <t>Camping Le Rotja</t>
  </si>
  <si>
    <t>Camping Joncar Mar</t>
  </si>
  <si>
    <t>Flower Camping La Beaume</t>
  </si>
  <si>
    <t>Camping ABC am Großensee/Hamburg</t>
  </si>
  <si>
    <t>Waldbad Isny GmbH &amp; Co. KG</t>
  </si>
  <si>
    <t>Camping Arquin</t>
  </si>
  <si>
    <t>Flower Camping Le Bois d'Amour</t>
  </si>
  <si>
    <t>Camping La Belle Etoile</t>
  </si>
  <si>
    <t>Camping Plitvice</t>
  </si>
  <si>
    <t>Comitat de Lika-Senj</t>
  </si>
  <si>
    <t>Camping Eucaliptus</t>
  </si>
  <si>
    <t>Country Park Crécy La Chapelle</t>
  </si>
  <si>
    <t>Seine-et-Marne</t>
  </si>
  <si>
    <t>Camping Begur</t>
  </si>
  <si>
    <t>Domaine Saint Martin</t>
  </si>
  <si>
    <t xml:space="preserve">Sandaya Etruria </t>
  </si>
  <si>
    <t>Camping Surabaja-La Playa</t>
  </si>
  <si>
    <t>Camping Homair - Le Chêne Gris</t>
  </si>
  <si>
    <t>Camping Au Bon Endroit</t>
  </si>
  <si>
    <t>Campingpark Gartow</t>
  </si>
  <si>
    <t>Campingplatz Eulenburg</t>
  </si>
  <si>
    <t>Camping Pré Vologne</t>
  </si>
  <si>
    <t>Camping La Masseria</t>
  </si>
  <si>
    <t>Camping Le Diben</t>
  </si>
  <si>
    <t>Camping Les Chapelains</t>
  </si>
  <si>
    <t>Ushuaïa Villages - Camping La Chesnays ****</t>
  </si>
  <si>
    <t>Camping La Vallée Heureuse</t>
  </si>
  <si>
    <t>Domaine du Trappeur</t>
  </si>
  <si>
    <t>Camping AU GRÉ DES VENTS</t>
  </si>
  <si>
    <t>Camping du Bord de Mer</t>
  </si>
  <si>
    <t>Alannia Costa Blanca</t>
  </si>
  <si>
    <t>Camping Domaine du Morbihan</t>
  </si>
  <si>
    <t xml:space="preserve">Camping Club Médoc Plage - MS Vacances </t>
  </si>
  <si>
    <t>Camping Sunêlia Le Tropicana</t>
  </si>
  <si>
    <t>Camping La Petite Motte</t>
  </si>
  <si>
    <t>Camping Le Rey</t>
  </si>
  <si>
    <t>Camping la Ribière</t>
  </si>
  <si>
    <t>Camping Sandaya L'Estanquet</t>
  </si>
  <si>
    <t>Campo di Liccia</t>
  </si>
  <si>
    <t>Camping Homair - Le Soleil de la Méditerranée</t>
  </si>
  <si>
    <t>Camping Les Terrasses</t>
  </si>
  <si>
    <t>Camping l'Océane</t>
  </si>
  <si>
    <t>Camping LA FONTAINE</t>
  </si>
  <si>
    <t>LES HAUTS D'ALBAS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</si>
  <si>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</si>
  <si>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</si>
  <si>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</si>
  <si>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</si>
  <si>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</si>
  <si>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 Sous Bois</t>
  </si>
  <si>
    <t>Camping La Forêt Lahitte</t>
  </si>
  <si>
    <t>Camping de KERGO</t>
  </si>
  <si>
    <t>La Forêt Stella-Plage</t>
  </si>
  <si>
    <t>Flower Camping du Lac de la Seigneurie</t>
  </si>
  <si>
    <t>Territoire-de-Belfort</t>
  </si>
  <si>
    <t>Camping Club Les Tamaris - MS Vacances</t>
  </si>
  <si>
    <t>Camping Vert Gapeau</t>
  </si>
  <si>
    <t>CAMPING LES RIVES DE VILAINE</t>
  </si>
  <si>
    <t>Camping Paradis Vallée du Lot</t>
  </si>
  <si>
    <t>Camping Sandaya Soulac Plage</t>
  </si>
  <si>
    <t>Siblu - Les Embruns</t>
  </si>
  <si>
    <t>Camping Marvilla Parks - Paris Est</t>
  </si>
  <si>
    <t>Val-de-Marne</t>
  </si>
  <si>
    <t>Camping &amp; Bungalows Estanyet</t>
  </si>
  <si>
    <t>Siblu - La Pointe</t>
  </si>
  <si>
    <t>Camping L'Orée du Lac</t>
  </si>
  <si>
    <t>Loire</t>
  </si>
  <si>
    <t>Camping River</t>
  </si>
  <si>
    <t>Camping Les Pérouses du Phare</t>
  </si>
  <si>
    <t>Nationalpark Camping Kals</t>
  </si>
  <si>
    <t>Bezirk Lienz</t>
  </si>
  <si>
    <t>Chianti Glamping Resort</t>
  </si>
  <si>
    <t>Camping des Gayeulles</t>
  </si>
  <si>
    <t>Vital CAMP Bayerbach</t>
  </si>
  <si>
    <t>TAIGA Lake Caspe</t>
  </si>
  <si>
    <t>Freizeitpark Am Emsdeich</t>
  </si>
  <si>
    <t>Camping Bor</t>
  </si>
  <si>
    <t>Agricamper Torre Sabea</t>
  </si>
  <si>
    <t>Camping Les Prairies de L'Etang</t>
  </si>
  <si>
    <t>Camping Résidentiel La Pinède</t>
  </si>
  <si>
    <t>Camping Stein am Simssee</t>
  </si>
  <si>
    <t>Camping Rialto Village</t>
  </si>
  <si>
    <t>Village Nature Zen</t>
  </si>
  <si>
    <t>Eurocamping Vessem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</si>
  <si>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</si>
  <si>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</si>
  <si>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</si>
  <si>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</si>
  <si>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</si>
  <si>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de La Falaise</t>
  </si>
  <si>
    <t>Camping le Moulin du Pont d’Alies</t>
  </si>
  <si>
    <t>CAMPING TORRACCIA</t>
  </si>
  <si>
    <t>CosyCamp</t>
  </si>
  <si>
    <t>Camping Sandaya Belle Plage</t>
  </si>
  <si>
    <t>Camping Homair - Le Petit Mousse</t>
  </si>
  <si>
    <t>Alannia Costa Dorada</t>
  </si>
  <si>
    <t>Camping Le Chêne du Lac</t>
  </si>
  <si>
    <t>Camping L'Ecrin Nature</t>
  </si>
  <si>
    <t>Camping de l'Orival</t>
  </si>
  <si>
    <t>Camping Les Grissotières Oléron</t>
  </si>
  <si>
    <t>Camping Abri de Camargue</t>
  </si>
  <si>
    <t>Camping Du Valentin</t>
  </si>
  <si>
    <t>Camping des Barolles</t>
  </si>
  <si>
    <t>Métropole de Lyon</t>
  </si>
  <si>
    <t>Camping Marie France</t>
  </si>
  <si>
    <t>Camping La Dive</t>
  </si>
  <si>
    <t>Huttopia Pays de Condrieu</t>
  </si>
  <si>
    <t>Rhône</t>
  </si>
  <si>
    <t>Flower Camping Les Cadenières</t>
  </si>
  <si>
    <t>Camping Sandaya Maguide</t>
  </si>
  <si>
    <t>Camping Seasonova Etennemare</t>
  </si>
  <si>
    <t>Les Ventoulines Village &amp; Spa</t>
  </si>
  <si>
    <t>Sandaya Domaine la Franqui</t>
  </si>
  <si>
    <t>Camping Seasonova Le Plan d’Eau</t>
  </si>
  <si>
    <t xml:space="preserve">Camping Le Rivage Civraisien </t>
  </si>
  <si>
    <t>Iron Gate Marina 3B</t>
  </si>
  <si>
    <t>Camping de la Moselle</t>
  </si>
  <si>
    <t>Slow Village | Belle-Île-en-Mer</t>
  </si>
  <si>
    <t>Camping TY NENEZ</t>
  </si>
  <si>
    <t>Camping LE VARLEN</t>
  </si>
  <si>
    <t>Flower Camping La Grande Lande</t>
  </si>
  <si>
    <t>Camping des Cerisiers</t>
  </si>
  <si>
    <t>WEST CAMPING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</si>
  <si>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</si>
  <si>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</si>
  <si>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</si>
  <si>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</si>
  <si>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</si>
  <si>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</si>
  <si>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</si>
  <si>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</si>
  <si>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Les Chalets de Dordogne</t>
  </si>
  <si>
    <t>Camping LE NID VERT</t>
  </si>
  <si>
    <t>Essonne</t>
  </si>
  <si>
    <t>Village Vacances du Lac de Menet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</si>
  <si>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</si>
  <si>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</si>
  <si>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</si>
  <si>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</si>
  <si>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</si>
  <si>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Camping Sandaya Mont Saint-Michel</t>
  </si>
  <si>
    <t>Flower Camping Le Pré des Sables</t>
  </si>
  <si>
    <t>Camping Le Bois de Pins</t>
  </si>
  <si>
    <t>Camping Le Martin Pêcheur</t>
  </si>
  <si>
    <t>Camping Sandaya Les Grenettes</t>
  </si>
  <si>
    <t xml:space="preserve">Camping  L'Hermitage</t>
  </si>
  <si>
    <t>Camping La Mouette Rieuse</t>
  </si>
  <si>
    <t>Huttopia Parque de Doñana</t>
  </si>
  <si>
    <t>Huelva</t>
  </si>
  <si>
    <t>Siblu - Mimizan Le Lac</t>
  </si>
  <si>
    <t>Les Chamberts camping et lodges</t>
  </si>
  <si>
    <t>Les Cabanes de Cornillon</t>
  </si>
  <si>
    <t>Camping de la Colline</t>
  </si>
  <si>
    <t>Flower Camping Provence Vallée</t>
  </si>
  <si>
    <t>Camping le Damier</t>
  </si>
  <si>
    <t>Camping Maupassant</t>
  </si>
  <si>
    <t>Camping l'Ile Blanche</t>
  </si>
  <si>
    <t>TAIGA Delta de l'Ebre</t>
  </si>
  <si>
    <t>Camping Homair - Côté Mer</t>
  </si>
  <si>
    <t>Camping Mirabel de l'Ermitage</t>
  </si>
  <si>
    <t>Camping L'Hippocampe</t>
  </si>
  <si>
    <t>Camping Le Médiéval</t>
  </si>
  <si>
    <t>Horsens City camping ApS</t>
  </si>
  <si>
    <t>Alizé Evasion - Camping Les Charmilles</t>
  </si>
  <si>
    <t>Domaine des Grands Pins</t>
  </si>
  <si>
    <t>Camping Domaine Le Vernis</t>
  </si>
  <si>
    <t>Camping &amp; Bungalows Zumaia</t>
  </si>
  <si>
    <t>Camping le Picardy</t>
  </si>
  <si>
    <t>Camping Valbonheur</t>
  </si>
  <si>
    <t>International Camping Village</t>
  </si>
  <si>
    <t>Calabre</t>
  </si>
  <si>
    <t>Cosenza</t>
  </si>
  <si>
    <t>Camping Des Familles</t>
  </si>
  <si>
    <t>Flower Camping de Rouffiac</t>
  </si>
  <si>
    <t>Camping La Bernède</t>
  </si>
  <si>
    <t>Recreatiepark d'n Mastendol</t>
  </si>
  <si>
    <t>Camping Laguna Village</t>
  </si>
  <si>
    <t>Tigullio Camping Resort</t>
  </si>
  <si>
    <t>Lodging le Lac</t>
  </si>
  <si>
    <t>Campingplatz Platzermühle</t>
  </si>
  <si>
    <t>Flower Camping du Lac du Causse</t>
  </si>
  <si>
    <t>Camping les Ramiers</t>
  </si>
  <si>
    <t>Camping Tikayan Félix de la Bastide</t>
  </si>
  <si>
    <t>Lilybeo Village Camping &amp; Residence</t>
  </si>
  <si>
    <t>Trapani</t>
  </si>
  <si>
    <t>Camping municipal le Pré Coulet</t>
  </si>
  <si>
    <t xml:space="preserve">Camping Seasonova Barberousse </t>
  </si>
  <si>
    <t>Camping des Chavannes</t>
  </si>
  <si>
    <t>Baia Holiday Roma Capitol</t>
  </si>
  <si>
    <t>Camping Park Mara</t>
  </si>
  <si>
    <t>Camping Des Randonneurs</t>
  </si>
  <si>
    <t>Camping Domaine Sainte Veziane</t>
  </si>
  <si>
    <t>Camping Ardèche Domaine de Gil</t>
  </si>
  <si>
    <t>Camping Pinar de San José</t>
  </si>
  <si>
    <t>Domaine de Blangy</t>
  </si>
  <si>
    <t>Camping Fautais</t>
  </si>
  <si>
    <t>Village Insolite</t>
  </si>
  <si>
    <t>Camping La Pause Atypi'k</t>
  </si>
  <si>
    <t>Buytenplaets Suydersee</t>
  </si>
  <si>
    <t>Flevoland</t>
  </si>
  <si>
    <t>Camping Les Cent Chênes</t>
  </si>
  <si>
    <t>Siblu - Mimizan La Plage</t>
  </si>
  <si>
    <t>Saxida Wine &amp; Camping Resort</t>
  </si>
  <si>
    <t>Domaine de la Forge - Sea Green by Sunêlia</t>
  </si>
  <si>
    <t>Paradies-Camp</t>
  </si>
  <si>
    <t>Slow Village | Biscarrosse Lac</t>
  </si>
  <si>
    <t>Batuca Village &amp; Camping</t>
  </si>
  <si>
    <t>Messine</t>
  </si>
  <si>
    <t>Camping Hello Soleil</t>
  </si>
  <si>
    <t>Camping Park Baita Dolomiti Village</t>
  </si>
  <si>
    <t>Les Bois de Prayssac</t>
  </si>
  <si>
    <t>Camping de Regenboog</t>
  </si>
  <si>
    <t>Tchéquie</t>
  </si>
  <si>
    <t>Ústecký kraj</t>
  </si>
  <si>
    <t>Camping la Ferme des 4 Chênes</t>
  </si>
  <si>
    <t>Campingplatz Landidyll</t>
  </si>
  <si>
    <t>Saxe</t>
  </si>
  <si>
    <t>Camping Le Clos Du Bourg</t>
  </si>
  <si>
    <t>Camping La Mola</t>
  </si>
  <si>
    <t>Camping Borken am See</t>
  </si>
  <si>
    <t>Rhénanie-du-Nord-Westphalie</t>
  </si>
  <si>
    <t>Appart'Hotel Brest Pasteur - Terres de France</t>
  </si>
  <si>
    <t>Pineto Beach Village e Camping</t>
  </si>
  <si>
    <t>Camping Abijune</t>
  </si>
  <si>
    <t>Rimini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</si>
  <si>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</si>
  <si>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</si>
  <si>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</si>
  <si>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</si>
  <si>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</si>
  <si>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</si>
  <si>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</si>
  <si>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</si>
  <si>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</si>
  <si>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</si>
  <si>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</si>
  <si>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Figari Corsica Collection</t>
  </si>
  <si>
    <t>Flower Camping Les Dunes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</si>
  <si>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</si>
  <si>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</si>
  <si>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</si>
  <si>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</si>
  <si>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</si>
  <si>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</si>
  <si>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</si>
  <si>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</si>
  <si>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Campingplatz HOCHoben</t>
  </si>
  <si>
    <t>Camping de L'Eden</t>
  </si>
  <si>
    <t>Camping Les Portes du Canigou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</si>
  <si>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</si>
  <si>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</si>
  <si>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</si>
  <si>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</si>
  <si>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</si>
  <si>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</si>
  <si>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Agriturismo Malapezza</t>
  </si>
  <si>
    <t>Village les Pins d'Or</t>
  </si>
  <si>
    <t>Camping Le Colorado</t>
  </si>
  <si>
    <t>VVF Montagnac</t>
  </si>
  <si>
    <t>Opatija Camping</t>
  </si>
  <si>
    <t>Campasun Camping de l’Etang de La Bonde</t>
  </si>
  <si>
    <t>Résidence Côté Provence - Terres de France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</si>
  <si>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</si>
  <si>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</si>
  <si>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</si>
  <si>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</si>
  <si>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</si>
  <si>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</si>
  <si>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</si>
  <si>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La Croisée Des Chemins</t>
  </si>
  <si>
    <t>Camping l'Air du Temps</t>
  </si>
  <si>
    <t>Hoeve Linnerveld</t>
  </si>
  <si>
    <t>Heliopolis Camping &amp; Village</t>
  </si>
  <si>
    <t>Pielachtal Camping</t>
  </si>
  <si>
    <t>Bezirk St. Pölten</t>
  </si>
  <si>
    <t>Camping Le Rupé</t>
  </si>
  <si>
    <t>Trasimeno Glamping Resort</t>
  </si>
  <si>
    <t>Camping Tikayan Beauséjour</t>
  </si>
  <si>
    <t>TAIGA Conil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</si>
  <si>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</si>
  <si>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</si>
  <si>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</si>
  <si>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</si>
  <si>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</si>
  <si>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Camping-Village Sole di Sari</t>
  </si>
  <si>
    <t>Camping Homair - La Palmeraie</t>
  </si>
  <si>
    <t>Camping Homair - Le Domaine de la Yole</t>
  </si>
  <si>
    <t>Camping Homair - Les Sablines</t>
  </si>
  <si>
    <t>Huttopia Forêt des Vosges</t>
  </si>
  <si>
    <t>Camping la'bel balagne</t>
  </si>
  <si>
    <t>Domaine de la Grenatière</t>
  </si>
  <si>
    <t>Domaine du Téno</t>
  </si>
  <si>
    <t>LOU PK2</t>
  </si>
  <si>
    <t xml:space="preserve">Le Village Perrosien </t>
  </si>
  <si>
    <t>Camping Montorfano</t>
  </si>
  <si>
    <t>Côme</t>
  </si>
  <si>
    <t>Macugnaga Natural Camping</t>
  </si>
  <si>
    <t>Piémont</t>
  </si>
  <si>
    <t>Verbano-Cusio-Ossola</t>
  </si>
  <si>
    <t>Camping Cala Pola</t>
  </si>
  <si>
    <t>Heidepark Veluwschkarakter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</si>
  <si>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</si>
  <si>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</si>
  <si>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</si>
  <si>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</si>
  <si>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</si>
  <si>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Lido Verbano Camping Village</t>
  </si>
  <si>
    <t>Novare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</si>
  <si>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</si>
  <si>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</si>
  <si>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</si>
  <si>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</si>
  <si>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</si>
  <si>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</si>
  <si>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</si>
  <si>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</si>
  <si>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</si>
  <si>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</si>
  <si>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U Pinarellu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</si>
  <si>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</si>
  <si>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</si>
  <si>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</si>
  <si>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</si>
  <si>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</si>
  <si>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</si>
  <si>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Tente Simone </t>
  </si>
  <si>
    <t>Glamping Mooirust</t>
  </si>
  <si>
    <t>Utrecht</t>
  </si>
  <si>
    <t xml:space="preserve"> Camping Ladouceur</t>
  </si>
  <si>
    <t>TAIGA Tarifa Punta Paloma</t>
  </si>
  <si>
    <t>La Ferme de Fontenille</t>
  </si>
  <si>
    <t>Camping De Kan Hoeve</t>
  </si>
  <si>
    <t>Domaine Seasonova Saâne et Mer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</si>
  <si>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</si>
  <si>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</si>
  <si>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</si>
  <si>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</si>
  <si>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</si>
  <si>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Camping Sandaya Valencia</t>
  </si>
  <si>
    <t>Valence</t>
  </si>
  <si>
    <t>Camping Sandaya Val André</t>
  </si>
  <si>
    <t>Camping Les Saules De Cormery</t>
  </si>
  <si>
    <t>VVF Camping Fouesnant</t>
  </si>
  <si>
    <t>Camping Du Littoral</t>
  </si>
  <si>
    <t>Camping Le Chenal</t>
  </si>
  <si>
    <t>Camping Homair - Le Domaine de Massereau</t>
  </si>
  <si>
    <t>Wecamp Cádiz</t>
  </si>
  <si>
    <t>TAIGA Bassegoda Park</t>
  </si>
  <si>
    <t>Camping Essenza Alpina</t>
  </si>
  <si>
    <t>Camping du Lac de Fontclaire</t>
  </si>
  <si>
    <t xml:space="preserve">Flower Camping Les Iles </t>
  </si>
  <si>
    <t>Plein Air Locations - Domaine du Lac</t>
  </si>
  <si>
    <t xml:space="preserve">Prima Camping Resort Ostsee-Boddenblick </t>
  </si>
  <si>
    <t>Tenuta Regina Agriturismo e Glamping</t>
  </si>
  <si>
    <t>Camping Framura</t>
  </si>
  <si>
    <t xml:space="preserve">Dune Agriturismo </t>
  </si>
  <si>
    <t>Solcio Village</t>
  </si>
  <si>
    <t>Camping Denntal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</si>
  <si>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</si>
  <si>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</si>
  <si>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</si>
  <si>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</si>
  <si>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</si>
  <si>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</si>
  <si>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Domaine de la Baie - Terres De France</t>
  </si>
  <si>
    <t>Plein Air Locations - Camping Ur Onea</t>
  </si>
  <si>
    <t xml:space="preserve"> Camping Le Côte d'Opale </t>
  </si>
  <si>
    <t>Domaine Entre Mer et Forêt</t>
  </si>
  <si>
    <t>Camping Couleurs Vendée</t>
  </si>
  <si>
    <t xml:space="preserve"> Camping Dörpen </t>
  </si>
  <si>
    <t>Agricamping La Pietra e l'Ulivo</t>
  </si>
  <si>
    <t>Campingplatz Dümmersee</t>
  </si>
  <si>
    <t>Camping Homair - Falaise Narbonne-Plage</t>
  </si>
  <si>
    <t>Camping Homair - La Marina de Canet</t>
  </si>
  <si>
    <t>Camping Homair - La Presqu'Ile du Barcarès</t>
  </si>
  <si>
    <t>Camping Homair - Les Dunes</t>
  </si>
  <si>
    <t>Camping Homair - La Marine</t>
  </si>
  <si>
    <t>Baia Holiday Garda See</t>
  </si>
  <si>
    <t>Camping Calella</t>
  </si>
  <si>
    <t>Camping Homair - Sol à Gogo</t>
  </si>
  <si>
    <t>Camping Confort</t>
  </si>
  <si>
    <t>Namur</t>
  </si>
  <si>
    <t>Camping La Clairière</t>
  </si>
  <si>
    <t>La Forêt Paloma</t>
  </si>
  <si>
    <t>Camping Homair - La Pointe du Médoc</t>
  </si>
  <si>
    <t>Camping Homair - Le Parc de la Fecht</t>
  </si>
  <si>
    <t>Camping Homair - L'Ile du Rhin</t>
  </si>
  <si>
    <t>Camping Homair - La Dune Blanche</t>
  </si>
  <si>
    <t>UserName</t>
  </si>
  <si>
    <t>superuser.jeromeNax</t>
  </si>
  <si>
    <t>Extraction Date</t>
  </si>
  <si>
    <t>16/10/2026 11:24:33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</si>
  <si>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</si>
  <si>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</si>
  <si>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</si>
  <si>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</si>
  <si>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</si>
  <si>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</si>
  <si>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</si>
  <si>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15/10/2026 00h00 - 15/10/2026 23h59</t>
  </si>
  <si>
    <t>Database PsLineIn</t>
  </si>
  <si>
    <t>2904</t>
  </si>
  <si>
    <t>Database PsLineOut</t>
  </si>
  <si>
    <t>1891</t>
  </si>
  <si>
    <t>Database Extraction Duration</t>
  </si>
  <si>
    <t>1,156 seconds</t>
  </si>
  <si>
    <t>C# Calcul Duration</t>
  </si>
  <si>
    <t>0,05 seconds</t>
  </si>
  <si>
    <t>C# ExcelFormating Duration</t>
  </si>
  <si>
    <t>2,047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</si>
</sst>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3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767</v>
      </c>
      <c r="D3" s="5">
        <v>107</v>
      </c>
      <c r="E3" s="6">
        <v>1357</v>
      </c>
      <c r="F3" s="5">
        <v>689</v>
      </c>
      <c r="G3" s="5">
        <v>73</v>
      </c>
      <c r="H3" s="5">
        <v>275</v>
      </c>
      <c r="I3" s="5">
        <v>103</v>
      </c>
      <c r="J3" s="5">
        <v>117</v>
      </c>
      <c r="K3" s="5">
        <v>63</v>
      </c>
      <c r="L3" s="7">
        <v>0</v>
      </c>
      <c r="M3" s="5">
        <v>37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1271</v>
      </c>
      <c r="U3" s="5">
        <v>648</v>
      </c>
      <c r="V3" s="5">
        <v>73</v>
      </c>
      <c r="W3" s="5">
        <v>246</v>
      </c>
      <c r="X3" s="5">
        <v>97</v>
      </c>
      <c r="Y3" s="5">
        <v>112</v>
      </c>
      <c r="Z3" s="5">
        <v>60</v>
      </c>
      <c r="AA3" s="7">
        <v>0</v>
      </c>
      <c r="AB3" s="5">
        <v>35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1.41</v>
      </c>
      <c r="AK3" s="5">
        <v>1</v>
      </c>
      <c r="AL3" s="5">
        <v>10</v>
      </c>
      <c r="AM3" s="28">
        <v>47.96</v>
      </c>
    </row>
    <row r="4">
      <c r="A4" s="24">
        <v>850</v>
      </c>
      <c r="B4" s="9" t="s">
        <v>28</v>
      </c>
      <c r="C4" s="10">
        <v>6</v>
      </c>
      <c r="D4" s="10">
        <v>5</v>
      </c>
      <c r="E4" s="11">
        <v>7</v>
      </c>
      <c r="F4" s="10">
        <v>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6</v>
      </c>
      <c r="U4" s="10">
        <v>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1.17</v>
      </c>
      <c r="AK4" s="10">
        <v>1</v>
      </c>
      <c r="AL4" s="10">
        <v>2</v>
      </c>
      <c r="AM4" s="29">
        <v>1.74</v>
      </c>
    </row>
    <row r="5">
      <c r="A5" s="23">
        <v>892</v>
      </c>
      <c r="B5" s="4" t="s">
        <v>29</v>
      </c>
      <c r="C5" s="5">
        <v>34</v>
      </c>
      <c r="D5" s="5">
        <v>34</v>
      </c>
      <c r="E5" s="6">
        <v>40</v>
      </c>
      <c r="F5" s="5">
        <v>40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37</v>
      </c>
      <c r="U5" s="5">
        <v>37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1.18</v>
      </c>
      <c r="AK5" s="5">
        <v>1</v>
      </c>
      <c r="AL5" s="5">
        <v>3</v>
      </c>
      <c r="AM5" s="28">
        <v>11.68</v>
      </c>
    </row>
    <row r="6">
      <c r="A6" s="24">
        <v>1104</v>
      </c>
      <c r="B6" s="9" t="s">
        <v>30</v>
      </c>
      <c r="C6" s="10">
        <v>45</v>
      </c>
      <c r="D6" s="10">
        <v>4</v>
      </c>
      <c r="E6" s="11">
        <v>50</v>
      </c>
      <c r="F6" s="10">
        <v>32</v>
      </c>
      <c r="G6" s="10">
        <v>1</v>
      </c>
      <c r="H6" s="10">
        <v>6</v>
      </c>
      <c r="I6" s="10">
        <v>8</v>
      </c>
      <c r="J6" s="12">
        <v>0</v>
      </c>
      <c r="K6" s="10">
        <v>3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47</v>
      </c>
      <c r="U6" s="10">
        <v>31</v>
      </c>
      <c r="V6" s="10">
        <v>1</v>
      </c>
      <c r="W6" s="10">
        <v>4</v>
      </c>
      <c r="X6" s="10">
        <v>8</v>
      </c>
      <c r="Y6" s="12">
        <v>0</v>
      </c>
      <c r="Z6" s="10">
        <v>3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1.11</v>
      </c>
      <c r="AK6" s="10">
        <v>1</v>
      </c>
      <c r="AL6" s="10">
        <v>2</v>
      </c>
      <c r="AM6" s="29">
        <v>1</v>
      </c>
    </row>
    <row r="7">
      <c r="A7" s="23">
        <v>1139</v>
      </c>
      <c r="B7" s="4" t="s">
        <v>31</v>
      </c>
      <c r="C7" s="5">
        <v>21</v>
      </c>
      <c r="D7" s="5">
        <v>21</v>
      </c>
      <c r="E7" s="6">
        <v>29</v>
      </c>
      <c r="F7" s="7">
        <v>0</v>
      </c>
      <c r="G7" s="7">
        <v>0</v>
      </c>
      <c r="H7" s="7">
        <v>0</v>
      </c>
      <c r="I7" s="5">
        <v>29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29</v>
      </c>
      <c r="U7" s="7">
        <v>0</v>
      </c>
      <c r="V7" s="7">
        <v>0</v>
      </c>
      <c r="W7" s="7">
        <v>0</v>
      </c>
      <c r="X7" s="5">
        <v>29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1.38</v>
      </c>
      <c r="AK7" s="5">
        <v>1</v>
      </c>
      <c r="AL7" s="5">
        <v>3</v>
      </c>
      <c r="AM7" s="28">
        <v>7.2</v>
      </c>
    </row>
    <row r="8">
      <c r="A8" s="24">
        <v>1141</v>
      </c>
      <c r="B8" s="9" t="s">
        <v>32</v>
      </c>
      <c r="C8" s="10">
        <v>1</v>
      </c>
      <c r="D8" s="10">
        <v>1</v>
      </c>
      <c r="E8" s="11">
        <v>1</v>
      </c>
      <c r="F8" s="12">
        <v>0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</v>
      </c>
      <c r="U8" s="12">
        <v>0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0.36</v>
      </c>
    </row>
    <row r="9">
      <c r="A9" s="23">
        <v>1172</v>
      </c>
      <c r="B9" s="4" t="s">
        <v>33</v>
      </c>
      <c r="C9" s="5">
        <v>31</v>
      </c>
      <c r="D9" s="5">
        <v>4</v>
      </c>
      <c r="E9" s="6">
        <v>35</v>
      </c>
      <c r="F9" s="5">
        <v>35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32</v>
      </c>
      <c r="U9" s="5">
        <v>32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1.13</v>
      </c>
      <c r="AK9" s="5">
        <v>1</v>
      </c>
      <c r="AL9" s="5">
        <v>2</v>
      </c>
      <c r="AM9" s="28">
        <v>1.01</v>
      </c>
    </row>
    <row r="10">
      <c r="A10" s="24">
        <v>1199</v>
      </c>
      <c r="B10" s="9" t="s">
        <v>34</v>
      </c>
      <c r="C10" s="10">
        <v>159</v>
      </c>
      <c r="D10" s="10">
        <v>159</v>
      </c>
      <c r="E10" s="11">
        <v>184</v>
      </c>
      <c r="F10" s="12">
        <v>0</v>
      </c>
      <c r="G10" s="12">
        <v>0</v>
      </c>
      <c r="H10" s="10">
        <v>184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184</v>
      </c>
      <c r="U10" s="12">
        <v>0</v>
      </c>
      <c r="V10" s="12">
        <v>0</v>
      </c>
      <c r="W10" s="10">
        <v>184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1.16</v>
      </c>
      <c r="AK10" s="10">
        <v>1</v>
      </c>
      <c r="AL10" s="10">
        <v>4</v>
      </c>
      <c r="AM10" s="29">
        <v>45.04</v>
      </c>
    </row>
    <row r="11">
      <c r="A11" s="23">
        <v>1213</v>
      </c>
      <c r="B11" s="4" t="s">
        <v>35</v>
      </c>
      <c r="C11" s="5">
        <v>135</v>
      </c>
      <c r="D11" s="5">
        <v>131</v>
      </c>
      <c r="E11" s="6">
        <v>274</v>
      </c>
      <c r="F11" s="7">
        <v>0</v>
      </c>
      <c r="G11" s="7">
        <v>0</v>
      </c>
      <c r="H11" s="7">
        <v>0</v>
      </c>
      <c r="I11" s="5">
        <v>274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255</v>
      </c>
      <c r="U11" s="7">
        <v>0</v>
      </c>
      <c r="V11" s="7">
        <v>0</v>
      </c>
      <c r="W11" s="7">
        <v>0</v>
      </c>
      <c r="X11" s="5">
        <v>255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2.03</v>
      </c>
      <c r="AK11" s="5">
        <v>1</v>
      </c>
      <c r="AL11" s="5">
        <v>64</v>
      </c>
      <c r="AM11" s="28">
        <v>62.74</v>
      </c>
    </row>
    <row r="12">
      <c r="A12" s="24">
        <v>1221</v>
      </c>
      <c r="B12" s="9" t="s">
        <v>36</v>
      </c>
      <c r="C12" s="10">
        <v>50</v>
      </c>
      <c r="D12" s="10">
        <v>50</v>
      </c>
      <c r="E12" s="11">
        <v>55</v>
      </c>
      <c r="F12" s="10">
        <v>2</v>
      </c>
      <c r="G12" s="10">
        <v>1</v>
      </c>
      <c r="H12" s="10">
        <v>11</v>
      </c>
      <c r="I12" s="10">
        <v>41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51</v>
      </c>
      <c r="U12" s="10">
        <v>2</v>
      </c>
      <c r="V12" s="10">
        <v>1</v>
      </c>
      <c r="W12" s="10">
        <v>11</v>
      </c>
      <c r="X12" s="10">
        <v>37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</v>
      </c>
      <c r="AK12" s="10">
        <v>1</v>
      </c>
      <c r="AL12" s="10">
        <v>3</v>
      </c>
      <c r="AM12" s="29">
        <v>12.94</v>
      </c>
    </row>
    <row r="13">
      <c r="A13" s="23">
        <v>1222</v>
      </c>
      <c r="B13" s="4" t="s">
        <v>37</v>
      </c>
      <c r="C13" s="5">
        <v>22</v>
      </c>
      <c r="D13" s="5">
        <v>21</v>
      </c>
      <c r="E13" s="6">
        <v>24</v>
      </c>
      <c r="F13" s="5">
        <v>24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24</v>
      </c>
      <c r="U13" s="5">
        <v>24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1.09</v>
      </c>
      <c r="AK13" s="5">
        <v>1</v>
      </c>
      <c r="AL13" s="5">
        <v>2</v>
      </c>
      <c r="AM13" s="28">
        <v>8.34</v>
      </c>
    </row>
    <row r="14">
      <c r="A14" s="24">
        <v>1254</v>
      </c>
      <c r="B14" s="9" t="s">
        <v>38</v>
      </c>
      <c r="C14" s="10">
        <v>14</v>
      </c>
      <c r="D14" s="10">
        <v>14</v>
      </c>
      <c r="E14" s="11">
        <v>19</v>
      </c>
      <c r="F14" s="12">
        <v>0</v>
      </c>
      <c r="G14" s="12">
        <v>0</v>
      </c>
      <c r="H14" s="12">
        <v>0</v>
      </c>
      <c r="I14" s="10">
        <v>19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18</v>
      </c>
      <c r="U14" s="12">
        <v>0</v>
      </c>
      <c r="V14" s="12">
        <v>0</v>
      </c>
      <c r="W14" s="12">
        <v>0</v>
      </c>
      <c r="X14" s="10">
        <v>18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1.36</v>
      </c>
      <c r="AK14" s="10">
        <v>1</v>
      </c>
      <c r="AL14" s="10">
        <v>6</v>
      </c>
      <c r="AM14" s="29">
        <v>4.37</v>
      </c>
    </row>
    <row r="15">
      <c r="A15" s="23">
        <v>1293</v>
      </c>
      <c r="B15" s="4" t="s">
        <v>39</v>
      </c>
      <c r="C15" s="5">
        <v>4</v>
      </c>
      <c r="D15" s="5">
        <v>4</v>
      </c>
      <c r="E15" s="6">
        <v>4</v>
      </c>
      <c r="F15" s="7">
        <v>0</v>
      </c>
      <c r="G15" s="7">
        <v>0</v>
      </c>
      <c r="H15" s="7">
        <v>0</v>
      </c>
      <c r="I15" s="5">
        <v>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</v>
      </c>
      <c r="U15" s="7">
        <v>0</v>
      </c>
      <c r="V15" s="7">
        <v>0</v>
      </c>
      <c r="W15" s="7">
        <v>0</v>
      </c>
      <c r="X15" s="5">
        <v>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1.1</v>
      </c>
    </row>
    <row r="16">
      <c r="A16" s="24">
        <v>1379</v>
      </c>
      <c r="B16" s="9" t="s">
        <v>40</v>
      </c>
      <c r="C16" s="10">
        <v>119</v>
      </c>
      <c r="D16" s="10">
        <v>116</v>
      </c>
      <c r="E16" s="11">
        <v>201</v>
      </c>
      <c r="F16" s="12">
        <v>0</v>
      </c>
      <c r="G16" s="12">
        <v>0</v>
      </c>
      <c r="H16" s="12">
        <v>0</v>
      </c>
      <c r="I16" s="10">
        <v>201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183</v>
      </c>
      <c r="U16" s="12">
        <v>0</v>
      </c>
      <c r="V16" s="12">
        <v>0</v>
      </c>
      <c r="W16" s="12">
        <v>0</v>
      </c>
      <c r="X16" s="10">
        <v>183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1.69</v>
      </c>
      <c r="AK16" s="10">
        <v>1</v>
      </c>
      <c r="AL16" s="10">
        <v>9</v>
      </c>
      <c r="AM16" s="29">
        <v>44.93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</v>
      </c>
      <c r="AK17" s="5">
        <v>2</v>
      </c>
      <c r="AL17" s="5">
        <v>2</v>
      </c>
      <c r="AM17" s="30">
        <v>0</v>
      </c>
    </row>
    <row r="18">
      <c r="A18" s="24">
        <v>1423</v>
      </c>
      <c r="B18" s="9" t="s">
        <v>42</v>
      </c>
      <c r="C18" s="10">
        <v>7</v>
      </c>
      <c r="D18" s="10">
        <v>7</v>
      </c>
      <c r="E18" s="11">
        <v>11</v>
      </c>
      <c r="F18" s="12">
        <v>0</v>
      </c>
      <c r="G18" s="12">
        <v>0</v>
      </c>
      <c r="H18" s="12">
        <v>0</v>
      </c>
      <c r="I18" s="10">
        <v>11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8</v>
      </c>
      <c r="U18" s="12">
        <v>0</v>
      </c>
      <c r="V18" s="12">
        <v>0</v>
      </c>
      <c r="W18" s="12">
        <v>0</v>
      </c>
      <c r="X18" s="10">
        <v>8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1.57</v>
      </c>
      <c r="AK18" s="10">
        <v>1</v>
      </c>
      <c r="AL18" s="10">
        <v>4</v>
      </c>
      <c r="AM18" s="29">
        <v>2.05</v>
      </c>
    </row>
    <row r="19">
      <c r="A19" s="23">
        <v>1445</v>
      </c>
      <c r="B19" s="4" t="s">
        <v>43</v>
      </c>
      <c r="C19" s="5">
        <v>9</v>
      </c>
      <c r="D19" s="7">
        <v>0</v>
      </c>
      <c r="E19" s="6">
        <v>9</v>
      </c>
      <c r="F19" s="5">
        <v>6</v>
      </c>
      <c r="G19" s="7">
        <v>0</v>
      </c>
      <c r="H19" s="7">
        <v>0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9</v>
      </c>
      <c r="U19" s="5">
        <v>6</v>
      </c>
      <c r="V19" s="7">
        <v>0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30">
        <v>0</v>
      </c>
    </row>
    <row r="20">
      <c r="A20" s="24">
        <v>1538</v>
      </c>
      <c r="B20" s="9" t="s">
        <v>44</v>
      </c>
      <c r="C20" s="10">
        <v>18</v>
      </c>
      <c r="D20" s="10">
        <v>18</v>
      </c>
      <c r="E20" s="11">
        <v>119</v>
      </c>
      <c r="F20" s="12">
        <v>0</v>
      </c>
      <c r="G20" s="12">
        <v>0</v>
      </c>
      <c r="H20" s="12">
        <v>0</v>
      </c>
      <c r="I20" s="10">
        <v>119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110</v>
      </c>
      <c r="U20" s="12">
        <v>0</v>
      </c>
      <c r="V20" s="12">
        <v>0</v>
      </c>
      <c r="W20" s="12">
        <v>0</v>
      </c>
      <c r="X20" s="10">
        <v>110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6.61</v>
      </c>
      <c r="AK20" s="10">
        <v>1</v>
      </c>
      <c r="AL20" s="10">
        <v>100</v>
      </c>
      <c r="AM20" s="29">
        <v>28.46</v>
      </c>
    </row>
    <row r="21">
      <c r="A21" s="23">
        <v>1552</v>
      </c>
      <c r="B21" s="4" t="s">
        <v>45</v>
      </c>
      <c r="C21" s="5">
        <v>13</v>
      </c>
      <c r="D21" s="5">
        <v>2</v>
      </c>
      <c r="E21" s="6">
        <v>13</v>
      </c>
      <c r="F21" s="7">
        <v>0</v>
      </c>
      <c r="G21" s="7">
        <v>0</v>
      </c>
      <c r="H21" s="5">
        <v>13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13</v>
      </c>
      <c r="U21" s="7">
        <v>0</v>
      </c>
      <c r="V21" s="7">
        <v>0</v>
      </c>
      <c r="W21" s="5">
        <v>13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0.51</v>
      </c>
    </row>
    <row r="22">
      <c r="A22" s="24">
        <v>1559</v>
      </c>
      <c r="B22" s="9" t="s">
        <v>46</v>
      </c>
      <c r="C22" s="10">
        <v>43</v>
      </c>
      <c r="D22" s="10">
        <v>42</v>
      </c>
      <c r="E22" s="11">
        <v>60</v>
      </c>
      <c r="F22" s="12">
        <v>0</v>
      </c>
      <c r="G22" s="12">
        <v>0</v>
      </c>
      <c r="H22" s="12">
        <v>0</v>
      </c>
      <c r="I22" s="10">
        <v>60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55</v>
      </c>
      <c r="U22" s="12">
        <v>0</v>
      </c>
      <c r="V22" s="12">
        <v>0</v>
      </c>
      <c r="W22" s="12">
        <v>0</v>
      </c>
      <c r="X22" s="10">
        <v>55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1.4</v>
      </c>
      <c r="AK22" s="10">
        <v>1</v>
      </c>
      <c r="AL22" s="10">
        <v>8</v>
      </c>
      <c r="AM22" s="29">
        <v>12.15</v>
      </c>
    </row>
    <row r="23">
      <c r="A23" s="23">
        <v>1761</v>
      </c>
      <c r="B23" s="4" t="s">
        <v>47</v>
      </c>
      <c r="C23" s="5">
        <v>4</v>
      </c>
      <c r="D23" s="5">
        <v>2</v>
      </c>
      <c r="E23" s="6">
        <v>4</v>
      </c>
      <c r="F23" s="7">
        <v>0</v>
      </c>
      <c r="G23" s="7">
        <v>0</v>
      </c>
      <c r="H23" s="7">
        <v>0</v>
      </c>
      <c r="I23" s="5">
        <v>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4</v>
      </c>
      <c r="U23" s="7">
        <v>0</v>
      </c>
      <c r="V23" s="7">
        <v>0</v>
      </c>
      <c r="W23" s="7">
        <v>0</v>
      </c>
      <c r="X23" s="5">
        <v>4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0.5</v>
      </c>
    </row>
    <row r="24">
      <c r="A24" s="24">
        <v>1779</v>
      </c>
      <c r="B24" s="9" t="s">
        <v>48</v>
      </c>
      <c r="C24" s="10">
        <v>20</v>
      </c>
      <c r="D24" s="10">
        <v>19</v>
      </c>
      <c r="E24" s="11">
        <v>131</v>
      </c>
      <c r="F24" s="12">
        <v>0</v>
      </c>
      <c r="G24" s="12">
        <v>0</v>
      </c>
      <c r="H24" s="12">
        <v>0</v>
      </c>
      <c r="I24" s="10">
        <v>131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126</v>
      </c>
      <c r="U24" s="12">
        <v>0</v>
      </c>
      <c r="V24" s="12">
        <v>0</v>
      </c>
      <c r="W24" s="12">
        <v>0</v>
      </c>
      <c r="X24" s="10">
        <v>126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6.55</v>
      </c>
      <c r="AK24" s="10">
        <v>1</v>
      </c>
      <c r="AL24" s="10">
        <v>95</v>
      </c>
      <c r="AM24" s="29">
        <v>29.42</v>
      </c>
    </row>
    <row r="25">
      <c r="A25" s="23">
        <v>1937</v>
      </c>
      <c r="B25" s="4" t="s">
        <v>49</v>
      </c>
      <c r="C25" s="5">
        <v>21</v>
      </c>
      <c r="D25" s="5">
        <v>17</v>
      </c>
      <c r="E25" s="6">
        <v>25</v>
      </c>
      <c r="F25" s="5">
        <v>25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23</v>
      </c>
      <c r="U25" s="5">
        <v>23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1.19</v>
      </c>
      <c r="AK25" s="5">
        <v>1</v>
      </c>
      <c r="AL25" s="5">
        <v>3</v>
      </c>
      <c r="AM25" s="28">
        <v>4.78</v>
      </c>
    </row>
    <row r="26">
      <c r="A26" s="24">
        <v>1938</v>
      </c>
      <c r="B26" s="9" t="s">
        <v>50</v>
      </c>
      <c r="C26" s="10">
        <v>2</v>
      </c>
      <c r="D26" s="10">
        <v>1</v>
      </c>
      <c r="E26" s="11">
        <v>2</v>
      </c>
      <c r="F26" s="12">
        <v>0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</v>
      </c>
      <c r="U26" s="12">
        <v>0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0.22</v>
      </c>
    </row>
    <row r="27">
      <c r="A27" s="23">
        <v>1939</v>
      </c>
      <c r="B27" s="4" t="s">
        <v>51</v>
      </c>
      <c r="C27" s="5">
        <v>3</v>
      </c>
      <c r="D27" s="5">
        <v>2</v>
      </c>
      <c r="E27" s="6">
        <v>4</v>
      </c>
      <c r="F27" s="7">
        <v>0</v>
      </c>
      <c r="G27" s="7">
        <v>0</v>
      </c>
      <c r="H27" s="5">
        <v>4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</v>
      </c>
      <c r="U27" s="7">
        <v>0</v>
      </c>
      <c r="V27" s="7">
        <v>0</v>
      </c>
      <c r="W27" s="5">
        <v>3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1.33</v>
      </c>
      <c r="AK27" s="5">
        <v>1</v>
      </c>
      <c r="AL27" s="5">
        <v>2</v>
      </c>
      <c r="AM27" s="28">
        <v>0.52</v>
      </c>
    </row>
    <row r="28">
      <c r="A28" s="24">
        <v>1985</v>
      </c>
      <c r="B28" s="9" t="s">
        <v>52</v>
      </c>
      <c r="C28" s="10">
        <v>13</v>
      </c>
      <c r="D28" s="10">
        <v>13</v>
      </c>
      <c r="E28" s="11">
        <v>13</v>
      </c>
      <c r="F28" s="10">
        <v>13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13</v>
      </c>
      <c r="U28" s="10">
        <v>13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3.22</v>
      </c>
    </row>
    <row r="29">
      <c r="A29" s="23">
        <v>1988</v>
      </c>
      <c r="B29" s="4" t="s">
        <v>53</v>
      </c>
      <c r="C29" s="5">
        <v>38</v>
      </c>
      <c r="D29" s="5">
        <v>37</v>
      </c>
      <c r="E29" s="6">
        <v>43</v>
      </c>
      <c r="F29" s="7">
        <v>0</v>
      </c>
      <c r="G29" s="5">
        <v>43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41</v>
      </c>
      <c r="U29" s="7">
        <v>0</v>
      </c>
      <c r="V29" s="5">
        <v>41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1.13</v>
      </c>
      <c r="AK29" s="5">
        <v>1</v>
      </c>
      <c r="AL29" s="5">
        <v>2</v>
      </c>
      <c r="AM29" s="28">
        <v>11.68</v>
      </c>
    </row>
    <row r="30">
      <c r="A30" s="24">
        <v>2063</v>
      </c>
      <c r="B30" s="9" t="s">
        <v>54</v>
      </c>
      <c r="C30" s="10">
        <v>3</v>
      </c>
      <c r="D30" s="10">
        <v>3</v>
      </c>
      <c r="E30" s="11">
        <v>37</v>
      </c>
      <c r="F30" s="12">
        <v>0</v>
      </c>
      <c r="G30" s="12">
        <v>0</v>
      </c>
      <c r="H30" s="12">
        <v>0</v>
      </c>
      <c r="I30" s="10">
        <v>37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35</v>
      </c>
      <c r="U30" s="12">
        <v>0</v>
      </c>
      <c r="V30" s="12">
        <v>0</v>
      </c>
      <c r="W30" s="12">
        <v>0</v>
      </c>
      <c r="X30" s="10">
        <v>35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2</v>
      </c>
      <c r="AJ30" s="13">
        <v>12.33</v>
      </c>
      <c r="AK30" s="10">
        <v>4</v>
      </c>
      <c r="AL30" s="10">
        <v>31</v>
      </c>
      <c r="AM30" s="29">
        <v>9.06</v>
      </c>
    </row>
    <row r="31">
      <c r="A31" s="25">
        <v>2072</v>
      </c>
      <c r="B31" s="16" t="s">
        <v>55</v>
      </c>
      <c r="C31" s="17">
        <v>95</v>
      </c>
      <c r="D31" s="17">
        <v>95</v>
      </c>
      <c r="E31" s="18">
        <v>151</v>
      </c>
      <c r="F31" s="19">
        <v>0</v>
      </c>
      <c r="G31" s="17">
        <v>151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36">
        <v>0</v>
      </c>
      <c r="T31" s="18">
        <v>151</v>
      </c>
      <c r="U31" s="19">
        <v>0</v>
      </c>
      <c r="V31" s="17">
        <v>151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7">
        <v>1</v>
      </c>
      <c r="AJ31" s="20">
        <v>1.59</v>
      </c>
      <c r="AK31" s="17">
        <v>1</v>
      </c>
      <c r="AL31" s="17">
        <v>3</v>
      </c>
      <c r="AM31" s="31">
        <v>37.49</v>
      </c>
    </row>
    <row r="33">
      <c r="A33" s="0" t="s">
        <v>0</v>
      </c>
      <c r="B33" s="37" t="s">
        <v>56</v>
      </c>
      <c r="C33" s="38">
        <f>SUM(C3:C31)</f>
      </c>
      <c r="D33" s="38">
        <f>SUM(D3:D31)</f>
      </c>
      <c r="E33" s="39">
        <f>SUM(E3:E31)</f>
      </c>
      <c r="F33" s="38">
        <f>SUM(F3:F31)</f>
      </c>
      <c r="G33" s="38">
        <f>SUM(G3:G31)</f>
      </c>
      <c r="H33" s="38">
        <f>SUM(H3:H31)</f>
      </c>
      <c r="I33" s="38">
        <f>SUM(I3:I31)</f>
      </c>
      <c r="J33" s="38">
        <f>SUM(J3:J31)</f>
      </c>
      <c r="K33" s="38">
        <f>SUM(K3:K31)</f>
      </c>
      <c r="L33" s="38">
        <f>SUM(L3:L31)</f>
      </c>
      <c r="M33" s="38">
        <f>SUM(M3:M31)</f>
      </c>
      <c r="N33" s="38">
        <f>SUM(N3:N31)</f>
      </c>
      <c r="O33" s="38">
        <f>SUM(O3:O31)</f>
      </c>
      <c r="P33" s="38">
        <f>SUM(P3:P31)</f>
      </c>
      <c r="Q33" s="38">
        <f>SUM(Q3:Q31)</f>
      </c>
      <c r="R33" s="38">
        <f>SUM(R3:R31)</f>
      </c>
      <c r="S33" s="38">
        <f>SUM(S3:S31)</f>
      </c>
      <c r="T33" s="39">
        <f>SUM(T3:T31)</f>
      </c>
      <c r="U33" s="38">
        <f>SUM(U3:U31)</f>
      </c>
      <c r="V33" s="38">
        <f>SUM(V3:V31)</f>
      </c>
      <c r="W33" s="38">
        <f>SUM(W3:W31)</f>
      </c>
      <c r="X33" s="38">
        <f>SUM(X3:X31)</f>
      </c>
      <c r="Y33" s="38">
        <f>SUM(Y3:Y31)</f>
      </c>
      <c r="Z33" s="38">
        <f>SUM(Z3:Z31)</f>
      </c>
      <c r="AA33" s="38">
        <f>SUM(AA3:AA31)</f>
      </c>
      <c r="AB33" s="38">
        <f>SUM(AB3:AB31)</f>
      </c>
      <c r="AC33" s="38">
        <f>SUM(AC3:AC31)</f>
      </c>
      <c r="AD33" s="38">
        <f>SUM(AD3:AD31)</f>
      </c>
      <c r="AE33" s="38">
        <f>SUM(AE3:AE31)</f>
      </c>
      <c r="AF33" s="38">
        <f>SUM(AF3:AF31)</f>
      </c>
      <c r="AG33" s="38">
        <f>SUM(AG3:AG31)</f>
      </c>
      <c r="AH33" s="38">
        <f>SUM(AH3:AH31)</f>
      </c>
      <c r="AI33" s="38">
        <f>MIN(AI3:AI31)</f>
      </c>
      <c r="AJ33" s="38">
        <f>AVERAGE(AJ3:AJ31)</f>
      </c>
      <c r="AK33" s="38">
        <f>MEDIAN(AK3:AK31)</f>
      </c>
      <c r="AL33" s="38">
        <f>Max(AL3:AL31)</f>
      </c>
      <c r="AM33" s="40">
        <f>SUM(AM3:AM31)</f>
      </c>
    </row>
  </sheetData>
  <autoFilter ref="A2:AM31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8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62</v>
      </c>
      <c r="C3" s="4" t="s">
        <v>63</v>
      </c>
      <c r="D3" s="4" t="s">
        <v>64</v>
      </c>
      <c r="E3" s="4" t="s">
        <v>65</v>
      </c>
      <c r="F3" s="6">
        <v>6</v>
      </c>
      <c r="G3" s="5">
        <v>2</v>
      </c>
      <c r="H3" s="5">
        <v>2</v>
      </c>
      <c r="I3" s="7">
        <v>0</v>
      </c>
      <c r="J3" s="5">
        <v>1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6</v>
      </c>
      <c r="V3" s="5">
        <v>2</v>
      </c>
      <c r="W3" s="5">
        <v>2</v>
      </c>
      <c r="X3" s="7">
        <v>0</v>
      </c>
      <c r="Y3" s="5">
        <v>1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</v>
      </c>
      <c r="AL3" s="5">
        <v>1</v>
      </c>
      <c r="AM3" s="5">
        <v>2</v>
      </c>
      <c r="AN3" s="28">
        <v>1.6</v>
      </c>
    </row>
    <row r="4">
      <c r="A4" s="24">
        <v>55</v>
      </c>
      <c r="B4" s="9" t="s">
        <v>66</v>
      </c>
      <c r="C4" s="9" t="s">
        <v>63</v>
      </c>
      <c r="D4" s="9" t="s">
        <v>67</v>
      </c>
      <c r="E4" s="9" t="s">
        <v>68</v>
      </c>
      <c r="F4" s="11">
        <v>2</v>
      </c>
      <c r="G4" s="10">
        <v>1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2</v>
      </c>
      <c r="V4" s="10">
        <v>1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0.62</v>
      </c>
    </row>
    <row r="5">
      <c r="A5" s="23">
        <v>56</v>
      </c>
      <c r="B5" s="4" t="s">
        <v>69</v>
      </c>
      <c r="C5" s="4" t="s">
        <v>63</v>
      </c>
      <c r="D5" s="4" t="s">
        <v>67</v>
      </c>
      <c r="E5" s="4" t="s">
        <v>68</v>
      </c>
      <c r="F5" s="6">
        <v>1</v>
      </c>
      <c r="G5" s="7">
        <v>0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70</v>
      </c>
      <c r="C6" s="9" t="s">
        <v>63</v>
      </c>
      <c r="D6" s="9" t="s">
        <v>67</v>
      </c>
      <c r="E6" s="9" t="s">
        <v>71</v>
      </c>
      <c r="F6" s="11">
        <v>1</v>
      </c>
      <c r="G6" s="12">
        <v>0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2">
        <v>0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9">
        <v>0</v>
      </c>
    </row>
    <row r="7">
      <c r="A7" s="23">
        <v>58</v>
      </c>
      <c r="B7" s="4" t="s">
        <v>72</v>
      </c>
      <c r="C7" s="4" t="s">
        <v>63</v>
      </c>
      <c r="D7" s="4" t="s">
        <v>73</v>
      </c>
      <c r="E7" s="4" t="s">
        <v>74</v>
      </c>
      <c r="F7" s="6">
        <v>2</v>
      </c>
      <c r="G7" s="5">
        <v>2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</v>
      </c>
      <c r="V7" s="5">
        <v>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0.5</v>
      </c>
    </row>
    <row r="8">
      <c r="A8" s="24">
        <v>111</v>
      </c>
      <c r="B8" s="9" t="s">
        <v>75</v>
      </c>
      <c r="C8" s="9" t="s">
        <v>63</v>
      </c>
      <c r="D8" s="9" t="s">
        <v>76</v>
      </c>
      <c r="E8" s="9" t="s">
        <v>77</v>
      </c>
      <c r="F8" s="11">
        <v>3</v>
      </c>
      <c r="G8" s="10">
        <v>2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3</v>
      </c>
      <c r="V8" s="10">
        <v>2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49">
        <v>0</v>
      </c>
    </row>
    <row r="9">
      <c r="A9" s="23">
        <v>112</v>
      </c>
      <c r="B9" s="4" t="s">
        <v>78</v>
      </c>
      <c r="C9" s="4" t="s">
        <v>63</v>
      </c>
      <c r="D9" s="4" t="s">
        <v>76</v>
      </c>
      <c r="E9" s="4" t="s">
        <v>77</v>
      </c>
      <c r="F9" s="6">
        <v>7</v>
      </c>
      <c r="G9" s="5">
        <v>1</v>
      </c>
      <c r="H9" s="7">
        <v>0</v>
      </c>
      <c r="I9" s="5">
        <v>4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6</v>
      </c>
      <c r="V9" s="5">
        <v>1</v>
      </c>
      <c r="W9" s="7">
        <v>0</v>
      </c>
      <c r="X9" s="5">
        <v>3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1.4</v>
      </c>
      <c r="AL9" s="5">
        <v>1</v>
      </c>
      <c r="AM9" s="5">
        <v>2</v>
      </c>
      <c r="AN9" s="30">
        <v>0</v>
      </c>
    </row>
    <row r="10">
      <c r="A10" s="24">
        <v>130</v>
      </c>
      <c r="B10" s="9" t="s">
        <v>79</v>
      </c>
      <c r="C10" s="9" t="s">
        <v>63</v>
      </c>
      <c r="D10" s="9" t="s">
        <v>80</v>
      </c>
      <c r="E10" s="9" t="s">
        <v>81</v>
      </c>
      <c r="F10" s="11">
        <v>2</v>
      </c>
      <c r="G10" s="12">
        <v>0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2">
        <v>0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0.52</v>
      </c>
    </row>
    <row r="11">
      <c r="A11" s="23">
        <v>140</v>
      </c>
      <c r="B11" s="4" t="s">
        <v>82</v>
      </c>
      <c r="C11" s="4" t="s">
        <v>63</v>
      </c>
      <c r="D11" s="4" t="s">
        <v>76</v>
      </c>
      <c r="E11" s="4" t="s">
        <v>83</v>
      </c>
      <c r="F11" s="6">
        <v>2</v>
      </c>
      <c r="G11" s="7">
        <v>0</v>
      </c>
      <c r="H11" s="7">
        <v>0</v>
      </c>
      <c r="I11" s="5">
        <v>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7">
        <v>0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30">
        <v>0</v>
      </c>
    </row>
    <row r="12">
      <c r="A12" s="24">
        <v>152</v>
      </c>
      <c r="B12" s="9" t="s">
        <v>84</v>
      </c>
      <c r="C12" s="9" t="s">
        <v>63</v>
      </c>
      <c r="D12" s="9" t="s">
        <v>85</v>
      </c>
      <c r="E12" s="9" t="s">
        <v>86</v>
      </c>
      <c r="F12" s="11">
        <v>4</v>
      </c>
      <c r="G12" s="12">
        <v>0</v>
      </c>
      <c r="H12" s="12">
        <v>0</v>
      </c>
      <c r="I12" s="12">
        <v>0</v>
      </c>
      <c r="J12" s="10">
        <v>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2">
        <v>0</v>
      </c>
      <c r="W12" s="12">
        <v>0</v>
      </c>
      <c r="X12" s="12">
        <v>0</v>
      </c>
      <c r="Y12" s="10">
        <v>4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1.33</v>
      </c>
      <c r="AL12" s="10">
        <v>1</v>
      </c>
      <c r="AM12" s="10">
        <v>2</v>
      </c>
      <c r="AN12" s="29">
        <v>1</v>
      </c>
    </row>
    <row r="13">
      <c r="A13" s="23">
        <v>154</v>
      </c>
      <c r="B13" s="4" t="s">
        <v>87</v>
      </c>
      <c r="C13" s="4" t="s">
        <v>63</v>
      </c>
      <c r="D13" s="4" t="s">
        <v>80</v>
      </c>
      <c r="E13" s="4" t="s">
        <v>88</v>
      </c>
      <c r="F13" s="6">
        <v>3</v>
      </c>
      <c r="G13" s="7">
        <v>0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7">
        <v>0</v>
      </c>
      <c r="W13" s="7">
        <v>0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0.72</v>
      </c>
    </row>
    <row r="14">
      <c r="A14" s="24">
        <v>158</v>
      </c>
      <c r="B14" s="9" t="s">
        <v>89</v>
      </c>
      <c r="C14" s="9" t="s">
        <v>63</v>
      </c>
      <c r="D14" s="9" t="s">
        <v>90</v>
      </c>
      <c r="E14" s="9" t="s">
        <v>91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159</v>
      </c>
      <c r="B15" s="4" t="s">
        <v>92</v>
      </c>
      <c r="C15" s="4" t="s">
        <v>63</v>
      </c>
      <c r="D15" s="4" t="s">
        <v>93</v>
      </c>
      <c r="E15" s="4" t="s">
        <v>94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161</v>
      </c>
      <c r="B16" s="9" t="s">
        <v>95</v>
      </c>
      <c r="C16" s="9" t="s">
        <v>63</v>
      </c>
      <c r="D16" s="9" t="s">
        <v>80</v>
      </c>
      <c r="E16" s="9" t="s">
        <v>96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49">
        <v>0</v>
      </c>
    </row>
    <row r="17">
      <c r="A17" s="23">
        <v>162</v>
      </c>
      <c r="B17" s="4" t="s">
        <v>97</v>
      </c>
      <c r="C17" s="4" t="s">
        <v>63</v>
      </c>
      <c r="D17" s="4" t="s">
        <v>73</v>
      </c>
      <c r="E17" s="4" t="s">
        <v>98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164</v>
      </c>
      <c r="B18" s="9" t="s">
        <v>99</v>
      </c>
      <c r="C18" s="9" t="s">
        <v>63</v>
      </c>
      <c r="D18" s="9" t="s">
        <v>85</v>
      </c>
      <c r="E18" s="9" t="s">
        <v>100</v>
      </c>
      <c r="F18" s="11">
        <v>3</v>
      </c>
      <c r="G18" s="10">
        <v>1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0">
        <v>1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29">
        <v>0.5</v>
      </c>
    </row>
    <row r="19">
      <c r="A19" s="23">
        <v>168</v>
      </c>
      <c r="B19" s="4" t="s">
        <v>101</v>
      </c>
      <c r="C19" s="4" t="s">
        <v>63</v>
      </c>
      <c r="D19" s="4" t="s">
        <v>85</v>
      </c>
      <c r="E19" s="4" t="s">
        <v>100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175</v>
      </c>
      <c r="B20" s="9" t="s">
        <v>102</v>
      </c>
      <c r="C20" s="9" t="s">
        <v>63</v>
      </c>
      <c r="D20" s="9" t="s">
        <v>103</v>
      </c>
      <c r="E20" s="9" t="s">
        <v>104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178</v>
      </c>
      <c r="B21" s="4" t="s">
        <v>105</v>
      </c>
      <c r="C21" s="4" t="s">
        <v>63</v>
      </c>
      <c r="D21" s="4" t="s">
        <v>80</v>
      </c>
      <c r="E21" s="4" t="s">
        <v>81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0.35</v>
      </c>
    </row>
    <row r="22">
      <c r="A22" s="24">
        <v>179</v>
      </c>
      <c r="B22" s="9" t="s">
        <v>106</v>
      </c>
      <c r="C22" s="9" t="s">
        <v>63</v>
      </c>
      <c r="D22" s="9" t="s">
        <v>85</v>
      </c>
      <c r="E22" s="9" t="s">
        <v>107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186</v>
      </c>
      <c r="B23" s="4" t="s">
        <v>108</v>
      </c>
      <c r="C23" s="4" t="s">
        <v>63</v>
      </c>
      <c r="D23" s="4" t="s">
        <v>109</v>
      </c>
      <c r="E23" s="4" t="s">
        <v>110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190</v>
      </c>
      <c r="B24" s="9" t="s">
        <v>111</v>
      </c>
      <c r="C24" s="9" t="s">
        <v>63</v>
      </c>
      <c r="D24" s="9" t="s">
        <v>112</v>
      </c>
      <c r="E24" s="9" t="s">
        <v>113</v>
      </c>
      <c r="F24" s="11">
        <v>3</v>
      </c>
      <c r="G24" s="10">
        <v>2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0">
        <v>2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2</v>
      </c>
      <c r="AN24" s="29">
        <v>0.95</v>
      </c>
    </row>
    <row r="25">
      <c r="A25" s="23">
        <v>192</v>
      </c>
      <c r="B25" s="4" t="s">
        <v>114</v>
      </c>
      <c r="C25" s="4" t="s">
        <v>63</v>
      </c>
      <c r="D25" s="4" t="s">
        <v>115</v>
      </c>
      <c r="E25" s="4" t="s">
        <v>116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193</v>
      </c>
      <c r="B26" s="9" t="s">
        <v>117</v>
      </c>
      <c r="C26" s="9" t="s">
        <v>63</v>
      </c>
      <c r="D26" s="9" t="s">
        <v>115</v>
      </c>
      <c r="E26" s="9" t="s">
        <v>118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9">
        <v>0</v>
      </c>
    </row>
    <row r="27">
      <c r="A27" s="23">
        <v>202</v>
      </c>
      <c r="B27" s="4" t="s">
        <v>119</v>
      </c>
      <c r="C27" s="4" t="s">
        <v>63</v>
      </c>
      <c r="D27" s="4" t="s">
        <v>80</v>
      </c>
      <c r="E27" s="4" t="s">
        <v>96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0.26</v>
      </c>
    </row>
    <row r="28">
      <c r="A28" s="24">
        <v>208</v>
      </c>
      <c r="B28" s="9" t="s">
        <v>120</v>
      </c>
      <c r="C28" s="9" t="s">
        <v>63</v>
      </c>
      <c r="D28" s="9" t="s">
        <v>115</v>
      </c>
      <c r="E28" s="9" t="s">
        <v>118</v>
      </c>
      <c r="F28" s="11">
        <v>11</v>
      </c>
      <c r="G28" s="10">
        <v>3</v>
      </c>
      <c r="H28" s="12">
        <v>0</v>
      </c>
      <c r="I28" s="10">
        <v>1</v>
      </c>
      <c r="J28" s="10">
        <v>6</v>
      </c>
      <c r="K28" s="10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8</v>
      </c>
      <c r="V28" s="10">
        <v>3</v>
      </c>
      <c r="W28" s="12">
        <v>0</v>
      </c>
      <c r="X28" s="10">
        <v>1</v>
      </c>
      <c r="Y28" s="10">
        <v>3</v>
      </c>
      <c r="Z28" s="10">
        <v>1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1.83</v>
      </c>
      <c r="AL28" s="10">
        <v>1</v>
      </c>
      <c r="AM28" s="10">
        <v>4</v>
      </c>
      <c r="AN28" s="29">
        <v>0.75</v>
      </c>
    </row>
    <row r="29">
      <c r="A29" s="23">
        <v>210</v>
      </c>
      <c r="B29" s="4" t="s">
        <v>121</v>
      </c>
      <c r="C29" s="4" t="s">
        <v>63</v>
      </c>
      <c r="D29" s="4" t="s">
        <v>67</v>
      </c>
      <c r="E29" s="4" t="s">
        <v>71</v>
      </c>
      <c r="F29" s="6">
        <v>1</v>
      </c>
      <c r="G29" s="7">
        <v>0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214</v>
      </c>
      <c r="B30" s="9" t="s">
        <v>122</v>
      </c>
      <c r="C30" s="9" t="s">
        <v>63</v>
      </c>
      <c r="D30" s="9" t="s">
        <v>76</v>
      </c>
      <c r="E30" s="9" t="s">
        <v>83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49">
        <v>0</v>
      </c>
    </row>
    <row r="31">
      <c r="A31" s="23">
        <v>217</v>
      </c>
      <c r="B31" s="4" t="s">
        <v>123</v>
      </c>
      <c r="C31" s="4" t="s">
        <v>63</v>
      </c>
      <c r="D31" s="4" t="s">
        <v>115</v>
      </c>
      <c r="E31" s="4" t="s">
        <v>124</v>
      </c>
      <c r="F31" s="6">
        <v>3</v>
      </c>
      <c r="G31" s="5">
        <v>2</v>
      </c>
      <c r="H31" s="7">
        <v>0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5">
        <v>1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30">
        <v>0</v>
      </c>
    </row>
    <row r="32">
      <c r="A32" s="24">
        <v>221</v>
      </c>
      <c r="B32" s="9" t="s">
        <v>125</v>
      </c>
      <c r="C32" s="9" t="s">
        <v>63</v>
      </c>
      <c r="D32" s="9" t="s">
        <v>90</v>
      </c>
      <c r="E32" s="9" t="s">
        <v>91</v>
      </c>
      <c r="F32" s="11">
        <v>2</v>
      </c>
      <c r="G32" s="12">
        <v>0</v>
      </c>
      <c r="H32" s="12">
        <v>0</v>
      </c>
      <c r="I32" s="10">
        <v>1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2">
        <v>0</v>
      </c>
      <c r="W32" s="12">
        <v>0</v>
      </c>
      <c r="X32" s="10">
        <v>1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222</v>
      </c>
      <c r="B33" s="4" t="s">
        <v>126</v>
      </c>
      <c r="C33" s="4" t="s">
        <v>63</v>
      </c>
      <c r="D33" s="4" t="s">
        <v>76</v>
      </c>
      <c r="E33" s="4" t="s">
        <v>127</v>
      </c>
      <c r="F33" s="6">
        <v>3</v>
      </c>
      <c r="G33" s="5">
        <v>1</v>
      </c>
      <c r="H33" s="5">
        <v>1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5">
        <v>1</v>
      </c>
      <c r="W33" s="5">
        <v>1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</v>
      </c>
    </row>
    <row r="34">
      <c r="A34" s="24">
        <v>226</v>
      </c>
      <c r="B34" s="9" t="s">
        <v>128</v>
      </c>
      <c r="C34" s="9" t="s">
        <v>63</v>
      </c>
      <c r="D34" s="9" t="s">
        <v>115</v>
      </c>
      <c r="E34" s="9" t="s">
        <v>129</v>
      </c>
      <c r="F34" s="11">
        <v>2</v>
      </c>
      <c r="G34" s="10">
        <v>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</v>
      </c>
      <c r="V34" s="10">
        <v>2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49">
        <v>0</v>
      </c>
    </row>
    <row r="35">
      <c r="A35" s="23">
        <v>227</v>
      </c>
      <c r="B35" s="4" t="s">
        <v>130</v>
      </c>
      <c r="C35" s="4" t="s">
        <v>63</v>
      </c>
      <c r="D35" s="4" t="s">
        <v>103</v>
      </c>
      <c r="E35" s="4" t="s">
        <v>131</v>
      </c>
      <c r="F35" s="6">
        <v>2</v>
      </c>
      <c r="G35" s="5">
        <v>2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2</v>
      </c>
      <c r="AL35" s="5">
        <v>2</v>
      </c>
      <c r="AM35" s="5">
        <v>2</v>
      </c>
      <c r="AN35" s="30">
        <v>0</v>
      </c>
    </row>
    <row r="36">
      <c r="A36" s="24">
        <v>228</v>
      </c>
      <c r="B36" s="9" t="s">
        <v>132</v>
      </c>
      <c r="C36" s="9" t="s">
        <v>63</v>
      </c>
      <c r="D36" s="9" t="s">
        <v>133</v>
      </c>
      <c r="E36" s="9" t="s">
        <v>134</v>
      </c>
      <c r="F36" s="11">
        <v>1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0">
        <v>1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0">
        <v>1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9">
        <v>0</v>
      </c>
    </row>
    <row r="37">
      <c r="A37" s="23">
        <v>230</v>
      </c>
      <c r="B37" s="4" t="s">
        <v>135</v>
      </c>
      <c r="C37" s="4" t="s">
        <v>63</v>
      </c>
      <c r="D37" s="4" t="s">
        <v>80</v>
      </c>
      <c r="E37" s="4" t="s">
        <v>81</v>
      </c>
      <c r="F37" s="6">
        <v>2</v>
      </c>
      <c r="G37" s="5">
        <v>1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1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234</v>
      </c>
      <c r="B38" s="9" t="s">
        <v>136</v>
      </c>
      <c r="C38" s="9" t="s">
        <v>63</v>
      </c>
      <c r="D38" s="9" t="s">
        <v>76</v>
      </c>
      <c r="E38" s="9" t="s">
        <v>137</v>
      </c>
      <c r="F38" s="11">
        <v>1</v>
      </c>
      <c r="G38" s="12">
        <v>0</v>
      </c>
      <c r="H38" s="12">
        <v>0</v>
      </c>
      <c r="I38" s="12">
        <v>0</v>
      </c>
      <c r="J38" s="12">
        <v>0</v>
      </c>
      <c r="K38" s="10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2">
        <v>0</v>
      </c>
      <c r="Z38" s="10">
        <v>1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9">
        <v>0</v>
      </c>
    </row>
    <row r="39">
      <c r="A39" s="23">
        <v>236</v>
      </c>
      <c r="B39" s="4" t="s">
        <v>138</v>
      </c>
      <c r="C39" s="4" t="s">
        <v>63</v>
      </c>
      <c r="D39" s="4" t="s">
        <v>85</v>
      </c>
      <c r="E39" s="4" t="s">
        <v>139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245</v>
      </c>
      <c r="B40" s="9" t="s">
        <v>140</v>
      </c>
      <c r="C40" s="9" t="s">
        <v>141</v>
      </c>
      <c r="D40" s="9" t="s">
        <v>142</v>
      </c>
      <c r="E40" s="9" t="s">
        <v>143</v>
      </c>
      <c r="F40" s="11">
        <v>2</v>
      </c>
      <c r="G40" s="12">
        <v>0</v>
      </c>
      <c r="H40" s="10">
        <v>2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2">
        <v>0</v>
      </c>
      <c r="W40" s="10">
        <v>2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0.58</v>
      </c>
    </row>
    <row r="41">
      <c r="A41" s="23">
        <v>249</v>
      </c>
      <c r="B41" s="4" t="s">
        <v>144</v>
      </c>
      <c r="C41" s="4" t="s">
        <v>63</v>
      </c>
      <c r="D41" s="4" t="s">
        <v>109</v>
      </c>
      <c r="E41" s="4" t="s">
        <v>145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250</v>
      </c>
      <c r="B42" s="9" t="s">
        <v>146</v>
      </c>
      <c r="C42" s="9" t="s">
        <v>63</v>
      </c>
      <c r="D42" s="9" t="s">
        <v>85</v>
      </c>
      <c r="E42" s="9" t="s">
        <v>147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0.37</v>
      </c>
    </row>
    <row r="43">
      <c r="A43" s="23">
        <v>253</v>
      </c>
      <c r="B43" s="4" t="s">
        <v>148</v>
      </c>
      <c r="C43" s="4" t="s">
        <v>63</v>
      </c>
      <c r="D43" s="4" t="s">
        <v>115</v>
      </c>
      <c r="E43" s="4" t="s">
        <v>149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255</v>
      </c>
      <c r="B44" s="9" t="s">
        <v>150</v>
      </c>
      <c r="C44" s="9" t="s">
        <v>63</v>
      </c>
      <c r="D44" s="9" t="s">
        <v>80</v>
      </c>
      <c r="E44" s="9" t="s">
        <v>96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257</v>
      </c>
      <c r="B45" s="4" t="s">
        <v>151</v>
      </c>
      <c r="C45" s="4" t="s">
        <v>63</v>
      </c>
      <c r="D45" s="4" t="s">
        <v>80</v>
      </c>
      <c r="E45" s="4" t="s">
        <v>81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258</v>
      </c>
      <c r="B46" s="9" t="s">
        <v>152</v>
      </c>
      <c r="C46" s="9" t="s">
        <v>63</v>
      </c>
      <c r="D46" s="9" t="s">
        <v>115</v>
      </c>
      <c r="E46" s="9" t="s">
        <v>116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0.36</v>
      </c>
    </row>
    <row r="47">
      <c r="A47" s="23">
        <v>259</v>
      </c>
      <c r="B47" s="4" t="s">
        <v>153</v>
      </c>
      <c r="C47" s="4" t="s">
        <v>63</v>
      </c>
      <c r="D47" s="4" t="s">
        <v>115</v>
      </c>
      <c r="E47" s="4" t="s">
        <v>124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0.26</v>
      </c>
    </row>
    <row r="48">
      <c r="A48" s="24">
        <v>264</v>
      </c>
      <c r="B48" s="9" t="s">
        <v>154</v>
      </c>
      <c r="C48" s="9" t="s">
        <v>63</v>
      </c>
      <c r="D48" s="9" t="s">
        <v>109</v>
      </c>
      <c r="E48" s="9" t="s">
        <v>145</v>
      </c>
      <c r="F48" s="11">
        <v>2</v>
      </c>
      <c r="G48" s="10">
        <v>1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0">
        <v>1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49">
        <v>0</v>
      </c>
    </row>
    <row r="49">
      <c r="A49" s="23">
        <v>267</v>
      </c>
      <c r="B49" s="4" t="s">
        <v>155</v>
      </c>
      <c r="C49" s="4" t="s">
        <v>63</v>
      </c>
      <c r="D49" s="4" t="s">
        <v>93</v>
      </c>
      <c r="E49" s="4" t="s">
        <v>156</v>
      </c>
      <c r="F49" s="6">
        <v>4</v>
      </c>
      <c r="G49" s="5">
        <v>4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4</v>
      </c>
      <c r="V49" s="5">
        <v>4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4</v>
      </c>
      <c r="AK49" s="8">
        <v>4</v>
      </c>
      <c r="AL49" s="5">
        <v>4</v>
      </c>
      <c r="AM49" s="5">
        <v>4</v>
      </c>
      <c r="AN49" s="30">
        <v>0</v>
      </c>
    </row>
    <row r="50">
      <c r="A50" s="24">
        <v>274</v>
      </c>
      <c r="B50" s="9" t="s">
        <v>157</v>
      </c>
      <c r="C50" s="9" t="s">
        <v>63</v>
      </c>
      <c r="D50" s="9" t="s">
        <v>115</v>
      </c>
      <c r="E50" s="9" t="s">
        <v>149</v>
      </c>
      <c r="F50" s="11">
        <v>4</v>
      </c>
      <c r="G50" s="10">
        <v>1</v>
      </c>
      <c r="H50" s="12">
        <v>0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4</v>
      </c>
      <c r="V50" s="10">
        <v>1</v>
      </c>
      <c r="W50" s="12">
        <v>0</v>
      </c>
      <c r="X50" s="12">
        <v>0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2</v>
      </c>
      <c r="AM50" s="10">
        <v>3</v>
      </c>
      <c r="AN50" s="29">
        <v>0.75</v>
      </c>
    </row>
    <row r="51">
      <c r="A51" s="23">
        <v>282</v>
      </c>
      <c r="B51" s="4" t="s">
        <v>158</v>
      </c>
      <c r="C51" s="4" t="s">
        <v>63</v>
      </c>
      <c r="D51" s="4" t="s">
        <v>115</v>
      </c>
      <c r="E51" s="4" t="s">
        <v>116</v>
      </c>
      <c r="F51" s="6">
        <v>3</v>
      </c>
      <c r="G51" s="5">
        <v>2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2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0.75</v>
      </c>
    </row>
    <row r="52">
      <c r="A52" s="24">
        <v>286</v>
      </c>
      <c r="B52" s="9" t="s">
        <v>159</v>
      </c>
      <c r="C52" s="9" t="s">
        <v>63</v>
      </c>
      <c r="D52" s="9" t="s">
        <v>67</v>
      </c>
      <c r="E52" s="9" t="s">
        <v>160</v>
      </c>
      <c r="F52" s="11">
        <v>2</v>
      </c>
      <c r="G52" s="10">
        <v>1</v>
      </c>
      <c r="H52" s="10">
        <v>1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0">
        <v>1</v>
      </c>
      <c r="W52" s="10">
        <v>1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9">
        <v>0</v>
      </c>
    </row>
    <row r="53">
      <c r="A53" s="23">
        <v>288</v>
      </c>
      <c r="B53" s="4" t="s">
        <v>161</v>
      </c>
      <c r="C53" s="4" t="s">
        <v>63</v>
      </c>
      <c r="D53" s="4" t="s">
        <v>115</v>
      </c>
      <c r="E53" s="4" t="s">
        <v>149</v>
      </c>
      <c r="F53" s="6">
        <v>3</v>
      </c>
      <c r="G53" s="5">
        <v>1</v>
      </c>
      <c r="H53" s="7">
        <v>0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1</v>
      </c>
      <c r="W53" s="7">
        <v>0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0.5</v>
      </c>
    </row>
    <row r="54">
      <c r="A54" s="24">
        <v>290</v>
      </c>
      <c r="B54" s="9" t="s">
        <v>162</v>
      </c>
      <c r="C54" s="9" t="s">
        <v>63</v>
      </c>
      <c r="D54" s="9" t="s">
        <v>76</v>
      </c>
      <c r="E54" s="9" t="s">
        <v>163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293</v>
      </c>
      <c r="B55" s="4" t="s">
        <v>164</v>
      </c>
      <c r="C55" s="4" t="s">
        <v>63</v>
      </c>
      <c r="D55" s="4" t="s">
        <v>80</v>
      </c>
      <c r="E55" s="4" t="s">
        <v>88</v>
      </c>
      <c r="F55" s="6">
        <v>1</v>
      </c>
      <c r="G55" s="7">
        <v>0</v>
      </c>
      <c r="H55" s="5">
        <v>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5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295</v>
      </c>
      <c r="B56" s="9" t="s">
        <v>165</v>
      </c>
      <c r="C56" s="9" t="s">
        <v>63</v>
      </c>
      <c r="D56" s="9" t="s">
        <v>76</v>
      </c>
      <c r="E56" s="9" t="s">
        <v>137</v>
      </c>
      <c r="F56" s="11">
        <v>5</v>
      </c>
      <c r="G56" s="10">
        <v>3</v>
      </c>
      <c r="H56" s="12">
        <v>0</v>
      </c>
      <c r="I56" s="12">
        <v>0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0">
        <v>3</v>
      </c>
      <c r="W56" s="12">
        <v>0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1.35</v>
      </c>
    </row>
    <row r="57">
      <c r="A57" s="23">
        <v>297</v>
      </c>
      <c r="B57" s="4" t="s">
        <v>166</v>
      </c>
      <c r="C57" s="4" t="s">
        <v>63</v>
      </c>
      <c r="D57" s="4" t="s">
        <v>109</v>
      </c>
      <c r="E57" s="4" t="s">
        <v>167</v>
      </c>
      <c r="F57" s="6">
        <v>3</v>
      </c>
      <c r="G57" s="5">
        <v>2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2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0.5</v>
      </c>
    </row>
    <row r="58">
      <c r="A58" s="24">
        <v>303</v>
      </c>
      <c r="B58" s="9" t="s">
        <v>168</v>
      </c>
      <c r="C58" s="9" t="s">
        <v>63</v>
      </c>
      <c r="D58" s="9" t="s">
        <v>76</v>
      </c>
      <c r="E58" s="9" t="s">
        <v>169</v>
      </c>
      <c r="F58" s="11">
        <v>4</v>
      </c>
      <c r="G58" s="12">
        <v>0</v>
      </c>
      <c r="H58" s="10">
        <v>3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2">
        <v>0</v>
      </c>
      <c r="W58" s="10">
        <v>3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2</v>
      </c>
      <c r="AM58" s="10">
        <v>3</v>
      </c>
      <c r="AN58" s="29">
        <v>0.75</v>
      </c>
    </row>
    <row r="59">
      <c r="A59" s="23">
        <v>309</v>
      </c>
      <c r="B59" s="4" t="s">
        <v>170</v>
      </c>
      <c r="C59" s="4" t="s">
        <v>171</v>
      </c>
      <c r="D59" s="4" t="s">
        <v>172</v>
      </c>
      <c r="E59" s="4" t="s">
        <v>173</v>
      </c>
      <c r="F59" s="6">
        <v>1</v>
      </c>
      <c r="G59" s="7">
        <v>0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0.22</v>
      </c>
    </row>
    <row r="60">
      <c r="A60" s="24">
        <v>310</v>
      </c>
      <c r="B60" s="9" t="s">
        <v>174</v>
      </c>
      <c r="C60" s="9" t="s">
        <v>63</v>
      </c>
      <c r="D60" s="9" t="s">
        <v>76</v>
      </c>
      <c r="E60" s="9" t="s">
        <v>77</v>
      </c>
      <c r="F60" s="11">
        <v>2</v>
      </c>
      <c r="G60" s="10">
        <v>1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0">
        <v>1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0.5</v>
      </c>
    </row>
    <row r="61">
      <c r="A61" s="23">
        <v>311</v>
      </c>
      <c r="B61" s="4" t="s">
        <v>175</v>
      </c>
      <c r="C61" s="4" t="s">
        <v>63</v>
      </c>
      <c r="D61" s="4" t="s">
        <v>76</v>
      </c>
      <c r="E61" s="4" t="s">
        <v>83</v>
      </c>
      <c r="F61" s="6">
        <v>2</v>
      </c>
      <c r="G61" s="5">
        <v>1</v>
      </c>
      <c r="H61" s="7">
        <v>0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</v>
      </c>
      <c r="V61" s="5">
        <v>1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0.62</v>
      </c>
    </row>
    <row r="62">
      <c r="A62" s="24">
        <v>315</v>
      </c>
      <c r="B62" s="9" t="s">
        <v>176</v>
      </c>
      <c r="C62" s="9" t="s">
        <v>63</v>
      </c>
      <c r="D62" s="9" t="s">
        <v>103</v>
      </c>
      <c r="E62" s="9" t="s">
        <v>177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49">
        <v>0</v>
      </c>
    </row>
    <row r="63">
      <c r="A63" s="23">
        <v>321</v>
      </c>
      <c r="B63" s="4" t="s">
        <v>178</v>
      </c>
      <c r="C63" s="4" t="s">
        <v>63</v>
      </c>
      <c r="D63" s="4" t="s">
        <v>73</v>
      </c>
      <c r="E63" s="4" t="s">
        <v>74</v>
      </c>
      <c r="F63" s="6">
        <v>1</v>
      </c>
      <c r="G63" s="7">
        <v>0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7">
        <v>0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0">
        <v>0</v>
      </c>
    </row>
    <row r="64">
      <c r="A64" s="24">
        <v>322</v>
      </c>
      <c r="B64" s="9" t="s">
        <v>179</v>
      </c>
      <c r="C64" s="9" t="s">
        <v>63</v>
      </c>
      <c r="D64" s="9" t="s">
        <v>73</v>
      </c>
      <c r="E64" s="9" t="s">
        <v>74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9">
        <v>0</v>
      </c>
    </row>
    <row r="65">
      <c r="A65" s="23">
        <v>324</v>
      </c>
      <c r="B65" s="4" t="s">
        <v>180</v>
      </c>
      <c r="C65" s="4" t="s">
        <v>63</v>
      </c>
      <c r="D65" s="4" t="s">
        <v>73</v>
      </c>
      <c r="E65" s="4" t="s">
        <v>74</v>
      </c>
      <c r="F65" s="6">
        <v>3</v>
      </c>
      <c r="G65" s="5">
        <v>2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5">
        <v>2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0.75</v>
      </c>
    </row>
    <row r="66">
      <c r="A66" s="24">
        <v>325</v>
      </c>
      <c r="B66" s="9" t="s">
        <v>181</v>
      </c>
      <c r="C66" s="9" t="s">
        <v>63</v>
      </c>
      <c r="D66" s="9" t="s">
        <v>73</v>
      </c>
      <c r="E66" s="9" t="s">
        <v>74</v>
      </c>
      <c r="F66" s="11">
        <v>3</v>
      </c>
      <c r="G66" s="10">
        <v>3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3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1.5</v>
      </c>
      <c r="AL66" s="10">
        <v>1</v>
      </c>
      <c r="AM66" s="10">
        <v>2</v>
      </c>
      <c r="AN66" s="49">
        <v>0</v>
      </c>
    </row>
    <row r="67">
      <c r="A67" s="23">
        <v>326</v>
      </c>
      <c r="B67" s="4" t="s">
        <v>182</v>
      </c>
      <c r="C67" s="4" t="s">
        <v>63</v>
      </c>
      <c r="D67" s="4" t="s">
        <v>73</v>
      </c>
      <c r="E67" s="4" t="s">
        <v>74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329</v>
      </c>
      <c r="B68" s="9" t="s">
        <v>183</v>
      </c>
      <c r="C68" s="9" t="s">
        <v>171</v>
      </c>
      <c r="D68" s="9" t="s">
        <v>172</v>
      </c>
      <c r="E68" s="9" t="s">
        <v>184</v>
      </c>
      <c r="F68" s="11">
        <v>4</v>
      </c>
      <c r="G68" s="10">
        <v>3</v>
      </c>
      <c r="H68" s="12">
        <v>0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</v>
      </c>
      <c r="V68" s="10">
        <v>3</v>
      </c>
      <c r="W68" s="12">
        <v>0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1.33</v>
      </c>
      <c r="AL68" s="10">
        <v>1</v>
      </c>
      <c r="AM68" s="10">
        <v>2</v>
      </c>
      <c r="AN68" s="49">
        <v>0</v>
      </c>
    </row>
    <row r="69">
      <c r="A69" s="23">
        <v>331</v>
      </c>
      <c r="B69" s="4" t="s">
        <v>185</v>
      </c>
      <c r="C69" s="4" t="s">
        <v>171</v>
      </c>
      <c r="D69" s="4" t="s">
        <v>186</v>
      </c>
      <c r="E69" s="4" t="s">
        <v>187</v>
      </c>
      <c r="F69" s="6">
        <v>4</v>
      </c>
      <c r="G69" s="7">
        <v>0</v>
      </c>
      <c r="H69" s="5">
        <v>1</v>
      </c>
      <c r="I69" s="7">
        <v>0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3</v>
      </c>
      <c r="V69" s="7">
        <v>0</v>
      </c>
      <c r="W69" s="5">
        <v>1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30">
        <v>0</v>
      </c>
    </row>
    <row r="70">
      <c r="A70" s="24">
        <v>336</v>
      </c>
      <c r="B70" s="9" t="s">
        <v>188</v>
      </c>
      <c r="C70" s="9" t="s">
        <v>171</v>
      </c>
      <c r="D70" s="9" t="s">
        <v>189</v>
      </c>
      <c r="E70" s="9" t="s">
        <v>190</v>
      </c>
      <c r="F70" s="11">
        <v>2</v>
      </c>
      <c r="G70" s="12">
        <v>0</v>
      </c>
      <c r="H70" s="12">
        <v>0</v>
      </c>
      <c r="I70" s="12">
        <v>0</v>
      </c>
      <c r="J70" s="12">
        <v>0</v>
      </c>
      <c r="K70" s="10">
        <v>2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2">
        <v>0</v>
      </c>
      <c r="W70" s="12">
        <v>0</v>
      </c>
      <c r="X70" s="12">
        <v>0</v>
      </c>
      <c r="Y70" s="12">
        <v>0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</v>
      </c>
      <c r="AL70" s="10">
        <v>2</v>
      </c>
      <c r="AM70" s="10">
        <v>2</v>
      </c>
      <c r="AN70" s="49">
        <v>0</v>
      </c>
    </row>
    <row r="71">
      <c r="A71" s="23">
        <v>337</v>
      </c>
      <c r="B71" s="4" t="s">
        <v>191</v>
      </c>
      <c r="C71" s="4" t="s">
        <v>171</v>
      </c>
      <c r="D71" s="4" t="s">
        <v>172</v>
      </c>
      <c r="E71" s="4" t="s">
        <v>192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339</v>
      </c>
      <c r="B72" s="9" t="s">
        <v>193</v>
      </c>
      <c r="C72" s="9" t="s">
        <v>171</v>
      </c>
      <c r="D72" s="9" t="s">
        <v>194</v>
      </c>
      <c r="E72" s="9" t="s">
        <v>195</v>
      </c>
      <c r="F72" s="11">
        <v>6</v>
      </c>
      <c r="G72" s="12">
        <v>0</v>
      </c>
      <c r="H72" s="10">
        <v>3</v>
      </c>
      <c r="I72" s="12">
        <v>0</v>
      </c>
      <c r="J72" s="12">
        <v>0</v>
      </c>
      <c r="K72" s="12">
        <v>0</v>
      </c>
      <c r="L72" s="10">
        <v>3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5</v>
      </c>
      <c r="V72" s="12">
        <v>0</v>
      </c>
      <c r="W72" s="10">
        <v>3</v>
      </c>
      <c r="X72" s="12">
        <v>0</v>
      </c>
      <c r="Y72" s="12">
        <v>0</v>
      </c>
      <c r="Z72" s="12">
        <v>0</v>
      </c>
      <c r="AA72" s="10">
        <v>2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3</v>
      </c>
      <c r="AK72" s="13">
        <v>3</v>
      </c>
      <c r="AL72" s="10">
        <v>3</v>
      </c>
      <c r="AM72" s="10">
        <v>3</v>
      </c>
      <c r="AN72" s="49">
        <v>0</v>
      </c>
    </row>
    <row r="73">
      <c r="A73" s="23">
        <v>340</v>
      </c>
      <c r="B73" s="4" t="s">
        <v>196</v>
      </c>
      <c r="C73" s="4" t="s">
        <v>171</v>
      </c>
      <c r="D73" s="4" t="s">
        <v>197</v>
      </c>
      <c r="E73" s="4" t="s">
        <v>198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344</v>
      </c>
      <c r="B74" s="9" t="s">
        <v>199</v>
      </c>
      <c r="C74" s="9" t="s">
        <v>171</v>
      </c>
      <c r="D74" s="9" t="s">
        <v>189</v>
      </c>
      <c r="E74" s="9" t="s">
        <v>200</v>
      </c>
      <c r="F74" s="11">
        <v>8</v>
      </c>
      <c r="G74" s="10">
        <v>2</v>
      </c>
      <c r="H74" s="12">
        <v>0</v>
      </c>
      <c r="I74" s="10">
        <v>2</v>
      </c>
      <c r="J74" s="10">
        <v>2</v>
      </c>
      <c r="K74" s="10">
        <v>2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8</v>
      </c>
      <c r="V74" s="10">
        <v>2</v>
      </c>
      <c r="W74" s="12">
        <v>0</v>
      </c>
      <c r="X74" s="10">
        <v>2</v>
      </c>
      <c r="Y74" s="10">
        <v>2</v>
      </c>
      <c r="Z74" s="10">
        <v>2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1.6</v>
      </c>
      <c r="AL74" s="10">
        <v>2</v>
      </c>
      <c r="AM74" s="10">
        <v>2</v>
      </c>
      <c r="AN74" s="49">
        <v>0</v>
      </c>
    </row>
    <row r="75">
      <c r="A75" s="23">
        <v>345</v>
      </c>
      <c r="B75" s="4" t="s">
        <v>201</v>
      </c>
      <c r="C75" s="4" t="s">
        <v>171</v>
      </c>
      <c r="D75" s="4" t="s">
        <v>202</v>
      </c>
      <c r="E75" s="4" t="s">
        <v>203</v>
      </c>
      <c r="F75" s="6">
        <v>2</v>
      </c>
      <c r="G75" s="5">
        <v>1</v>
      </c>
      <c r="H75" s="7">
        <v>0</v>
      </c>
      <c r="I75" s="5">
        <v>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5">
        <v>1</v>
      </c>
      <c r="W75" s="7">
        <v>0</v>
      </c>
      <c r="X75" s="5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350</v>
      </c>
      <c r="B76" s="9" t="s">
        <v>204</v>
      </c>
      <c r="C76" s="9" t="s">
        <v>171</v>
      </c>
      <c r="D76" s="9" t="s">
        <v>172</v>
      </c>
      <c r="E76" s="9" t="s">
        <v>192</v>
      </c>
      <c r="F76" s="11">
        <v>2</v>
      </c>
      <c r="G76" s="12">
        <v>0</v>
      </c>
      <c r="H76" s="10">
        <v>1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2">
        <v>0</v>
      </c>
      <c r="W76" s="10">
        <v>1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0.48</v>
      </c>
    </row>
    <row r="77">
      <c r="A77" s="23">
        <v>355</v>
      </c>
      <c r="B77" s="4" t="s">
        <v>205</v>
      </c>
      <c r="C77" s="4" t="s">
        <v>171</v>
      </c>
      <c r="D77" s="4" t="s">
        <v>189</v>
      </c>
      <c r="E77" s="4" t="s">
        <v>200</v>
      </c>
      <c r="F77" s="6">
        <v>2</v>
      </c>
      <c r="G77" s="7">
        <v>0</v>
      </c>
      <c r="H77" s="7">
        <v>0</v>
      </c>
      <c r="I77" s="5">
        <v>1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7">
        <v>0</v>
      </c>
      <c r="W77" s="7">
        <v>0</v>
      </c>
      <c r="X77" s="5">
        <v>1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358</v>
      </c>
      <c r="B78" s="9" t="s">
        <v>206</v>
      </c>
      <c r="C78" s="9" t="s">
        <v>171</v>
      </c>
      <c r="D78" s="9" t="s">
        <v>172</v>
      </c>
      <c r="E78" s="9" t="s">
        <v>173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9">
        <v>0</v>
      </c>
    </row>
    <row r="79">
      <c r="A79" s="23">
        <v>359</v>
      </c>
      <c r="B79" s="4" t="s">
        <v>207</v>
      </c>
      <c r="C79" s="4" t="s">
        <v>171</v>
      </c>
      <c r="D79" s="4" t="s">
        <v>189</v>
      </c>
      <c r="E79" s="4" t="s">
        <v>208</v>
      </c>
      <c r="F79" s="6">
        <v>1</v>
      </c>
      <c r="G79" s="7">
        <v>0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363</v>
      </c>
      <c r="B80" s="9" t="s">
        <v>209</v>
      </c>
      <c r="C80" s="9" t="s">
        <v>171</v>
      </c>
      <c r="D80" s="9" t="s">
        <v>189</v>
      </c>
      <c r="E80" s="9" t="s">
        <v>210</v>
      </c>
      <c r="F80" s="11">
        <v>3</v>
      </c>
      <c r="G80" s="10">
        <v>1</v>
      </c>
      <c r="H80" s="12">
        <v>0</v>
      </c>
      <c r="I80" s="10">
        <v>1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1</v>
      </c>
      <c r="W80" s="12">
        <v>0</v>
      </c>
      <c r="X80" s="10">
        <v>1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9">
        <v>0</v>
      </c>
    </row>
    <row r="81">
      <c r="A81" s="23">
        <v>364</v>
      </c>
      <c r="B81" s="4" t="s">
        <v>211</v>
      </c>
      <c r="C81" s="4" t="s">
        <v>171</v>
      </c>
      <c r="D81" s="4" t="s">
        <v>189</v>
      </c>
      <c r="E81" s="4" t="s">
        <v>200</v>
      </c>
      <c r="F81" s="6">
        <v>4</v>
      </c>
      <c r="G81" s="7">
        <v>0</v>
      </c>
      <c r="H81" s="7">
        <v>0</v>
      </c>
      <c r="I81" s="7">
        <v>0</v>
      </c>
      <c r="J81" s="5">
        <v>1</v>
      </c>
      <c r="K81" s="5">
        <v>3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7">
        <v>0</v>
      </c>
      <c r="W81" s="7">
        <v>0</v>
      </c>
      <c r="X81" s="7">
        <v>0</v>
      </c>
      <c r="Y81" s="5">
        <v>1</v>
      </c>
      <c r="Z81" s="5">
        <v>3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30">
        <v>0</v>
      </c>
    </row>
    <row r="82">
      <c r="A82" s="24">
        <v>367</v>
      </c>
      <c r="B82" s="9" t="s">
        <v>212</v>
      </c>
      <c r="C82" s="9" t="s">
        <v>63</v>
      </c>
      <c r="D82" s="9" t="s">
        <v>115</v>
      </c>
      <c r="E82" s="9" t="s">
        <v>118</v>
      </c>
      <c r="F82" s="11">
        <v>5</v>
      </c>
      <c r="G82" s="10">
        <v>4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4</v>
      </c>
      <c r="V82" s="10">
        <v>3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1.67</v>
      </c>
      <c r="AL82" s="10">
        <v>2</v>
      </c>
      <c r="AM82" s="10">
        <v>2</v>
      </c>
      <c r="AN82" s="29">
        <v>1</v>
      </c>
    </row>
    <row r="83">
      <c r="A83" s="23">
        <v>388</v>
      </c>
      <c r="B83" s="4" t="s">
        <v>213</v>
      </c>
      <c r="C83" s="4" t="s">
        <v>63</v>
      </c>
      <c r="D83" s="4" t="s">
        <v>76</v>
      </c>
      <c r="E83" s="4" t="s">
        <v>83</v>
      </c>
      <c r="F83" s="6">
        <v>2</v>
      </c>
      <c r="G83" s="7">
        <v>0</v>
      </c>
      <c r="H83" s="5">
        <v>1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2</v>
      </c>
      <c r="V83" s="7">
        <v>0</v>
      </c>
      <c r="W83" s="5">
        <v>1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0.52</v>
      </c>
    </row>
    <row r="84">
      <c r="A84" s="24">
        <v>397</v>
      </c>
      <c r="B84" s="9" t="s">
        <v>214</v>
      </c>
      <c r="C84" s="9" t="s">
        <v>63</v>
      </c>
      <c r="D84" s="9" t="s">
        <v>103</v>
      </c>
      <c r="E84" s="9" t="s">
        <v>215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29">
        <v>0.25</v>
      </c>
    </row>
    <row r="85">
      <c r="A85" s="23">
        <v>403</v>
      </c>
      <c r="B85" s="4" t="s">
        <v>216</v>
      </c>
      <c r="C85" s="4" t="s">
        <v>63</v>
      </c>
      <c r="D85" s="4" t="s">
        <v>67</v>
      </c>
      <c r="E85" s="4" t="s">
        <v>71</v>
      </c>
      <c r="F85" s="6">
        <v>1</v>
      </c>
      <c r="G85" s="7">
        <v>0</v>
      </c>
      <c r="H85" s="5">
        <v>1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5">
        <v>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405</v>
      </c>
      <c r="B86" s="9" t="s">
        <v>217</v>
      </c>
      <c r="C86" s="9" t="s">
        <v>63</v>
      </c>
      <c r="D86" s="9" t="s">
        <v>76</v>
      </c>
      <c r="E86" s="9" t="s">
        <v>137</v>
      </c>
      <c r="F86" s="11">
        <v>2</v>
      </c>
      <c r="G86" s="10">
        <v>1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1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0.26</v>
      </c>
    </row>
    <row r="87">
      <c r="A87" s="23">
        <v>407</v>
      </c>
      <c r="B87" s="4" t="s">
        <v>218</v>
      </c>
      <c r="C87" s="4" t="s">
        <v>63</v>
      </c>
      <c r="D87" s="4" t="s">
        <v>80</v>
      </c>
      <c r="E87" s="4" t="s">
        <v>96</v>
      </c>
      <c r="F87" s="6">
        <v>1</v>
      </c>
      <c r="G87" s="7">
        <v>0</v>
      </c>
      <c r="H87" s="5">
        <v>1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5">
        <v>1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0.22</v>
      </c>
    </row>
    <row r="88">
      <c r="A88" s="24">
        <v>408</v>
      </c>
      <c r="B88" s="9" t="s">
        <v>219</v>
      </c>
      <c r="C88" s="9" t="s">
        <v>63</v>
      </c>
      <c r="D88" s="9" t="s">
        <v>133</v>
      </c>
      <c r="E88" s="9" t="s">
        <v>220</v>
      </c>
      <c r="F88" s="11">
        <v>3</v>
      </c>
      <c r="G88" s="10">
        <v>3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0">
        <v>3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3</v>
      </c>
      <c r="AK88" s="13">
        <v>3</v>
      </c>
      <c r="AL88" s="10">
        <v>3</v>
      </c>
      <c r="AM88" s="10">
        <v>3</v>
      </c>
      <c r="AN88" s="29">
        <v>0.85</v>
      </c>
    </row>
    <row r="89">
      <c r="A89" s="23">
        <v>414</v>
      </c>
      <c r="B89" s="4" t="s">
        <v>221</v>
      </c>
      <c r="C89" s="4" t="s">
        <v>63</v>
      </c>
      <c r="D89" s="4" t="s">
        <v>115</v>
      </c>
      <c r="E89" s="4" t="s">
        <v>222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416</v>
      </c>
      <c r="B90" s="9" t="s">
        <v>223</v>
      </c>
      <c r="C90" s="9" t="s">
        <v>63</v>
      </c>
      <c r="D90" s="9" t="s">
        <v>76</v>
      </c>
      <c r="E90" s="9" t="s">
        <v>77</v>
      </c>
      <c r="F90" s="11">
        <v>2</v>
      </c>
      <c r="G90" s="10">
        <v>1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0">
        <v>1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0.5</v>
      </c>
    </row>
    <row r="91">
      <c r="A91" s="23">
        <v>417</v>
      </c>
      <c r="B91" s="4" t="s">
        <v>224</v>
      </c>
      <c r="C91" s="4" t="s">
        <v>63</v>
      </c>
      <c r="D91" s="4" t="s">
        <v>80</v>
      </c>
      <c r="E91" s="4" t="s">
        <v>81</v>
      </c>
      <c r="F91" s="6">
        <v>3</v>
      </c>
      <c r="G91" s="5">
        <v>1</v>
      </c>
      <c r="H91" s="7">
        <v>0</v>
      </c>
      <c r="I91" s="5">
        <v>1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</v>
      </c>
      <c r="V91" s="5">
        <v>1</v>
      </c>
      <c r="W91" s="7">
        <v>0</v>
      </c>
      <c r="X91" s="5">
        <v>1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0.85</v>
      </c>
    </row>
    <row r="92">
      <c r="A92" s="24">
        <v>419</v>
      </c>
      <c r="B92" s="9" t="s">
        <v>225</v>
      </c>
      <c r="C92" s="9" t="s">
        <v>63</v>
      </c>
      <c r="D92" s="9" t="s">
        <v>115</v>
      </c>
      <c r="E92" s="9" t="s">
        <v>116</v>
      </c>
      <c r="F92" s="11">
        <v>1</v>
      </c>
      <c r="G92" s="12">
        <v>0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2">
        <v>0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0.22</v>
      </c>
    </row>
    <row r="93">
      <c r="A93" s="23">
        <v>420</v>
      </c>
      <c r="B93" s="4" t="s">
        <v>226</v>
      </c>
      <c r="C93" s="4" t="s">
        <v>63</v>
      </c>
      <c r="D93" s="4" t="s">
        <v>115</v>
      </c>
      <c r="E93" s="4" t="s">
        <v>227</v>
      </c>
      <c r="F93" s="6">
        <v>1</v>
      </c>
      <c r="G93" s="7">
        <v>0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0.26</v>
      </c>
    </row>
    <row r="94">
      <c r="A94" s="24">
        <v>425</v>
      </c>
      <c r="B94" s="9" t="s">
        <v>228</v>
      </c>
      <c r="C94" s="9" t="s">
        <v>63</v>
      </c>
      <c r="D94" s="9" t="s">
        <v>115</v>
      </c>
      <c r="E94" s="9" t="s">
        <v>229</v>
      </c>
      <c r="F94" s="11">
        <v>1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0">
        <v>1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0">
        <v>1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9">
        <v>0</v>
      </c>
    </row>
    <row r="95">
      <c r="A95" s="23">
        <v>428</v>
      </c>
      <c r="B95" s="4" t="s">
        <v>230</v>
      </c>
      <c r="C95" s="4" t="s">
        <v>63</v>
      </c>
      <c r="D95" s="4" t="s">
        <v>85</v>
      </c>
      <c r="E95" s="4" t="s">
        <v>231</v>
      </c>
      <c r="F95" s="6">
        <v>15</v>
      </c>
      <c r="G95" s="7">
        <v>0</v>
      </c>
      <c r="H95" s="7">
        <v>0</v>
      </c>
      <c r="I95" s="7">
        <v>0</v>
      </c>
      <c r="J95" s="5">
        <v>15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15</v>
      </c>
      <c r="V95" s="7">
        <v>0</v>
      </c>
      <c r="W95" s="7">
        <v>0</v>
      </c>
      <c r="X95" s="7">
        <v>0</v>
      </c>
      <c r="Y95" s="5">
        <v>15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5</v>
      </c>
      <c r="AL95" s="5">
        <v>2</v>
      </c>
      <c r="AM95" s="5">
        <v>12</v>
      </c>
      <c r="AN95" s="30">
        <v>0</v>
      </c>
    </row>
    <row r="96">
      <c r="A96" s="24">
        <v>435</v>
      </c>
      <c r="B96" s="9" t="s">
        <v>232</v>
      </c>
      <c r="C96" s="9" t="s">
        <v>63</v>
      </c>
      <c r="D96" s="9" t="s">
        <v>115</v>
      </c>
      <c r="E96" s="9" t="s">
        <v>124</v>
      </c>
      <c r="F96" s="11">
        <v>4</v>
      </c>
      <c r="G96" s="10">
        <v>1</v>
      </c>
      <c r="H96" s="12">
        <v>0</v>
      </c>
      <c r="I96" s="10">
        <v>1</v>
      </c>
      <c r="J96" s="10">
        <v>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0">
        <v>1</v>
      </c>
      <c r="W96" s="12">
        <v>0</v>
      </c>
      <c r="X96" s="10">
        <v>1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1.33</v>
      </c>
      <c r="AL96" s="10">
        <v>1</v>
      </c>
      <c r="AM96" s="10">
        <v>2</v>
      </c>
      <c r="AN96" s="29">
        <v>0.52</v>
      </c>
    </row>
    <row r="97">
      <c r="A97" s="23">
        <v>437</v>
      </c>
      <c r="B97" s="4" t="s">
        <v>233</v>
      </c>
      <c r="C97" s="4" t="s">
        <v>63</v>
      </c>
      <c r="D97" s="4" t="s">
        <v>76</v>
      </c>
      <c r="E97" s="4" t="s">
        <v>234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0">
        <v>0</v>
      </c>
    </row>
    <row r="98">
      <c r="A98" s="24">
        <v>445</v>
      </c>
      <c r="B98" s="9" t="s">
        <v>235</v>
      </c>
      <c r="C98" s="9" t="s">
        <v>63</v>
      </c>
      <c r="D98" s="9" t="s">
        <v>80</v>
      </c>
      <c r="E98" s="9" t="s">
        <v>81</v>
      </c>
      <c r="F98" s="11">
        <v>2</v>
      </c>
      <c r="G98" s="10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2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49">
        <v>0</v>
      </c>
    </row>
    <row r="99">
      <c r="A99" s="23">
        <v>446</v>
      </c>
      <c r="B99" s="4" t="s">
        <v>236</v>
      </c>
      <c r="C99" s="4" t="s">
        <v>63</v>
      </c>
      <c r="D99" s="4" t="s">
        <v>133</v>
      </c>
      <c r="E99" s="4" t="s">
        <v>134</v>
      </c>
      <c r="F99" s="6">
        <v>1</v>
      </c>
      <c r="G99" s="7">
        <v>0</v>
      </c>
      <c r="H99" s="7">
        <v>0</v>
      </c>
      <c r="I99" s="5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7">
        <v>0</v>
      </c>
      <c r="W99" s="7">
        <v>0</v>
      </c>
      <c r="X99" s="5">
        <v>1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0.22</v>
      </c>
    </row>
    <row r="100">
      <c r="A100" s="24">
        <v>449</v>
      </c>
      <c r="B100" s="9" t="s">
        <v>237</v>
      </c>
      <c r="C100" s="9" t="s">
        <v>63</v>
      </c>
      <c r="D100" s="9" t="s">
        <v>80</v>
      </c>
      <c r="E100" s="9" t="s">
        <v>81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0.35</v>
      </c>
    </row>
    <row r="101">
      <c r="A101" s="23">
        <v>450</v>
      </c>
      <c r="B101" s="4" t="s">
        <v>238</v>
      </c>
      <c r="C101" s="4" t="s">
        <v>63</v>
      </c>
      <c r="D101" s="4" t="s">
        <v>80</v>
      </c>
      <c r="E101" s="4" t="s">
        <v>81</v>
      </c>
      <c r="F101" s="6">
        <v>1</v>
      </c>
      <c r="G101" s="7">
        <v>0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0.24</v>
      </c>
    </row>
    <row r="102">
      <c r="A102" s="24">
        <v>452</v>
      </c>
      <c r="B102" s="9" t="s">
        <v>239</v>
      </c>
      <c r="C102" s="9" t="s">
        <v>63</v>
      </c>
      <c r="D102" s="9" t="s">
        <v>76</v>
      </c>
      <c r="E102" s="9" t="s">
        <v>137</v>
      </c>
      <c r="F102" s="11">
        <v>1</v>
      </c>
      <c r="G102" s="12">
        <v>0</v>
      </c>
      <c r="H102" s="12">
        <v>0</v>
      </c>
      <c r="I102" s="12">
        <v>0</v>
      </c>
      <c r="J102" s="10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2">
        <v>0</v>
      </c>
      <c r="W102" s="12">
        <v>0</v>
      </c>
      <c r="X102" s="12">
        <v>0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457</v>
      </c>
      <c r="B103" s="4" t="s">
        <v>240</v>
      </c>
      <c r="C103" s="4" t="s">
        <v>241</v>
      </c>
      <c r="D103" s="4" t="s">
        <v>242</v>
      </c>
      <c r="E103" s="4" t="s">
        <v>243</v>
      </c>
      <c r="F103" s="6">
        <v>1</v>
      </c>
      <c r="G103" s="7">
        <v>0</v>
      </c>
      <c r="H103" s="5">
        <v>1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5">
        <v>1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0.24</v>
      </c>
    </row>
    <row r="104">
      <c r="A104" s="24">
        <v>462</v>
      </c>
      <c r="B104" s="9" t="s">
        <v>244</v>
      </c>
      <c r="C104" s="9" t="s">
        <v>63</v>
      </c>
      <c r="D104" s="9" t="s">
        <v>109</v>
      </c>
      <c r="E104" s="9" t="s">
        <v>145</v>
      </c>
      <c r="F104" s="11">
        <v>2</v>
      </c>
      <c r="G104" s="12">
        <v>0</v>
      </c>
      <c r="H104" s="12">
        <v>0</v>
      </c>
      <c r="I104" s="12">
        <v>0</v>
      </c>
      <c r="J104" s="10">
        <v>2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2">
        <v>0</v>
      </c>
      <c r="W104" s="12">
        <v>0</v>
      </c>
      <c r="X104" s="12">
        <v>0</v>
      </c>
      <c r="Y104" s="10">
        <v>2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49">
        <v>0</v>
      </c>
    </row>
    <row r="105">
      <c r="A105" s="23">
        <v>473</v>
      </c>
      <c r="B105" s="4" t="s">
        <v>245</v>
      </c>
      <c r="C105" s="4" t="s">
        <v>171</v>
      </c>
      <c r="D105" s="4" t="s">
        <v>202</v>
      </c>
      <c r="E105" s="4" t="s">
        <v>203</v>
      </c>
      <c r="F105" s="6">
        <v>2</v>
      </c>
      <c r="G105" s="5">
        <v>1</v>
      </c>
      <c r="H105" s="7">
        <v>0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5">
        <v>1</v>
      </c>
      <c r="W105" s="7">
        <v>0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482</v>
      </c>
      <c r="B106" s="9" t="s">
        <v>246</v>
      </c>
      <c r="C106" s="9" t="s">
        <v>63</v>
      </c>
      <c r="D106" s="9" t="s">
        <v>115</v>
      </c>
      <c r="E106" s="9" t="s">
        <v>247</v>
      </c>
      <c r="F106" s="11">
        <v>5</v>
      </c>
      <c r="G106" s="10">
        <v>5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5</v>
      </c>
      <c r="V106" s="10">
        <v>5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5</v>
      </c>
      <c r="AK106" s="13">
        <v>5</v>
      </c>
      <c r="AL106" s="10">
        <v>5</v>
      </c>
      <c r="AM106" s="10">
        <v>5</v>
      </c>
      <c r="AN106" s="49">
        <v>0</v>
      </c>
    </row>
    <row r="107">
      <c r="A107" s="23">
        <v>486</v>
      </c>
      <c r="B107" s="4" t="s">
        <v>248</v>
      </c>
      <c r="C107" s="4" t="s">
        <v>63</v>
      </c>
      <c r="D107" s="4" t="s">
        <v>80</v>
      </c>
      <c r="E107" s="4" t="s">
        <v>81</v>
      </c>
      <c r="F107" s="6">
        <v>3</v>
      </c>
      <c r="G107" s="5">
        <v>1</v>
      </c>
      <c r="H107" s="7">
        <v>0</v>
      </c>
      <c r="I107" s="7">
        <v>0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3</v>
      </c>
      <c r="V107" s="5">
        <v>1</v>
      </c>
      <c r="W107" s="7">
        <v>0</v>
      </c>
      <c r="X107" s="7">
        <v>0</v>
      </c>
      <c r="Y107" s="5">
        <v>2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1.5</v>
      </c>
      <c r="AL107" s="5">
        <v>1</v>
      </c>
      <c r="AM107" s="5">
        <v>2</v>
      </c>
      <c r="AN107" s="28">
        <v>0.5</v>
      </c>
    </row>
    <row r="108">
      <c r="A108" s="24">
        <v>490</v>
      </c>
      <c r="B108" s="9" t="s">
        <v>249</v>
      </c>
      <c r="C108" s="9" t="s">
        <v>63</v>
      </c>
      <c r="D108" s="9" t="s">
        <v>80</v>
      </c>
      <c r="E108" s="9" t="s">
        <v>81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493</v>
      </c>
      <c r="B109" s="4" t="s">
        <v>250</v>
      </c>
      <c r="C109" s="4" t="s">
        <v>63</v>
      </c>
      <c r="D109" s="4" t="s">
        <v>133</v>
      </c>
      <c r="E109" s="4" t="s">
        <v>251</v>
      </c>
      <c r="F109" s="6">
        <v>2</v>
      </c>
      <c r="G109" s="5">
        <v>1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5">
        <v>1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500</v>
      </c>
      <c r="B110" s="9" t="s">
        <v>252</v>
      </c>
      <c r="C110" s="9" t="s">
        <v>141</v>
      </c>
      <c r="D110" s="9" t="s">
        <v>253</v>
      </c>
      <c r="E110" s="9" t="s">
        <v>254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9">
        <v>0</v>
      </c>
    </row>
    <row r="111">
      <c r="A111" s="23">
        <v>508</v>
      </c>
      <c r="B111" s="4" t="s">
        <v>255</v>
      </c>
      <c r="C111" s="4" t="s">
        <v>63</v>
      </c>
      <c r="D111" s="4" t="s">
        <v>115</v>
      </c>
      <c r="E111" s="4" t="s">
        <v>129</v>
      </c>
      <c r="F111" s="6">
        <v>1</v>
      </c>
      <c r="G111" s="7">
        <v>0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511</v>
      </c>
      <c r="B112" s="9" t="s">
        <v>256</v>
      </c>
      <c r="C112" s="9" t="s">
        <v>63</v>
      </c>
      <c r="D112" s="9" t="s">
        <v>80</v>
      </c>
      <c r="E112" s="9" t="s">
        <v>257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512</v>
      </c>
      <c r="B113" s="4" t="s">
        <v>258</v>
      </c>
      <c r="C113" s="4" t="s">
        <v>63</v>
      </c>
      <c r="D113" s="4" t="s">
        <v>115</v>
      </c>
      <c r="E113" s="4" t="s">
        <v>116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521</v>
      </c>
      <c r="B114" s="9" t="s">
        <v>259</v>
      </c>
      <c r="C114" s="9" t="s">
        <v>63</v>
      </c>
      <c r="D114" s="9" t="s">
        <v>67</v>
      </c>
      <c r="E114" s="9" t="s">
        <v>71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0.26</v>
      </c>
    </row>
    <row r="115">
      <c r="A115" s="23">
        <v>522</v>
      </c>
      <c r="B115" s="4" t="s">
        <v>260</v>
      </c>
      <c r="C115" s="4" t="s">
        <v>63</v>
      </c>
      <c r="D115" s="4" t="s">
        <v>115</v>
      </c>
      <c r="E115" s="4" t="s">
        <v>116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0.26</v>
      </c>
    </row>
    <row r="116">
      <c r="A116" s="24">
        <v>528</v>
      </c>
      <c r="B116" s="9" t="s">
        <v>261</v>
      </c>
      <c r="C116" s="9" t="s">
        <v>63</v>
      </c>
      <c r="D116" s="9" t="s">
        <v>115</v>
      </c>
      <c r="E116" s="9" t="s">
        <v>247</v>
      </c>
      <c r="F116" s="11">
        <v>4</v>
      </c>
      <c r="G116" s="10">
        <v>3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2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2</v>
      </c>
      <c r="AM116" s="10">
        <v>3</v>
      </c>
      <c r="AN116" s="29">
        <v>0.25</v>
      </c>
    </row>
    <row r="117">
      <c r="A117" s="23">
        <v>529</v>
      </c>
      <c r="B117" s="4" t="s">
        <v>262</v>
      </c>
      <c r="C117" s="4" t="s">
        <v>63</v>
      </c>
      <c r="D117" s="4" t="s">
        <v>80</v>
      </c>
      <c r="E117" s="4" t="s">
        <v>88</v>
      </c>
      <c r="F117" s="6">
        <v>2</v>
      </c>
      <c r="G117" s="5">
        <v>1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5">
        <v>1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537</v>
      </c>
      <c r="B118" s="9" t="s">
        <v>263</v>
      </c>
      <c r="C118" s="9" t="s">
        <v>63</v>
      </c>
      <c r="D118" s="9" t="s">
        <v>76</v>
      </c>
      <c r="E118" s="9" t="s">
        <v>264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0.26</v>
      </c>
    </row>
    <row r="119">
      <c r="A119" s="23">
        <v>561</v>
      </c>
      <c r="B119" s="4" t="s">
        <v>265</v>
      </c>
      <c r="C119" s="4" t="s">
        <v>63</v>
      </c>
      <c r="D119" s="4" t="s">
        <v>67</v>
      </c>
      <c r="E119" s="4" t="s">
        <v>160</v>
      </c>
      <c r="F119" s="6">
        <v>2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5">
        <v>2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5">
        <v>2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30">
        <v>0</v>
      </c>
    </row>
    <row r="120">
      <c r="A120" s="24">
        <v>565</v>
      </c>
      <c r="B120" s="9" t="s">
        <v>266</v>
      </c>
      <c r="C120" s="9" t="s">
        <v>63</v>
      </c>
      <c r="D120" s="9" t="s">
        <v>67</v>
      </c>
      <c r="E120" s="9" t="s">
        <v>160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49">
        <v>0</v>
      </c>
    </row>
    <row r="121">
      <c r="A121" s="23">
        <v>567</v>
      </c>
      <c r="B121" s="4" t="s">
        <v>267</v>
      </c>
      <c r="C121" s="4" t="s">
        <v>63</v>
      </c>
      <c r="D121" s="4" t="s">
        <v>67</v>
      </c>
      <c r="E121" s="4" t="s">
        <v>160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0.36</v>
      </c>
    </row>
    <row r="122">
      <c r="A122" s="24">
        <v>570</v>
      </c>
      <c r="B122" s="9" t="s">
        <v>268</v>
      </c>
      <c r="C122" s="9" t="s">
        <v>63</v>
      </c>
      <c r="D122" s="9" t="s">
        <v>67</v>
      </c>
      <c r="E122" s="9" t="s">
        <v>160</v>
      </c>
      <c r="F122" s="11">
        <v>2</v>
      </c>
      <c r="G122" s="10">
        <v>1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1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</v>
      </c>
    </row>
    <row r="123">
      <c r="A123" s="23">
        <v>574</v>
      </c>
      <c r="B123" s="4" t="s">
        <v>269</v>
      </c>
      <c r="C123" s="4" t="s">
        <v>63</v>
      </c>
      <c r="D123" s="4" t="s">
        <v>67</v>
      </c>
      <c r="E123" s="4" t="s">
        <v>160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30">
        <v>0</v>
      </c>
    </row>
    <row r="124">
      <c r="A124" s="24">
        <v>576</v>
      </c>
      <c r="B124" s="9" t="s">
        <v>270</v>
      </c>
      <c r="C124" s="9" t="s">
        <v>63</v>
      </c>
      <c r="D124" s="9" t="s">
        <v>67</v>
      </c>
      <c r="E124" s="9" t="s">
        <v>160</v>
      </c>
      <c r="F124" s="11">
        <v>3</v>
      </c>
      <c r="G124" s="10">
        <v>3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3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49">
        <v>0</v>
      </c>
    </row>
    <row r="125">
      <c r="A125" s="23">
        <v>579</v>
      </c>
      <c r="B125" s="4" t="s">
        <v>271</v>
      </c>
      <c r="C125" s="4" t="s">
        <v>63</v>
      </c>
      <c r="D125" s="4" t="s">
        <v>67</v>
      </c>
      <c r="E125" s="4" t="s">
        <v>160</v>
      </c>
      <c r="F125" s="6">
        <v>2</v>
      </c>
      <c r="G125" s="7">
        <v>0</v>
      </c>
      <c r="H125" s="7">
        <v>0</v>
      </c>
      <c r="I125" s="5">
        <v>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7">
        <v>0</v>
      </c>
      <c r="W125" s="7">
        <v>0</v>
      </c>
      <c r="X125" s="5">
        <v>2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2</v>
      </c>
      <c r="AL125" s="5">
        <v>2</v>
      </c>
      <c r="AM125" s="5">
        <v>2</v>
      </c>
      <c r="AN125" s="28">
        <v>0.5</v>
      </c>
    </row>
    <row r="126">
      <c r="A126" s="24">
        <v>583</v>
      </c>
      <c r="B126" s="9" t="s">
        <v>272</v>
      </c>
      <c r="C126" s="9" t="s">
        <v>63</v>
      </c>
      <c r="D126" s="9" t="s">
        <v>67</v>
      </c>
      <c r="E126" s="9" t="s">
        <v>160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9">
        <v>0</v>
      </c>
    </row>
    <row r="127">
      <c r="A127" s="23">
        <v>587</v>
      </c>
      <c r="B127" s="4" t="s">
        <v>273</v>
      </c>
      <c r="C127" s="4" t="s">
        <v>63</v>
      </c>
      <c r="D127" s="4" t="s">
        <v>67</v>
      </c>
      <c r="E127" s="4" t="s">
        <v>68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591</v>
      </c>
      <c r="B128" s="9" t="s">
        <v>274</v>
      </c>
      <c r="C128" s="9" t="s">
        <v>63</v>
      </c>
      <c r="D128" s="9" t="s">
        <v>67</v>
      </c>
      <c r="E128" s="9" t="s">
        <v>71</v>
      </c>
      <c r="F128" s="11">
        <v>2</v>
      </c>
      <c r="G128" s="12">
        <v>0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2">
        <v>0</v>
      </c>
      <c r="W128" s="12">
        <v>0</v>
      </c>
      <c r="X128" s="12">
        <v>0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599</v>
      </c>
      <c r="B129" s="4" t="s">
        <v>275</v>
      </c>
      <c r="C129" s="4" t="s">
        <v>63</v>
      </c>
      <c r="D129" s="4" t="s">
        <v>67</v>
      </c>
      <c r="E129" s="4" t="s">
        <v>71</v>
      </c>
      <c r="F129" s="6">
        <v>2</v>
      </c>
      <c r="G129" s="5">
        <v>2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5">
        <v>2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</v>
      </c>
      <c r="AL129" s="5">
        <v>2</v>
      </c>
      <c r="AM129" s="5">
        <v>2</v>
      </c>
      <c r="AN129" s="30">
        <v>0</v>
      </c>
    </row>
    <row r="130">
      <c r="A130" s="24">
        <v>601</v>
      </c>
      <c r="B130" s="9" t="s">
        <v>276</v>
      </c>
      <c r="C130" s="9" t="s">
        <v>63</v>
      </c>
      <c r="D130" s="9" t="s">
        <v>67</v>
      </c>
      <c r="E130" s="9" t="s">
        <v>71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9">
        <v>0</v>
      </c>
    </row>
    <row r="131">
      <c r="A131" s="23">
        <v>611</v>
      </c>
      <c r="B131" s="4" t="s">
        <v>277</v>
      </c>
      <c r="C131" s="4" t="s">
        <v>63</v>
      </c>
      <c r="D131" s="4" t="s">
        <v>67</v>
      </c>
      <c r="E131" s="4" t="s">
        <v>71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626</v>
      </c>
      <c r="B132" s="9" t="s">
        <v>278</v>
      </c>
      <c r="C132" s="9" t="s">
        <v>63</v>
      </c>
      <c r="D132" s="9" t="s">
        <v>73</v>
      </c>
      <c r="E132" s="9" t="s">
        <v>74</v>
      </c>
      <c r="F132" s="11">
        <v>1</v>
      </c>
      <c r="G132" s="12">
        <v>0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2">
        <v>0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0.26</v>
      </c>
    </row>
    <row r="133">
      <c r="A133" s="23">
        <v>667</v>
      </c>
      <c r="B133" s="4" t="s">
        <v>279</v>
      </c>
      <c r="C133" s="4" t="s">
        <v>63</v>
      </c>
      <c r="D133" s="4" t="s">
        <v>76</v>
      </c>
      <c r="E133" s="4" t="s">
        <v>137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673</v>
      </c>
      <c r="B134" s="9" t="s">
        <v>280</v>
      </c>
      <c r="C134" s="9" t="s">
        <v>63</v>
      </c>
      <c r="D134" s="9" t="s">
        <v>76</v>
      </c>
      <c r="E134" s="9" t="s">
        <v>137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9">
        <v>0</v>
      </c>
    </row>
    <row r="135">
      <c r="A135" s="23">
        <v>676</v>
      </c>
      <c r="B135" s="4" t="s">
        <v>281</v>
      </c>
      <c r="C135" s="4" t="s">
        <v>63</v>
      </c>
      <c r="D135" s="4" t="s">
        <v>76</v>
      </c>
      <c r="E135" s="4" t="s">
        <v>137</v>
      </c>
      <c r="F135" s="6">
        <v>3</v>
      </c>
      <c r="G135" s="7">
        <v>0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5">
        <v>1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7">
        <v>0</v>
      </c>
      <c r="W135" s="7">
        <v>0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5">
        <v>1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0.5</v>
      </c>
    </row>
    <row r="136">
      <c r="A136" s="24">
        <v>688</v>
      </c>
      <c r="B136" s="9" t="s">
        <v>282</v>
      </c>
      <c r="C136" s="9" t="s">
        <v>63</v>
      </c>
      <c r="D136" s="9" t="s">
        <v>76</v>
      </c>
      <c r="E136" s="9" t="s">
        <v>137</v>
      </c>
      <c r="F136" s="11">
        <v>2</v>
      </c>
      <c r="G136" s="12">
        <v>0</v>
      </c>
      <c r="H136" s="12">
        <v>0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2">
        <v>0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689</v>
      </c>
      <c r="B137" s="4" t="s">
        <v>283</v>
      </c>
      <c r="C137" s="4" t="s">
        <v>63</v>
      </c>
      <c r="D137" s="4" t="s">
        <v>76</v>
      </c>
      <c r="E137" s="4" t="s">
        <v>137</v>
      </c>
      <c r="F137" s="6">
        <v>2</v>
      </c>
      <c r="G137" s="5">
        <v>1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5">
        <v>1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690</v>
      </c>
      <c r="B138" s="9" t="s">
        <v>284</v>
      </c>
      <c r="C138" s="9" t="s">
        <v>63</v>
      </c>
      <c r="D138" s="9" t="s">
        <v>76</v>
      </c>
      <c r="E138" s="9" t="s">
        <v>137</v>
      </c>
      <c r="F138" s="11">
        <v>3</v>
      </c>
      <c r="G138" s="12">
        <v>0</v>
      </c>
      <c r="H138" s="12">
        <v>0</v>
      </c>
      <c r="I138" s="12">
        <v>0</v>
      </c>
      <c r="J138" s="10">
        <v>3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3</v>
      </c>
      <c r="V138" s="12">
        <v>0</v>
      </c>
      <c r="W138" s="12">
        <v>0</v>
      </c>
      <c r="X138" s="12">
        <v>0</v>
      </c>
      <c r="Y138" s="10">
        <v>3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0.5</v>
      </c>
    </row>
    <row r="139">
      <c r="A139" s="23">
        <v>704</v>
      </c>
      <c r="B139" s="4" t="s">
        <v>285</v>
      </c>
      <c r="C139" s="4" t="s">
        <v>63</v>
      </c>
      <c r="D139" s="4" t="s">
        <v>76</v>
      </c>
      <c r="E139" s="4" t="s">
        <v>137</v>
      </c>
      <c r="F139" s="6">
        <v>3</v>
      </c>
      <c r="G139" s="5">
        <v>1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1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28">
        <v>0.22</v>
      </c>
    </row>
    <row r="140">
      <c r="A140" s="24">
        <v>707</v>
      </c>
      <c r="B140" s="9" t="s">
        <v>286</v>
      </c>
      <c r="C140" s="9" t="s">
        <v>63</v>
      </c>
      <c r="D140" s="9" t="s">
        <v>76</v>
      </c>
      <c r="E140" s="9" t="s">
        <v>287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724</v>
      </c>
      <c r="B141" s="4" t="s">
        <v>288</v>
      </c>
      <c r="C141" s="4" t="s">
        <v>63</v>
      </c>
      <c r="D141" s="4" t="s">
        <v>76</v>
      </c>
      <c r="E141" s="4" t="s">
        <v>287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731</v>
      </c>
      <c r="B142" s="9" t="s">
        <v>289</v>
      </c>
      <c r="C142" s="9" t="s">
        <v>63</v>
      </c>
      <c r="D142" s="9" t="s">
        <v>76</v>
      </c>
      <c r="E142" s="9" t="s">
        <v>287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9">
        <v>0</v>
      </c>
    </row>
    <row r="143">
      <c r="A143" s="23">
        <v>738</v>
      </c>
      <c r="B143" s="4" t="s">
        <v>290</v>
      </c>
      <c r="C143" s="4" t="s">
        <v>63</v>
      </c>
      <c r="D143" s="4" t="s">
        <v>76</v>
      </c>
      <c r="E143" s="4" t="s">
        <v>287</v>
      </c>
      <c r="F143" s="6">
        <v>2</v>
      </c>
      <c r="G143" s="7">
        <v>0</v>
      </c>
      <c r="H143" s="7">
        <v>0</v>
      </c>
      <c r="I143" s="5">
        <v>1</v>
      </c>
      <c r="J143" s="7">
        <v>0</v>
      </c>
      <c r="K143" s="5">
        <v>1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7">
        <v>0</v>
      </c>
      <c r="W143" s="7">
        <v>0</v>
      </c>
      <c r="X143" s="5">
        <v>1</v>
      </c>
      <c r="Y143" s="7">
        <v>0</v>
      </c>
      <c r="Z143" s="5">
        <v>1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747</v>
      </c>
      <c r="B144" s="9" t="s">
        <v>291</v>
      </c>
      <c r="C144" s="9" t="s">
        <v>63</v>
      </c>
      <c r="D144" s="9" t="s">
        <v>115</v>
      </c>
      <c r="E144" s="9" t="s">
        <v>292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9">
        <v>0</v>
      </c>
    </row>
    <row r="145">
      <c r="A145" s="23">
        <v>763</v>
      </c>
      <c r="B145" s="4" t="s">
        <v>293</v>
      </c>
      <c r="C145" s="4" t="s">
        <v>63</v>
      </c>
      <c r="D145" s="4" t="s">
        <v>76</v>
      </c>
      <c r="E145" s="4" t="s">
        <v>294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765</v>
      </c>
      <c r="B146" s="9" t="s">
        <v>295</v>
      </c>
      <c r="C146" s="9" t="s">
        <v>63</v>
      </c>
      <c r="D146" s="9" t="s">
        <v>85</v>
      </c>
      <c r="E146" s="9" t="s">
        <v>107</v>
      </c>
      <c r="F146" s="11">
        <v>3</v>
      </c>
      <c r="G146" s="10">
        <v>1</v>
      </c>
      <c r="H146" s="12">
        <v>0</v>
      </c>
      <c r="I146" s="12">
        <v>0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3</v>
      </c>
      <c r="V146" s="10">
        <v>1</v>
      </c>
      <c r="W146" s="12">
        <v>0</v>
      </c>
      <c r="X146" s="12">
        <v>0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29">
        <v>0.5</v>
      </c>
    </row>
    <row r="147">
      <c r="A147" s="23">
        <v>766</v>
      </c>
      <c r="B147" s="4" t="s">
        <v>296</v>
      </c>
      <c r="C147" s="4" t="s">
        <v>63</v>
      </c>
      <c r="D147" s="4" t="s">
        <v>80</v>
      </c>
      <c r="E147" s="4" t="s">
        <v>88</v>
      </c>
      <c r="F147" s="6">
        <v>4</v>
      </c>
      <c r="G147" s="5">
        <v>1</v>
      </c>
      <c r="H147" s="7">
        <v>0</v>
      </c>
      <c r="I147" s="5">
        <v>1</v>
      </c>
      <c r="J147" s="5">
        <v>1</v>
      </c>
      <c r="K147" s="7">
        <v>0</v>
      </c>
      <c r="L147" s="7">
        <v>0</v>
      </c>
      <c r="M147" s="7">
        <v>0</v>
      </c>
      <c r="N147" s="5">
        <v>1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4</v>
      </c>
      <c r="V147" s="5">
        <v>1</v>
      </c>
      <c r="W147" s="7">
        <v>0</v>
      </c>
      <c r="X147" s="5">
        <v>1</v>
      </c>
      <c r="Y147" s="5">
        <v>1</v>
      </c>
      <c r="Z147" s="7">
        <v>0</v>
      </c>
      <c r="AA147" s="7">
        <v>0</v>
      </c>
      <c r="AB147" s="7">
        <v>0</v>
      </c>
      <c r="AC147" s="5">
        <v>1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814</v>
      </c>
      <c r="B148" s="9" t="s">
        <v>297</v>
      </c>
      <c r="C148" s="9" t="s">
        <v>63</v>
      </c>
      <c r="D148" s="9" t="s">
        <v>76</v>
      </c>
      <c r="E148" s="9" t="s">
        <v>298</v>
      </c>
      <c r="F148" s="11">
        <v>1</v>
      </c>
      <c r="G148" s="12">
        <v>0</v>
      </c>
      <c r="H148" s="12">
        <v>0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9">
        <v>0</v>
      </c>
    </row>
    <row r="149">
      <c r="A149" s="23">
        <v>848</v>
      </c>
      <c r="B149" s="4" t="s">
        <v>299</v>
      </c>
      <c r="C149" s="4" t="s">
        <v>63</v>
      </c>
      <c r="D149" s="4" t="s">
        <v>76</v>
      </c>
      <c r="E149" s="4" t="s">
        <v>169</v>
      </c>
      <c r="F149" s="6">
        <v>2</v>
      </c>
      <c r="G149" s="7">
        <v>0</v>
      </c>
      <c r="H149" s="7">
        <v>0</v>
      </c>
      <c r="I149" s="5">
        <v>2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7">
        <v>0</v>
      </c>
      <c r="W149" s="7">
        <v>0</v>
      </c>
      <c r="X149" s="5">
        <v>2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28">
        <v>0.52</v>
      </c>
    </row>
    <row r="150">
      <c r="A150" s="24">
        <v>854</v>
      </c>
      <c r="B150" s="9" t="s">
        <v>300</v>
      </c>
      <c r="C150" s="9" t="s">
        <v>63</v>
      </c>
      <c r="D150" s="9" t="s">
        <v>76</v>
      </c>
      <c r="E150" s="9" t="s">
        <v>169</v>
      </c>
      <c r="F150" s="11">
        <v>7</v>
      </c>
      <c r="G150" s="12">
        <v>0</v>
      </c>
      <c r="H150" s="12">
        <v>0</v>
      </c>
      <c r="I150" s="12">
        <v>0</v>
      </c>
      <c r="J150" s="10">
        <v>7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6</v>
      </c>
      <c r="V150" s="12">
        <v>0</v>
      </c>
      <c r="W150" s="12">
        <v>0</v>
      </c>
      <c r="X150" s="12">
        <v>0</v>
      </c>
      <c r="Y150" s="10">
        <v>6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7</v>
      </c>
      <c r="AK150" s="13">
        <v>7</v>
      </c>
      <c r="AL150" s="10">
        <v>7</v>
      </c>
      <c r="AM150" s="10">
        <v>7</v>
      </c>
      <c r="AN150" s="29">
        <v>1.5</v>
      </c>
    </row>
    <row r="151">
      <c r="A151" s="23">
        <v>886</v>
      </c>
      <c r="B151" s="4" t="s">
        <v>301</v>
      </c>
      <c r="C151" s="4" t="s">
        <v>63</v>
      </c>
      <c r="D151" s="4" t="s">
        <v>76</v>
      </c>
      <c r="E151" s="4" t="s">
        <v>169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28">
        <v>0.5</v>
      </c>
    </row>
    <row r="152">
      <c r="A152" s="24">
        <v>894</v>
      </c>
      <c r="B152" s="9" t="s">
        <v>302</v>
      </c>
      <c r="C152" s="9" t="s">
        <v>63</v>
      </c>
      <c r="D152" s="9" t="s">
        <v>76</v>
      </c>
      <c r="E152" s="9" t="s">
        <v>169</v>
      </c>
      <c r="F152" s="11">
        <v>1</v>
      </c>
      <c r="G152" s="12">
        <v>0</v>
      </c>
      <c r="H152" s="12">
        <v>0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900</v>
      </c>
      <c r="B153" s="4" t="s">
        <v>303</v>
      </c>
      <c r="C153" s="4" t="s">
        <v>63</v>
      </c>
      <c r="D153" s="4" t="s">
        <v>76</v>
      </c>
      <c r="E153" s="4" t="s">
        <v>169</v>
      </c>
      <c r="F153" s="6">
        <v>1</v>
      </c>
      <c r="G153" s="7">
        <v>0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927</v>
      </c>
      <c r="B154" s="9" t="s">
        <v>304</v>
      </c>
      <c r="C154" s="9" t="s">
        <v>63</v>
      </c>
      <c r="D154" s="9" t="s">
        <v>76</v>
      </c>
      <c r="E154" s="9" t="s">
        <v>169</v>
      </c>
      <c r="F154" s="11">
        <v>2</v>
      </c>
      <c r="G154" s="10">
        <v>1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1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9">
        <v>0</v>
      </c>
    </row>
    <row r="155">
      <c r="A155" s="23">
        <v>943</v>
      </c>
      <c r="B155" s="4" t="s">
        <v>305</v>
      </c>
      <c r="C155" s="4" t="s">
        <v>63</v>
      </c>
      <c r="D155" s="4" t="s">
        <v>76</v>
      </c>
      <c r="E155" s="4" t="s">
        <v>306</v>
      </c>
      <c r="F155" s="6">
        <v>2</v>
      </c>
      <c r="G155" s="7">
        <v>0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7">
        <v>0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0.5</v>
      </c>
    </row>
    <row r="156">
      <c r="A156" s="24">
        <v>945</v>
      </c>
      <c r="B156" s="9" t="s">
        <v>307</v>
      </c>
      <c r="C156" s="9" t="s">
        <v>63</v>
      </c>
      <c r="D156" s="9" t="s">
        <v>76</v>
      </c>
      <c r="E156" s="9" t="s">
        <v>306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9">
        <v>0</v>
      </c>
    </row>
    <row r="157">
      <c r="A157" s="23">
        <v>951</v>
      </c>
      <c r="B157" s="4" t="s">
        <v>308</v>
      </c>
      <c r="C157" s="4" t="s">
        <v>63</v>
      </c>
      <c r="D157" s="4" t="s">
        <v>76</v>
      </c>
      <c r="E157" s="4" t="s">
        <v>306</v>
      </c>
      <c r="F157" s="6">
        <v>3</v>
      </c>
      <c r="G157" s="7">
        <v>0</v>
      </c>
      <c r="H157" s="7">
        <v>0</v>
      </c>
      <c r="I157" s="5">
        <v>1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7">
        <v>0</v>
      </c>
      <c r="W157" s="7">
        <v>0</v>
      </c>
      <c r="X157" s="5">
        <v>1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963</v>
      </c>
      <c r="B158" s="9" t="s">
        <v>309</v>
      </c>
      <c r="C158" s="9" t="s">
        <v>63</v>
      </c>
      <c r="D158" s="9" t="s">
        <v>67</v>
      </c>
      <c r="E158" s="9" t="s">
        <v>71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49">
        <v>0</v>
      </c>
    </row>
    <row r="159">
      <c r="A159" s="23">
        <v>986</v>
      </c>
      <c r="B159" s="4" t="s">
        <v>310</v>
      </c>
      <c r="C159" s="4" t="s">
        <v>63</v>
      </c>
      <c r="D159" s="4" t="s">
        <v>76</v>
      </c>
      <c r="E159" s="4" t="s">
        <v>234</v>
      </c>
      <c r="F159" s="6">
        <v>2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5">
        <v>2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5">
        <v>2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30">
        <v>0</v>
      </c>
    </row>
    <row r="160">
      <c r="A160" s="24">
        <v>1000</v>
      </c>
      <c r="B160" s="9" t="s">
        <v>311</v>
      </c>
      <c r="C160" s="9" t="s">
        <v>63</v>
      </c>
      <c r="D160" s="9" t="s">
        <v>76</v>
      </c>
      <c r="E160" s="9" t="s">
        <v>234</v>
      </c>
      <c r="F160" s="11">
        <v>1</v>
      </c>
      <c r="G160" s="12">
        <v>0</v>
      </c>
      <c r="H160" s="12">
        <v>0</v>
      </c>
      <c r="I160" s="10">
        <v>1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0">
        <v>1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9">
        <v>0</v>
      </c>
    </row>
    <row r="161">
      <c r="A161" s="23">
        <v>1004</v>
      </c>
      <c r="B161" s="4" t="s">
        <v>312</v>
      </c>
      <c r="C161" s="4" t="s">
        <v>63</v>
      </c>
      <c r="D161" s="4" t="s">
        <v>76</v>
      </c>
      <c r="E161" s="4" t="s">
        <v>234</v>
      </c>
      <c r="F161" s="6">
        <v>3</v>
      </c>
      <c r="G161" s="7">
        <v>0</v>
      </c>
      <c r="H161" s="5">
        <v>1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7">
        <v>0</v>
      </c>
      <c r="W161" s="5">
        <v>1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1.5</v>
      </c>
      <c r="AL161" s="5">
        <v>1</v>
      </c>
      <c r="AM161" s="5">
        <v>2</v>
      </c>
      <c r="AN161" s="28">
        <v>0.75</v>
      </c>
    </row>
    <row r="162">
      <c r="A162" s="24">
        <v>1008</v>
      </c>
      <c r="B162" s="9" t="s">
        <v>313</v>
      </c>
      <c r="C162" s="9" t="s">
        <v>63</v>
      </c>
      <c r="D162" s="9" t="s">
        <v>76</v>
      </c>
      <c r="E162" s="9" t="s">
        <v>234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0.26</v>
      </c>
    </row>
    <row r="163">
      <c r="A163" s="23">
        <v>1030</v>
      </c>
      <c r="B163" s="4" t="s">
        <v>314</v>
      </c>
      <c r="C163" s="4" t="s">
        <v>63</v>
      </c>
      <c r="D163" s="4" t="s">
        <v>133</v>
      </c>
      <c r="E163" s="4" t="s">
        <v>251</v>
      </c>
      <c r="F163" s="6">
        <v>5</v>
      </c>
      <c r="G163" s="5">
        <v>3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3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2.5</v>
      </c>
      <c r="AL163" s="5">
        <v>2</v>
      </c>
      <c r="AM163" s="5">
        <v>3</v>
      </c>
      <c r="AN163" s="28">
        <v>0.25</v>
      </c>
    </row>
    <row r="164">
      <c r="A164" s="24">
        <v>1031</v>
      </c>
      <c r="B164" s="9" t="s">
        <v>315</v>
      </c>
      <c r="C164" s="9" t="s">
        <v>63</v>
      </c>
      <c r="D164" s="9" t="s">
        <v>76</v>
      </c>
      <c r="E164" s="9" t="s">
        <v>137</v>
      </c>
      <c r="F164" s="11">
        <v>4</v>
      </c>
      <c r="G164" s="10">
        <v>2</v>
      </c>
      <c r="H164" s="12">
        <v>0</v>
      </c>
      <c r="I164" s="12">
        <v>0</v>
      </c>
      <c r="J164" s="10">
        <v>2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0">
        <v>1</v>
      </c>
      <c r="W164" s="12">
        <v>0</v>
      </c>
      <c r="X164" s="12">
        <v>0</v>
      </c>
      <c r="Y164" s="10">
        <v>2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29">
        <v>0.5</v>
      </c>
    </row>
    <row r="165">
      <c r="A165" s="23">
        <v>1032</v>
      </c>
      <c r="B165" s="4" t="s">
        <v>316</v>
      </c>
      <c r="C165" s="4" t="s">
        <v>63</v>
      </c>
      <c r="D165" s="4" t="s">
        <v>103</v>
      </c>
      <c r="E165" s="4" t="s">
        <v>317</v>
      </c>
      <c r="F165" s="6">
        <v>1</v>
      </c>
      <c r="G165" s="7">
        <v>0</v>
      </c>
      <c r="H165" s="5">
        <v>1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5">
        <v>1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1033</v>
      </c>
      <c r="B166" s="9" t="s">
        <v>318</v>
      </c>
      <c r="C166" s="9" t="s">
        <v>63</v>
      </c>
      <c r="D166" s="9" t="s">
        <v>115</v>
      </c>
      <c r="E166" s="9" t="s">
        <v>319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1045</v>
      </c>
      <c r="B167" s="4" t="s">
        <v>320</v>
      </c>
      <c r="C167" s="4" t="s">
        <v>171</v>
      </c>
      <c r="D167" s="4" t="s">
        <v>172</v>
      </c>
      <c r="E167" s="4" t="s">
        <v>184</v>
      </c>
      <c r="F167" s="6">
        <v>2</v>
      </c>
      <c r="G167" s="5">
        <v>1</v>
      </c>
      <c r="H167" s="7">
        <v>0</v>
      </c>
      <c r="I167" s="7">
        <v>0</v>
      </c>
      <c r="J167" s="7">
        <v>0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1</v>
      </c>
      <c r="W167" s="7">
        <v>0</v>
      </c>
      <c r="X167" s="7">
        <v>0</v>
      </c>
      <c r="Y167" s="7">
        <v>0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1053</v>
      </c>
      <c r="B168" s="9" t="s">
        <v>321</v>
      </c>
      <c r="C168" s="9" t="s">
        <v>63</v>
      </c>
      <c r="D168" s="9" t="s">
        <v>76</v>
      </c>
      <c r="E168" s="9" t="s">
        <v>77</v>
      </c>
      <c r="F168" s="11">
        <v>1</v>
      </c>
      <c r="G168" s="12">
        <v>0</v>
      </c>
      <c r="H168" s="12">
        <v>0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1058</v>
      </c>
      <c r="B169" s="4" t="s">
        <v>322</v>
      </c>
      <c r="C169" s="4" t="s">
        <v>63</v>
      </c>
      <c r="D169" s="4" t="s">
        <v>103</v>
      </c>
      <c r="E169" s="4" t="s">
        <v>323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1062</v>
      </c>
      <c r="B170" s="9" t="s">
        <v>324</v>
      </c>
      <c r="C170" s="9" t="s">
        <v>63</v>
      </c>
      <c r="D170" s="9" t="s">
        <v>115</v>
      </c>
      <c r="E170" s="9" t="s">
        <v>319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9">
        <v>0</v>
      </c>
    </row>
    <row r="171">
      <c r="A171" s="23">
        <v>1066</v>
      </c>
      <c r="B171" s="4" t="s">
        <v>325</v>
      </c>
      <c r="C171" s="4" t="s">
        <v>63</v>
      </c>
      <c r="D171" s="4" t="s">
        <v>133</v>
      </c>
      <c r="E171" s="4" t="s">
        <v>326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1067</v>
      </c>
      <c r="B172" s="9" t="s">
        <v>327</v>
      </c>
      <c r="C172" s="9" t="s">
        <v>63</v>
      </c>
      <c r="D172" s="9" t="s">
        <v>133</v>
      </c>
      <c r="E172" s="9" t="s">
        <v>326</v>
      </c>
      <c r="F172" s="11">
        <v>4</v>
      </c>
      <c r="G172" s="10">
        <v>2</v>
      </c>
      <c r="H172" s="10">
        <v>2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4</v>
      </c>
      <c r="V172" s="10">
        <v>2</v>
      </c>
      <c r="W172" s="10">
        <v>2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1.33</v>
      </c>
      <c r="AL172" s="10">
        <v>1</v>
      </c>
      <c r="AM172" s="10">
        <v>2</v>
      </c>
      <c r="AN172" s="29">
        <v>1.1</v>
      </c>
    </row>
    <row r="173">
      <c r="A173" s="23">
        <v>1070</v>
      </c>
      <c r="B173" s="4" t="s">
        <v>328</v>
      </c>
      <c r="C173" s="4" t="s">
        <v>63</v>
      </c>
      <c r="D173" s="4" t="s">
        <v>133</v>
      </c>
      <c r="E173" s="4" t="s">
        <v>134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1071</v>
      </c>
      <c r="B174" s="9" t="s">
        <v>329</v>
      </c>
      <c r="C174" s="9" t="s">
        <v>63</v>
      </c>
      <c r="D174" s="9" t="s">
        <v>133</v>
      </c>
      <c r="E174" s="9" t="s">
        <v>134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9">
        <v>0</v>
      </c>
    </row>
    <row r="175">
      <c r="A175" s="23">
        <v>1072</v>
      </c>
      <c r="B175" s="4" t="s">
        <v>330</v>
      </c>
      <c r="C175" s="4" t="s">
        <v>63</v>
      </c>
      <c r="D175" s="4" t="s">
        <v>133</v>
      </c>
      <c r="E175" s="4" t="s">
        <v>134</v>
      </c>
      <c r="F175" s="6">
        <v>5</v>
      </c>
      <c r="G175" s="5">
        <v>1</v>
      </c>
      <c r="H175" s="7">
        <v>0</v>
      </c>
      <c r="I175" s="5">
        <v>2</v>
      </c>
      <c r="J175" s="5">
        <v>1</v>
      </c>
      <c r="K175" s="5">
        <v>1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5</v>
      </c>
      <c r="V175" s="5">
        <v>1</v>
      </c>
      <c r="W175" s="7">
        <v>0</v>
      </c>
      <c r="X175" s="5">
        <v>2</v>
      </c>
      <c r="Y175" s="5">
        <v>1</v>
      </c>
      <c r="Z175" s="5">
        <v>1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1.25</v>
      </c>
      <c r="AL175" s="5">
        <v>1</v>
      </c>
      <c r="AM175" s="5">
        <v>2</v>
      </c>
      <c r="AN175" s="28">
        <v>1.25</v>
      </c>
    </row>
    <row r="176">
      <c r="A176" s="24">
        <v>1074</v>
      </c>
      <c r="B176" s="9" t="s">
        <v>331</v>
      </c>
      <c r="C176" s="9" t="s">
        <v>63</v>
      </c>
      <c r="D176" s="9" t="s">
        <v>133</v>
      </c>
      <c r="E176" s="9" t="s">
        <v>251</v>
      </c>
      <c r="F176" s="11">
        <v>4</v>
      </c>
      <c r="G176" s="10">
        <v>1</v>
      </c>
      <c r="H176" s="10">
        <v>2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4</v>
      </c>
      <c r="V176" s="10">
        <v>1</v>
      </c>
      <c r="W176" s="10">
        <v>2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1.33</v>
      </c>
      <c r="AL176" s="10">
        <v>1</v>
      </c>
      <c r="AM176" s="10">
        <v>2</v>
      </c>
      <c r="AN176" s="29">
        <v>1.04</v>
      </c>
    </row>
    <row r="177">
      <c r="A177" s="23">
        <v>1075</v>
      </c>
      <c r="B177" s="4" t="s">
        <v>332</v>
      </c>
      <c r="C177" s="4" t="s">
        <v>63</v>
      </c>
      <c r="D177" s="4" t="s">
        <v>133</v>
      </c>
      <c r="E177" s="4" t="s">
        <v>251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1080</v>
      </c>
      <c r="B178" s="9" t="s">
        <v>333</v>
      </c>
      <c r="C178" s="9" t="s">
        <v>63</v>
      </c>
      <c r="D178" s="9" t="s">
        <v>133</v>
      </c>
      <c r="E178" s="9" t="s">
        <v>134</v>
      </c>
      <c r="F178" s="11">
        <v>2</v>
      </c>
      <c r="G178" s="10">
        <v>1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1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0.5</v>
      </c>
    </row>
    <row r="179">
      <c r="A179" s="23">
        <v>1084</v>
      </c>
      <c r="B179" s="4" t="s">
        <v>334</v>
      </c>
      <c r="C179" s="4" t="s">
        <v>63</v>
      </c>
      <c r="D179" s="4" t="s">
        <v>133</v>
      </c>
      <c r="E179" s="4" t="s">
        <v>326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1089</v>
      </c>
      <c r="B180" s="9" t="s">
        <v>335</v>
      </c>
      <c r="C180" s="9" t="s">
        <v>63</v>
      </c>
      <c r="D180" s="9" t="s">
        <v>133</v>
      </c>
      <c r="E180" s="9" t="s">
        <v>251</v>
      </c>
      <c r="F180" s="11">
        <v>1</v>
      </c>
      <c r="G180" s="12">
        <v>0</v>
      </c>
      <c r="H180" s="12">
        <v>0</v>
      </c>
      <c r="I180" s="10">
        <v>1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2">
        <v>0</v>
      </c>
      <c r="X180" s="10">
        <v>1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0.24</v>
      </c>
    </row>
    <row r="181">
      <c r="A181" s="23">
        <v>1090</v>
      </c>
      <c r="B181" s="4" t="s">
        <v>336</v>
      </c>
      <c r="C181" s="4" t="s">
        <v>63</v>
      </c>
      <c r="D181" s="4" t="s">
        <v>133</v>
      </c>
      <c r="E181" s="4" t="s">
        <v>251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1105</v>
      </c>
      <c r="B182" s="9" t="s">
        <v>337</v>
      </c>
      <c r="C182" s="9" t="s">
        <v>63</v>
      </c>
      <c r="D182" s="9" t="s">
        <v>67</v>
      </c>
      <c r="E182" s="9" t="s">
        <v>338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1165</v>
      </c>
      <c r="B183" s="4" t="s">
        <v>339</v>
      </c>
      <c r="C183" s="4" t="s">
        <v>63</v>
      </c>
      <c r="D183" s="4" t="s">
        <v>133</v>
      </c>
      <c r="E183" s="4" t="s">
        <v>251</v>
      </c>
      <c r="F183" s="6">
        <v>2</v>
      </c>
      <c r="G183" s="7">
        <v>0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7">
        <v>0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30">
        <v>0</v>
      </c>
    </row>
    <row r="184">
      <c r="A184" s="24">
        <v>1195</v>
      </c>
      <c r="B184" s="9" t="s">
        <v>340</v>
      </c>
      <c r="C184" s="9" t="s">
        <v>63</v>
      </c>
      <c r="D184" s="9" t="s">
        <v>67</v>
      </c>
      <c r="E184" s="9" t="s">
        <v>71</v>
      </c>
      <c r="F184" s="11">
        <v>1</v>
      </c>
      <c r="G184" s="12">
        <v>0</v>
      </c>
      <c r="H184" s="10">
        <v>1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0">
        <v>1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0.24</v>
      </c>
    </row>
    <row r="185">
      <c r="A185" s="23">
        <v>1221</v>
      </c>
      <c r="B185" s="4" t="s">
        <v>341</v>
      </c>
      <c r="C185" s="4" t="s">
        <v>63</v>
      </c>
      <c r="D185" s="4" t="s">
        <v>85</v>
      </c>
      <c r="E185" s="4" t="s">
        <v>342</v>
      </c>
      <c r="F185" s="6">
        <v>1</v>
      </c>
      <c r="G185" s="7">
        <v>0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1241</v>
      </c>
      <c r="B186" s="9" t="s">
        <v>343</v>
      </c>
      <c r="C186" s="9" t="s">
        <v>63</v>
      </c>
      <c r="D186" s="9" t="s">
        <v>80</v>
      </c>
      <c r="E186" s="9" t="s">
        <v>81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0.35</v>
      </c>
    </row>
    <row r="187">
      <c r="A187" s="23">
        <v>1245</v>
      </c>
      <c r="B187" s="4" t="s">
        <v>344</v>
      </c>
      <c r="C187" s="4" t="s">
        <v>63</v>
      </c>
      <c r="D187" s="4" t="s">
        <v>80</v>
      </c>
      <c r="E187" s="4" t="s">
        <v>81</v>
      </c>
      <c r="F187" s="6">
        <v>5</v>
      </c>
      <c r="G187" s="5">
        <v>4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4</v>
      </c>
      <c r="V187" s="5">
        <v>3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2.5</v>
      </c>
      <c r="AL187" s="5">
        <v>2</v>
      </c>
      <c r="AM187" s="5">
        <v>4</v>
      </c>
      <c r="AN187" s="30">
        <v>0</v>
      </c>
    </row>
    <row r="188">
      <c r="A188" s="24">
        <v>1248</v>
      </c>
      <c r="B188" s="9" t="s">
        <v>345</v>
      </c>
      <c r="C188" s="9" t="s">
        <v>63</v>
      </c>
      <c r="D188" s="9" t="s">
        <v>76</v>
      </c>
      <c r="E188" s="9" t="s">
        <v>163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9">
        <v>0</v>
      </c>
    </row>
    <row r="189">
      <c r="A189" s="23">
        <v>1275</v>
      </c>
      <c r="B189" s="4" t="s">
        <v>346</v>
      </c>
      <c r="C189" s="4" t="s">
        <v>171</v>
      </c>
      <c r="D189" s="4" t="s">
        <v>172</v>
      </c>
      <c r="E189" s="4" t="s">
        <v>173</v>
      </c>
      <c r="F189" s="6">
        <v>6</v>
      </c>
      <c r="G189" s="5">
        <v>4</v>
      </c>
      <c r="H189" s="7">
        <v>0</v>
      </c>
      <c r="I189" s="5">
        <v>1</v>
      </c>
      <c r="J189" s="7">
        <v>0</v>
      </c>
      <c r="K189" s="5">
        <v>1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5</v>
      </c>
      <c r="V189" s="5">
        <v>3</v>
      </c>
      <c r="W189" s="7">
        <v>0</v>
      </c>
      <c r="X189" s="5">
        <v>1</v>
      </c>
      <c r="Y189" s="7">
        <v>0</v>
      </c>
      <c r="Z189" s="5">
        <v>1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1.5</v>
      </c>
      <c r="AL189" s="5">
        <v>1</v>
      </c>
      <c r="AM189" s="5">
        <v>3</v>
      </c>
      <c r="AN189" s="30">
        <v>0</v>
      </c>
    </row>
    <row r="190">
      <c r="A190" s="24">
        <v>1368</v>
      </c>
      <c r="B190" s="9" t="s">
        <v>347</v>
      </c>
      <c r="C190" s="9" t="s">
        <v>63</v>
      </c>
      <c r="D190" s="9" t="s">
        <v>76</v>
      </c>
      <c r="E190" s="9" t="s">
        <v>348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0.24</v>
      </c>
    </row>
    <row r="191">
      <c r="A191" s="23">
        <v>1416</v>
      </c>
      <c r="B191" s="4" t="s">
        <v>349</v>
      </c>
      <c r="C191" s="4" t="s">
        <v>63</v>
      </c>
      <c r="D191" s="4" t="s">
        <v>80</v>
      </c>
      <c r="E191" s="4" t="s">
        <v>350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1438</v>
      </c>
      <c r="B192" s="9" t="s">
        <v>351</v>
      </c>
      <c r="C192" s="9" t="s">
        <v>63</v>
      </c>
      <c r="D192" s="9" t="s">
        <v>76</v>
      </c>
      <c r="E192" s="9" t="s">
        <v>83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0.62</v>
      </c>
    </row>
    <row r="193">
      <c r="A193" s="23">
        <v>1587</v>
      </c>
      <c r="B193" s="4" t="s">
        <v>352</v>
      </c>
      <c r="C193" s="4" t="s">
        <v>63</v>
      </c>
      <c r="D193" s="4" t="s">
        <v>76</v>
      </c>
      <c r="E193" s="4" t="s">
        <v>77</v>
      </c>
      <c r="F193" s="6">
        <v>1</v>
      </c>
      <c r="G193" s="7">
        <v>0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0">
        <v>0</v>
      </c>
    </row>
    <row r="194">
      <c r="A194" s="24">
        <v>1606</v>
      </c>
      <c r="B194" s="9" t="s">
        <v>353</v>
      </c>
      <c r="C194" s="9" t="s">
        <v>63</v>
      </c>
      <c r="D194" s="9" t="s">
        <v>133</v>
      </c>
      <c r="E194" s="9" t="s">
        <v>134</v>
      </c>
      <c r="F194" s="11">
        <v>2</v>
      </c>
      <c r="G194" s="10">
        <v>2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2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49">
        <v>0</v>
      </c>
    </row>
    <row r="195">
      <c r="A195" s="23">
        <v>1614</v>
      </c>
      <c r="B195" s="4" t="s">
        <v>354</v>
      </c>
      <c r="C195" s="4" t="s">
        <v>63</v>
      </c>
      <c r="D195" s="4" t="s">
        <v>76</v>
      </c>
      <c r="E195" s="4" t="s">
        <v>234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1616</v>
      </c>
      <c r="B196" s="9" t="s">
        <v>355</v>
      </c>
      <c r="C196" s="9" t="s">
        <v>141</v>
      </c>
      <c r="D196" s="9" t="s">
        <v>356</v>
      </c>
      <c r="E196" s="9" t="s">
        <v>357</v>
      </c>
      <c r="F196" s="11">
        <v>1</v>
      </c>
      <c r="G196" s="12">
        <v>0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0.24</v>
      </c>
    </row>
    <row r="197">
      <c r="A197" s="23">
        <v>1619</v>
      </c>
      <c r="B197" s="4" t="s">
        <v>336</v>
      </c>
      <c r="C197" s="4" t="s">
        <v>63</v>
      </c>
      <c r="D197" s="4" t="s">
        <v>90</v>
      </c>
      <c r="E197" s="4" t="s">
        <v>91</v>
      </c>
      <c r="F197" s="6">
        <v>2</v>
      </c>
      <c r="G197" s="5">
        <v>2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30">
        <v>0</v>
      </c>
    </row>
    <row r="198">
      <c r="A198" s="24">
        <v>1631</v>
      </c>
      <c r="B198" s="9" t="s">
        <v>358</v>
      </c>
      <c r="C198" s="9" t="s">
        <v>63</v>
      </c>
      <c r="D198" s="9" t="s">
        <v>67</v>
      </c>
      <c r="E198" s="9" t="s">
        <v>160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0.74</v>
      </c>
    </row>
    <row r="199">
      <c r="A199" s="23">
        <v>1659</v>
      </c>
      <c r="B199" s="4" t="s">
        <v>359</v>
      </c>
      <c r="C199" s="4" t="s">
        <v>360</v>
      </c>
      <c r="D199" s="4" t="s">
        <v>361</v>
      </c>
      <c r="E199" s="4" t="s">
        <v>362</v>
      </c>
      <c r="F199" s="6">
        <v>1</v>
      </c>
      <c r="G199" s="7">
        <v>0</v>
      </c>
      <c r="H199" s="5">
        <v>1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5">
        <v>1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0.26</v>
      </c>
    </row>
    <row r="200">
      <c r="A200" s="24">
        <v>1723</v>
      </c>
      <c r="B200" s="9" t="s">
        <v>363</v>
      </c>
      <c r="C200" s="9" t="s">
        <v>63</v>
      </c>
      <c r="D200" s="9" t="s">
        <v>85</v>
      </c>
      <c r="E200" s="9" t="s">
        <v>100</v>
      </c>
      <c r="F200" s="11">
        <v>2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0">
        <v>1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0">
        <v>1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9">
        <v>0</v>
      </c>
    </row>
    <row r="201">
      <c r="A201" s="23">
        <v>1741</v>
      </c>
      <c r="B201" s="4" t="s">
        <v>364</v>
      </c>
      <c r="C201" s="4" t="s">
        <v>63</v>
      </c>
      <c r="D201" s="4" t="s">
        <v>85</v>
      </c>
      <c r="E201" s="4" t="s">
        <v>100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1758</v>
      </c>
      <c r="B202" s="9" t="s">
        <v>365</v>
      </c>
      <c r="C202" s="9" t="s">
        <v>63</v>
      </c>
      <c r="D202" s="9" t="s">
        <v>115</v>
      </c>
      <c r="E202" s="9" t="s">
        <v>222</v>
      </c>
      <c r="F202" s="11">
        <v>6</v>
      </c>
      <c r="G202" s="10">
        <v>5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4</v>
      </c>
      <c r="V202" s="10">
        <v>3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3</v>
      </c>
      <c r="AL202" s="10">
        <v>3</v>
      </c>
      <c r="AM202" s="10">
        <v>5</v>
      </c>
      <c r="AN202" s="49">
        <v>0</v>
      </c>
    </row>
    <row r="203">
      <c r="A203" s="23">
        <v>1760</v>
      </c>
      <c r="B203" s="4" t="s">
        <v>366</v>
      </c>
      <c r="C203" s="4" t="s">
        <v>63</v>
      </c>
      <c r="D203" s="4" t="s">
        <v>85</v>
      </c>
      <c r="E203" s="4" t="s">
        <v>100</v>
      </c>
      <c r="F203" s="6">
        <v>6</v>
      </c>
      <c r="G203" s="7">
        <v>0</v>
      </c>
      <c r="H203" s="7">
        <v>0</v>
      </c>
      <c r="I203" s="5">
        <v>1</v>
      </c>
      <c r="J203" s="5">
        <v>5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6</v>
      </c>
      <c r="V203" s="7">
        <v>0</v>
      </c>
      <c r="W203" s="7">
        <v>0</v>
      </c>
      <c r="X203" s="5">
        <v>1</v>
      </c>
      <c r="Y203" s="5">
        <v>5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3</v>
      </c>
      <c r="AL203" s="5">
        <v>3</v>
      </c>
      <c r="AM203" s="5">
        <v>5</v>
      </c>
      <c r="AN203" s="28">
        <v>1.5</v>
      </c>
    </row>
    <row r="204">
      <c r="A204" s="24">
        <v>1762</v>
      </c>
      <c r="B204" s="9" t="s">
        <v>367</v>
      </c>
      <c r="C204" s="9" t="s">
        <v>63</v>
      </c>
      <c r="D204" s="9" t="s">
        <v>115</v>
      </c>
      <c r="E204" s="9" t="s">
        <v>222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9">
        <v>0</v>
      </c>
    </row>
    <row r="205">
      <c r="A205" s="23">
        <v>1766</v>
      </c>
      <c r="B205" s="4" t="s">
        <v>368</v>
      </c>
      <c r="C205" s="4" t="s">
        <v>63</v>
      </c>
      <c r="D205" s="4" t="s">
        <v>85</v>
      </c>
      <c r="E205" s="4" t="s">
        <v>100</v>
      </c>
      <c r="F205" s="6">
        <v>4</v>
      </c>
      <c r="G205" s="7">
        <v>0</v>
      </c>
      <c r="H205" s="7">
        <v>0</v>
      </c>
      <c r="I205" s="5">
        <v>3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4</v>
      </c>
      <c r="V205" s="7">
        <v>0</v>
      </c>
      <c r="W205" s="7">
        <v>0</v>
      </c>
      <c r="X205" s="5">
        <v>3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</v>
      </c>
      <c r="AL205" s="5">
        <v>2</v>
      </c>
      <c r="AM205" s="5">
        <v>3</v>
      </c>
      <c r="AN205" s="28">
        <v>1.04</v>
      </c>
    </row>
    <row r="206">
      <c r="A206" s="24">
        <v>1768</v>
      </c>
      <c r="B206" s="9" t="s">
        <v>369</v>
      </c>
      <c r="C206" s="9" t="s">
        <v>63</v>
      </c>
      <c r="D206" s="9" t="s">
        <v>85</v>
      </c>
      <c r="E206" s="9" t="s">
        <v>100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1779</v>
      </c>
      <c r="B207" s="4" t="s">
        <v>370</v>
      </c>
      <c r="C207" s="4" t="s">
        <v>141</v>
      </c>
      <c r="D207" s="4" t="s">
        <v>371</v>
      </c>
      <c r="E207" s="4" t="s">
        <v>372</v>
      </c>
      <c r="F207" s="6">
        <v>1</v>
      </c>
      <c r="G207" s="7">
        <v>0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1806</v>
      </c>
      <c r="B208" s="9" t="s">
        <v>373</v>
      </c>
      <c r="C208" s="9" t="s">
        <v>63</v>
      </c>
      <c r="D208" s="9" t="s">
        <v>93</v>
      </c>
      <c r="E208" s="9" t="s">
        <v>156</v>
      </c>
      <c r="F208" s="11">
        <v>2</v>
      </c>
      <c r="G208" s="10">
        <v>1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0.24</v>
      </c>
    </row>
    <row r="209">
      <c r="A209" s="23">
        <v>1812</v>
      </c>
      <c r="B209" s="4" t="s">
        <v>374</v>
      </c>
      <c r="C209" s="4" t="s">
        <v>63</v>
      </c>
      <c r="D209" s="4" t="s">
        <v>112</v>
      </c>
      <c r="E209" s="4" t="s">
        <v>375</v>
      </c>
      <c r="F209" s="6">
        <v>1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5">
        <v>1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5">
        <v>1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1813</v>
      </c>
      <c r="B210" s="9" t="s">
        <v>376</v>
      </c>
      <c r="C210" s="9" t="s">
        <v>63</v>
      </c>
      <c r="D210" s="9" t="s">
        <v>67</v>
      </c>
      <c r="E210" s="9" t="s">
        <v>71</v>
      </c>
      <c r="F210" s="11">
        <v>3</v>
      </c>
      <c r="G210" s="10">
        <v>1</v>
      </c>
      <c r="H210" s="12">
        <v>0</v>
      </c>
      <c r="I210" s="10">
        <v>1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3</v>
      </c>
      <c r="V210" s="10">
        <v>1</v>
      </c>
      <c r="W210" s="12">
        <v>0</v>
      </c>
      <c r="X210" s="10">
        <v>1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0.26</v>
      </c>
    </row>
    <row r="211">
      <c r="A211" s="23">
        <v>1814</v>
      </c>
      <c r="B211" s="4" t="s">
        <v>377</v>
      </c>
      <c r="C211" s="4" t="s">
        <v>63</v>
      </c>
      <c r="D211" s="4" t="s">
        <v>115</v>
      </c>
      <c r="E211" s="4" t="s">
        <v>116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1815</v>
      </c>
      <c r="B212" s="9" t="s">
        <v>378</v>
      </c>
      <c r="C212" s="9" t="s">
        <v>63</v>
      </c>
      <c r="D212" s="9" t="s">
        <v>115</v>
      </c>
      <c r="E212" s="9" t="s">
        <v>116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1816</v>
      </c>
      <c r="B213" s="4" t="s">
        <v>379</v>
      </c>
      <c r="C213" s="4" t="s">
        <v>141</v>
      </c>
      <c r="D213" s="4" t="s">
        <v>371</v>
      </c>
      <c r="E213" s="4" t="s">
        <v>380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0.24</v>
      </c>
    </row>
    <row r="214">
      <c r="A214" s="24">
        <v>1817</v>
      </c>
      <c r="B214" s="9" t="s">
        <v>381</v>
      </c>
      <c r="C214" s="9" t="s">
        <v>141</v>
      </c>
      <c r="D214" s="9" t="s">
        <v>371</v>
      </c>
      <c r="E214" s="9" t="s">
        <v>382</v>
      </c>
      <c r="F214" s="11">
        <v>3</v>
      </c>
      <c r="G214" s="12">
        <v>0</v>
      </c>
      <c r="H214" s="12">
        <v>0</v>
      </c>
      <c r="I214" s="12">
        <v>0</v>
      </c>
      <c r="J214" s="10">
        <v>3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2">
        <v>0</v>
      </c>
      <c r="W214" s="12">
        <v>0</v>
      </c>
      <c r="X214" s="12">
        <v>0</v>
      </c>
      <c r="Y214" s="10">
        <v>3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29">
        <v>0.75</v>
      </c>
    </row>
    <row r="215">
      <c r="A215" s="23">
        <v>1821</v>
      </c>
      <c r="B215" s="4" t="s">
        <v>383</v>
      </c>
      <c r="C215" s="4" t="s">
        <v>171</v>
      </c>
      <c r="D215" s="4" t="s">
        <v>384</v>
      </c>
      <c r="E215" s="4" t="s">
        <v>362</v>
      </c>
      <c r="F215" s="6">
        <v>2</v>
      </c>
      <c r="G215" s="7">
        <v>0</v>
      </c>
      <c r="H215" s="7">
        <v>0</v>
      </c>
      <c r="I215" s="5">
        <v>2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5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30">
        <v>0</v>
      </c>
    </row>
    <row r="216">
      <c r="A216" s="24">
        <v>1824</v>
      </c>
      <c r="B216" s="9" t="s">
        <v>385</v>
      </c>
      <c r="C216" s="9" t="s">
        <v>141</v>
      </c>
      <c r="D216" s="9" t="s">
        <v>371</v>
      </c>
      <c r="E216" s="9" t="s">
        <v>380</v>
      </c>
      <c r="F216" s="11">
        <v>6</v>
      </c>
      <c r="G216" s="12">
        <v>0</v>
      </c>
      <c r="H216" s="12">
        <v>0</v>
      </c>
      <c r="I216" s="10">
        <v>3</v>
      </c>
      <c r="J216" s="10">
        <v>2</v>
      </c>
      <c r="K216" s="12">
        <v>0</v>
      </c>
      <c r="L216" s="10">
        <v>1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5</v>
      </c>
      <c r="V216" s="12">
        <v>0</v>
      </c>
      <c r="W216" s="12">
        <v>0</v>
      </c>
      <c r="X216" s="10">
        <v>3</v>
      </c>
      <c r="Y216" s="10">
        <v>1</v>
      </c>
      <c r="Z216" s="12">
        <v>0</v>
      </c>
      <c r="AA216" s="10">
        <v>1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</v>
      </c>
      <c r="AL216" s="10">
        <v>2</v>
      </c>
      <c r="AM216" s="10">
        <v>3</v>
      </c>
      <c r="AN216" s="49">
        <v>0</v>
      </c>
    </row>
    <row r="217">
      <c r="A217" s="23">
        <v>1827</v>
      </c>
      <c r="B217" s="4" t="s">
        <v>386</v>
      </c>
      <c r="C217" s="4" t="s">
        <v>141</v>
      </c>
      <c r="D217" s="4" t="s">
        <v>371</v>
      </c>
      <c r="E217" s="4" t="s">
        <v>382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1840</v>
      </c>
      <c r="B218" s="9" t="s">
        <v>387</v>
      </c>
      <c r="C218" s="9" t="s">
        <v>63</v>
      </c>
      <c r="D218" s="9" t="s">
        <v>112</v>
      </c>
      <c r="E218" s="9" t="s">
        <v>113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1841</v>
      </c>
      <c r="B219" s="4" t="s">
        <v>388</v>
      </c>
      <c r="C219" s="4" t="s">
        <v>63</v>
      </c>
      <c r="D219" s="4" t="s">
        <v>73</v>
      </c>
      <c r="E219" s="4" t="s">
        <v>389</v>
      </c>
      <c r="F219" s="6">
        <v>4</v>
      </c>
      <c r="G219" s="5">
        <v>2</v>
      </c>
      <c r="H219" s="5">
        <v>1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4</v>
      </c>
      <c r="V219" s="5">
        <v>2</v>
      </c>
      <c r="W219" s="5">
        <v>1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1.33</v>
      </c>
      <c r="AL219" s="5">
        <v>1</v>
      </c>
      <c r="AM219" s="5">
        <v>2</v>
      </c>
      <c r="AN219" s="28">
        <v>1.1</v>
      </c>
    </row>
    <row r="220">
      <c r="A220" s="24">
        <v>1842</v>
      </c>
      <c r="B220" s="9" t="s">
        <v>390</v>
      </c>
      <c r="C220" s="9" t="s">
        <v>63</v>
      </c>
      <c r="D220" s="9" t="s">
        <v>85</v>
      </c>
      <c r="E220" s="9" t="s">
        <v>231</v>
      </c>
      <c r="F220" s="11">
        <v>2</v>
      </c>
      <c r="G220" s="12">
        <v>0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29">
        <v>0.25</v>
      </c>
    </row>
    <row r="221">
      <c r="A221" s="23">
        <v>1844</v>
      </c>
      <c r="B221" s="4" t="s">
        <v>391</v>
      </c>
      <c r="C221" s="4" t="s">
        <v>63</v>
      </c>
      <c r="D221" s="4" t="s">
        <v>133</v>
      </c>
      <c r="E221" s="4" t="s">
        <v>220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30">
        <v>0</v>
      </c>
    </row>
    <row r="222">
      <c r="A222" s="24">
        <v>1849</v>
      </c>
      <c r="B222" s="9" t="s">
        <v>392</v>
      </c>
      <c r="C222" s="9" t="s">
        <v>63</v>
      </c>
      <c r="D222" s="9" t="s">
        <v>115</v>
      </c>
      <c r="E222" s="9" t="s">
        <v>124</v>
      </c>
      <c r="F222" s="11">
        <v>1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0">
        <v>1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0">
        <v>1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9">
        <v>0</v>
      </c>
    </row>
    <row r="223">
      <c r="A223" s="23">
        <v>1863</v>
      </c>
      <c r="B223" s="4" t="s">
        <v>393</v>
      </c>
      <c r="C223" s="4" t="s">
        <v>63</v>
      </c>
      <c r="D223" s="4" t="s">
        <v>115</v>
      </c>
      <c r="E223" s="4" t="s">
        <v>118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1865</v>
      </c>
      <c r="B224" s="9" t="s">
        <v>394</v>
      </c>
      <c r="C224" s="9" t="s">
        <v>63</v>
      </c>
      <c r="D224" s="9" t="s">
        <v>115</v>
      </c>
      <c r="E224" s="9" t="s">
        <v>124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9">
        <v>0</v>
      </c>
    </row>
    <row r="225">
      <c r="A225" s="23">
        <v>1866</v>
      </c>
      <c r="B225" s="4" t="s">
        <v>395</v>
      </c>
      <c r="C225" s="4" t="s">
        <v>63</v>
      </c>
      <c r="D225" s="4" t="s">
        <v>115</v>
      </c>
      <c r="E225" s="4" t="s">
        <v>149</v>
      </c>
      <c r="F225" s="6">
        <v>4</v>
      </c>
      <c r="G225" s="5">
        <v>3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4</v>
      </c>
      <c r="V225" s="5">
        <v>3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</v>
      </c>
      <c r="AL225" s="5">
        <v>2</v>
      </c>
      <c r="AM225" s="5">
        <v>3</v>
      </c>
      <c r="AN225" s="28">
        <v>1.04</v>
      </c>
    </row>
    <row r="226">
      <c r="A226" s="24">
        <v>1868</v>
      </c>
      <c r="B226" s="9" t="s">
        <v>396</v>
      </c>
      <c r="C226" s="9" t="s">
        <v>63</v>
      </c>
      <c r="D226" s="9" t="s">
        <v>115</v>
      </c>
      <c r="E226" s="9" t="s">
        <v>149</v>
      </c>
      <c r="F226" s="11">
        <v>4</v>
      </c>
      <c r="G226" s="10">
        <v>3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4</v>
      </c>
      <c r="V226" s="10">
        <v>3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</v>
      </c>
      <c r="AL226" s="10">
        <v>2</v>
      </c>
      <c r="AM226" s="10">
        <v>3</v>
      </c>
      <c r="AN226" s="49">
        <v>0</v>
      </c>
    </row>
    <row r="227">
      <c r="A227" s="23">
        <v>1870</v>
      </c>
      <c r="B227" s="4" t="s">
        <v>397</v>
      </c>
      <c r="C227" s="4" t="s">
        <v>63</v>
      </c>
      <c r="D227" s="4" t="s">
        <v>115</v>
      </c>
      <c r="E227" s="4" t="s">
        <v>116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0.26</v>
      </c>
    </row>
    <row r="228">
      <c r="A228" s="24">
        <v>1874</v>
      </c>
      <c r="B228" s="9" t="s">
        <v>398</v>
      </c>
      <c r="C228" s="9" t="s">
        <v>63</v>
      </c>
      <c r="D228" s="9" t="s">
        <v>115</v>
      </c>
      <c r="E228" s="9" t="s">
        <v>116</v>
      </c>
      <c r="F228" s="11">
        <v>1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0">
        <v>1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0">
        <v>1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9">
        <v>0</v>
      </c>
    </row>
    <row r="229">
      <c r="A229" s="23">
        <v>1876</v>
      </c>
      <c r="B229" s="4" t="s">
        <v>399</v>
      </c>
      <c r="C229" s="4" t="s">
        <v>63</v>
      </c>
      <c r="D229" s="4" t="s">
        <v>67</v>
      </c>
      <c r="E229" s="4" t="s">
        <v>71</v>
      </c>
      <c r="F229" s="6">
        <v>2</v>
      </c>
      <c r="G229" s="5">
        <v>1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1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1881</v>
      </c>
      <c r="B230" s="9" t="s">
        <v>400</v>
      </c>
      <c r="C230" s="9" t="s">
        <v>63</v>
      </c>
      <c r="D230" s="9" t="s">
        <v>73</v>
      </c>
      <c r="E230" s="9" t="s">
        <v>74</v>
      </c>
      <c r="F230" s="11">
        <v>2</v>
      </c>
      <c r="G230" s="10">
        <v>1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1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0.24</v>
      </c>
    </row>
    <row r="231">
      <c r="A231" s="23">
        <v>1887</v>
      </c>
      <c r="B231" s="4" t="s">
        <v>401</v>
      </c>
      <c r="C231" s="4" t="s">
        <v>63</v>
      </c>
      <c r="D231" s="4" t="s">
        <v>85</v>
      </c>
      <c r="E231" s="4" t="s">
        <v>86</v>
      </c>
      <c r="F231" s="6">
        <v>1</v>
      </c>
      <c r="G231" s="7">
        <v>0</v>
      </c>
      <c r="H231" s="5">
        <v>1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5">
        <v>1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1892</v>
      </c>
      <c r="B232" s="9" t="s">
        <v>402</v>
      </c>
      <c r="C232" s="9" t="s">
        <v>63</v>
      </c>
      <c r="D232" s="9" t="s">
        <v>76</v>
      </c>
      <c r="E232" s="9" t="s">
        <v>77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1895</v>
      </c>
      <c r="B233" s="4" t="s">
        <v>403</v>
      </c>
      <c r="C233" s="4" t="s">
        <v>63</v>
      </c>
      <c r="D233" s="4" t="s">
        <v>76</v>
      </c>
      <c r="E233" s="4" t="s">
        <v>163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1905</v>
      </c>
      <c r="B234" s="9" t="s">
        <v>404</v>
      </c>
      <c r="C234" s="9" t="s">
        <v>63</v>
      </c>
      <c r="D234" s="9" t="s">
        <v>73</v>
      </c>
      <c r="E234" s="9" t="s">
        <v>98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1907</v>
      </c>
      <c r="B235" s="4" t="s">
        <v>405</v>
      </c>
      <c r="C235" s="4" t="s">
        <v>63</v>
      </c>
      <c r="D235" s="4" t="s">
        <v>133</v>
      </c>
      <c r="E235" s="4" t="s">
        <v>134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1912</v>
      </c>
      <c r="B236" s="9" t="s">
        <v>406</v>
      </c>
      <c r="C236" s="9" t="s">
        <v>63</v>
      </c>
      <c r="D236" s="9" t="s">
        <v>76</v>
      </c>
      <c r="E236" s="9" t="s">
        <v>83</v>
      </c>
      <c r="F236" s="11">
        <v>2</v>
      </c>
      <c r="G236" s="10">
        <v>1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1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9">
        <v>0</v>
      </c>
    </row>
    <row r="237">
      <c r="A237" s="23">
        <v>2006</v>
      </c>
      <c r="B237" s="4" t="s">
        <v>407</v>
      </c>
      <c r="C237" s="4" t="s">
        <v>63</v>
      </c>
      <c r="D237" s="4" t="s">
        <v>103</v>
      </c>
      <c r="E237" s="4" t="s">
        <v>131</v>
      </c>
      <c r="F237" s="6">
        <v>9</v>
      </c>
      <c r="G237" s="5">
        <v>7</v>
      </c>
      <c r="H237" s="7">
        <v>0</v>
      </c>
      <c r="I237" s="5">
        <v>1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9</v>
      </c>
      <c r="V237" s="5">
        <v>7</v>
      </c>
      <c r="W237" s="7">
        <v>0</v>
      </c>
      <c r="X237" s="5">
        <v>1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3</v>
      </c>
      <c r="AL237" s="5">
        <v>1</v>
      </c>
      <c r="AM237" s="5">
        <v>7</v>
      </c>
      <c r="AN237" s="30">
        <v>0</v>
      </c>
    </row>
    <row r="238">
      <c r="A238" s="24">
        <v>2095</v>
      </c>
      <c r="B238" s="9" t="s">
        <v>408</v>
      </c>
      <c r="C238" s="9" t="s">
        <v>63</v>
      </c>
      <c r="D238" s="9" t="s">
        <v>76</v>
      </c>
      <c r="E238" s="9" t="s">
        <v>83</v>
      </c>
      <c r="F238" s="11">
        <v>5</v>
      </c>
      <c r="G238" s="10">
        <v>5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0">
        <v>3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5</v>
      </c>
      <c r="AK238" s="13">
        <v>5</v>
      </c>
      <c r="AL238" s="10">
        <v>5</v>
      </c>
      <c r="AM238" s="10">
        <v>5</v>
      </c>
      <c r="AN238" s="49">
        <v>0</v>
      </c>
    </row>
    <row r="239">
      <c r="A239" s="23">
        <v>2108</v>
      </c>
      <c r="B239" s="4" t="s">
        <v>409</v>
      </c>
      <c r="C239" s="4" t="s">
        <v>63</v>
      </c>
      <c r="D239" s="4" t="s">
        <v>76</v>
      </c>
      <c r="E239" s="4" t="s">
        <v>83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0">
        <v>0</v>
      </c>
    </row>
    <row r="240">
      <c r="A240" s="24">
        <v>2198</v>
      </c>
      <c r="B240" s="9" t="s">
        <v>410</v>
      </c>
      <c r="C240" s="9" t="s">
        <v>63</v>
      </c>
      <c r="D240" s="9" t="s">
        <v>67</v>
      </c>
      <c r="E240" s="9" t="s">
        <v>71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0.24</v>
      </c>
    </row>
    <row r="241">
      <c r="A241" s="23">
        <v>2201</v>
      </c>
      <c r="B241" s="4" t="s">
        <v>411</v>
      </c>
      <c r="C241" s="4" t="s">
        <v>63</v>
      </c>
      <c r="D241" s="4" t="s">
        <v>85</v>
      </c>
      <c r="E241" s="4" t="s">
        <v>86</v>
      </c>
      <c r="F241" s="6">
        <v>1</v>
      </c>
      <c r="G241" s="7">
        <v>0</v>
      </c>
      <c r="H241" s="5">
        <v>1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5">
        <v>1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0.36</v>
      </c>
    </row>
    <row r="242">
      <c r="A242" s="24">
        <v>2213</v>
      </c>
      <c r="B242" s="9" t="s">
        <v>412</v>
      </c>
      <c r="C242" s="9" t="s">
        <v>63</v>
      </c>
      <c r="D242" s="9" t="s">
        <v>80</v>
      </c>
      <c r="E242" s="9" t="s">
        <v>413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0.26</v>
      </c>
    </row>
    <row r="243">
      <c r="A243" s="23">
        <v>2223</v>
      </c>
      <c r="B243" s="4" t="s">
        <v>414</v>
      </c>
      <c r="C243" s="4" t="s">
        <v>63</v>
      </c>
      <c r="D243" s="4" t="s">
        <v>67</v>
      </c>
      <c r="E243" s="4" t="s">
        <v>71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30">
        <v>0</v>
      </c>
    </row>
    <row r="244">
      <c r="A244" s="24">
        <v>2225</v>
      </c>
      <c r="B244" s="9" t="s">
        <v>415</v>
      </c>
      <c r="C244" s="9" t="s">
        <v>63</v>
      </c>
      <c r="D244" s="9" t="s">
        <v>133</v>
      </c>
      <c r="E244" s="9" t="s">
        <v>251</v>
      </c>
      <c r="F244" s="11">
        <v>2</v>
      </c>
      <c r="G244" s="10">
        <v>1</v>
      </c>
      <c r="H244" s="12">
        <v>0</v>
      </c>
      <c r="I244" s="10">
        <v>1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0">
        <v>1</v>
      </c>
      <c r="W244" s="12">
        <v>0</v>
      </c>
      <c r="X244" s="10">
        <v>1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0.24</v>
      </c>
    </row>
    <row r="245">
      <c r="A245" s="23">
        <v>2227</v>
      </c>
      <c r="B245" s="4" t="s">
        <v>416</v>
      </c>
      <c r="C245" s="4" t="s">
        <v>63</v>
      </c>
      <c r="D245" s="4" t="s">
        <v>73</v>
      </c>
      <c r="E245" s="4" t="s">
        <v>74</v>
      </c>
      <c r="F245" s="6">
        <v>6</v>
      </c>
      <c r="G245" s="5">
        <v>4</v>
      </c>
      <c r="H245" s="7">
        <v>0</v>
      </c>
      <c r="I245" s="5">
        <v>1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6</v>
      </c>
      <c r="V245" s="5">
        <v>4</v>
      </c>
      <c r="W245" s="7">
        <v>0</v>
      </c>
      <c r="X245" s="5">
        <v>1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1.2</v>
      </c>
      <c r="AL245" s="5">
        <v>1</v>
      </c>
      <c r="AM245" s="5">
        <v>2</v>
      </c>
      <c r="AN245" s="28">
        <v>0.78</v>
      </c>
    </row>
    <row r="246">
      <c r="A246" s="24">
        <v>2261</v>
      </c>
      <c r="B246" s="9" t="s">
        <v>417</v>
      </c>
      <c r="C246" s="9" t="s">
        <v>141</v>
      </c>
      <c r="D246" s="9" t="s">
        <v>418</v>
      </c>
      <c r="E246" s="9" t="s">
        <v>419</v>
      </c>
      <c r="F246" s="11">
        <v>3</v>
      </c>
      <c r="G246" s="12">
        <v>0</v>
      </c>
      <c r="H246" s="12">
        <v>0</v>
      </c>
      <c r="I246" s="10">
        <v>2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2">
        <v>0</v>
      </c>
      <c r="W246" s="12">
        <v>0</v>
      </c>
      <c r="X246" s="10">
        <v>2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0.22</v>
      </c>
    </row>
    <row r="247">
      <c r="A247" s="23">
        <v>2268</v>
      </c>
      <c r="B247" s="4" t="s">
        <v>420</v>
      </c>
      <c r="C247" s="4" t="s">
        <v>63</v>
      </c>
      <c r="D247" s="4" t="s">
        <v>67</v>
      </c>
      <c r="E247" s="4" t="s">
        <v>160</v>
      </c>
      <c r="F247" s="6">
        <v>1</v>
      </c>
      <c r="G247" s="7">
        <v>0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2276</v>
      </c>
      <c r="B248" s="9" t="s">
        <v>421</v>
      </c>
      <c r="C248" s="9" t="s">
        <v>171</v>
      </c>
      <c r="D248" s="9" t="s">
        <v>172</v>
      </c>
      <c r="E248" s="9" t="s">
        <v>184</v>
      </c>
      <c r="F248" s="11">
        <v>1</v>
      </c>
      <c r="G248" s="12">
        <v>0</v>
      </c>
      <c r="H248" s="12">
        <v>0</v>
      </c>
      <c r="I248" s="12">
        <v>0</v>
      </c>
      <c r="J248" s="12">
        <v>0</v>
      </c>
      <c r="K248" s="10">
        <v>1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2">
        <v>0</v>
      </c>
      <c r="Y248" s="12">
        <v>0</v>
      </c>
      <c r="Z248" s="10">
        <v>1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9">
        <v>0</v>
      </c>
    </row>
    <row r="249">
      <c r="A249" s="23">
        <v>2310</v>
      </c>
      <c r="B249" s="4" t="s">
        <v>422</v>
      </c>
      <c r="C249" s="4" t="s">
        <v>141</v>
      </c>
      <c r="D249" s="4" t="s">
        <v>423</v>
      </c>
      <c r="E249" s="4" t="s">
        <v>424</v>
      </c>
      <c r="F249" s="6">
        <v>4</v>
      </c>
      <c r="G249" s="7">
        <v>0</v>
      </c>
      <c r="H249" s="7">
        <v>0</v>
      </c>
      <c r="I249" s="5">
        <v>3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4</v>
      </c>
      <c r="V249" s="7">
        <v>0</v>
      </c>
      <c r="W249" s="7">
        <v>0</v>
      </c>
      <c r="X249" s="5">
        <v>3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1.33</v>
      </c>
      <c r="AL249" s="5">
        <v>1</v>
      </c>
      <c r="AM249" s="5">
        <v>2</v>
      </c>
      <c r="AN249" s="28">
        <v>0.66</v>
      </c>
    </row>
    <row r="250">
      <c r="A250" s="24">
        <v>2315</v>
      </c>
      <c r="B250" s="9" t="s">
        <v>425</v>
      </c>
      <c r="C250" s="9" t="s">
        <v>141</v>
      </c>
      <c r="D250" s="9" t="s">
        <v>423</v>
      </c>
      <c r="E250" s="9" t="s">
        <v>426</v>
      </c>
      <c r="F250" s="11">
        <v>2</v>
      </c>
      <c r="G250" s="12">
        <v>0</v>
      </c>
      <c r="H250" s="10">
        <v>1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0">
        <v>1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2">
        <v>0</v>
      </c>
      <c r="W250" s="10">
        <v>1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0">
        <v>1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9">
        <v>0</v>
      </c>
    </row>
    <row r="251">
      <c r="A251" s="23">
        <v>2326</v>
      </c>
      <c r="B251" s="4" t="s">
        <v>427</v>
      </c>
      <c r="C251" s="4" t="s">
        <v>141</v>
      </c>
      <c r="D251" s="4" t="s">
        <v>423</v>
      </c>
      <c r="E251" s="4" t="s">
        <v>426</v>
      </c>
      <c r="F251" s="6">
        <v>2</v>
      </c>
      <c r="G251" s="7">
        <v>0</v>
      </c>
      <c r="H251" s="7">
        <v>0</v>
      </c>
      <c r="I251" s="5">
        <v>2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7">
        <v>0</v>
      </c>
      <c r="W251" s="7">
        <v>0</v>
      </c>
      <c r="X251" s="5">
        <v>2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30">
        <v>0</v>
      </c>
    </row>
    <row r="252">
      <c r="A252" s="24">
        <v>2332</v>
      </c>
      <c r="B252" s="9" t="s">
        <v>428</v>
      </c>
      <c r="C252" s="9" t="s">
        <v>141</v>
      </c>
      <c r="D252" s="9" t="s">
        <v>429</v>
      </c>
      <c r="E252" s="9" t="s">
        <v>430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2333</v>
      </c>
      <c r="B253" s="4" t="s">
        <v>431</v>
      </c>
      <c r="C253" s="4" t="s">
        <v>63</v>
      </c>
      <c r="D253" s="4" t="s">
        <v>85</v>
      </c>
      <c r="E253" s="4" t="s">
        <v>432</v>
      </c>
      <c r="F253" s="6">
        <v>6</v>
      </c>
      <c r="G253" s="5">
        <v>2</v>
      </c>
      <c r="H253" s="5">
        <v>1</v>
      </c>
      <c r="I253" s="7">
        <v>0</v>
      </c>
      <c r="J253" s="5">
        <v>3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2</v>
      </c>
      <c r="W253" s="5">
        <v>1</v>
      </c>
      <c r="X253" s="7">
        <v>0</v>
      </c>
      <c r="Y253" s="5">
        <v>2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28">
        <v>1.25</v>
      </c>
    </row>
    <row r="254">
      <c r="A254" s="24">
        <v>2335</v>
      </c>
      <c r="B254" s="9" t="s">
        <v>433</v>
      </c>
      <c r="C254" s="9" t="s">
        <v>63</v>
      </c>
      <c r="D254" s="9" t="s">
        <v>80</v>
      </c>
      <c r="E254" s="9" t="s">
        <v>81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2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9">
        <v>0</v>
      </c>
    </row>
    <row r="255">
      <c r="A255" s="23">
        <v>2336</v>
      </c>
      <c r="B255" s="4" t="s">
        <v>434</v>
      </c>
      <c r="C255" s="4" t="s">
        <v>171</v>
      </c>
      <c r="D255" s="4" t="s">
        <v>172</v>
      </c>
      <c r="E255" s="4" t="s">
        <v>184</v>
      </c>
      <c r="F255" s="6">
        <v>4</v>
      </c>
      <c r="G255" s="5">
        <v>2</v>
      </c>
      <c r="H255" s="5">
        <v>1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4</v>
      </c>
      <c r="V255" s="5">
        <v>2</v>
      </c>
      <c r="W255" s="5">
        <v>1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1.33</v>
      </c>
      <c r="AL255" s="5">
        <v>1</v>
      </c>
      <c r="AM255" s="5">
        <v>2</v>
      </c>
      <c r="AN255" s="30">
        <v>0</v>
      </c>
    </row>
    <row r="256">
      <c r="A256" s="24">
        <v>2337</v>
      </c>
      <c r="B256" s="9" t="s">
        <v>435</v>
      </c>
      <c r="C256" s="9" t="s">
        <v>141</v>
      </c>
      <c r="D256" s="9" t="s">
        <v>436</v>
      </c>
      <c r="E256" s="9" t="s">
        <v>437</v>
      </c>
      <c r="F256" s="11">
        <v>1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0">
        <v>1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0">
        <v>1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9">
        <v>0</v>
      </c>
    </row>
    <row r="257">
      <c r="A257" s="23">
        <v>2338</v>
      </c>
      <c r="B257" s="4" t="s">
        <v>438</v>
      </c>
      <c r="C257" s="4" t="s">
        <v>171</v>
      </c>
      <c r="D257" s="4" t="s">
        <v>439</v>
      </c>
      <c r="E257" s="4" t="s">
        <v>440</v>
      </c>
      <c r="F257" s="6">
        <v>1</v>
      </c>
      <c r="G257" s="7">
        <v>0</v>
      </c>
      <c r="H257" s="5">
        <v>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5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2339</v>
      </c>
      <c r="B258" s="9" t="s">
        <v>441</v>
      </c>
      <c r="C258" s="9" t="s">
        <v>63</v>
      </c>
      <c r="D258" s="9" t="s">
        <v>115</v>
      </c>
      <c r="E258" s="9" t="s">
        <v>124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0.17</v>
      </c>
    </row>
    <row r="259">
      <c r="A259" s="23">
        <v>2341</v>
      </c>
      <c r="B259" s="4" t="s">
        <v>442</v>
      </c>
      <c r="C259" s="4" t="s">
        <v>63</v>
      </c>
      <c r="D259" s="4" t="s">
        <v>115</v>
      </c>
      <c r="E259" s="4" t="s">
        <v>222</v>
      </c>
      <c r="F259" s="6">
        <v>4</v>
      </c>
      <c r="G259" s="5">
        <v>3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</v>
      </c>
      <c r="V259" s="5">
        <v>3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</v>
      </c>
      <c r="AL259" s="5">
        <v>2</v>
      </c>
      <c r="AM259" s="5">
        <v>3</v>
      </c>
      <c r="AN259" s="30">
        <v>0</v>
      </c>
    </row>
    <row r="260">
      <c r="A260" s="24">
        <v>2348</v>
      </c>
      <c r="B260" s="9" t="s">
        <v>443</v>
      </c>
      <c r="C260" s="9" t="s">
        <v>63</v>
      </c>
      <c r="D260" s="9" t="s">
        <v>67</v>
      </c>
      <c r="E260" s="9" t="s">
        <v>160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9">
        <v>0</v>
      </c>
    </row>
    <row r="261">
      <c r="A261" s="23">
        <v>2349</v>
      </c>
      <c r="B261" s="4" t="s">
        <v>444</v>
      </c>
      <c r="C261" s="4" t="s">
        <v>63</v>
      </c>
      <c r="D261" s="4" t="s">
        <v>73</v>
      </c>
      <c r="E261" s="4" t="s">
        <v>445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30">
        <v>0</v>
      </c>
    </row>
    <row r="262">
      <c r="A262" s="24">
        <v>2353</v>
      </c>
      <c r="B262" s="9" t="s">
        <v>446</v>
      </c>
      <c r="C262" s="9" t="s">
        <v>171</v>
      </c>
      <c r="D262" s="9" t="s">
        <v>439</v>
      </c>
      <c r="E262" s="9" t="s">
        <v>447</v>
      </c>
      <c r="F262" s="11">
        <v>2</v>
      </c>
      <c r="G262" s="10">
        <v>1</v>
      </c>
      <c r="H262" s="12">
        <v>0</v>
      </c>
      <c r="I262" s="12">
        <v>0</v>
      </c>
      <c r="J262" s="12">
        <v>0</v>
      </c>
      <c r="K262" s="10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1</v>
      </c>
      <c r="W262" s="12">
        <v>0</v>
      </c>
      <c r="X262" s="12">
        <v>0</v>
      </c>
      <c r="Y262" s="12">
        <v>0</v>
      </c>
      <c r="Z262" s="10">
        <v>1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9">
        <v>0</v>
      </c>
    </row>
    <row r="263">
      <c r="A263" s="23">
        <v>2357</v>
      </c>
      <c r="B263" s="4" t="s">
        <v>448</v>
      </c>
      <c r="C263" s="4" t="s">
        <v>63</v>
      </c>
      <c r="D263" s="4" t="s">
        <v>80</v>
      </c>
      <c r="E263" s="4" t="s">
        <v>96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2359</v>
      </c>
      <c r="B264" s="9" t="s">
        <v>449</v>
      </c>
      <c r="C264" s="9" t="s">
        <v>141</v>
      </c>
      <c r="D264" s="9" t="s">
        <v>423</v>
      </c>
      <c r="E264" s="9" t="s">
        <v>450</v>
      </c>
      <c r="F264" s="11">
        <v>1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0">
        <v>1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0">
        <v>1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9">
        <v>0</v>
      </c>
    </row>
    <row r="265">
      <c r="A265" s="23">
        <v>2365</v>
      </c>
      <c r="B265" s="4" t="s">
        <v>451</v>
      </c>
      <c r="C265" s="4" t="s">
        <v>63</v>
      </c>
      <c r="D265" s="4" t="s">
        <v>133</v>
      </c>
      <c r="E265" s="4" t="s">
        <v>134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2366</v>
      </c>
      <c r="B266" s="9" t="s">
        <v>452</v>
      </c>
      <c r="C266" s="9" t="s">
        <v>63</v>
      </c>
      <c r="D266" s="9" t="s">
        <v>133</v>
      </c>
      <c r="E266" s="9" t="s">
        <v>134</v>
      </c>
      <c r="F266" s="11">
        <v>1</v>
      </c>
      <c r="G266" s="12">
        <v>0</v>
      </c>
      <c r="H266" s="12">
        <v>0</v>
      </c>
      <c r="I266" s="10">
        <v>1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0">
        <v>1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49">
        <v>0</v>
      </c>
    </row>
    <row r="267">
      <c r="A267" s="23">
        <v>2372</v>
      </c>
      <c r="B267" s="4" t="s">
        <v>453</v>
      </c>
      <c r="C267" s="4" t="s">
        <v>63</v>
      </c>
      <c r="D267" s="4" t="s">
        <v>109</v>
      </c>
      <c r="E267" s="4" t="s">
        <v>145</v>
      </c>
      <c r="F267" s="6">
        <v>2</v>
      </c>
      <c r="G267" s="7">
        <v>0</v>
      </c>
      <c r="H267" s="7">
        <v>0</v>
      </c>
      <c r="I267" s="7">
        <v>0</v>
      </c>
      <c r="J267" s="5">
        <v>1</v>
      </c>
      <c r="K267" s="5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7">
        <v>0</v>
      </c>
      <c r="W267" s="7">
        <v>0</v>
      </c>
      <c r="X267" s="7">
        <v>0</v>
      </c>
      <c r="Y267" s="5">
        <v>1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2375</v>
      </c>
      <c r="B268" s="9" t="s">
        <v>454</v>
      </c>
      <c r="C268" s="9" t="s">
        <v>141</v>
      </c>
      <c r="D268" s="9" t="s">
        <v>455</v>
      </c>
      <c r="E268" s="9" t="s">
        <v>456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9">
        <v>0</v>
      </c>
    </row>
    <row r="269">
      <c r="A269" s="23">
        <v>2376</v>
      </c>
      <c r="B269" s="4" t="s">
        <v>457</v>
      </c>
      <c r="C269" s="4" t="s">
        <v>141</v>
      </c>
      <c r="D269" s="4" t="s">
        <v>142</v>
      </c>
      <c r="E269" s="4" t="s">
        <v>458</v>
      </c>
      <c r="F269" s="6">
        <v>4</v>
      </c>
      <c r="G269" s="5">
        <v>2</v>
      </c>
      <c r="H269" s="7">
        <v>0</v>
      </c>
      <c r="I269" s="5">
        <v>1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4</v>
      </c>
      <c r="V269" s="5">
        <v>2</v>
      </c>
      <c r="W269" s="7">
        <v>0</v>
      </c>
      <c r="X269" s="5">
        <v>1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1.33</v>
      </c>
      <c r="AL269" s="5">
        <v>1</v>
      </c>
      <c r="AM269" s="5">
        <v>2</v>
      </c>
      <c r="AN269" s="28">
        <v>0.44</v>
      </c>
    </row>
    <row r="270">
      <c r="A270" s="24">
        <v>2380</v>
      </c>
      <c r="B270" s="9" t="s">
        <v>459</v>
      </c>
      <c r="C270" s="9" t="s">
        <v>63</v>
      </c>
      <c r="D270" s="9" t="s">
        <v>67</v>
      </c>
      <c r="E270" s="9" t="s">
        <v>68</v>
      </c>
      <c r="F270" s="11">
        <v>2</v>
      </c>
      <c r="G270" s="12">
        <v>0</v>
      </c>
      <c r="H270" s="12">
        <v>0</v>
      </c>
      <c r="I270" s="12">
        <v>0</v>
      </c>
      <c r="J270" s="10">
        <v>2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2">
        <v>0</v>
      </c>
      <c r="W270" s="12">
        <v>0</v>
      </c>
      <c r="X270" s="12">
        <v>0</v>
      </c>
      <c r="Y270" s="10">
        <v>2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29">
        <v>0.5</v>
      </c>
    </row>
    <row r="271">
      <c r="A271" s="23">
        <v>2387</v>
      </c>
      <c r="B271" s="4" t="s">
        <v>460</v>
      </c>
      <c r="C271" s="4" t="s">
        <v>171</v>
      </c>
      <c r="D271" s="4" t="s">
        <v>172</v>
      </c>
      <c r="E271" s="4" t="s">
        <v>173</v>
      </c>
      <c r="F271" s="6">
        <v>1</v>
      </c>
      <c r="G271" s="7">
        <v>0</v>
      </c>
      <c r="H271" s="7">
        <v>0</v>
      </c>
      <c r="I271" s="7">
        <v>0</v>
      </c>
      <c r="J271" s="7">
        <v>0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7">
        <v>0</v>
      </c>
      <c r="Y271" s="7">
        <v>0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2389</v>
      </c>
      <c r="B272" s="9" t="s">
        <v>461</v>
      </c>
      <c r="C272" s="9" t="s">
        <v>63</v>
      </c>
      <c r="D272" s="9" t="s">
        <v>80</v>
      </c>
      <c r="E272" s="9" t="s">
        <v>81</v>
      </c>
      <c r="F272" s="11">
        <v>2</v>
      </c>
      <c r="G272" s="10">
        <v>1</v>
      </c>
      <c r="H272" s="12">
        <v>0</v>
      </c>
      <c r="I272" s="10">
        <v>1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0">
        <v>1</v>
      </c>
      <c r="W272" s="12">
        <v>0</v>
      </c>
      <c r="X272" s="10">
        <v>1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9">
        <v>0</v>
      </c>
    </row>
    <row r="273">
      <c r="A273" s="23">
        <v>2390</v>
      </c>
      <c r="B273" s="4" t="s">
        <v>462</v>
      </c>
      <c r="C273" s="4" t="s">
        <v>63</v>
      </c>
      <c r="D273" s="4" t="s">
        <v>133</v>
      </c>
      <c r="E273" s="4" t="s">
        <v>251</v>
      </c>
      <c r="F273" s="6">
        <v>1</v>
      </c>
      <c r="G273" s="7">
        <v>0</v>
      </c>
      <c r="H273" s="7">
        <v>0</v>
      </c>
      <c r="I273" s="5">
        <v>1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5">
        <v>1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0.22</v>
      </c>
    </row>
    <row r="274">
      <c r="A274" s="24">
        <v>2396</v>
      </c>
      <c r="B274" s="9" t="s">
        <v>463</v>
      </c>
      <c r="C274" s="9" t="s">
        <v>63</v>
      </c>
      <c r="D274" s="9" t="s">
        <v>67</v>
      </c>
      <c r="E274" s="9" t="s">
        <v>71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49">
        <v>0</v>
      </c>
    </row>
    <row r="275">
      <c r="A275" s="23">
        <v>2398</v>
      </c>
      <c r="B275" s="4" t="s">
        <v>464</v>
      </c>
      <c r="C275" s="4" t="s">
        <v>171</v>
      </c>
      <c r="D275" s="4" t="s">
        <v>197</v>
      </c>
      <c r="E275" s="4" t="s">
        <v>465</v>
      </c>
      <c r="F275" s="6">
        <v>2</v>
      </c>
      <c r="G275" s="7">
        <v>0</v>
      </c>
      <c r="H275" s="7">
        <v>0</v>
      </c>
      <c r="I275" s="7">
        <v>0</v>
      </c>
      <c r="J275" s="5">
        <v>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30">
        <v>0</v>
      </c>
    </row>
    <row r="276">
      <c r="A276" s="24">
        <v>2403</v>
      </c>
      <c r="B276" s="9" t="s">
        <v>466</v>
      </c>
      <c r="C276" s="9" t="s">
        <v>63</v>
      </c>
      <c r="D276" s="9" t="s">
        <v>115</v>
      </c>
      <c r="E276" s="9" t="s">
        <v>118</v>
      </c>
      <c r="F276" s="11">
        <v>3</v>
      </c>
      <c r="G276" s="10">
        <v>1</v>
      </c>
      <c r="H276" s="12">
        <v>0</v>
      </c>
      <c r="I276" s="12">
        <v>0</v>
      </c>
      <c r="J276" s="10">
        <v>2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1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1.5</v>
      </c>
      <c r="AL276" s="10">
        <v>1</v>
      </c>
      <c r="AM276" s="10">
        <v>2</v>
      </c>
      <c r="AN276" s="29">
        <v>0.75</v>
      </c>
    </row>
    <row r="277">
      <c r="A277" s="23">
        <v>2406</v>
      </c>
      <c r="B277" s="4" t="s">
        <v>467</v>
      </c>
      <c r="C277" s="4" t="s">
        <v>63</v>
      </c>
      <c r="D277" s="4" t="s">
        <v>76</v>
      </c>
      <c r="E277" s="4" t="s">
        <v>77</v>
      </c>
      <c r="F277" s="6">
        <v>2</v>
      </c>
      <c r="G277" s="5">
        <v>1</v>
      </c>
      <c r="H277" s="5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1</v>
      </c>
      <c r="W277" s="5">
        <v>1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0.5</v>
      </c>
    </row>
    <row r="278">
      <c r="A278" s="24">
        <v>2413</v>
      </c>
      <c r="B278" s="9" t="s">
        <v>468</v>
      </c>
      <c r="C278" s="9" t="s">
        <v>63</v>
      </c>
      <c r="D278" s="9" t="s">
        <v>85</v>
      </c>
      <c r="E278" s="9" t="s">
        <v>432</v>
      </c>
      <c r="F278" s="11">
        <v>4</v>
      </c>
      <c r="G278" s="10">
        <v>1</v>
      </c>
      <c r="H278" s="10">
        <v>3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1</v>
      </c>
      <c r="W278" s="10">
        <v>3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</v>
      </c>
      <c r="AL278" s="10">
        <v>2</v>
      </c>
      <c r="AM278" s="10">
        <v>3</v>
      </c>
      <c r="AN278" s="29">
        <v>0.78</v>
      </c>
    </row>
    <row r="279">
      <c r="A279" s="23">
        <v>2416</v>
      </c>
      <c r="B279" s="4" t="s">
        <v>469</v>
      </c>
      <c r="C279" s="4" t="s">
        <v>63</v>
      </c>
      <c r="D279" s="4" t="s">
        <v>112</v>
      </c>
      <c r="E279" s="4" t="s">
        <v>470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3</v>
      </c>
      <c r="AL279" s="5">
        <v>3</v>
      </c>
      <c r="AM279" s="5">
        <v>3</v>
      </c>
      <c r="AN279" s="28">
        <v>0.48</v>
      </c>
    </row>
    <row r="280">
      <c r="A280" s="24">
        <v>2425</v>
      </c>
      <c r="B280" s="9" t="s">
        <v>471</v>
      </c>
      <c r="C280" s="9" t="s">
        <v>141</v>
      </c>
      <c r="D280" s="9" t="s">
        <v>472</v>
      </c>
      <c r="E280" s="9" t="s">
        <v>473</v>
      </c>
      <c r="F280" s="11">
        <v>1</v>
      </c>
      <c r="G280" s="12">
        <v>0</v>
      </c>
      <c r="H280" s="12">
        <v>0</v>
      </c>
      <c r="I280" s="10">
        <v>1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0">
        <v>1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2427</v>
      </c>
      <c r="B281" s="4" t="s">
        <v>474</v>
      </c>
      <c r="C281" s="4" t="s">
        <v>63</v>
      </c>
      <c r="D281" s="4" t="s">
        <v>76</v>
      </c>
      <c r="E281" s="4" t="s">
        <v>77</v>
      </c>
      <c r="F281" s="6">
        <v>1</v>
      </c>
      <c r="G281" s="7">
        <v>0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2431</v>
      </c>
      <c r="B282" s="9" t="s">
        <v>475</v>
      </c>
      <c r="C282" s="9" t="s">
        <v>63</v>
      </c>
      <c r="D282" s="9" t="s">
        <v>85</v>
      </c>
      <c r="E282" s="9" t="s">
        <v>86</v>
      </c>
      <c r="F282" s="11">
        <v>3</v>
      </c>
      <c r="G282" s="12">
        <v>0</v>
      </c>
      <c r="H282" s="12">
        <v>0</v>
      </c>
      <c r="I282" s="10">
        <v>2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2">
        <v>0</v>
      </c>
      <c r="W282" s="12">
        <v>0</v>
      </c>
      <c r="X282" s="10">
        <v>2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1.5</v>
      </c>
      <c r="AL282" s="10">
        <v>1</v>
      </c>
      <c r="AM282" s="10">
        <v>2</v>
      </c>
      <c r="AN282" s="29">
        <v>0.25</v>
      </c>
    </row>
    <row r="283">
      <c r="A283" s="23">
        <v>2432</v>
      </c>
      <c r="B283" s="4" t="s">
        <v>476</v>
      </c>
      <c r="C283" s="4" t="s">
        <v>63</v>
      </c>
      <c r="D283" s="4" t="s">
        <v>85</v>
      </c>
      <c r="E283" s="4" t="s">
        <v>86</v>
      </c>
      <c r="F283" s="6">
        <v>2</v>
      </c>
      <c r="G283" s="7">
        <v>0</v>
      </c>
      <c r="H283" s="7">
        <v>0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7">
        <v>0</v>
      </c>
      <c r="W283" s="7">
        <v>0</v>
      </c>
      <c r="X283" s="7">
        <v>0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28">
        <v>0.5</v>
      </c>
    </row>
    <row r="284">
      <c r="A284" s="24">
        <v>2433</v>
      </c>
      <c r="B284" s="9" t="s">
        <v>477</v>
      </c>
      <c r="C284" s="9" t="s">
        <v>63</v>
      </c>
      <c r="D284" s="9" t="s">
        <v>85</v>
      </c>
      <c r="E284" s="9" t="s">
        <v>86</v>
      </c>
      <c r="F284" s="11">
        <v>2</v>
      </c>
      <c r="G284" s="12">
        <v>0</v>
      </c>
      <c r="H284" s="12">
        <v>0</v>
      </c>
      <c r="I284" s="10">
        <v>1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2">
        <v>0</v>
      </c>
      <c r="W284" s="12">
        <v>0</v>
      </c>
      <c r="X284" s="10">
        <v>1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0.26</v>
      </c>
    </row>
    <row r="285">
      <c r="A285" s="23">
        <v>2436</v>
      </c>
      <c r="B285" s="4" t="s">
        <v>478</v>
      </c>
      <c r="C285" s="4" t="s">
        <v>63</v>
      </c>
      <c r="D285" s="4" t="s">
        <v>73</v>
      </c>
      <c r="E285" s="4" t="s">
        <v>445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0.35</v>
      </c>
    </row>
    <row r="286">
      <c r="A286" s="24">
        <v>2442</v>
      </c>
      <c r="B286" s="9" t="s">
        <v>479</v>
      </c>
      <c r="C286" s="9" t="s">
        <v>63</v>
      </c>
      <c r="D286" s="9" t="s">
        <v>90</v>
      </c>
      <c r="E286" s="9" t="s">
        <v>91</v>
      </c>
      <c r="F286" s="11">
        <v>1</v>
      </c>
      <c r="G286" s="12">
        <v>0</v>
      </c>
      <c r="H286" s="12">
        <v>0</v>
      </c>
      <c r="I286" s="10">
        <v>1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0">
        <v>1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0.25</v>
      </c>
    </row>
    <row r="287">
      <c r="A287" s="23">
        <v>2445</v>
      </c>
      <c r="B287" s="4" t="s">
        <v>480</v>
      </c>
      <c r="C287" s="4" t="s">
        <v>63</v>
      </c>
      <c r="D287" s="4" t="s">
        <v>115</v>
      </c>
      <c r="E287" s="4" t="s">
        <v>222</v>
      </c>
      <c r="F287" s="6">
        <v>4</v>
      </c>
      <c r="G287" s="5">
        <v>4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4</v>
      </c>
      <c r="AK287" s="8">
        <v>4</v>
      </c>
      <c r="AL287" s="5">
        <v>4</v>
      </c>
      <c r="AM287" s="5">
        <v>4</v>
      </c>
      <c r="AN287" s="30">
        <v>0</v>
      </c>
    </row>
    <row r="288">
      <c r="A288" s="24">
        <v>2480</v>
      </c>
      <c r="B288" s="9" t="s">
        <v>481</v>
      </c>
      <c r="C288" s="9" t="s">
        <v>171</v>
      </c>
      <c r="D288" s="9" t="s">
        <v>482</v>
      </c>
      <c r="E288" s="9" t="s">
        <v>483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9">
        <v>0</v>
      </c>
    </row>
    <row r="289">
      <c r="A289" s="23">
        <v>2481</v>
      </c>
      <c r="B289" s="4" t="s">
        <v>484</v>
      </c>
      <c r="C289" s="4" t="s">
        <v>63</v>
      </c>
      <c r="D289" s="4" t="s">
        <v>115</v>
      </c>
      <c r="E289" s="4" t="s">
        <v>222</v>
      </c>
      <c r="F289" s="6">
        <v>2</v>
      </c>
      <c r="G289" s="7">
        <v>0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7">
        <v>0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28">
        <v>0.5</v>
      </c>
    </row>
    <row r="290">
      <c r="A290" s="24">
        <v>2482</v>
      </c>
      <c r="B290" s="9" t="s">
        <v>485</v>
      </c>
      <c r="C290" s="9" t="s">
        <v>63</v>
      </c>
      <c r="D290" s="9" t="s">
        <v>76</v>
      </c>
      <c r="E290" s="9" t="s">
        <v>77</v>
      </c>
      <c r="F290" s="11">
        <v>1</v>
      </c>
      <c r="G290" s="12">
        <v>0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0.22</v>
      </c>
    </row>
    <row r="291">
      <c r="A291" s="23">
        <v>2486</v>
      </c>
      <c r="B291" s="4" t="s">
        <v>486</v>
      </c>
      <c r="C291" s="4" t="s">
        <v>171</v>
      </c>
      <c r="D291" s="4" t="s">
        <v>172</v>
      </c>
      <c r="E291" s="4" t="s">
        <v>173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2488</v>
      </c>
      <c r="B292" s="9" t="s">
        <v>487</v>
      </c>
      <c r="C292" s="9" t="s">
        <v>141</v>
      </c>
      <c r="D292" s="9" t="s">
        <v>418</v>
      </c>
      <c r="E292" s="9" t="s">
        <v>488</v>
      </c>
      <c r="F292" s="11">
        <v>2</v>
      </c>
      <c r="G292" s="12">
        <v>0</v>
      </c>
      <c r="H292" s="12">
        <v>0</v>
      </c>
      <c r="I292" s="10">
        <v>2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2">
        <v>0</v>
      </c>
      <c r="W292" s="12">
        <v>0</v>
      </c>
      <c r="X292" s="10">
        <v>2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0.24</v>
      </c>
    </row>
    <row r="293">
      <c r="A293" s="23">
        <v>2489</v>
      </c>
      <c r="B293" s="4" t="s">
        <v>489</v>
      </c>
      <c r="C293" s="4" t="s">
        <v>171</v>
      </c>
      <c r="D293" s="4" t="s">
        <v>490</v>
      </c>
      <c r="E293" s="4" t="s">
        <v>490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2490</v>
      </c>
      <c r="B294" s="9" t="s">
        <v>491</v>
      </c>
      <c r="C294" s="9" t="s">
        <v>63</v>
      </c>
      <c r="D294" s="9" t="s">
        <v>76</v>
      </c>
      <c r="E294" s="9" t="s">
        <v>163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2495</v>
      </c>
      <c r="B295" s="4" t="s">
        <v>492</v>
      </c>
      <c r="C295" s="4" t="s">
        <v>63</v>
      </c>
      <c r="D295" s="4" t="s">
        <v>85</v>
      </c>
      <c r="E295" s="4" t="s">
        <v>147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2496</v>
      </c>
      <c r="B296" s="9" t="s">
        <v>493</v>
      </c>
      <c r="C296" s="9" t="s">
        <v>141</v>
      </c>
      <c r="D296" s="9" t="s">
        <v>423</v>
      </c>
      <c r="E296" s="9" t="s">
        <v>450</v>
      </c>
      <c r="F296" s="11">
        <v>2</v>
      </c>
      <c r="G296" s="12">
        <v>0</v>
      </c>
      <c r="H296" s="12">
        <v>0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2">
        <v>0</v>
      </c>
      <c r="W296" s="12">
        <v>0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29">
        <v>0.48</v>
      </c>
    </row>
    <row r="297">
      <c r="A297" s="23">
        <v>2498</v>
      </c>
      <c r="B297" s="4" t="s">
        <v>494</v>
      </c>
      <c r="C297" s="4" t="s">
        <v>141</v>
      </c>
      <c r="D297" s="4" t="s">
        <v>423</v>
      </c>
      <c r="E297" s="4" t="s">
        <v>450</v>
      </c>
      <c r="F297" s="6">
        <v>2</v>
      </c>
      <c r="G297" s="7">
        <v>0</v>
      </c>
      <c r="H297" s="5">
        <v>1</v>
      </c>
      <c r="I297" s="7">
        <v>0</v>
      </c>
      <c r="J297" s="7">
        <v>0</v>
      </c>
      <c r="K297" s="7">
        <v>0</v>
      </c>
      <c r="L297" s="5">
        <v>1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7">
        <v>0</v>
      </c>
      <c r="W297" s="5">
        <v>1</v>
      </c>
      <c r="X297" s="7">
        <v>0</v>
      </c>
      <c r="Y297" s="7">
        <v>0</v>
      </c>
      <c r="Z297" s="7">
        <v>0</v>
      </c>
      <c r="AA297" s="5">
        <v>1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2501</v>
      </c>
      <c r="B298" s="9" t="s">
        <v>495</v>
      </c>
      <c r="C298" s="9" t="s">
        <v>63</v>
      </c>
      <c r="D298" s="9" t="s">
        <v>93</v>
      </c>
      <c r="E298" s="9" t="s">
        <v>496</v>
      </c>
      <c r="F298" s="11">
        <v>3</v>
      </c>
      <c r="G298" s="10">
        <v>2</v>
      </c>
      <c r="H298" s="10">
        <v>1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2</v>
      </c>
      <c r="W298" s="10">
        <v>1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49">
        <v>0</v>
      </c>
    </row>
    <row r="299">
      <c r="A299" s="23">
        <v>2503</v>
      </c>
      <c r="B299" s="4" t="s">
        <v>497</v>
      </c>
      <c r="C299" s="4" t="s">
        <v>63</v>
      </c>
      <c r="D299" s="4" t="s">
        <v>115</v>
      </c>
      <c r="E299" s="4" t="s">
        <v>124</v>
      </c>
      <c r="F299" s="6">
        <v>2</v>
      </c>
      <c r="G299" s="7">
        <v>0</v>
      </c>
      <c r="H299" s="5">
        <v>1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5">
        <v>1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2514</v>
      </c>
      <c r="B300" s="9" t="s">
        <v>498</v>
      </c>
      <c r="C300" s="9" t="s">
        <v>63</v>
      </c>
      <c r="D300" s="9" t="s">
        <v>85</v>
      </c>
      <c r="E300" s="9" t="s">
        <v>86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9">
        <v>0</v>
      </c>
    </row>
    <row r="301">
      <c r="A301" s="23">
        <v>2516</v>
      </c>
      <c r="B301" s="4" t="s">
        <v>499</v>
      </c>
      <c r="C301" s="4" t="s">
        <v>63</v>
      </c>
      <c r="D301" s="4" t="s">
        <v>115</v>
      </c>
      <c r="E301" s="4" t="s">
        <v>149</v>
      </c>
      <c r="F301" s="6">
        <v>2</v>
      </c>
      <c r="G301" s="7">
        <v>0</v>
      </c>
      <c r="H301" s="7">
        <v>0</v>
      </c>
      <c r="I301" s="5">
        <v>1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7">
        <v>0</v>
      </c>
      <c r="W301" s="7">
        <v>0</v>
      </c>
      <c r="X301" s="5">
        <v>1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0.5</v>
      </c>
    </row>
    <row r="302">
      <c r="A302" s="24">
        <v>2517</v>
      </c>
      <c r="B302" s="9" t="s">
        <v>500</v>
      </c>
      <c r="C302" s="9" t="s">
        <v>63</v>
      </c>
      <c r="D302" s="9" t="s">
        <v>85</v>
      </c>
      <c r="E302" s="9" t="s">
        <v>86</v>
      </c>
      <c r="F302" s="11">
        <v>2</v>
      </c>
      <c r="G302" s="12">
        <v>0</v>
      </c>
      <c r="H302" s="12">
        <v>0</v>
      </c>
      <c r="I302" s="10">
        <v>2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2">
        <v>0</v>
      </c>
      <c r="W302" s="12">
        <v>0</v>
      </c>
      <c r="X302" s="10">
        <v>2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29">
        <v>0.52</v>
      </c>
    </row>
    <row r="303">
      <c r="A303" s="23">
        <v>2521</v>
      </c>
      <c r="B303" s="4" t="s">
        <v>501</v>
      </c>
      <c r="C303" s="4" t="s">
        <v>63</v>
      </c>
      <c r="D303" s="4" t="s">
        <v>112</v>
      </c>
      <c r="E303" s="4" t="s">
        <v>470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0.35</v>
      </c>
    </row>
    <row r="304">
      <c r="A304" s="24">
        <v>2524</v>
      </c>
      <c r="B304" s="9" t="s">
        <v>502</v>
      </c>
      <c r="C304" s="9" t="s">
        <v>63</v>
      </c>
      <c r="D304" s="9" t="s">
        <v>80</v>
      </c>
      <c r="E304" s="9" t="s">
        <v>96</v>
      </c>
      <c r="F304" s="11">
        <v>2</v>
      </c>
      <c r="G304" s="12">
        <v>0</v>
      </c>
      <c r="H304" s="12">
        <v>0</v>
      </c>
      <c r="I304" s="10">
        <v>2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2">
        <v>0</v>
      </c>
      <c r="W304" s="12">
        <v>0</v>
      </c>
      <c r="X304" s="10">
        <v>2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29">
        <v>0.5</v>
      </c>
    </row>
    <row r="305">
      <c r="A305" s="23">
        <v>2525</v>
      </c>
      <c r="B305" s="4" t="s">
        <v>503</v>
      </c>
      <c r="C305" s="4" t="s">
        <v>63</v>
      </c>
      <c r="D305" s="4" t="s">
        <v>85</v>
      </c>
      <c r="E305" s="4" t="s">
        <v>432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0.36</v>
      </c>
    </row>
    <row r="306">
      <c r="A306" s="24">
        <v>2526</v>
      </c>
      <c r="B306" s="9" t="s">
        <v>504</v>
      </c>
      <c r="C306" s="9" t="s">
        <v>171</v>
      </c>
      <c r="D306" s="9" t="s">
        <v>172</v>
      </c>
      <c r="E306" s="9" t="s">
        <v>192</v>
      </c>
      <c r="F306" s="11">
        <v>2</v>
      </c>
      <c r="G306" s="12">
        <v>0</v>
      </c>
      <c r="H306" s="10">
        <v>1</v>
      </c>
      <c r="I306" s="12">
        <v>0</v>
      </c>
      <c r="J306" s="12">
        <v>0</v>
      </c>
      <c r="K306" s="10">
        <v>1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2">
        <v>0</v>
      </c>
      <c r="W306" s="10">
        <v>1</v>
      </c>
      <c r="X306" s="12">
        <v>0</v>
      </c>
      <c r="Y306" s="12">
        <v>0</v>
      </c>
      <c r="Z306" s="10">
        <v>1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2539</v>
      </c>
      <c r="B307" s="4" t="s">
        <v>505</v>
      </c>
      <c r="C307" s="4" t="s">
        <v>63</v>
      </c>
      <c r="D307" s="4" t="s">
        <v>80</v>
      </c>
      <c r="E307" s="4" t="s">
        <v>81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5">
        <v>2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2540</v>
      </c>
      <c r="B308" s="9" t="s">
        <v>506</v>
      </c>
      <c r="C308" s="9" t="s">
        <v>63</v>
      </c>
      <c r="D308" s="9" t="s">
        <v>112</v>
      </c>
      <c r="E308" s="9" t="s">
        <v>470</v>
      </c>
      <c r="F308" s="11">
        <v>1</v>
      </c>
      <c r="G308" s="12">
        <v>0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9">
        <v>0</v>
      </c>
    </row>
    <row r="309">
      <c r="A309" s="23">
        <v>2547</v>
      </c>
      <c r="B309" s="4" t="s">
        <v>507</v>
      </c>
      <c r="C309" s="4" t="s">
        <v>63</v>
      </c>
      <c r="D309" s="4" t="s">
        <v>80</v>
      </c>
      <c r="E309" s="4" t="s">
        <v>88</v>
      </c>
      <c r="F309" s="6">
        <v>1</v>
      </c>
      <c r="G309" s="7">
        <v>0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7">
        <v>0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0.25</v>
      </c>
    </row>
    <row r="310">
      <c r="A310" s="24">
        <v>2552</v>
      </c>
      <c r="B310" s="9" t="s">
        <v>508</v>
      </c>
      <c r="C310" s="9" t="s">
        <v>63</v>
      </c>
      <c r="D310" s="9" t="s">
        <v>85</v>
      </c>
      <c r="E310" s="9" t="s">
        <v>86</v>
      </c>
      <c r="F310" s="11">
        <v>5</v>
      </c>
      <c r="G310" s="10">
        <v>1</v>
      </c>
      <c r="H310" s="12">
        <v>0</v>
      </c>
      <c r="I310" s="12">
        <v>0</v>
      </c>
      <c r="J310" s="10">
        <v>4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5</v>
      </c>
      <c r="V310" s="10">
        <v>1</v>
      </c>
      <c r="W310" s="12">
        <v>0</v>
      </c>
      <c r="X310" s="12">
        <v>0</v>
      </c>
      <c r="Y310" s="10">
        <v>4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0.78</v>
      </c>
    </row>
    <row r="311">
      <c r="A311" s="23">
        <v>2559</v>
      </c>
      <c r="B311" s="4" t="s">
        <v>509</v>
      </c>
      <c r="C311" s="4" t="s">
        <v>63</v>
      </c>
      <c r="D311" s="4" t="s">
        <v>85</v>
      </c>
      <c r="E311" s="4" t="s">
        <v>231</v>
      </c>
      <c r="F311" s="6">
        <v>1</v>
      </c>
      <c r="G311" s="7">
        <v>0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2561</v>
      </c>
      <c r="B312" s="9" t="s">
        <v>510</v>
      </c>
      <c r="C312" s="9" t="s">
        <v>63</v>
      </c>
      <c r="D312" s="9" t="s">
        <v>85</v>
      </c>
      <c r="E312" s="9" t="s">
        <v>231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9">
        <v>0</v>
      </c>
    </row>
    <row r="313">
      <c r="A313" s="23">
        <v>2563</v>
      </c>
      <c r="B313" s="4" t="s">
        <v>511</v>
      </c>
      <c r="C313" s="4" t="s">
        <v>63</v>
      </c>
      <c r="D313" s="4" t="s">
        <v>85</v>
      </c>
      <c r="E313" s="4" t="s">
        <v>231</v>
      </c>
      <c r="F313" s="6">
        <v>2</v>
      </c>
      <c r="G313" s="5">
        <v>1</v>
      </c>
      <c r="H313" s="7">
        <v>0</v>
      </c>
      <c r="I313" s="5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1</v>
      </c>
      <c r="W313" s="7">
        <v>0</v>
      </c>
      <c r="X313" s="5">
        <v>1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2566</v>
      </c>
      <c r="B314" s="9" t="s">
        <v>512</v>
      </c>
      <c r="C314" s="9" t="s">
        <v>63</v>
      </c>
      <c r="D314" s="9" t="s">
        <v>85</v>
      </c>
      <c r="E314" s="9" t="s">
        <v>231</v>
      </c>
      <c r="F314" s="11">
        <v>2</v>
      </c>
      <c r="G314" s="10">
        <v>1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0">
        <v>1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0.5</v>
      </c>
    </row>
    <row r="315">
      <c r="A315" s="23">
        <v>2569</v>
      </c>
      <c r="B315" s="4" t="s">
        <v>513</v>
      </c>
      <c r="C315" s="4" t="s">
        <v>63</v>
      </c>
      <c r="D315" s="4" t="s">
        <v>109</v>
      </c>
      <c r="E315" s="4" t="s">
        <v>110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2583</v>
      </c>
      <c r="B316" s="9" t="s">
        <v>514</v>
      </c>
      <c r="C316" s="9" t="s">
        <v>171</v>
      </c>
      <c r="D316" s="9" t="s">
        <v>172</v>
      </c>
      <c r="E316" s="9" t="s">
        <v>173</v>
      </c>
      <c r="F316" s="11">
        <v>1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0">
        <v>1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0">
        <v>1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9">
        <v>0</v>
      </c>
    </row>
    <row r="317">
      <c r="A317" s="23">
        <v>2586</v>
      </c>
      <c r="B317" s="4" t="s">
        <v>515</v>
      </c>
      <c r="C317" s="4" t="s">
        <v>171</v>
      </c>
      <c r="D317" s="4" t="s">
        <v>439</v>
      </c>
      <c r="E317" s="4" t="s">
        <v>440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2587</v>
      </c>
      <c r="B318" s="9" t="s">
        <v>516</v>
      </c>
      <c r="C318" s="9" t="s">
        <v>63</v>
      </c>
      <c r="D318" s="9" t="s">
        <v>85</v>
      </c>
      <c r="E318" s="9" t="s">
        <v>231</v>
      </c>
      <c r="F318" s="11">
        <v>1</v>
      </c>
      <c r="G318" s="12">
        <v>0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2596</v>
      </c>
      <c r="B319" s="4" t="s">
        <v>517</v>
      </c>
      <c r="C319" s="4" t="s">
        <v>141</v>
      </c>
      <c r="D319" s="4" t="s">
        <v>418</v>
      </c>
      <c r="E319" s="4" t="s">
        <v>488</v>
      </c>
      <c r="F319" s="6">
        <v>1</v>
      </c>
      <c r="G319" s="7">
        <v>0</v>
      </c>
      <c r="H319" s="5">
        <v>1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5">
        <v>1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2602</v>
      </c>
      <c r="B320" s="9" t="s">
        <v>518</v>
      </c>
      <c r="C320" s="9" t="s">
        <v>141</v>
      </c>
      <c r="D320" s="9" t="s">
        <v>455</v>
      </c>
      <c r="E320" s="9" t="s">
        <v>456</v>
      </c>
      <c r="F320" s="11">
        <v>4</v>
      </c>
      <c r="G320" s="12">
        <v>0</v>
      </c>
      <c r="H320" s="12">
        <v>0</v>
      </c>
      <c r="I320" s="12">
        <v>0</v>
      </c>
      <c r="J320" s="10">
        <v>3</v>
      </c>
      <c r="K320" s="12">
        <v>0</v>
      </c>
      <c r="L320" s="10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2">
        <v>0</v>
      </c>
      <c r="W320" s="12">
        <v>0</v>
      </c>
      <c r="X320" s="12">
        <v>0</v>
      </c>
      <c r="Y320" s="10">
        <v>2</v>
      </c>
      <c r="Z320" s="12">
        <v>0</v>
      </c>
      <c r="AA320" s="10">
        <v>1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</v>
      </c>
      <c r="AL320" s="10">
        <v>2</v>
      </c>
      <c r="AM320" s="10">
        <v>3</v>
      </c>
      <c r="AN320" s="29">
        <v>0.52</v>
      </c>
    </row>
    <row r="321">
      <c r="A321" s="23">
        <v>2603</v>
      </c>
      <c r="B321" s="4" t="s">
        <v>519</v>
      </c>
      <c r="C321" s="4" t="s">
        <v>141</v>
      </c>
      <c r="D321" s="4" t="s">
        <v>423</v>
      </c>
      <c r="E321" s="4" t="s">
        <v>520</v>
      </c>
      <c r="F321" s="6">
        <v>2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5">
        <v>2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5">
        <v>1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30">
        <v>0</v>
      </c>
    </row>
    <row r="322">
      <c r="A322" s="24">
        <v>2605</v>
      </c>
      <c r="B322" s="9" t="s">
        <v>521</v>
      </c>
      <c r="C322" s="9" t="s">
        <v>63</v>
      </c>
      <c r="D322" s="9" t="s">
        <v>115</v>
      </c>
      <c r="E322" s="9" t="s">
        <v>124</v>
      </c>
      <c r="F322" s="11">
        <v>2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0">
        <v>2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0">
        <v>2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49">
        <v>0</v>
      </c>
    </row>
    <row r="323">
      <c r="A323" s="23">
        <v>2607</v>
      </c>
      <c r="B323" s="4" t="s">
        <v>522</v>
      </c>
      <c r="C323" s="4" t="s">
        <v>141</v>
      </c>
      <c r="D323" s="4" t="s">
        <v>523</v>
      </c>
      <c r="E323" s="4" t="s">
        <v>524</v>
      </c>
      <c r="F323" s="6">
        <v>2</v>
      </c>
      <c r="G323" s="5">
        <v>1</v>
      </c>
      <c r="H323" s="5">
        <v>1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1</v>
      </c>
      <c r="W323" s="5">
        <v>1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2612</v>
      </c>
      <c r="B324" s="9" t="s">
        <v>525</v>
      </c>
      <c r="C324" s="9" t="s">
        <v>171</v>
      </c>
      <c r="D324" s="9" t="s">
        <v>189</v>
      </c>
      <c r="E324" s="9" t="s">
        <v>200</v>
      </c>
      <c r="F324" s="11">
        <v>5</v>
      </c>
      <c r="G324" s="10">
        <v>2</v>
      </c>
      <c r="H324" s="10">
        <v>2</v>
      </c>
      <c r="I324" s="10">
        <v>1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5</v>
      </c>
      <c r="V324" s="10">
        <v>2</v>
      </c>
      <c r="W324" s="10">
        <v>2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1.67</v>
      </c>
      <c r="AL324" s="10">
        <v>2</v>
      </c>
      <c r="AM324" s="10">
        <v>2</v>
      </c>
      <c r="AN324" s="29">
        <v>0.48</v>
      </c>
    </row>
    <row r="325">
      <c r="A325" s="23">
        <v>2614</v>
      </c>
      <c r="B325" s="4" t="s">
        <v>526</v>
      </c>
      <c r="C325" s="4" t="s">
        <v>171</v>
      </c>
      <c r="D325" s="4" t="s">
        <v>172</v>
      </c>
      <c r="E325" s="4" t="s">
        <v>173</v>
      </c>
      <c r="F325" s="6">
        <v>6</v>
      </c>
      <c r="G325" s="5">
        <v>1</v>
      </c>
      <c r="H325" s="7">
        <v>0</v>
      </c>
      <c r="I325" s="7">
        <v>0</v>
      </c>
      <c r="J325" s="5">
        <v>4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6</v>
      </c>
      <c r="V325" s="5">
        <v>1</v>
      </c>
      <c r="W325" s="7">
        <v>0</v>
      </c>
      <c r="X325" s="7">
        <v>0</v>
      </c>
      <c r="Y325" s="5">
        <v>4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3</v>
      </c>
      <c r="AN325" s="28">
        <v>1</v>
      </c>
    </row>
    <row r="326">
      <c r="A326" s="24">
        <v>2615</v>
      </c>
      <c r="B326" s="9" t="s">
        <v>527</v>
      </c>
      <c r="C326" s="9" t="s">
        <v>171</v>
      </c>
      <c r="D326" s="9" t="s">
        <v>172</v>
      </c>
      <c r="E326" s="9" t="s">
        <v>173</v>
      </c>
      <c r="F326" s="11">
        <v>2</v>
      </c>
      <c r="G326" s="12">
        <v>0</v>
      </c>
      <c r="H326" s="12">
        <v>0</v>
      </c>
      <c r="I326" s="10">
        <v>1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2">
        <v>0</v>
      </c>
      <c r="W326" s="12">
        <v>0</v>
      </c>
      <c r="X326" s="10">
        <v>1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9">
        <v>0</v>
      </c>
    </row>
    <row r="327">
      <c r="A327" s="23">
        <v>2616</v>
      </c>
      <c r="B327" s="4" t="s">
        <v>528</v>
      </c>
      <c r="C327" s="4" t="s">
        <v>171</v>
      </c>
      <c r="D327" s="4" t="s">
        <v>189</v>
      </c>
      <c r="E327" s="4" t="s">
        <v>208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2619</v>
      </c>
      <c r="B328" s="9" t="s">
        <v>529</v>
      </c>
      <c r="C328" s="9" t="s">
        <v>63</v>
      </c>
      <c r="D328" s="9" t="s">
        <v>133</v>
      </c>
      <c r="E328" s="9" t="s">
        <v>134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9">
        <v>0</v>
      </c>
    </row>
    <row r="329">
      <c r="A329" s="23">
        <v>2625</v>
      </c>
      <c r="B329" s="4" t="s">
        <v>530</v>
      </c>
      <c r="C329" s="4" t="s">
        <v>141</v>
      </c>
      <c r="D329" s="4" t="s">
        <v>253</v>
      </c>
      <c r="E329" s="4" t="s">
        <v>254</v>
      </c>
      <c r="F329" s="6">
        <v>1</v>
      </c>
      <c r="G329" s="7">
        <v>0</v>
      </c>
      <c r="H329" s="7">
        <v>0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2629</v>
      </c>
      <c r="B330" s="9" t="s">
        <v>531</v>
      </c>
      <c r="C330" s="9" t="s">
        <v>63</v>
      </c>
      <c r="D330" s="9" t="s">
        <v>76</v>
      </c>
      <c r="E330" s="9" t="s">
        <v>77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2645</v>
      </c>
      <c r="B331" s="4" t="s">
        <v>532</v>
      </c>
      <c r="C331" s="4" t="s">
        <v>63</v>
      </c>
      <c r="D331" s="4" t="s">
        <v>115</v>
      </c>
      <c r="E331" s="4" t="s">
        <v>118</v>
      </c>
      <c r="F331" s="6">
        <v>1</v>
      </c>
      <c r="G331" s="7">
        <v>0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2652</v>
      </c>
      <c r="B332" s="9" t="s">
        <v>533</v>
      </c>
      <c r="C332" s="9" t="s">
        <v>141</v>
      </c>
      <c r="D332" s="9" t="s">
        <v>423</v>
      </c>
      <c r="E332" s="9" t="s">
        <v>424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0.24</v>
      </c>
    </row>
    <row r="333">
      <c r="A333" s="23">
        <v>2654</v>
      </c>
      <c r="B333" s="4" t="s">
        <v>534</v>
      </c>
      <c r="C333" s="4" t="s">
        <v>141</v>
      </c>
      <c r="D333" s="4" t="s">
        <v>253</v>
      </c>
      <c r="E333" s="4" t="s">
        <v>254</v>
      </c>
      <c r="F333" s="6">
        <v>1</v>
      </c>
      <c r="G333" s="7">
        <v>0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2662</v>
      </c>
      <c r="B334" s="9" t="s">
        <v>535</v>
      </c>
      <c r="C334" s="9" t="s">
        <v>63</v>
      </c>
      <c r="D334" s="9" t="s">
        <v>85</v>
      </c>
      <c r="E334" s="9" t="s">
        <v>147</v>
      </c>
      <c r="F334" s="11">
        <v>4</v>
      </c>
      <c r="G334" s="12">
        <v>0</v>
      </c>
      <c r="H334" s="12">
        <v>0</v>
      </c>
      <c r="I334" s="12">
        <v>0</v>
      </c>
      <c r="J334" s="10">
        <v>4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4</v>
      </c>
      <c r="V334" s="12">
        <v>0</v>
      </c>
      <c r="W334" s="12">
        <v>0</v>
      </c>
      <c r="X334" s="12">
        <v>0</v>
      </c>
      <c r="Y334" s="10">
        <v>4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</v>
      </c>
      <c r="AL334" s="10">
        <v>2</v>
      </c>
      <c r="AM334" s="10">
        <v>3</v>
      </c>
      <c r="AN334" s="29">
        <v>1.04</v>
      </c>
    </row>
    <row r="335">
      <c r="A335" s="23">
        <v>2664</v>
      </c>
      <c r="B335" s="4" t="s">
        <v>536</v>
      </c>
      <c r="C335" s="4" t="s">
        <v>63</v>
      </c>
      <c r="D335" s="4" t="s">
        <v>115</v>
      </c>
      <c r="E335" s="4" t="s">
        <v>124</v>
      </c>
      <c r="F335" s="6">
        <v>3</v>
      </c>
      <c r="G335" s="7">
        <v>0</v>
      </c>
      <c r="H335" s="5">
        <v>3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7">
        <v>0</v>
      </c>
      <c r="W335" s="5">
        <v>3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3</v>
      </c>
      <c r="AK335" s="8">
        <v>3</v>
      </c>
      <c r="AL335" s="5">
        <v>3</v>
      </c>
      <c r="AM335" s="5">
        <v>3</v>
      </c>
      <c r="AN335" s="28">
        <v>0.75</v>
      </c>
    </row>
    <row r="336">
      <c r="A336" s="24">
        <v>2665</v>
      </c>
      <c r="B336" s="9" t="s">
        <v>537</v>
      </c>
      <c r="C336" s="9" t="s">
        <v>63</v>
      </c>
      <c r="D336" s="9" t="s">
        <v>90</v>
      </c>
      <c r="E336" s="9" t="s">
        <v>538</v>
      </c>
      <c r="F336" s="11">
        <v>2</v>
      </c>
      <c r="G336" s="10">
        <v>1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0">
        <v>1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2684</v>
      </c>
      <c r="B337" s="4" t="s">
        <v>539</v>
      </c>
      <c r="C337" s="4" t="s">
        <v>141</v>
      </c>
      <c r="D337" s="4" t="s">
        <v>472</v>
      </c>
      <c r="E337" s="4" t="s">
        <v>540</v>
      </c>
      <c r="F337" s="6">
        <v>3</v>
      </c>
      <c r="G337" s="5">
        <v>1</v>
      </c>
      <c r="H337" s="7">
        <v>0</v>
      </c>
      <c r="I337" s="5">
        <v>1</v>
      </c>
      <c r="J337" s="7">
        <v>0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1</v>
      </c>
      <c r="W337" s="7">
        <v>0</v>
      </c>
      <c r="X337" s="5">
        <v>1</v>
      </c>
      <c r="Y337" s="7">
        <v>0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0.25</v>
      </c>
    </row>
    <row r="338">
      <c r="A338" s="24">
        <v>2692</v>
      </c>
      <c r="B338" s="9" t="s">
        <v>541</v>
      </c>
      <c r="C338" s="9" t="s">
        <v>63</v>
      </c>
      <c r="D338" s="9" t="s">
        <v>80</v>
      </c>
      <c r="E338" s="9" t="s">
        <v>96</v>
      </c>
      <c r="F338" s="11">
        <v>2</v>
      </c>
      <c r="G338" s="12">
        <v>0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2">
        <v>0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29">
        <v>0.5</v>
      </c>
    </row>
    <row r="339">
      <c r="A339" s="23">
        <v>2693</v>
      </c>
      <c r="B339" s="4" t="s">
        <v>542</v>
      </c>
      <c r="C339" s="4" t="s">
        <v>63</v>
      </c>
      <c r="D339" s="4" t="s">
        <v>80</v>
      </c>
      <c r="E339" s="4" t="s">
        <v>96</v>
      </c>
      <c r="F339" s="6">
        <v>2</v>
      </c>
      <c r="G339" s="7">
        <v>0</v>
      </c>
      <c r="H339" s="7">
        <v>0</v>
      </c>
      <c r="I339" s="5">
        <v>2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7">
        <v>0</v>
      </c>
      <c r="W339" s="7">
        <v>0</v>
      </c>
      <c r="X339" s="5">
        <v>2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28">
        <v>0.44</v>
      </c>
    </row>
    <row r="340">
      <c r="A340" s="24">
        <v>2694</v>
      </c>
      <c r="B340" s="9" t="s">
        <v>543</v>
      </c>
      <c r="C340" s="9" t="s">
        <v>63</v>
      </c>
      <c r="D340" s="9" t="s">
        <v>80</v>
      </c>
      <c r="E340" s="9" t="s">
        <v>96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9">
        <v>0</v>
      </c>
    </row>
    <row r="341">
      <c r="A341" s="23">
        <v>2695</v>
      </c>
      <c r="B341" s="4" t="s">
        <v>544</v>
      </c>
      <c r="C341" s="4" t="s">
        <v>63</v>
      </c>
      <c r="D341" s="4" t="s">
        <v>80</v>
      </c>
      <c r="E341" s="4" t="s">
        <v>96</v>
      </c>
      <c r="F341" s="6">
        <v>2</v>
      </c>
      <c r="G341" s="7">
        <v>0</v>
      </c>
      <c r="H341" s="5">
        <v>2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5">
        <v>2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28">
        <v>0.48</v>
      </c>
    </row>
    <row r="342">
      <c r="A342" s="24">
        <v>2698</v>
      </c>
      <c r="B342" s="9" t="s">
        <v>545</v>
      </c>
      <c r="C342" s="9" t="s">
        <v>63</v>
      </c>
      <c r="D342" s="9" t="s">
        <v>80</v>
      </c>
      <c r="E342" s="9" t="s">
        <v>96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0.26</v>
      </c>
    </row>
    <row r="343">
      <c r="A343" s="23">
        <v>2701</v>
      </c>
      <c r="B343" s="4" t="s">
        <v>546</v>
      </c>
      <c r="C343" s="4" t="s">
        <v>63</v>
      </c>
      <c r="D343" s="4" t="s">
        <v>115</v>
      </c>
      <c r="E343" s="4" t="s">
        <v>118</v>
      </c>
      <c r="F343" s="6">
        <v>2</v>
      </c>
      <c r="G343" s="7">
        <v>0</v>
      </c>
      <c r="H343" s="5">
        <v>2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7">
        <v>0</v>
      </c>
      <c r="W343" s="5">
        <v>2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0.5</v>
      </c>
    </row>
    <row r="344">
      <c r="A344" s="24">
        <v>2703</v>
      </c>
      <c r="B344" s="9" t="s">
        <v>547</v>
      </c>
      <c r="C344" s="9" t="s">
        <v>63</v>
      </c>
      <c r="D344" s="9" t="s">
        <v>80</v>
      </c>
      <c r="E344" s="9" t="s">
        <v>96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0.37</v>
      </c>
    </row>
    <row r="345">
      <c r="A345" s="23">
        <v>2705</v>
      </c>
      <c r="B345" s="4" t="s">
        <v>548</v>
      </c>
      <c r="C345" s="4" t="s">
        <v>63</v>
      </c>
      <c r="D345" s="4" t="s">
        <v>80</v>
      </c>
      <c r="E345" s="4" t="s">
        <v>96</v>
      </c>
      <c r="F345" s="6">
        <v>2</v>
      </c>
      <c r="G345" s="7">
        <v>0</v>
      </c>
      <c r="H345" s="7">
        <v>0</v>
      </c>
      <c r="I345" s="7">
        <v>0</v>
      </c>
      <c r="J345" s="5">
        <v>2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7">
        <v>0</v>
      </c>
      <c r="W345" s="7">
        <v>0</v>
      </c>
      <c r="X345" s="7">
        <v>0</v>
      </c>
      <c r="Y345" s="5">
        <v>2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28">
        <v>0.52</v>
      </c>
    </row>
    <row r="346">
      <c r="A346" s="24">
        <v>2708</v>
      </c>
      <c r="B346" s="9" t="s">
        <v>549</v>
      </c>
      <c r="C346" s="9" t="s">
        <v>63</v>
      </c>
      <c r="D346" s="9" t="s">
        <v>80</v>
      </c>
      <c r="E346" s="9" t="s">
        <v>96</v>
      </c>
      <c r="F346" s="11">
        <v>1</v>
      </c>
      <c r="G346" s="12">
        <v>0</v>
      </c>
      <c r="H346" s="12">
        <v>0</v>
      </c>
      <c r="I346" s="12">
        <v>0</v>
      </c>
      <c r="J346" s="12">
        <v>0</v>
      </c>
      <c r="K346" s="10">
        <v>1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2">
        <v>0</v>
      </c>
      <c r="Z346" s="10">
        <v>1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9">
        <v>0</v>
      </c>
    </row>
    <row r="347">
      <c r="A347" s="23">
        <v>2713</v>
      </c>
      <c r="B347" s="4" t="s">
        <v>550</v>
      </c>
      <c r="C347" s="4" t="s">
        <v>63</v>
      </c>
      <c r="D347" s="4" t="s">
        <v>80</v>
      </c>
      <c r="E347" s="4" t="s">
        <v>96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2715</v>
      </c>
      <c r="B348" s="9" t="s">
        <v>551</v>
      </c>
      <c r="C348" s="9" t="s">
        <v>63</v>
      </c>
      <c r="D348" s="9" t="s">
        <v>80</v>
      </c>
      <c r="E348" s="9" t="s">
        <v>96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0.35</v>
      </c>
    </row>
    <row r="349">
      <c r="A349" s="23">
        <v>2725</v>
      </c>
      <c r="B349" s="4" t="s">
        <v>552</v>
      </c>
      <c r="C349" s="4" t="s">
        <v>63</v>
      </c>
      <c r="D349" s="4" t="s">
        <v>133</v>
      </c>
      <c r="E349" s="4" t="s">
        <v>134</v>
      </c>
      <c r="F349" s="6">
        <v>1</v>
      </c>
      <c r="G349" s="7">
        <v>0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2730</v>
      </c>
      <c r="B350" s="9" t="s">
        <v>553</v>
      </c>
      <c r="C350" s="9" t="s">
        <v>63</v>
      </c>
      <c r="D350" s="9" t="s">
        <v>115</v>
      </c>
      <c r="E350" s="9" t="s">
        <v>118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0.36</v>
      </c>
    </row>
    <row r="351">
      <c r="A351" s="23">
        <v>2731</v>
      </c>
      <c r="B351" s="4" t="s">
        <v>554</v>
      </c>
      <c r="C351" s="4" t="s">
        <v>63</v>
      </c>
      <c r="D351" s="4" t="s">
        <v>93</v>
      </c>
      <c r="E351" s="4" t="s">
        <v>156</v>
      </c>
      <c r="F351" s="6">
        <v>4</v>
      </c>
      <c r="G351" s="5">
        <v>3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5">
        <v>3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</v>
      </c>
      <c r="AL351" s="5">
        <v>2</v>
      </c>
      <c r="AM351" s="5">
        <v>3</v>
      </c>
      <c r="AN351" s="28">
        <v>0.25</v>
      </c>
    </row>
    <row r="352">
      <c r="A352" s="24">
        <v>2738</v>
      </c>
      <c r="B352" s="9" t="s">
        <v>555</v>
      </c>
      <c r="C352" s="9" t="s">
        <v>63</v>
      </c>
      <c r="D352" s="9" t="s">
        <v>80</v>
      </c>
      <c r="E352" s="9" t="s">
        <v>96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9">
        <v>0</v>
      </c>
    </row>
    <row r="353">
      <c r="A353" s="23">
        <v>2740</v>
      </c>
      <c r="B353" s="4" t="s">
        <v>556</v>
      </c>
      <c r="C353" s="4" t="s">
        <v>141</v>
      </c>
      <c r="D353" s="4" t="s">
        <v>557</v>
      </c>
      <c r="E353" s="4" t="s">
        <v>558</v>
      </c>
      <c r="F353" s="6">
        <v>4</v>
      </c>
      <c r="G353" s="5">
        <v>3</v>
      </c>
      <c r="H353" s="7">
        <v>0</v>
      </c>
      <c r="I353" s="5">
        <v>1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4</v>
      </c>
      <c r="V353" s="5">
        <v>3</v>
      </c>
      <c r="W353" s="7">
        <v>0</v>
      </c>
      <c r="X353" s="5">
        <v>1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</v>
      </c>
      <c r="AL353" s="5">
        <v>2</v>
      </c>
      <c r="AM353" s="5">
        <v>3</v>
      </c>
      <c r="AN353" s="30">
        <v>0</v>
      </c>
    </row>
    <row r="354">
      <c r="A354" s="24">
        <v>2742</v>
      </c>
      <c r="B354" s="9" t="s">
        <v>559</v>
      </c>
      <c r="C354" s="9" t="s">
        <v>63</v>
      </c>
      <c r="D354" s="9" t="s">
        <v>67</v>
      </c>
      <c r="E354" s="9" t="s">
        <v>160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9">
        <v>0</v>
      </c>
    </row>
    <row r="355">
      <c r="A355" s="23">
        <v>2768</v>
      </c>
      <c r="B355" s="4" t="s">
        <v>560</v>
      </c>
      <c r="C355" s="4" t="s">
        <v>63</v>
      </c>
      <c r="D355" s="4" t="s">
        <v>73</v>
      </c>
      <c r="E355" s="4" t="s">
        <v>389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2772</v>
      </c>
      <c r="B356" s="9" t="s">
        <v>561</v>
      </c>
      <c r="C356" s="9" t="s">
        <v>63</v>
      </c>
      <c r="D356" s="9" t="s">
        <v>115</v>
      </c>
      <c r="E356" s="9" t="s">
        <v>116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0.24</v>
      </c>
    </row>
    <row r="357">
      <c r="A357" s="23">
        <v>2776</v>
      </c>
      <c r="B357" s="4" t="s">
        <v>562</v>
      </c>
      <c r="C357" s="4" t="s">
        <v>63</v>
      </c>
      <c r="D357" s="4" t="s">
        <v>76</v>
      </c>
      <c r="E357" s="4" t="s">
        <v>77</v>
      </c>
      <c r="F357" s="6">
        <v>1</v>
      </c>
      <c r="G357" s="7">
        <v>0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2777</v>
      </c>
      <c r="B358" s="9" t="s">
        <v>563</v>
      </c>
      <c r="C358" s="9" t="s">
        <v>63</v>
      </c>
      <c r="D358" s="9" t="s">
        <v>76</v>
      </c>
      <c r="E358" s="9" t="s">
        <v>77</v>
      </c>
      <c r="F358" s="11">
        <v>2</v>
      </c>
      <c r="G358" s="12">
        <v>0</v>
      </c>
      <c r="H358" s="12">
        <v>0</v>
      </c>
      <c r="I358" s="10">
        <v>2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2">
        <v>0</v>
      </c>
      <c r="W358" s="12">
        <v>0</v>
      </c>
      <c r="X358" s="10">
        <v>2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9">
        <v>0</v>
      </c>
    </row>
    <row r="359">
      <c r="A359" s="23">
        <v>2780</v>
      </c>
      <c r="B359" s="4" t="s">
        <v>564</v>
      </c>
      <c r="C359" s="4" t="s">
        <v>63</v>
      </c>
      <c r="D359" s="4" t="s">
        <v>76</v>
      </c>
      <c r="E359" s="4" t="s">
        <v>137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2790</v>
      </c>
      <c r="B360" s="9" t="s">
        <v>565</v>
      </c>
      <c r="C360" s="9" t="s">
        <v>63</v>
      </c>
      <c r="D360" s="9" t="s">
        <v>76</v>
      </c>
      <c r="E360" s="9" t="s">
        <v>77</v>
      </c>
      <c r="F360" s="11">
        <v>1</v>
      </c>
      <c r="G360" s="12">
        <v>0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9">
        <v>0</v>
      </c>
    </row>
    <row r="361">
      <c r="A361" s="23">
        <v>2791</v>
      </c>
      <c r="B361" s="4" t="s">
        <v>566</v>
      </c>
      <c r="C361" s="4" t="s">
        <v>63</v>
      </c>
      <c r="D361" s="4" t="s">
        <v>76</v>
      </c>
      <c r="E361" s="4" t="s">
        <v>77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2792</v>
      </c>
      <c r="B362" s="9" t="s">
        <v>567</v>
      </c>
      <c r="C362" s="9" t="s">
        <v>63</v>
      </c>
      <c r="D362" s="9" t="s">
        <v>103</v>
      </c>
      <c r="E362" s="9" t="s">
        <v>131</v>
      </c>
      <c r="F362" s="11">
        <v>7</v>
      </c>
      <c r="G362" s="10">
        <v>5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7</v>
      </c>
      <c r="V362" s="10">
        <v>5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2.33</v>
      </c>
      <c r="AL362" s="10">
        <v>1</v>
      </c>
      <c r="AM362" s="10">
        <v>5</v>
      </c>
      <c r="AN362" s="29">
        <v>0.5</v>
      </c>
    </row>
    <row r="363">
      <c r="A363" s="23">
        <v>2802</v>
      </c>
      <c r="B363" s="4" t="s">
        <v>568</v>
      </c>
      <c r="C363" s="4" t="s">
        <v>63</v>
      </c>
      <c r="D363" s="4" t="s">
        <v>76</v>
      </c>
      <c r="E363" s="4" t="s">
        <v>77</v>
      </c>
      <c r="F363" s="6">
        <v>2</v>
      </c>
      <c r="G363" s="7">
        <v>0</v>
      </c>
      <c r="H363" s="7">
        <v>0</v>
      </c>
      <c r="I363" s="5">
        <v>2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7">
        <v>0</v>
      </c>
      <c r="W363" s="7">
        <v>0</v>
      </c>
      <c r="X363" s="5">
        <v>2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0.5</v>
      </c>
    </row>
    <row r="364">
      <c r="A364" s="24">
        <v>2816</v>
      </c>
      <c r="B364" s="9" t="s">
        <v>569</v>
      </c>
      <c r="C364" s="9" t="s">
        <v>63</v>
      </c>
      <c r="D364" s="9" t="s">
        <v>80</v>
      </c>
      <c r="E364" s="9" t="s">
        <v>96</v>
      </c>
      <c r="F364" s="11">
        <v>1</v>
      </c>
      <c r="G364" s="12">
        <v>0</v>
      </c>
      <c r="H364" s="10">
        <v>1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0">
        <v>1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0.24</v>
      </c>
    </row>
    <row r="365">
      <c r="A365" s="23">
        <v>2840</v>
      </c>
      <c r="B365" s="4" t="s">
        <v>570</v>
      </c>
      <c r="C365" s="4" t="s">
        <v>63</v>
      </c>
      <c r="D365" s="4" t="s">
        <v>73</v>
      </c>
      <c r="E365" s="4" t="s">
        <v>445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2842</v>
      </c>
      <c r="B366" s="9" t="s">
        <v>571</v>
      </c>
      <c r="C366" s="9" t="s">
        <v>63</v>
      </c>
      <c r="D366" s="9" t="s">
        <v>85</v>
      </c>
      <c r="E366" s="9" t="s">
        <v>107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9">
        <v>0</v>
      </c>
    </row>
    <row r="367">
      <c r="A367" s="23">
        <v>2846</v>
      </c>
      <c r="B367" s="4" t="s">
        <v>572</v>
      </c>
      <c r="C367" s="4" t="s">
        <v>141</v>
      </c>
      <c r="D367" s="4" t="s">
        <v>142</v>
      </c>
      <c r="E367" s="4" t="s">
        <v>143</v>
      </c>
      <c r="F367" s="6">
        <v>1</v>
      </c>
      <c r="G367" s="7">
        <v>0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2862</v>
      </c>
      <c r="B368" s="9" t="s">
        <v>573</v>
      </c>
      <c r="C368" s="9" t="s">
        <v>63</v>
      </c>
      <c r="D368" s="9" t="s">
        <v>133</v>
      </c>
      <c r="E368" s="9" t="s">
        <v>326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9">
        <v>0</v>
      </c>
    </row>
    <row r="369">
      <c r="A369" s="23">
        <v>2863</v>
      </c>
      <c r="B369" s="4" t="s">
        <v>574</v>
      </c>
      <c r="C369" s="4" t="s">
        <v>63</v>
      </c>
      <c r="D369" s="4" t="s">
        <v>133</v>
      </c>
      <c r="E369" s="4" t="s">
        <v>326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2874</v>
      </c>
      <c r="B370" s="9" t="s">
        <v>575</v>
      </c>
      <c r="C370" s="9" t="s">
        <v>63</v>
      </c>
      <c r="D370" s="9" t="s">
        <v>133</v>
      </c>
      <c r="E370" s="9" t="s">
        <v>134</v>
      </c>
      <c r="F370" s="11">
        <v>1</v>
      </c>
      <c r="G370" s="12">
        <v>0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0.24</v>
      </c>
    </row>
    <row r="371">
      <c r="A371" s="23">
        <v>2878</v>
      </c>
      <c r="B371" s="4" t="s">
        <v>576</v>
      </c>
      <c r="C371" s="4" t="s">
        <v>63</v>
      </c>
      <c r="D371" s="4" t="s">
        <v>133</v>
      </c>
      <c r="E371" s="4" t="s">
        <v>134</v>
      </c>
      <c r="F371" s="6">
        <v>1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5">
        <v>1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5">
        <v>1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2880</v>
      </c>
      <c r="B372" s="9" t="s">
        <v>577</v>
      </c>
      <c r="C372" s="9" t="s">
        <v>63</v>
      </c>
      <c r="D372" s="9" t="s">
        <v>80</v>
      </c>
      <c r="E372" s="9" t="s">
        <v>257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49">
        <v>0</v>
      </c>
    </row>
    <row r="373">
      <c r="A373" s="23">
        <v>2883</v>
      </c>
      <c r="B373" s="4" t="s">
        <v>578</v>
      </c>
      <c r="C373" s="4" t="s">
        <v>63</v>
      </c>
      <c r="D373" s="4" t="s">
        <v>85</v>
      </c>
      <c r="E373" s="4" t="s">
        <v>147</v>
      </c>
      <c r="F373" s="6">
        <v>3</v>
      </c>
      <c r="G373" s="7">
        <v>0</v>
      </c>
      <c r="H373" s="5">
        <v>1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7">
        <v>0</v>
      </c>
      <c r="W373" s="5">
        <v>1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0.78</v>
      </c>
    </row>
    <row r="374">
      <c r="A374" s="24">
        <v>2884</v>
      </c>
      <c r="B374" s="9" t="s">
        <v>579</v>
      </c>
      <c r="C374" s="9" t="s">
        <v>63</v>
      </c>
      <c r="D374" s="9" t="s">
        <v>76</v>
      </c>
      <c r="E374" s="9" t="s">
        <v>348</v>
      </c>
      <c r="F374" s="11">
        <v>1</v>
      </c>
      <c r="G374" s="12">
        <v>0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2888</v>
      </c>
      <c r="B375" s="4" t="s">
        <v>580</v>
      </c>
      <c r="C375" s="4" t="s">
        <v>63</v>
      </c>
      <c r="D375" s="4" t="s">
        <v>76</v>
      </c>
      <c r="E375" s="4" t="s">
        <v>77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30">
        <v>0</v>
      </c>
    </row>
    <row r="376">
      <c r="A376" s="24">
        <v>2902</v>
      </c>
      <c r="B376" s="9" t="s">
        <v>581</v>
      </c>
      <c r="C376" s="9" t="s">
        <v>63</v>
      </c>
      <c r="D376" s="9" t="s">
        <v>76</v>
      </c>
      <c r="E376" s="9" t="s">
        <v>77</v>
      </c>
      <c r="F376" s="11">
        <v>2</v>
      </c>
      <c r="G376" s="10">
        <v>2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2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49">
        <v>0</v>
      </c>
    </row>
    <row r="377">
      <c r="A377" s="23">
        <v>2907</v>
      </c>
      <c r="B377" s="4" t="s">
        <v>582</v>
      </c>
      <c r="C377" s="4" t="s">
        <v>63</v>
      </c>
      <c r="D377" s="4" t="s">
        <v>90</v>
      </c>
      <c r="E377" s="4" t="s">
        <v>538</v>
      </c>
      <c r="F377" s="6">
        <v>3</v>
      </c>
      <c r="G377" s="5">
        <v>1</v>
      </c>
      <c r="H377" s="7">
        <v>0</v>
      </c>
      <c r="I377" s="5">
        <v>2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1</v>
      </c>
      <c r="W377" s="7">
        <v>0</v>
      </c>
      <c r="X377" s="5">
        <v>2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30">
        <v>0</v>
      </c>
    </row>
    <row r="378">
      <c r="A378" s="24">
        <v>2910</v>
      </c>
      <c r="B378" s="9" t="s">
        <v>583</v>
      </c>
      <c r="C378" s="9" t="s">
        <v>63</v>
      </c>
      <c r="D378" s="9" t="s">
        <v>76</v>
      </c>
      <c r="E378" s="9" t="s">
        <v>348</v>
      </c>
      <c r="F378" s="11">
        <v>3</v>
      </c>
      <c r="G378" s="12">
        <v>0</v>
      </c>
      <c r="H378" s="12">
        <v>0</v>
      </c>
      <c r="I378" s="10">
        <v>1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3</v>
      </c>
      <c r="V378" s="12">
        <v>0</v>
      </c>
      <c r="W378" s="12">
        <v>0</v>
      </c>
      <c r="X378" s="10">
        <v>1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0.75</v>
      </c>
    </row>
    <row r="379">
      <c r="A379" s="23">
        <v>2912</v>
      </c>
      <c r="B379" s="4" t="s">
        <v>584</v>
      </c>
      <c r="C379" s="4" t="s">
        <v>63</v>
      </c>
      <c r="D379" s="4" t="s">
        <v>76</v>
      </c>
      <c r="E379" s="4" t="s">
        <v>348</v>
      </c>
      <c r="F379" s="6">
        <v>2</v>
      </c>
      <c r="G379" s="7">
        <v>0</v>
      </c>
      <c r="H379" s="5">
        <v>2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7">
        <v>0</v>
      </c>
      <c r="W379" s="5">
        <v>2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28">
        <v>0.5</v>
      </c>
    </row>
    <row r="380">
      <c r="A380" s="24">
        <v>2913</v>
      </c>
      <c r="B380" s="9" t="s">
        <v>585</v>
      </c>
      <c r="C380" s="9" t="s">
        <v>63</v>
      </c>
      <c r="D380" s="9" t="s">
        <v>115</v>
      </c>
      <c r="E380" s="9" t="s">
        <v>124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2916</v>
      </c>
      <c r="B381" s="4" t="s">
        <v>586</v>
      </c>
      <c r="C381" s="4" t="s">
        <v>360</v>
      </c>
      <c r="D381" s="4" t="s">
        <v>587</v>
      </c>
      <c r="E381" s="4" t="s">
        <v>362</v>
      </c>
      <c r="F381" s="6">
        <v>2</v>
      </c>
      <c r="G381" s="7">
        <v>0</v>
      </c>
      <c r="H381" s="5">
        <v>1</v>
      </c>
      <c r="I381" s="5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7">
        <v>0</v>
      </c>
      <c r="W381" s="5">
        <v>1</v>
      </c>
      <c r="X381" s="5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0.22</v>
      </c>
    </row>
    <row r="382">
      <c r="A382" s="24">
        <v>2920</v>
      </c>
      <c r="B382" s="9" t="s">
        <v>588</v>
      </c>
      <c r="C382" s="9" t="s">
        <v>360</v>
      </c>
      <c r="D382" s="9" t="s">
        <v>587</v>
      </c>
      <c r="E382" s="9" t="s">
        <v>362</v>
      </c>
      <c r="F382" s="11">
        <v>1</v>
      </c>
      <c r="G382" s="12">
        <v>0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0.24</v>
      </c>
    </row>
    <row r="383">
      <c r="A383" s="23">
        <v>2929</v>
      </c>
      <c r="B383" s="4" t="s">
        <v>589</v>
      </c>
      <c r="C383" s="4" t="s">
        <v>141</v>
      </c>
      <c r="D383" s="4" t="s">
        <v>142</v>
      </c>
      <c r="E383" s="4" t="s">
        <v>458</v>
      </c>
      <c r="F383" s="6">
        <v>2</v>
      </c>
      <c r="G383" s="7">
        <v>0</v>
      </c>
      <c r="H383" s="5">
        <v>2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7">
        <v>0</v>
      </c>
      <c r="W383" s="5">
        <v>2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28">
        <v>0.44</v>
      </c>
    </row>
    <row r="384">
      <c r="A384" s="24">
        <v>2930</v>
      </c>
      <c r="B384" s="9" t="s">
        <v>590</v>
      </c>
      <c r="C384" s="9" t="s">
        <v>63</v>
      </c>
      <c r="D384" s="9" t="s">
        <v>76</v>
      </c>
      <c r="E384" s="9" t="s">
        <v>77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9">
        <v>0</v>
      </c>
    </row>
    <row r="385">
      <c r="A385" s="23">
        <v>2935</v>
      </c>
      <c r="B385" s="4" t="s">
        <v>591</v>
      </c>
      <c r="C385" s="4" t="s">
        <v>63</v>
      </c>
      <c r="D385" s="4" t="s">
        <v>76</v>
      </c>
      <c r="E385" s="4" t="s">
        <v>348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2945</v>
      </c>
      <c r="B386" s="9" t="s">
        <v>592</v>
      </c>
      <c r="C386" s="9" t="s">
        <v>360</v>
      </c>
      <c r="D386" s="9" t="s">
        <v>593</v>
      </c>
      <c r="E386" s="9" t="s">
        <v>362</v>
      </c>
      <c r="F386" s="11">
        <v>2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29">
        <v>0.25</v>
      </c>
    </row>
    <row r="387">
      <c r="A387" s="23">
        <v>2948</v>
      </c>
      <c r="B387" s="4" t="s">
        <v>594</v>
      </c>
      <c r="C387" s="4" t="s">
        <v>595</v>
      </c>
      <c r="D387" s="4" t="s">
        <v>596</v>
      </c>
      <c r="E387" s="4" t="s">
        <v>597</v>
      </c>
      <c r="F387" s="6">
        <v>4</v>
      </c>
      <c r="G387" s="7">
        <v>0</v>
      </c>
      <c r="H387" s="7">
        <v>0</v>
      </c>
      <c r="I387" s="7">
        <v>0</v>
      </c>
      <c r="J387" s="5">
        <v>4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7">
        <v>0</v>
      </c>
      <c r="W387" s="7">
        <v>0</v>
      </c>
      <c r="X387" s="7">
        <v>0</v>
      </c>
      <c r="Y387" s="5">
        <v>4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1.33</v>
      </c>
      <c r="AL387" s="5">
        <v>1</v>
      </c>
      <c r="AM387" s="5">
        <v>2</v>
      </c>
      <c r="AN387" s="28">
        <v>0.5</v>
      </c>
    </row>
    <row r="388">
      <c r="A388" s="24">
        <v>2952</v>
      </c>
      <c r="B388" s="9" t="s">
        <v>598</v>
      </c>
      <c r="C388" s="9" t="s">
        <v>63</v>
      </c>
      <c r="D388" s="9" t="s">
        <v>80</v>
      </c>
      <c r="E388" s="9" t="s">
        <v>350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9">
        <v>0</v>
      </c>
    </row>
    <row r="389">
      <c r="A389" s="23">
        <v>2953</v>
      </c>
      <c r="B389" s="4" t="s">
        <v>599</v>
      </c>
      <c r="C389" s="4" t="s">
        <v>63</v>
      </c>
      <c r="D389" s="4" t="s">
        <v>85</v>
      </c>
      <c r="E389" s="4" t="s">
        <v>147</v>
      </c>
      <c r="F389" s="6">
        <v>4</v>
      </c>
      <c r="G389" s="5">
        <v>2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5">
        <v>2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1.33</v>
      </c>
      <c r="AL389" s="5">
        <v>1</v>
      </c>
      <c r="AM389" s="5">
        <v>2</v>
      </c>
      <c r="AN389" s="28">
        <v>0.44</v>
      </c>
    </row>
    <row r="390">
      <c r="A390" s="24">
        <v>2954</v>
      </c>
      <c r="B390" s="9" t="s">
        <v>600</v>
      </c>
      <c r="C390" s="9" t="s">
        <v>595</v>
      </c>
      <c r="D390" s="9" t="s">
        <v>596</v>
      </c>
      <c r="E390" s="9" t="s">
        <v>601</v>
      </c>
      <c r="F390" s="11">
        <v>2</v>
      </c>
      <c r="G390" s="12">
        <v>0</v>
      </c>
      <c r="H390" s="10">
        <v>1</v>
      </c>
      <c r="I390" s="10">
        <v>1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2">
        <v>0</v>
      </c>
      <c r="W390" s="10">
        <v>1</v>
      </c>
      <c r="X390" s="10">
        <v>1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0.5</v>
      </c>
    </row>
    <row r="391">
      <c r="A391" s="23">
        <v>2955</v>
      </c>
      <c r="B391" s="4" t="s">
        <v>602</v>
      </c>
      <c r="C391" s="4" t="s">
        <v>595</v>
      </c>
      <c r="D391" s="4" t="s">
        <v>596</v>
      </c>
      <c r="E391" s="4" t="s">
        <v>601</v>
      </c>
      <c r="F391" s="6">
        <v>1</v>
      </c>
      <c r="G391" s="7">
        <v>0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2961</v>
      </c>
      <c r="B392" s="9" t="s">
        <v>603</v>
      </c>
      <c r="C392" s="9" t="s">
        <v>171</v>
      </c>
      <c r="D392" s="9" t="s">
        <v>189</v>
      </c>
      <c r="E392" s="9" t="s">
        <v>208</v>
      </c>
      <c r="F392" s="11">
        <v>2</v>
      </c>
      <c r="G392" s="10">
        <v>1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0">
        <v>1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9">
        <v>0</v>
      </c>
    </row>
    <row r="393">
      <c r="A393" s="23">
        <v>2967</v>
      </c>
      <c r="B393" s="4" t="s">
        <v>604</v>
      </c>
      <c r="C393" s="4" t="s">
        <v>605</v>
      </c>
      <c r="D393" s="4" t="s">
        <v>606</v>
      </c>
      <c r="E393" s="4" t="s">
        <v>607</v>
      </c>
      <c r="F393" s="6">
        <v>3</v>
      </c>
      <c r="G393" s="7">
        <v>0</v>
      </c>
      <c r="H393" s="7">
        <v>0</v>
      </c>
      <c r="I393" s="7">
        <v>0</v>
      </c>
      <c r="J393" s="5">
        <v>3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3</v>
      </c>
      <c r="V393" s="7">
        <v>0</v>
      </c>
      <c r="W393" s="7">
        <v>0</v>
      </c>
      <c r="X393" s="7">
        <v>0</v>
      </c>
      <c r="Y393" s="5">
        <v>3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1.5</v>
      </c>
      <c r="AL393" s="5">
        <v>1</v>
      </c>
      <c r="AM393" s="5">
        <v>2</v>
      </c>
      <c r="AN393" s="28">
        <v>0.75</v>
      </c>
    </row>
    <row r="394">
      <c r="A394" s="24">
        <v>2997</v>
      </c>
      <c r="B394" s="9" t="s">
        <v>608</v>
      </c>
      <c r="C394" s="9" t="s">
        <v>63</v>
      </c>
      <c r="D394" s="9" t="s">
        <v>76</v>
      </c>
      <c r="E394" s="9" t="s">
        <v>298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9">
        <v>0</v>
      </c>
    </row>
    <row r="395">
      <c r="A395" s="23">
        <v>3001</v>
      </c>
      <c r="B395" s="4" t="s">
        <v>609</v>
      </c>
      <c r="C395" s="4" t="s">
        <v>360</v>
      </c>
      <c r="D395" s="4" t="s">
        <v>593</v>
      </c>
      <c r="E395" s="4" t="s">
        <v>362</v>
      </c>
      <c r="F395" s="6">
        <v>3</v>
      </c>
      <c r="G395" s="5">
        <v>1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3</v>
      </c>
      <c r="V395" s="5">
        <v>1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0.5</v>
      </c>
    </row>
    <row r="396">
      <c r="A396" s="24">
        <v>3004</v>
      </c>
      <c r="B396" s="9" t="s">
        <v>610</v>
      </c>
      <c r="C396" s="9" t="s">
        <v>63</v>
      </c>
      <c r="D396" s="9" t="s">
        <v>109</v>
      </c>
      <c r="E396" s="9" t="s">
        <v>145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9">
        <v>0</v>
      </c>
    </row>
    <row r="397">
      <c r="A397" s="23">
        <v>3012</v>
      </c>
      <c r="B397" s="4" t="s">
        <v>611</v>
      </c>
      <c r="C397" s="4" t="s">
        <v>63</v>
      </c>
      <c r="D397" s="4" t="s">
        <v>80</v>
      </c>
      <c r="E397" s="4" t="s">
        <v>81</v>
      </c>
      <c r="F397" s="6">
        <v>2</v>
      </c>
      <c r="G397" s="7">
        <v>0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7">
        <v>0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28">
        <v>0.4</v>
      </c>
    </row>
    <row r="398">
      <c r="A398" s="24">
        <v>3026</v>
      </c>
      <c r="B398" s="9" t="s">
        <v>612</v>
      </c>
      <c r="C398" s="9" t="s">
        <v>360</v>
      </c>
      <c r="D398" s="9" t="s">
        <v>613</v>
      </c>
      <c r="E398" s="9" t="s">
        <v>362</v>
      </c>
      <c r="F398" s="11">
        <v>1</v>
      </c>
      <c r="G398" s="12">
        <v>0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9">
        <v>0</v>
      </c>
    </row>
    <row r="399">
      <c r="A399" s="23">
        <v>3040</v>
      </c>
      <c r="B399" s="4" t="s">
        <v>614</v>
      </c>
      <c r="C399" s="4" t="s">
        <v>595</v>
      </c>
      <c r="D399" s="4" t="s">
        <v>596</v>
      </c>
      <c r="E399" s="4" t="s">
        <v>597</v>
      </c>
      <c r="F399" s="6">
        <v>1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0">
        <v>0</v>
      </c>
    </row>
    <row r="400">
      <c r="A400" s="24">
        <v>3050</v>
      </c>
      <c r="B400" s="9" t="s">
        <v>615</v>
      </c>
      <c r="C400" s="9" t="s">
        <v>63</v>
      </c>
      <c r="D400" s="9" t="s">
        <v>109</v>
      </c>
      <c r="E400" s="9" t="s">
        <v>616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0.37</v>
      </c>
    </row>
    <row r="401">
      <c r="A401" s="23">
        <v>3054</v>
      </c>
      <c r="B401" s="4" t="s">
        <v>617</v>
      </c>
      <c r="C401" s="4" t="s">
        <v>63</v>
      </c>
      <c r="D401" s="4" t="s">
        <v>115</v>
      </c>
      <c r="E401" s="4" t="s">
        <v>116</v>
      </c>
      <c r="F401" s="6">
        <v>2</v>
      </c>
      <c r="G401" s="5">
        <v>1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1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3067</v>
      </c>
      <c r="B402" s="9" t="s">
        <v>179</v>
      </c>
      <c r="C402" s="9" t="s">
        <v>63</v>
      </c>
      <c r="D402" s="9" t="s">
        <v>80</v>
      </c>
      <c r="E402" s="9" t="s">
        <v>413</v>
      </c>
      <c r="F402" s="11">
        <v>1</v>
      </c>
      <c r="G402" s="12">
        <v>0</v>
      </c>
      <c r="H402" s="10">
        <v>1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0">
        <v>1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3081</v>
      </c>
      <c r="B403" s="4" t="s">
        <v>618</v>
      </c>
      <c r="C403" s="4" t="s">
        <v>63</v>
      </c>
      <c r="D403" s="4" t="s">
        <v>80</v>
      </c>
      <c r="E403" s="4" t="s">
        <v>81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0.26</v>
      </c>
    </row>
    <row r="404">
      <c r="A404" s="24">
        <v>3085</v>
      </c>
      <c r="B404" s="9" t="s">
        <v>619</v>
      </c>
      <c r="C404" s="9" t="s">
        <v>63</v>
      </c>
      <c r="D404" s="9" t="s">
        <v>85</v>
      </c>
      <c r="E404" s="9" t="s">
        <v>86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3088</v>
      </c>
      <c r="B405" s="4" t="s">
        <v>620</v>
      </c>
      <c r="C405" s="4" t="s">
        <v>63</v>
      </c>
      <c r="D405" s="4" t="s">
        <v>112</v>
      </c>
      <c r="E405" s="4" t="s">
        <v>621</v>
      </c>
      <c r="F405" s="6">
        <v>1</v>
      </c>
      <c r="G405" s="7">
        <v>0</v>
      </c>
      <c r="H405" s="5">
        <v>1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7">
        <v>0</v>
      </c>
      <c r="W405" s="5">
        <v>1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3090</v>
      </c>
      <c r="B406" s="9" t="s">
        <v>622</v>
      </c>
      <c r="C406" s="9" t="s">
        <v>63</v>
      </c>
      <c r="D406" s="9" t="s">
        <v>112</v>
      </c>
      <c r="E406" s="9" t="s">
        <v>623</v>
      </c>
      <c r="F406" s="11">
        <v>3</v>
      </c>
      <c r="G406" s="10">
        <v>3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3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3</v>
      </c>
      <c r="AK406" s="13">
        <v>3</v>
      </c>
      <c r="AL406" s="10">
        <v>3</v>
      </c>
      <c r="AM406" s="10">
        <v>3</v>
      </c>
      <c r="AN406" s="49">
        <v>0</v>
      </c>
    </row>
    <row r="407">
      <c r="A407" s="23">
        <v>3093</v>
      </c>
      <c r="B407" s="4" t="s">
        <v>624</v>
      </c>
      <c r="C407" s="4" t="s">
        <v>63</v>
      </c>
      <c r="D407" s="4" t="s">
        <v>133</v>
      </c>
      <c r="E407" s="4" t="s">
        <v>134</v>
      </c>
      <c r="F407" s="6">
        <v>1</v>
      </c>
      <c r="G407" s="7">
        <v>0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3117</v>
      </c>
      <c r="B408" s="9" t="s">
        <v>625</v>
      </c>
      <c r="C408" s="9" t="s">
        <v>63</v>
      </c>
      <c r="D408" s="9" t="s">
        <v>115</v>
      </c>
      <c r="E408" s="9" t="s">
        <v>116</v>
      </c>
      <c r="F408" s="11">
        <v>2</v>
      </c>
      <c r="G408" s="12">
        <v>0</v>
      </c>
      <c r="H408" s="10">
        <v>2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2">
        <v>0</v>
      </c>
      <c r="W408" s="10">
        <v>2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29">
        <v>0.48</v>
      </c>
    </row>
    <row r="409">
      <c r="A409" s="23">
        <v>3120</v>
      </c>
      <c r="B409" s="4" t="s">
        <v>626</v>
      </c>
      <c r="C409" s="4" t="s">
        <v>63</v>
      </c>
      <c r="D409" s="4" t="s">
        <v>133</v>
      </c>
      <c r="E409" s="4" t="s">
        <v>326</v>
      </c>
      <c r="F409" s="6">
        <v>3</v>
      </c>
      <c r="G409" s="5">
        <v>3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3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2</v>
      </c>
      <c r="AN409" s="28">
        <v>0.25</v>
      </c>
    </row>
    <row r="410">
      <c r="A410" s="24">
        <v>3127</v>
      </c>
      <c r="B410" s="9" t="s">
        <v>627</v>
      </c>
      <c r="C410" s="9" t="s">
        <v>63</v>
      </c>
      <c r="D410" s="9" t="s">
        <v>76</v>
      </c>
      <c r="E410" s="9" t="s">
        <v>77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0.26</v>
      </c>
    </row>
    <row r="411">
      <c r="A411" s="23">
        <v>3128</v>
      </c>
      <c r="B411" s="4" t="s">
        <v>628</v>
      </c>
      <c r="C411" s="4" t="s">
        <v>171</v>
      </c>
      <c r="D411" s="4" t="s">
        <v>172</v>
      </c>
      <c r="E411" s="4" t="s">
        <v>184</v>
      </c>
      <c r="F411" s="6">
        <v>2</v>
      </c>
      <c r="G411" s="7">
        <v>0</v>
      </c>
      <c r="H411" s="5">
        <v>1</v>
      </c>
      <c r="I411" s="7">
        <v>0</v>
      </c>
      <c r="J411" s="7">
        <v>0</v>
      </c>
      <c r="K411" s="5">
        <v>1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7">
        <v>0</v>
      </c>
      <c r="W411" s="5">
        <v>1</v>
      </c>
      <c r="X411" s="7">
        <v>0</v>
      </c>
      <c r="Y411" s="7">
        <v>0</v>
      </c>
      <c r="Z411" s="5">
        <v>1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0.24</v>
      </c>
    </row>
    <row r="412">
      <c r="A412" s="24">
        <v>3134</v>
      </c>
      <c r="B412" s="9" t="s">
        <v>629</v>
      </c>
      <c r="C412" s="9" t="s">
        <v>171</v>
      </c>
      <c r="D412" s="9" t="s">
        <v>172</v>
      </c>
      <c r="E412" s="9" t="s">
        <v>184</v>
      </c>
      <c r="F412" s="11">
        <v>3</v>
      </c>
      <c r="G412" s="10">
        <v>2</v>
      </c>
      <c r="H412" s="12">
        <v>0</v>
      </c>
      <c r="I412" s="12">
        <v>0</v>
      </c>
      <c r="J412" s="12">
        <v>0</v>
      </c>
      <c r="K412" s="10">
        <v>1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3</v>
      </c>
      <c r="V412" s="10">
        <v>2</v>
      </c>
      <c r="W412" s="12">
        <v>0</v>
      </c>
      <c r="X412" s="12">
        <v>0</v>
      </c>
      <c r="Y412" s="12">
        <v>0</v>
      </c>
      <c r="Z412" s="10">
        <v>1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1.5</v>
      </c>
      <c r="AL412" s="10">
        <v>1</v>
      </c>
      <c r="AM412" s="10">
        <v>2</v>
      </c>
      <c r="AN412" s="49">
        <v>0</v>
      </c>
    </row>
    <row r="413">
      <c r="A413" s="23">
        <v>3135</v>
      </c>
      <c r="B413" s="4" t="s">
        <v>630</v>
      </c>
      <c r="C413" s="4" t="s">
        <v>171</v>
      </c>
      <c r="D413" s="4" t="s">
        <v>189</v>
      </c>
      <c r="E413" s="4" t="s">
        <v>631</v>
      </c>
      <c r="F413" s="6">
        <v>6</v>
      </c>
      <c r="G413" s="5">
        <v>2</v>
      </c>
      <c r="H413" s="7">
        <v>0</v>
      </c>
      <c r="I413" s="7">
        <v>0</v>
      </c>
      <c r="J413" s="7">
        <v>0</v>
      </c>
      <c r="K413" s="5">
        <v>3</v>
      </c>
      <c r="L413" s="7">
        <v>0</v>
      </c>
      <c r="M413" s="7">
        <v>0</v>
      </c>
      <c r="N413" s="5">
        <v>1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5</v>
      </c>
      <c r="V413" s="5">
        <v>2</v>
      </c>
      <c r="W413" s="7">
        <v>0</v>
      </c>
      <c r="X413" s="7">
        <v>0</v>
      </c>
      <c r="Y413" s="7">
        <v>0</v>
      </c>
      <c r="Z413" s="5">
        <v>2</v>
      </c>
      <c r="AA413" s="7">
        <v>0</v>
      </c>
      <c r="AB413" s="7">
        <v>0</v>
      </c>
      <c r="AC413" s="5">
        <v>1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</v>
      </c>
      <c r="AL413" s="5">
        <v>2</v>
      </c>
      <c r="AM413" s="5">
        <v>3</v>
      </c>
      <c r="AN413" s="30">
        <v>0</v>
      </c>
    </row>
    <row r="414">
      <c r="A414" s="24">
        <v>3142</v>
      </c>
      <c r="B414" s="9" t="s">
        <v>632</v>
      </c>
      <c r="C414" s="9" t="s">
        <v>63</v>
      </c>
      <c r="D414" s="9" t="s">
        <v>80</v>
      </c>
      <c r="E414" s="9" t="s">
        <v>81</v>
      </c>
      <c r="F414" s="11">
        <v>7</v>
      </c>
      <c r="G414" s="10">
        <v>2</v>
      </c>
      <c r="H414" s="12">
        <v>0</v>
      </c>
      <c r="I414" s="10">
        <v>5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</v>
      </c>
      <c r="V414" s="10">
        <v>2</v>
      </c>
      <c r="W414" s="12">
        <v>0</v>
      </c>
      <c r="X414" s="10">
        <v>2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2.33</v>
      </c>
      <c r="AL414" s="10">
        <v>1</v>
      </c>
      <c r="AM414" s="10">
        <v>5</v>
      </c>
      <c r="AN414" s="29">
        <v>0.64</v>
      </c>
    </row>
    <row r="415">
      <c r="A415" s="23">
        <v>3186</v>
      </c>
      <c r="B415" s="4" t="s">
        <v>633</v>
      </c>
      <c r="C415" s="4" t="s">
        <v>63</v>
      </c>
      <c r="D415" s="4" t="s">
        <v>76</v>
      </c>
      <c r="E415" s="4" t="s">
        <v>83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3188</v>
      </c>
      <c r="B416" s="9" t="s">
        <v>634</v>
      </c>
      <c r="C416" s="9" t="s">
        <v>63</v>
      </c>
      <c r="D416" s="9" t="s">
        <v>103</v>
      </c>
      <c r="E416" s="9" t="s">
        <v>131</v>
      </c>
      <c r="F416" s="11">
        <v>1</v>
      </c>
      <c r="G416" s="12">
        <v>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2">
        <v>0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0.25</v>
      </c>
    </row>
    <row r="417">
      <c r="A417" s="23">
        <v>3189</v>
      </c>
      <c r="B417" s="4" t="s">
        <v>635</v>
      </c>
      <c r="C417" s="4" t="s">
        <v>63</v>
      </c>
      <c r="D417" s="4" t="s">
        <v>133</v>
      </c>
      <c r="E417" s="4" t="s">
        <v>326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3190</v>
      </c>
      <c r="B418" s="9" t="s">
        <v>636</v>
      </c>
      <c r="C418" s="9" t="s">
        <v>63</v>
      </c>
      <c r="D418" s="9" t="s">
        <v>133</v>
      </c>
      <c r="E418" s="9" t="s">
        <v>134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9">
        <v>0</v>
      </c>
    </row>
    <row r="419">
      <c r="A419" s="23">
        <v>3191</v>
      </c>
      <c r="B419" s="4" t="s">
        <v>637</v>
      </c>
      <c r="C419" s="4" t="s">
        <v>63</v>
      </c>
      <c r="D419" s="4" t="s">
        <v>115</v>
      </c>
      <c r="E419" s="4" t="s">
        <v>124</v>
      </c>
      <c r="F419" s="6">
        <v>9</v>
      </c>
      <c r="G419" s="7">
        <v>0</v>
      </c>
      <c r="H419" s="7">
        <v>0</v>
      </c>
      <c r="I419" s="7">
        <v>0</v>
      </c>
      <c r="J419" s="5">
        <v>9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9</v>
      </c>
      <c r="V419" s="7">
        <v>0</v>
      </c>
      <c r="W419" s="7">
        <v>0</v>
      </c>
      <c r="X419" s="7">
        <v>0</v>
      </c>
      <c r="Y419" s="5">
        <v>9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9</v>
      </c>
      <c r="AK419" s="8">
        <v>9</v>
      </c>
      <c r="AL419" s="5">
        <v>9</v>
      </c>
      <c r="AM419" s="5">
        <v>9</v>
      </c>
      <c r="AN419" s="28">
        <v>2.25</v>
      </c>
    </row>
    <row r="420">
      <c r="A420" s="24">
        <v>3192</v>
      </c>
      <c r="B420" s="9" t="s">
        <v>638</v>
      </c>
      <c r="C420" s="9" t="s">
        <v>63</v>
      </c>
      <c r="D420" s="9" t="s">
        <v>103</v>
      </c>
      <c r="E420" s="9" t="s">
        <v>131</v>
      </c>
      <c r="F420" s="11">
        <v>2</v>
      </c>
      <c r="G420" s="10">
        <v>2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2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2</v>
      </c>
      <c r="AL420" s="10">
        <v>2</v>
      </c>
      <c r="AM420" s="10">
        <v>2</v>
      </c>
      <c r="AN420" s="49">
        <v>0</v>
      </c>
    </row>
    <row r="421">
      <c r="A421" s="23">
        <v>3196</v>
      </c>
      <c r="B421" s="4" t="s">
        <v>639</v>
      </c>
      <c r="C421" s="4" t="s">
        <v>63</v>
      </c>
      <c r="D421" s="4" t="s">
        <v>80</v>
      </c>
      <c r="E421" s="4" t="s">
        <v>96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3198</v>
      </c>
      <c r="B422" s="9" t="s">
        <v>640</v>
      </c>
      <c r="C422" s="9" t="s">
        <v>63</v>
      </c>
      <c r="D422" s="9" t="s">
        <v>115</v>
      </c>
      <c r="E422" s="9" t="s">
        <v>124</v>
      </c>
      <c r="F422" s="11">
        <v>2</v>
      </c>
      <c r="G422" s="10">
        <v>2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49">
        <v>0</v>
      </c>
    </row>
    <row r="423">
      <c r="A423" s="23">
        <v>3206</v>
      </c>
      <c r="B423" s="4" t="s">
        <v>641</v>
      </c>
      <c r="C423" s="4" t="s">
        <v>171</v>
      </c>
      <c r="D423" s="4" t="s">
        <v>172</v>
      </c>
      <c r="E423" s="4" t="s">
        <v>184</v>
      </c>
      <c r="F423" s="6">
        <v>5</v>
      </c>
      <c r="G423" s="5">
        <v>5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5</v>
      </c>
      <c r="V423" s="5">
        <v>5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5</v>
      </c>
      <c r="AK423" s="8">
        <v>5</v>
      </c>
      <c r="AL423" s="5">
        <v>5</v>
      </c>
      <c r="AM423" s="5">
        <v>5</v>
      </c>
      <c r="AN423" s="30">
        <v>0</v>
      </c>
    </row>
    <row r="424">
      <c r="A424" s="24">
        <v>3216</v>
      </c>
      <c r="B424" s="9" t="s">
        <v>642</v>
      </c>
      <c r="C424" s="9" t="s">
        <v>63</v>
      </c>
      <c r="D424" s="9" t="s">
        <v>73</v>
      </c>
      <c r="E424" s="9" t="s">
        <v>389</v>
      </c>
      <c r="F424" s="11">
        <v>5</v>
      </c>
      <c r="G424" s="10">
        <v>3</v>
      </c>
      <c r="H424" s="12">
        <v>0</v>
      </c>
      <c r="I424" s="10">
        <v>1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5</v>
      </c>
      <c r="V424" s="10">
        <v>3</v>
      </c>
      <c r="W424" s="12">
        <v>0</v>
      </c>
      <c r="X424" s="10">
        <v>1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1.67</v>
      </c>
      <c r="AL424" s="10">
        <v>1</v>
      </c>
      <c r="AM424" s="10">
        <v>3</v>
      </c>
      <c r="AN424" s="29">
        <v>0.52</v>
      </c>
    </row>
    <row r="425">
      <c r="A425" s="23">
        <v>3218</v>
      </c>
      <c r="B425" s="4" t="s">
        <v>643</v>
      </c>
      <c r="C425" s="4" t="s">
        <v>63</v>
      </c>
      <c r="D425" s="4" t="s">
        <v>76</v>
      </c>
      <c r="E425" s="4" t="s">
        <v>287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0">
        <v>0</v>
      </c>
    </row>
    <row r="426">
      <c r="A426" s="24">
        <v>3222</v>
      </c>
      <c r="B426" s="9" t="s">
        <v>644</v>
      </c>
      <c r="C426" s="9" t="s">
        <v>63</v>
      </c>
      <c r="D426" s="9" t="s">
        <v>80</v>
      </c>
      <c r="E426" s="9" t="s">
        <v>413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0.26</v>
      </c>
    </row>
    <row r="427">
      <c r="A427" s="23">
        <v>3223</v>
      </c>
      <c r="B427" s="4" t="s">
        <v>645</v>
      </c>
      <c r="C427" s="4" t="s">
        <v>63</v>
      </c>
      <c r="D427" s="4" t="s">
        <v>133</v>
      </c>
      <c r="E427" s="4" t="s">
        <v>134</v>
      </c>
      <c r="F427" s="6">
        <v>2</v>
      </c>
      <c r="G427" s="5">
        <v>1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1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3226</v>
      </c>
      <c r="B428" s="9" t="s">
        <v>646</v>
      </c>
      <c r="C428" s="9" t="s">
        <v>141</v>
      </c>
      <c r="D428" s="9" t="s">
        <v>429</v>
      </c>
      <c r="E428" s="9" t="s">
        <v>430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9">
        <v>0</v>
      </c>
    </row>
    <row r="429">
      <c r="A429" s="23">
        <v>3230</v>
      </c>
      <c r="B429" s="4" t="s">
        <v>647</v>
      </c>
      <c r="C429" s="4" t="s">
        <v>63</v>
      </c>
      <c r="D429" s="4" t="s">
        <v>73</v>
      </c>
      <c r="E429" s="4" t="s">
        <v>389</v>
      </c>
      <c r="F429" s="6">
        <v>1</v>
      </c>
      <c r="G429" s="7">
        <v>0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3269</v>
      </c>
      <c r="B430" s="9" t="s">
        <v>648</v>
      </c>
      <c r="C430" s="9" t="s">
        <v>63</v>
      </c>
      <c r="D430" s="9" t="s">
        <v>76</v>
      </c>
      <c r="E430" s="9" t="s">
        <v>77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0.24</v>
      </c>
    </row>
    <row r="431">
      <c r="A431" s="23">
        <v>3285</v>
      </c>
      <c r="B431" s="4" t="s">
        <v>649</v>
      </c>
      <c r="C431" s="4" t="s">
        <v>63</v>
      </c>
      <c r="D431" s="4" t="s">
        <v>115</v>
      </c>
      <c r="E431" s="4" t="s">
        <v>124</v>
      </c>
      <c r="F431" s="6">
        <v>5</v>
      </c>
      <c r="G431" s="5">
        <v>5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5</v>
      </c>
      <c r="V431" s="5">
        <v>5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5</v>
      </c>
      <c r="AK431" s="8">
        <v>5</v>
      </c>
      <c r="AL431" s="5">
        <v>5</v>
      </c>
      <c r="AM431" s="5">
        <v>5</v>
      </c>
      <c r="AN431" s="28">
        <v>1.25</v>
      </c>
    </row>
    <row r="432">
      <c r="A432" s="24">
        <v>3290</v>
      </c>
      <c r="B432" s="9" t="s">
        <v>650</v>
      </c>
      <c r="C432" s="9" t="s">
        <v>63</v>
      </c>
      <c r="D432" s="9" t="s">
        <v>76</v>
      </c>
      <c r="E432" s="9" t="s">
        <v>77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9">
        <v>0</v>
      </c>
    </row>
    <row r="433">
      <c r="A433" s="23">
        <v>3292</v>
      </c>
      <c r="B433" s="4" t="s">
        <v>651</v>
      </c>
      <c r="C433" s="4" t="s">
        <v>63</v>
      </c>
      <c r="D433" s="4" t="s">
        <v>115</v>
      </c>
      <c r="E433" s="4" t="s">
        <v>118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3297</v>
      </c>
      <c r="B434" s="9" t="s">
        <v>652</v>
      </c>
      <c r="C434" s="9" t="s">
        <v>605</v>
      </c>
      <c r="D434" s="9" t="s">
        <v>653</v>
      </c>
      <c r="E434" s="9" t="s">
        <v>654</v>
      </c>
      <c r="F434" s="11">
        <v>2</v>
      </c>
      <c r="G434" s="12">
        <v>0</v>
      </c>
      <c r="H434" s="10">
        <v>2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</v>
      </c>
      <c r="V434" s="12">
        <v>0</v>
      </c>
      <c r="W434" s="10">
        <v>2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3300</v>
      </c>
      <c r="B435" s="4" t="s">
        <v>655</v>
      </c>
      <c r="C435" s="4" t="s">
        <v>241</v>
      </c>
      <c r="D435" s="4" t="s">
        <v>242</v>
      </c>
      <c r="E435" s="4" t="s">
        <v>656</v>
      </c>
      <c r="F435" s="6">
        <v>2</v>
      </c>
      <c r="G435" s="7">
        <v>0</v>
      </c>
      <c r="H435" s="5">
        <v>1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7">
        <v>0</v>
      </c>
      <c r="W435" s="5">
        <v>1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0.52</v>
      </c>
    </row>
    <row r="436">
      <c r="A436" s="24">
        <v>3308</v>
      </c>
      <c r="B436" s="9" t="s">
        <v>657</v>
      </c>
      <c r="C436" s="9" t="s">
        <v>63</v>
      </c>
      <c r="D436" s="9" t="s">
        <v>115</v>
      </c>
      <c r="E436" s="9" t="s">
        <v>124</v>
      </c>
      <c r="F436" s="11">
        <v>1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0.26</v>
      </c>
    </row>
    <row r="437">
      <c r="A437" s="23">
        <v>3309</v>
      </c>
      <c r="B437" s="4" t="s">
        <v>658</v>
      </c>
      <c r="C437" s="4" t="s">
        <v>63</v>
      </c>
      <c r="D437" s="4" t="s">
        <v>80</v>
      </c>
      <c r="E437" s="4" t="s">
        <v>81</v>
      </c>
      <c r="F437" s="6">
        <v>1</v>
      </c>
      <c r="G437" s="7">
        <v>0</v>
      </c>
      <c r="H437" s="5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5">
        <v>1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0.26</v>
      </c>
    </row>
    <row r="438">
      <c r="A438" s="24">
        <v>3310</v>
      </c>
      <c r="B438" s="9" t="s">
        <v>659</v>
      </c>
      <c r="C438" s="9" t="s">
        <v>63</v>
      </c>
      <c r="D438" s="9" t="s">
        <v>133</v>
      </c>
      <c r="E438" s="9" t="s">
        <v>251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3313</v>
      </c>
      <c r="B439" s="4" t="s">
        <v>660</v>
      </c>
      <c r="C439" s="4" t="s">
        <v>63</v>
      </c>
      <c r="D439" s="4" t="s">
        <v>103</v>
      </c>
      <c r="E439" s="4" t="s">
        <v>131</v>
      </c>
      <c r="F439" s="6">
        <v>3</v>
      </c>
      <c r="G439" s="7">
        <v>0</v>
      </c>
      <c r="H439" s="7">
        <v>0</v>
      </c>
      <c r="I439" s="5">
        <v>1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7">
        <v>0</v>
      </c>
      <c r="W439" s="7">
        <v>0</v>
      </c>
      <c r="X439" s="5">
        <v>1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1.5</v>
      </c>
      <c r="AL439" s="5">
        <v>1</v>
      </c>
      <c r="AM439" s="5">
        <v>2</v>
      </c>
      <c r="AN439" s="28">
        <v>0.52</v>
      </c>
    </row>
    <row r="440">
      <c r="A440" s="24">
        <v>3315</v>
      </c>
      <c r="B440" s="9" t="s">
        <v>661</v>
      </c>
      <c r="C440" s="9" t="s">
        <v>63</v>
      </c>
      <c r="D440" s="9" t="s">
        <v>115</v>
      </c>
      <c r="E440" s="9" t="s">
        <v>319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0.37</v>
      </c>
    </row>
    <row r="441">
      <c r="A441" s="23">
        <v>3318</v>
      </c>
      <c r="B441" s="4" t="s">
        <v>662</v>
      </c>
      <c r="C441" s="4" t="s">
        <v>663</v>
      </c>
      <c r="D441" s="4" t="s">
        <v>664</v>
      </c>
      <c r="E441" s="4" t="s">
        <v>362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3325</v>
      </c>
      <c r="B442" s="9" t="s">
        <v>665</v>
      </c>
      <c r="C442" s="9" t="s">
        <v>141</v>
      </c>
      <c r="D442" s="9" t="s">
        <v>142</v>
      </c>
      <c r="E442" s="9" t="s">
        <v>458</v>
      </c>
      <c r="F442" s="11">
        <v>3</v>
      </c>
      <c r="G442" s="12">
        <v>0</v>
      </c>
      <c r="H442" s="12">
        <v>0</v>
      </c>
      <c r="I442" s="10">
        <v>3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2">
        <v>0</v>
      </c>
      <c r="W442" s="12">
        <v>0</v>
      </c>
      <c r="X442" s="10">
        <v>2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3</v>
      </c>
      <c r="AK442" s="13">
        <v>3</v>
      </c>
      <c r="AL442" s="10">
        <v>3</v>
      </c>
      <c r="AM442" s="10">
        <v>3</v>
      </c>
      <c r="AN442" s="29">
        <v>0.48</v>
      </c>
    </row>
    <row r="443">
      <c r="A443" s="23">
        <v>3329</v>
      </c>
      <c r="B443" s="4" t="s">
        <v>666</v>
      </c>
      <c r="C443" s="4" t="s">
        <v>141</v>
      </c>
      <c r="D443" s="4" t="s">
        <v>436</v>
      </c>
      <c r="E443" s="4" t="s">
        <v>437</v>
      </c>
      <c r="F443" s="6">
        <v>2</v>
      </c>
      <c r="G443" s="7">
        <v>0</v>
      </c>
      <c r="H443" s="5">
        <v>1</v>
      </c>
      <c r="I443" s="7">
        <v>0</v>
      </c>
      <c r="J443" s="7">
        <v>0</v>
      </c>
      <c r="K443" s="7">
        <v>0</v>
      </c>
      <c r="L443" s="5">
        <v>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7">
        <v>0</v>
      </c>
      <c r="W443" s="5">
        <v>1</v>
      </c>
      <c r="X443" s="7">
        <v>0</v>
      </c>
      <c r="Y443" s="7">
        <v>0</v>
      </c>
      <c r="Z443" s="7">
        <v>0</v>
      </c>
      <c r="AA443" s="5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0.48</v>
      </c>
    </row>
    <row r="444">
      <c r="A444" s="24">
        <v>3330</v>
      </c>
      <c r="B444" s="9" t="s">
        <v>667</v>
      </c>
      <c r="C444" s="9" t="s">
        <v>141</v>
      </c>
      <c r="D444" s="9" t="s">
        <v>668</v>
      </c>
      <c r="E444" s="9" t="s">
        <v>669</v>
      </c>
      <c r="F444" s="11">
        <v>11</v>
      </c>
      <c r="G444" s="12">
        <v>0</v>
      </c>
      <c r="H444" s="12">
        <v>0</v>
      </c>
      <c r="I444" s="12">
        <v>0</v>
      </c>
      <c r="J444" s="10">
        <v>10</v>
      </c>
      <c r="K444" s="12">
        <v>0</v>
      </c>
      <c r="L444" s="10">
        <v>1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10</v>
      </c>
      <c r="V444" s="12">
        <v>0</v>
      </c>
      <c r="W444" s="12">
        <v>0</v>
      </c>
      <c r="X444" s="12">
        <v>0</v>
      </c>
      <c r="Y444" s="10">
        <v>9</v>
      </c>
      <c r="Z444" s="12">
        <v>0</v>
      </c>
      <c r="AA444" s="10">
        <v>1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3.67</v>
      </c>
      <c r="AL444" s="10">
        <v>4</v>
      </c>
      <c r="AM444" s="10">
        <v>6</v>
      </c>
      <c r="AN444" s="29">
        <v>2.4</v>
      </c>
    </row>
    <row r="445">
      <c r="A445" s="23">
        <v>3331</v>
      </c>
      <c r="B445" s="4" t="s">
        <v>670</v>
      </c>
      <c r="C445" s="4" t="s">
        <v>671</v>
      </c>
      <c r="D445" s="4" t="s">
        <v>672</v>
      </c>
      <c r="E445" s="4" t="s">
        <v>362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0.24</v>
      </c>
    </row>
    <row r="446">
      <c r="A446" s="24">
        <v>3339</v>
      </c>
      <c r="B446" s="9" t="s">
        <v>673</v>
      </c>
      <c r="C446" s="9" t="s">
        <v>63</v>
      </c>
      <c r="D446" s="9" t="s">
        <v>109</v>
      </c>
      <c r="E446" s="9" t="s">
        <v>145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49">
        <v>0</v>
      </c>
    </row>
    <row r="447">
      <c r="A447" s="23">
        <v>3342</v>
      </c>
      <c r="B447" s="4" t="s">
        <v>674</v>
      </c>
      <c r="C447" s="4" t="s">
        <v>63</v>
      </c>
      <c r="D447" s="4" t="s">
        <v>109</v>
      </c>
      <c r="E447" s="4" t="s">
        <v>145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3350</v>
      </c>
      <c r="B448" s="9" t="s">
        <v>675</v>
      </c>
      <c r="C448" s="9" t="s">
        <v>663</v>
      </c>
      <c r="D448" s="9" t="s">
        <v>676</v>
      </c>
      <c r="E448" s="9" t="s">
        <v>362</v>
      </c>
      <c r="F448" s="11">
        <v>6</v>
      </c>
      <c r="G448" s="10">
        <v>1</v>
      </c>
      <c r="H448" s="12">
        <v>0</v>
      </c>
      <c r="I448" s="10">
        <v>3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5</v>
      </c>
      <c r="V448" s="10">
        <v>1</v>
      </c>
      <c r="W448" s="12">
        <v>0</v>
      </c>
      <c r="X448" s="10">
        <v>2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1.5</v>
      </c>
      <c r="AL448" s="10">
        <v>1</v>
      </c>
      <c r="AM448" s="10">
        <v>3</v>
      </c>
      <c r="AN448" s="29">
        <v>1.3</v>
      </c>
    </row>
    <row r="449">
      <c r="A449" s="23">
        <v>3351</v>
      </c>
      <c r="B449" s="4" t="s">
        <v>677</v>
      </c>
      <c r="C449" s="4" t="s">
        <v>663</v>
      </c>
      <c r="D449" s="4" t="s">
        <v>676</v>
      </c>
      <c r="E449" s="4" t="s">
        <v>362</v>
      </c>
      <c r="F449" s="6">
        <v>3</v>
      </c>
      <c r="G449" s="7">
        <v>0</v>
      </c>
      <c r="H449" s="7">
        <v>0</v>
      </c>
      <c r="I449" s="5">
        <v>1</v>
      </c>
      <c r="J449" s="5">
        <v>2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7">
        <v>0</v>
      </c>
      <c r="W449" s="7">
        <v>0</v>
      </c>
      <c r="X449" s="5">
        <v>1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28">
        <v>0.5</v>
      </c>
    </row>
    <row r="450">
      <c r="A450" s="24">
        <v>3354</v>
      </c>
      <c r="B450" s="9" t="s">
        <v>678</v>
      </c>
      <c r="C450" s="9" t="s">
        <v>663</v>
      </c>
      <c r="D450" s="9" t="s">
        <v>676</v>
      </c>
      <c r="E450" s="9" t="s">
        <v>362</v>
      </c>
      <c r="F450" s="11">
        <v>1</v>
      </c>
      <c r="G450" s="12">
        <v>0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0.26</v>
      </c>
    </row>
    <row r="451">
      <c r="A451" s="23">
        <v>3355</v>
      </c>
      <c r="B451" s="4" t="s">
        <v>679</v>
      </c>
      <c r="C451" s="4" t="s">
        <v>663</v>
      </c>
      <c r="D451" s="4" t="s">
        <v>676</v>
      </c>
      <c r="E451" s="4" t="s">
        <v>362</v>
      </c>
      <c r="F451" s="6">
        <v>7</v>
      </c>
      <c r="G451" s="7">
        <v>0</v>
      </c>
      <c r="H451" s="5">
        <v>1</v>
      </c>
      <c r="I451" s="5">
        <v>4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7</v>
      </c>
      <c r="V451" s="7">
        <v>0</v>
      </c>
      <c r="W451" s="5">
        <v>1</v>
      </c>
      <c r="X451" s="5">
        <v>4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2.33</v>
      </c>
      <c r="AL451" s="5">
        <v>2</v>
      </c>
      <c r="AM451" s="5">
        <v>4</v>
      </c>
      <c r="AN451" s="28">
        <v>1.82</v>
      </c>
    </row>
    <row r="452">
      <c r="A452" s="24">
        <v>3356</v>
      </c>
      <c r="B452" s="9" t="s">
        <v>680</v>
      </c>
      <c r="C452" s="9" t="s">
        <v>663</v>
      </c>
      <c r="D452" s="9" t="s">
        <v>676</v>
      </c>
      <c r="E452" s="9" t="s">
        <v>362</v>
      </c>
      <c r="F452" s="11">
        <v>2</v>
      </c>
      <c r="G452" s="12">
        <v>0</v>
      </c>
      <c r="H452" s="12">
        <v>0</v>
      </c>
      <c r="I452" s="10">
        <v>2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2">
        <v>0</v>
      </c>
      <c r="W452" s="12">
        <v>0</v>
      </c>
      <c r="X452" s="10">
        <v>2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0.52</v>
      </c>
    </row>
    <row r="453">
      <c r="A453" s="23">
        <v>3357</v>
      </c>
      <c r="B453" s="4" t="s">
        <v>681</v>
      </c>
      <c r="C453" s="4" t="s">
        <v>663</v>
      </c>
      <c r="D453" s="4" t="s">
        <v>676</v>
      </c>
      <c r="E453" s="4" t="s">
        <v>362</v>
      </c>
      <c r="F453" s="6">
        <v>5</v>
      </c>
      <c r="G453" s="7">
        <v>0</v>
      </c>
      <c r="H453" s="7">
        <v>0</v>
      </c>
      <c r="I453" s="5">
        <v>4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5</v>
      </c>
      <c r="V453" s="7">
        <v>0</v>
      </c>
      <c r="W453" s="7">
        <v>0</v>
      </c>
      <c r="X453" s="5">
        <v>4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1.67</v>
      </c>
      <c r="AL453" s="5">
        <v>1</v>
      </c>
      <c r="AM453" s="5">
        <v>3</v>
      </c>
      <c r="AN453" s="28">
        <v>1.3</v>
      </c>
    </row>
    <row r="454">
      <c r="A454" s="24">
        <v>3358</v>
      </c>
      <c r="B454" s="9" t="s">
        <v>682</v>
      </c>
      <c r="C454" s="9" t="s">
        <v>663</v>
      </c>
      <c r="D454" s="9" t="s">
        <v>676</v>
      </c>
      <c r="E454" s="9" t="s">
        <v>362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0.26</v>
      </c>
    </row>
    <row r="455">
      <c r="A455" s="23">
        <v>3360</v>
      </c>
      <c r="B455" s="4" t="s">
        <v>683</v>
      </c>
      <c r="C455" s="4" t="s">
        <v>663</v>
      </c>
      <c r="D455" s="4" t="s">
        <v>676</v>
      </c>
      <c r="E455" s="4" t="s">
        <v>362</v>
      </c>
      <c r="F455" s="6">
        <v>2</v>
      </c>
      <c r="G455" s="7">
        <v>0</v>
      </c>
      <c r="H455" s="7">
        <v>0</v>
      </c>
      <c r="I455" s="5">
        <v>2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7">
        <v>0</v>
      </c>
      <c r="W455" s="7">
        <v>0</v>
      </c>
      <c r="X455" s="5">
        <v>2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0.52</v>
      </c>
    </row>
    <row r="456">
      <c r="A456" s="24">
        <v>3379</v>
      </c>
      <c r="B456" s="9" t="s">
        <v>684</v>
      </c>
      <c r="C456" s="9" t="s">
        <v>141</v>
      </c>
      <c r="D456" s="9" t="s">
        <v>685</v>
      </c>
      <c r="E456" s="9" t="s">
        <v>686</v>
      </c>
      <c r="F456" s="11">
        <v>1</v>
      </c>
      <c r="G456" s="12">
        <v>0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9">
        <v>0</v>
      </c>
    </row>
    <row r="457">
      <c r="A457" s="23">
        <v>3385</v>
      </c>
      <c r="B457" s="4" t="s">
        <v>687</v>
      </c>
      <c r="C457" s="4" t="s">
        <v>663</v>
      </c>
      <c r="D457" s="4" t="s">
        <v>688</v>
      </c>
      <c r="E457" s="4" t="s">
        <v>689</v>
      </c>
      <c r="F457" s="6">
        <v>7</v>
      </c>
      <c r="G457" s="7">
        <v>0</v>
      </c>
      <c r="H457" s="7">
        <v>0</v>
      </c>
      <c r="I457" s="7">
        <v>0</v>
      </c>
      <c r="J457" s="5">
        <v>6</v>
      </c>
      <c r="K457" s="5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6</v>
      </c>
      <c r="V457" s="7">
        <v>0</v>
      </c>
      <c r="W457" s="7">
        <v>0</v>
      </c>
      <c r="X457" s="7">
        <v>0</v>
      </c>
      <c r="Y457" s="5">
        <v>5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2.33</v>
      </c>
      <c r="AL457" s="5">
        <v>3</v>
      </c>
      <c r="AM457" s="5">
        <v>3</v>
      </c>
      <c r="AN457" s="28">
        <v>1.3</v>
      </c>
    </row>
    <row r="458">
      <c r="A458" s="24">
        <v>3407</v>
      </c>
      <c r="B458" s="9" t="s">
        <v>690</v>
      </c>
      <c r="C458" s="9" t="s">
        <v>171</v>
      </c>
      <c r="D458" s="9" t="s">
        <v>189</v>
      </c>
      <c r="E458" s="9" t="s">
        <v>691</v>
      </c>
      <c r="F458" s="11">
        <v>8</v>
      </c>
      <c r="G458" s="12">
        <v>0</v>
      </c>
      <c r="H458" s="12">
        <v>0</v>
      </c>
      <c r="I458" s="12">
        <v>0</v>
      </c>
      <c r="J458" s="12">
        <v>0</v>
      </c>
      <c r="K458" s="10">
        <v>8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8</v>
      </c>
      <c r="V458" s="12">
        <v>0</v>
      </c>
      <c r="W458" s="12">
        <v>0</v>
      </c>
      <c r="X458" s="12">
        <v>0</v>
      </c>
      <c r="Y458" s="12">
        <v>0</v>
      </c>
      <c r="Z458" s="10">
        <v>8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8</v>
      </c>
      <c r="AK458" s="13">
        <v>8</v>
      </c>
      <c r="AL458" s="10">
        <v>8</v>
      </c>
      <c r="AM458" s="10">
        <v>8</v>
      </c>
      <c r="AN458" s="29">
        <v>2</v>
      </c>
    </row>
    <row r="459">
      <c r="A459" s="23">
        <v>3426</v>
      </c>
      <c r="B459" s="4" t="s">
        <v>692</v>
      </c>
      <c r="C459" s="4" t="s">
        <v>63</v>
      </c>
      <c r="D459" s="4" t="s">
        <v>76</v>
      </c>
      <c r="E459" s="4" t="s">
        <v>77</v>
      </c>
      <c r="F459" s="6">
        <v>2</v>
      </c>
      <c r="G459" s="5">
        <v>1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5">
        <v>1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3458</v>
      </c>
      <c r="B460" s="9" t="s">
        <v>693</v>
      </c>
      <c r="C460" s="9" t="s">
        <v>171</v>
      </c>
      <c r="D460" s="9" t="s">
        <v>189</v>
      </c>
      <c r="E460" s="9" t="s">
        <v>200</v>
      </c>
      <c r="F460" s="11">
        <v>2</v>
      </c>
      <c r="G460" s="12">
        <v>0</v>
      </c>
      <c r="H460" s="12">
        <v>0</v>
      </c>
      <c r="I460" s="12">
        <v>0</v>
      </c>
      <c r="J460" s="12">
        <v>0</v>
      </c>
      <c r="K460" s="10">
        <v>2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2">
        <v>0</v>
      </c>
      <c r="W460" s="12">
        <v>0</v>
      </c>
      <c r="X460" s="12">
        <v>0</v>
      </c>
      <c r="Y460" s="12">
        <v>0</v>
      </c>
      <c r="Z460" s="10">
        <v>2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49">
        <v>0</v>
      </c>
    </row>
    <row r="461">
      <c r="A461" s="23">
        <v>3465</v>
      </c>
      <c r="B461" s="4" t="s">
        <v>694</v>
      </c>
      <c r="C461" s="4" t="s">
        <v>601</v>
      </c>
      <c r="D461" s="4" t="s">
        <v>695</v>
      </c>
      <c r="E461" s="4" t="s">
        <v>362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3466</v>
      </c>
      <c r="B462" s="9" t="s">
        <v>696</v>
      </c>
      <c r="C462" s="9" t="s">
        <v>63</v>
      </c>
      <c r="D462" s="9" t="s">
        <v>115</v>
      </c>
      <c r="E462" s="9" t="s">
        <v>292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0.25</v>
      </c>
    </row>
    <row r="463">
      <c r="A463" s="23">
        <v>3479</v>
      </c>
      <c r="B463" s="4" t="s">
        <v>697</v>
      </c>
      <c r="C463" s="4" t="s">
        <v>63</v>
      </c>
      <c r="D463" s="4" t="s">
        <v>85</v>
      </c>
      <c r="E463" s="4" t="s">
        <v>86</v>
      </c>
      <c r="F463" s="6">
        <v>6</v>
      </c>
      <c r="G463" s="7">
        <v>0</v>
      </c>
      <c r="H463" s="5">
        <v>2</v>
      </c>
      <c r="I463" s="5">
        <v>1</v>
      </c>
      <c r="J463" s="5">
        <v>3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6</v>
      </c>
      <c r="V463" s="7">
        <v>0</v>
      </c>
      <c r="W463" s="5">
        <v>2</v>
      </c>
      <c r="X463" s="5">
        <v>1</v>
      </c>
      <c r="Y463" s="5">
        <v>3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2</v>
      </c>
      <c r="AM463" s="5">
        <v>3</v>
      </c>
      <c r="AN463" s="28">
        <v>0.52</v>
      </c>
    </row>
    <row r="464">
      <c r="A464" s="24">
        <v>3480</v>
      </c>
      <c r="B464" s="9" t="s">
        <v>698</v>
      </c>
      <c r="C464" s="9" t="s">
        <v>63</v>
      </c>
      <c r="D464" s="9" t="s">
        <v>85</v>
      </c>
      <c r="E464" s="9" t="s">
        <v>86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9">
        <v>0</v>
      </c>
    </row>
    <row r="465">
      <c r="A465" s="23">
        <v>3486</v>
      </c>
      <c r="B465" s="4" t="s">
        <v>699</v>
      </c>
      <c r="C465" s="4" t="s">
        <v>63</v>
      </c>
      <c r="D465" s="4" t="s">
        <v>85</v>
      </c>
      <c r="E465" s="4" t="s">
        <v>86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3492</v>
      </c>
      <c r="B466" s="9" t="s">
        <v>700</v>
      </c>
      <c r="C466" s="9" t="s">
        <v>63</v>
      </c>
      <c r="D466" s="9" t="s">
        <v>85</v>
      </c>
      <c r="E466" s="9" t="s">
        <v>86</v>
      </c>
      <c r="F466" s="11">
        <v>2</v>
      </c>
      <c r="G466" s="12">
        <v>0</v>
      </c>
      <c r="H466" s="10">
        <v>2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2">
        <v>0</v>
      </c>
      <c r="W466" s="10">
        <v>2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29">
        <v>0.5</v>
      </c>
    </row>
    <row r="467">
      <c r="A467" s="23">
        <v>3495</v>
      </c>
      <c r="B467" s="4" t="s">
        <v>701</v>
      </c>
      <c r="C467" s="4" t="s">
        <v>63</v>
      </c>
      <c r="D467" s="4" t="s">
        <v>85</v>
      </c>
      <c r="E467" s="4" t="s">
        <v>86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3502</v>
      </c>
      <c r="B468" s="9" t="s">
        <v>702</v>
      </c>
      <c r="C468" s="9" t="s">
        <v>63</v>
      </c>
      <c r="D468" s="9" t="s">
        <v>85</v>
      </c>
      <c r="E468" s="9" t="s">
        <v>86</v>
      </c>
      <c r="F468" s="11">
        <v>2</v>
      </c>
      <c r="G468" s="12">
        <v>0</v>
      </c>
      <c r="H468" s="12">
        <v>0</v>
      </c>
      <c r="I468" s="10">
        <v>1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2">
        <v>0</v>
      </c>
      <c r="X468" s="10">
        <v>1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3503</v>
      </c>
      <c r="B469" s="4" t="s">
        <v>703</v>
      </c>
      <c r="C469" s="4" t="s">
        <v>63</v>
      </c>
      <c r="D469" s="4" t="s">
        <v>85</v>
      </c>
      <c r="E469" s="4" t="s">
        <v>86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0.24</v>
      </c>
    </row>
    <row r="470">
      <c r="A470" s="24">
        <v>3514</v>
      </c>
      <c r="B470" s="9" t="s">
        <v>704</v>
      </c>
      <c r="C470" s="9" t="s">
        <v>601</v>
      </c>
      <c r="D470" s="9" t="s">
        <v>705</v>
      </c>
      <c r="E470" s="9" t="s">
        <v>362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3515</v>
      </c>
      <c r="B471" s="4" t="s">
        <v>706</v>
      </c>
      <c r="C471" s="4" t="s">
        <v>601</v>
      </c>
      <c r="D471" s="4" t="s">
        <v>707</v>
      </c>
      <c r="E471" s="4" t="s">
        <v>362</v>
      </c>
      <c r="F471" s="6">
        <v>97</v>
      </c>
      <c r="G471" s="7">
        <v>0</v>
      </c>
      <c r="H471" s="7">
        <v>0</v>
      </c>
      <c r="I471" s="7">
        <v>0</v>
      </c>
      <c r="J471" s="5">
        <v>97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93</v>
      </c>
      <c r="V471" s="7">
        <v>0</v>
      </c>
      <c r="W471" s="7">
        <v>0</v>
      </c>
      <c r="X471" s="7">
        <v>0</v>
      </c>
      <c r="Y471" s="5">
        <v>93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32.33</v>
      </c>
      <c r="AL471" s="5">
        <v>1</v>
      </c>
      <c r="AM471" s="5">
        <v>95</v>
      </c>
      <c r="AN471" s="28">
        <v>24.18</v>
      </c>
    </row>
    <row r="472">
      <c r="A472" s="24">
        <v>3521</v>
      </c>
      <c r="B472" s="9" t="s">
        <v>708</v>
      </c>
      <c r="C472" s="9" t="s">
        <v>63</v>
      </c>
      <c r="D472" s="9" t="s">
        <v>85</v>
      </c>
      <c r="E472" s="9" t="s">
        <v>86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0.22</v>
      </c>
    </row>
    <row r="473">
      <c r="A473" s="23">
        <v>3524</v>
      </c>
      <c r="B473" s="4" t="s">
        <v>709</v>
      </c>
      <c r="C473" s="4" t="s">
        <v>141</v>
      </c>
      <c r="D473" s="4" t="s">
        <v>371</v>
      </c>
      <c r="E473" s="4" t="s">
        <v>710</v>
      </c>
      <c r="F473" s="6">
        <v>1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0.22</v>
      </c>
    </row>
    <row r="474">
      <c r="A474" s="24">
        <v>3542</v>
      </c>
      <c r="B474" s="9" t="s">
        <v>711</v>
      </c>
      <c r="C474" s="9" t="s">
        <v>63</v>
      </c>
      <c r="D474" s="9" t="s">
        <v>85</v>
      </c>
      <c r="E474" s="9" t="s">
        <v>86</v>
      </c>
      <c r="F474" s="11">
        <v>2</v>
      </c>
      <c r="G474" s="12">
        <v>0</v>
      </c>
      <c r="H474" s="12">
        <v>0</v>
      </c>
      <c r="I474" s="10">
        <v>1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2">
        <v>0</v>
      </c>
      <c r="W474" s="12">
        <v>0</v>
      </c>
      <c r="X474" s="10">
        <v>1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0.24</v>
      </c>
    </row>
    <row r="475">
      <c r="A475" s="23">
        <v>3553</v>
      </c>
      <c r="B475" s="4" t="s">
        <v>712</v>
      </c>
      <c r="C475" s="4" t="s">
        <v>63</v>
      </c>
      <c r="D475" s="4" t="s">
        <v>85</v>
      </c>
      <c r="E475" s="4" t="s">
        <v>86</v>
      </c>
      <c r="F475" s="6">
        <v>1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3558</v>
      </c>
      <c r="B476" s="9" t="s">
        <v>336</v>
      </c>
      <c r="C476" s="9" t="s">
        <v>63</v>
      </c>
      <c r="D476" s="9" t="s">
        <v>85</v>
      </c>
      <c r="E476" s="9" t="s">
        <v>86</v>
      </c>
      <c r="F476" s="11">
        <v>1</v>
      </c>
      <c r="G476" s="12">
        <v>0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0.26</v>
      </c>
    </row>
    <row r="477">
      <c r="A477" s="23">
        <v>3563</v>
      </c>
      <c r="B477" s="4" t="s">
        <v>713</v>
      </c>
      <c r="C477" s="4" t="s">
        <v>63</v>
      </c>
      <c r="D477" s="4" t="s">
        <v>85</v>
      </c>
      <c r="E477" s="4" t="s">
        <v>86</v>
      </c>
      <c r="F477" s="6">
        <v>68</v>
      </c>
      <c r="G477" s="5">
        <v>3</v>
      </c>
      <c r="H477" s="7">
        <v>0</v>
      </c>
      <c r="I477" s="7">
        <v>0</v>
      </c>
      <c r="J477" s="5">
        <v>65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60</v>
      </c>
      <c r="V477" s="5">
        <v>2</v>
      </c>
      <c r="W477" s="7">
        <v>0</v>
      </c>
      <c r="X477" s="7">
        <v>0</v>
      </c>
      <c r="Y477" s="5">
        <v>58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17</v>
      </c>
      <c r="AL477" s="5">
        <v>1</v>
      </c>
      <c r="AM477" s="5">
        <v>64</v>
      </c>
      <c r="AN477" s="28">
        <v>15</v>
      </c>
    </row>
    <row r="478">
      <c r="A478" s="24">
        <v>3565</v>
      </c>
      <c r="B478" s="9" t="s">
        <v>714</v>
      </c>
      <c r="C478" s="9" t="s">
        <v>63</v>
      </c>
      <c r="D478" s="9" t="s">
        <v>85</v>
      </c>
      <c r="E478" s="9" t="s">
        <v>86</v>
      </c>
      <c r="F478" s="11">
        <v>2</v>
      </c>
      <c r="G478" s="10">
        <v>2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49">
        <v>0</v>
      </c>
    </row>
    <row r="479">
      <c r="A479" s="23">
        <v>3573</v>
      </c>
      <c r="B479" s="4" t="s">
        <v>715</v>
      </c>
      <c r="C479" s="4" t="s">
        <v>663</v>
      </c>
      <c r="D479" s="4" t="s">
        <v>716</v>
      </c>
      <c r="E479" s="4" t="s">
        <v>362</v>
      </c>
      <c r="F479" s="6">
        <v>2</v>
      </c>
      <c r="G479" s="7">
        <v>0</v>
      </c>
      <c r="H479" s="5">
        <v>1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7">
        <v>0</v>
      </c>
      <c r="W479" s="5">
        <v>1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0.52</v>
      </c>
    </row>
    <row r="480">
      <c r="A480" s="24">
        <v>3589</v>
      </c>
      <c r="B480" s="9" t="s">
        <v>717</v>
      </c>
      <c r="C480" s="9" t="s">
        <v>671</v>
      </c>
      <c r="D480" s="9" t="s">
        <v>718</v>
      </c>
      <c r="E480" s="9" t="s">
        <v>362</v>
      </c>
      <c r="F480" s="11">
        <v>1</v>
      </c>
      <c r="G480" s="12">
        <v>0</v>
      </c>
      <c r="H480" s="10">
        <v>1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2">
        <v>0</v>
      </c>
      <c r="W480" s="10">
        <v>1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9">
        <v>0</v>
      </c>
    </row>
    <row r="481">
      <c r="A481" s="23">
        <v>3593</v>
      </c>
      <c r="B481" s="4" t="s">
        <v>719</v>
      </c>
      <c r="C481" s="4" t="s">
        <v>141</v>
      </c>
      <c r="D481" s="4" t="s">
        <v>371</v>
      </c>
      <c r="E481" s="4" t="s">
        <v>382</v>
      </c>
      <c r="F481" s="6">
        <v>2</v>
      </c>
      <c r="G481" s="5">
        <v>1</v>
      </c>
      <c r="H481" s="7">
        <v>0</v>
      </c>
      <c r="I481" s="5">
        <v>1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1</v>
      </c>
      <c r="W481" s="7">
        <v>0</v>
      </c>
      <c r="X481" s="5">
        <v>1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3612</v>
      </c>
      <c r="B482" s="9" t="s">
        <v>720</v>
      </c>
      <c r="C482" s="9" t="s">
        <v>141</v>
      </c>
      <c r="D482" s="9" t="s">
        <v>436</v>
      </c>
      <c r="E482" s="9" t="s">
        <v>437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0.24</v>
      </c>
    </row>
    <row r="483">
      <c r="A483" s="23">
        <v>3615</v>
      </c>
      <c r="B483" s="4" t="s">
        <v>721</v>
      </c>
      <c r="C483" s="4" t="s">
        <v>63</v>
      </c>
      <c r="D483" s="4" t="s">
        <v>115</v>
      </c>
      <c r="E483" s="4" t="s">
        <v>118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0.5</v>
      </c>
    </row>
    <row r="484">
      <c r="A484" s="24">
        <v>3616</v>
      </c>
      <c r="B484" s="9" t="s">
        <v>722</v>
      </c>
      <c r="C484" s="9" t="s">
        <v>63</v>
      </c>
      <c r="D484" s="9" t="s">
        <v>115</v>
      </c>
      <c r="E484" s="9" t="s">
        <v>124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3622</v>
      </c>
      <c r="B485" s="4" t="s">
        <v>723</v>
      </c>
      <c r="C485" s="4" t="s">
        <v>63</v>
      </c>
      <c r="D485" s="4" t="s">
        <v>80</v>
      </c>
      <c r="E485" s="4" t="s">
        <v>350</v>
      </c>
      <c r="F485" s="6">
        <v>4</v>
      </c>
      <c r="G485" s="7">
        <v>0</v>
      </c>
      <c r="H485" s="7">
        <v>0</v>
      </c>
      <c r="I485" s="7">
        <v>0</v>
      </c>
      <c r="J485" s="5">
        <v>4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7">
        <v>0</v>
      </c>
      <c r="W485" s="7">
        <v>0</v>
      </c>
      <c r="X485" s="7">
        <v>0</v>
      </c>
      <c r="Y485" s="5">
        <v>4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4</v>
      </c>
      <c r="AK485" s="8">
        <v>4</v>
      </c>
      <c r="AL485" s="5">
        <v>4</v>
      </c>
      <c r="AM485" s="5">
        <v>4</v>
      </c>
      <c r="AN485" s="28">
        <v>0.96</v>
      </c>
    </row>
    <row r="486">
      <c r="A486" s="24">
        <v>3638</v>
      </c>
      <c r="B486" s="9" t="s">
        <v>724</v>
      </c>
      <c r="C486" s="9" t="s">
        <v>63</v>
      </c>
      <c r="D486" s="9" t="s">
        <v>112</v>
      </c>
      <c r="E486" s="9" t="s">
        <v>725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0.38</v>
      </c>
    </row>
    <row r="487">
      <c r="A487" s="23">
        <v>3643</v>
      </c>
      <c r="B487" s="4" t="s">
        <v>726</v>
      </c>
      <c r="C487" s="4" t="s">
        <v>63</v>
      </c>
      <c r="D487" s="4" t="s">
        <v>115</v>
      </c>
      <c r="E487" s="4" t="s">
        <v>116</v>
      </c>
      <c r="F487" s="6">
        <v>5</v>
      </c>
      <c r="G487" s="5">
        <v>3</v>
      </c>
      <c r="H487" s="5">
        <v>1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5</v>
      </c>
      <c r="V487" s="5">
        <v>3</v>
      </c>
      <c r="W487" s="5">
        <v>1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1.67</v>
      </c>
      <c r="AL487" s="5">
        <v>1</v>
      </c>
      <c r="AM487" s="5">
        <v>3</v>
      </c>
      <c r="AN487" s="28">
        <v>1.4</v>
      </c>
    </row>
    <row r="488">
      <c r="A488" s="24">
        <v>3655</v>
      </c>
      <c r="B488" s="9" t="s">
        <v>727</v>
      </c>
      <c r="C488" s="9" t="s">
        <v>63</v>
      </c>
      <c r="D488" s="9" t="s">
        <v>67</v>
      </c>
      <c r="E488" s="9" t="s">
        <v>71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0.35</v>
      </c>
    </row>
    <row r="489">
      <c r="A489" s="23">
        <v>3661</v>
      </c>
      <c r="B489" s="4" t="s">
        <v>728</v>
      </c>
      <c r="C489" s="4" t="s">
        <v>63</v>
      </c>
      <c r="D489" s="4" t="s">
        <v>115</v>
      </c>
      <c r="E489" s="4" t="s">
        <v>118</v>
      </c>
      <c r="F489" s="6">
        <v>1</v>
      </c>
      <c r="G489" s="7">
        <v>0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0.26</v>
      </c>
    </row>
    <row r="490">
      <c r="A490" s="24">
        <v>3662</v>
      </c>
      <c r="B490" s="9" t="s">
        <v>729</v>
      </c>
      <c r="C490" s="9" t="s">
        <v>63</v>
      </c>
      <c r="D490" s="9" t="s">
        <v>115</v>
      </c>
      <c r="E490" s="9" t="s">
        <v>118</v>
      </c>
      <c r="F490" s="11">
        <v>2</v>
      </c>
      <c r="G490" s="12">
        <v>0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0.26</v>
      </c>
    </row>
    <row r="491">
      <c r="A491" s="23">
        <v>3675</v>
      </c>
      <c r="B491" s="4" t="s">
        <v>730</v>
      </c>
      <c r="C491" s="4" t="s">
        <v>63</v>
      </c>
      <c r="D491" s="4" t="s">
        <v>76</v>
      </c>
      <c r="E491" s="4" t="s">
        <v>137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3690</v>
      </c>
      <c r="B492" s="9" t="s">
        <v>731</v>
      </c>
      <c r="C492" s="9" t="s">
        <v>63</v>
      </c>
      <c r="D492" s="9" t="s">
        <v>85</v>
      </c>
      <c r="E492" s="9" t="s">
        <v>86</v>
      </c>
      <c r="F492" s="11">
        <v>1</v>
      </c>
      <c r="G492" s="12">
        <v>0</v>
      </c>
      <c r="H492" s="10">
        <v>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0">
        <v>1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3692</v>
      </c>
      <c r="B493" s="4" t="s">
        <v>732</v>
      </c>
      <c r="C493" s="4" t="s">
        <v>63</v>
      </c>
      <c r="D493" s="4" t="s">
        <v>133</v>
      </c>
      <c r="E493" s="4" t="s">
        <v>326</v>
      </c>
      <c r="F493" s="6">
        <v>1</v>
      </c>
      <c r="G493" s="7">
        <v>0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0.22</v>
      </c>
    </row>
    <row r="494">
      <c r="A494" s="24">
        <v>3694</v>
      </c>
      <c r="B494" s="9" t="s">
        <v>733</v>
      </c>
      <c r="C494" s="9" t="s">
        <v>63</v>
      </c>
      <c r="D494" s="9" t="s">
        <v>90</v>
      </c>
      <c r="E494" s="9" t="s">
        <v>538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49">
        <v>0</v>
      </c>
    </row>
    <row r="495">
      <c r="A495" s="23">
        <v>3707</v>
      </c>
      <c r="B495" s="4" t="s">
        <v>734</v>
      </c>
      <c r="C495" s="4" t="s">
        <v>63</v>
      </c>
      <c r="D495" s="4" t="s">
        <v>103</v>
      </c>
      <c r="E495" s="4" t="s">
        <v>735</v>
      </c>
      <c r="F495" s="6">
        <v>3</v>
      </c>
      <c r="G495" s="5">
        <v>3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3</v>
      </c>
      <c r="V495" s="5">
        <v>3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0.72</v>
      </c>
    </row>
    <row r="496">
      <c r="A496" s="24">
        <v>3711</v>
      </c>
      <c r="B496" s="9" t="s">
        <v>736</v>
      </c>
      <c r="C496" s="9" t="s">
        <v>63</v>
      </c>
      <c r="D496" s="9" t="s">
        <v>85</v>
      </c>
      <c r="E496" s="9" t="s">
        <v>147</v>
      </c>
      <c r="F496" s="11">
        <v>8</v>
      </c>
      <c r="G496" s="10">
        <v>2</v>
      </c>
      <c r="H496" s="12">
        <v>0</v>
      </c>
      <c r="I496" s="10">
        <v>1</v>
      </c>
      <c r="J496" s="10">
        <v>5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8</v>
      </c>
      <c r="V496" s="10">
        <v>2</v>
      </c>
      <c r="W496" s="12">
        <v>0</v>
      </c>
      <c r="X496" s="10">
        <v>1</v>
      </c>
      <c r="Y496" s="10">
        <v>5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1</v>
      </c>
      <c r="AM496" s="10">
        <v>4</v>
      </c>
      <c r="AN496" s="29">
        <v>2.1</v>
      </c>
    </row>
    <row r="497">
      <c r="A497" s="23">
        <v>3719</v>
      </c>
      <c r="B497" s="4" t="s">
        <v>737</v>
      </c>
      <c r="C497" s="4" t="s">
        <v>63</v>
      </c>
      <c r="D497" s="4" t="s">
        <v>90</v>
      </c>
      <c r="E497" s="4" t="s">
        <v>538</v>
      </c>
      <c r="F497" s="6">
        <v>4</v>
      </c>
      <c r="G497" s="5">
        <v>3</v>
      </c>
      <c r="H497" s="5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4</v>
      </c>
      <c r="V497" s="5">
        <v>3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1.33</v>
      </c>
      <c r="AL497" s="5">
        <v>1</v>
      </c>
      <c r="AM497" s="5">
        <v>2</v>
      </c>
      <c r="AN497" s="30">
        <v>0</v>
      </c>
    </row>
    <row r="498">
      <c r="A498" s="24">
        <v>3722</v>
      </c>
      <c r="B498" s="9" t="s">
        <v>738</v>
      </c>
      <c r="C498" s="9" t="s">
        <v>63</v>
      </c>
      <c r="D498" s="9" t="s">
        <v>109</v>
      </c>
      <c r="E498" s="9" t="s">
        <v>145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9">
        <v>0</v>
      </c>
    </row>
    <row r="499">
      <c r="A499" s="23">
        <v>3724</v>
      </c>
      <c r="B499" s="4" t="s">
        <v>739</v>
      </c>
      <c r="C499" s="4" t="s">
        <v>63</v>
      </c>
      <c r="D499" s="4" t="s">
        <v>73</v>
      </c>
      <c r="E499" s="4" t="s">
        <v>389</v>
      </c>
      <c r="F499" s="6">
        <v>3</v>
      </c>
      <c r="G499" s="7">
        <v>0</v>
      </c>
      <c r="H499" s="5">
        <v>2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7">
        <v>0</v>
      </c>
      <c r="W499" s="5">
        <v>2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28">
        <v>0.78</v>
      </c>
    </row>
    <row r="500">
      <c r="A500" s="24">
        <v>3726</v>
      </c>
      <c r="B500" s="9" t="s">
        <v>740</v>
      </c>
      <c r="C500" s="9" t="s">
        <v>63</v>
      </c>
      <c r="D500" s="9" t="s">
        <v>103</v>
      </c>
      <c r="E500" s="9" t="s">
        <v>131</v>
      </c>
      <c r="F500" s="11">
        <v>8</v>
      </c>
      <c r="G500" s="10">
        <v>4</v>
      </c>
      <c r="H500" s="12">
        <v>0</v>
      </c>
      <c r="I500" s="12">
        <v>0</v>
      </c>
      <c r="J500" s="10">
        <v>4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0">
        <v>2</v>
      </c>
      <c r="W500" s="12">
        <v>0</v>
      </c>
      <c r="X500" s="12">
        <v>0</v>
      </c>
      <c r="Y500" s="10">
        <v>3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2.67</v>
      </c>
      <c r="AL500" s="10">
        <v>3</v>
      </c>
      <c r="AM500" s="10">
        <v>4</v>
      </c>
      <c r="AN500" s="29">
        <v>0.75</v>
      </c>
    </row>
    <row r="501">
      <c r="A501" s="23">
        <v>3734</v>
      </c>
      <c r="B501" s="4" t="s">
        <v>741</v>
      </c>
      <c r="C501" s="4" t="s">
        <v>141</v>
      </c>
      <c r="D501" s="4" t="s">
        <v>142</v>
      </c>
      <c r="E501" s="4" t="s">
        <v>458</v>
      </c>
      <c r="F501" s="6">
        <v>4</v>
      </c>
      <c r="G501" s="7">
        <v>0</v>
      </c>
      <c r="H501" s="7">
        <v>0</v>
      </c>
      <c r="I501" s="5">
        <v>3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4</v>
      </c>
      <c r="V501" s="7">
        <v>0</v>
      </c>
      <c r="W501" s="7">
        <v>0</v>
      </c>
      <c r="X501" s="5">
        <v>3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30">
        <v>0</v>
      </c>
    </row>
    <row r="502">
      <c r="A502" s="24">
        <v>3737</v>
      </c>
      <c r="B502" s="9" t="s">
        <v>742</v>
      </c>
      <c r="C502" s="9" t="s">
        <v>671</v>
      </c>
      <c r="D502" s="9" t="s">
        <v>743</v>
      </c>
      <c r="E502" s="9" t="s">
        <v>362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9">
        <v>0</v>
      </c>
    </row>
    <row r="503">
      <c r="A503" s="23">
        <v>3738</v>
      </c>
      <c r="B503" s="4" t="s">
        <v>744</v>
      </c>
      <c r="C503" s="4" t="s">
        <v>671</v>
      </c>
      <c r="D503" s="4" t="s">
        <v>743</v>
      </c>
      <c r="E503" s="4" t="s">
        <v>362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3739</v>
      </c>
      <c r="B504" s="9" t="s">
        <v>745</v>
      </c>
      <c r="C504" s="9" t="s">
        <v>671</v>
      </c>
      <c r="D504" s="9" t="s">
        <v>743</v>
      </c>
      <c r="E504" s="9" t="s">
        <v>362</v>
      </c>
      <c r="F504" s="11">
        <v>1</v>
      </c>
      <c r="G504" s="12">
        <v>0</v>
      </c>
      <c r="H504" s="10">
        <v>1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2">
        <v>0</v>
      </c>
      <c r="W504" s="10">
        <v>1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3740</v>
      </c>
      <c r="B505" s="4" t="s">
        <v>746</v>
      </c>
      <c r="C505" s="4" t="s">
        <v>671</v>
      </c>
      <c r="D505" s="4" t="s">
        <v>743</v>
      </c>
      <c r="E505" s="4" t="s">
        <v>362</v>
      </c>
      <c r="F505" s="6">
        <v>1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5">
        <v>1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5">
        <v>1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3753</v>
      </c>
      <c r="B506" s="9" t="s">
        <v>747</v>
      </c>
      <c r="C506" s="9" t="s">
        <v>63</v>
      </c>
      <c r="D506" s="9" t="s">
        <v>103</v>
      </c>
      <c r="E506" s="9" t="s">
        <v>323</v>
      </c>
      <c r="F506" s="11">
        <v>4</v>
      </c>
      <c r="G506" s="10">
        <v>1</v>
      </c>
      <c r="H506" s="12">
        <v>0</v>
      </c>
      <c r="I506" s="12">
        <v>0</v>
      </c>
      <c r="J506" s="10">
        <v>3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4</v>
      </c>
      <c r="V506" s="10">
        <v>1</v>
      </c>
      <c r="W506" s="12">
        <v>0</v>
      </c>
      <c r="X506" s="12">
        <v>0</v>
      </c>
      <c r="Y506" s="10">
        <v>3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2</v>
      </c>
      <c r="AM506" s="10">
        <v>3</v>
      </c>
      <c r="AN506" s="29">
        <v>0.78</v>
      </c>
    </row>
    <row r="507">
      <c r="A507" s="23">
        <v>3775</v>
      </c>
      <c r="B507" s="4" t="s">
        <v>748</v>
      </c>
      <c r="C507" s="4" t="s">
        <v>63</v>
      </c>
      <c r="D507" s="4" t="s">
        <v>133</v>
      </c>
      <c r="E507" s="4" t="s">
        <v>326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3786</v>
      </c>
      <c r="B508" s="9" t="s">
        <v>749</v>
      </c>
      <c r="C508" s="9" t="s">
        <v>63</v>
      </c>
      <c r="D508" s="9" t="s">
        <v>85</v>
      </c>
      <c r="E508" s="9" t="s">
        <v>147</v>
      </c>
      <c r="F508" s="11">
        <v>6</v>
      </c>
      <c r="G508" s="12">
        <v>0</v>
      </c>
      <c r="H508" s="12">
        <v>0</v>
      </c>
      <c r="I508" s="12">
        <v>0</v>
      </c>
      <c r="J508" s="10">
        <v>6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6</v>
      </c>
      <c r="V508" s="12">
        <v>0</v>
      </c>
      <c r="W508" s="12">
        <v>0</v>
      </c>
      <c r="X508" s="12">
        <v>0</v>
      </c>
      <c r="Y508" s="10">
        <v>6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29">
        <v>1.25</v>
      </c>
    </row>
    <row r="509">
      <c r="A509" s="23">
        <v>3787</v>
      </c>
      <c r="B509" s="4" t="s">
        <v>750</v>
      </c>
      <c r="C509" s="4" t="s">
        <v>360</v>
      </c>
      <c r="D509" s="4" t="s">
        <v>751</v>
      </c>
      <c r="E509" s="4" t="s">
        <v>362</v>
      </c>
      <c r="F509" s="6">
        <v>3</v>
      </c>
      <c r="G509" s="7">
        <v>0</v>
      </c>
      <c r="H509" s="5">
        <v>1</v>
      </c>
      <c r="I509" s="7">
        <v>0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3</v>
      </c>
      <c r="V509" s="7">
        <v>0</v>
      </c>
      <c r="W509" s="5">
        <v>1</v>
      </c>
      <c r="X509" s="7">
        <v>0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1.5</v>
      </c>
      <c r="AL509" s="5">
        <v>1</v>
      </c>
      <c r="AM509" s="5">
        <v>2</v>
      </c>
      <c r="AN509" s="28">
        <v>0.88</v>
      </c>
    </row>
    <row r="510">
      <c r="A510" s="24">
        <v>3788</v>
      </c>
      <c r="B510" s="9" t="s">
        <v>752</v>
      </c>
      <c r="C510" s="9" t="s">
        <v>63</v>
      </c>
      <c r="D510" s="9" t="s">
        <v>133</v>
      </c>
      <c r="E510" s="9" t="s">
        <v>134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3791</v>
      </c>
      <c r="B511" s="4" t="s">
        <v>753</v>
      </c>
      <c r="C511" s="4" t="s">
        <v>141</v>
      </c>
      <c r="D511" s="4" t="s">
        <v>685</v>
      </c>
      <c r="E511" s="4" t="s">
        <v>686</v>
      </c>
      <c r="F511" s="6">
        <v>2</v>
      </c>
      <c r="G511" s="7">
        <v>0</v>
      </c>
      <c r="H511" s="7">
        <v>0</v>
      </c>
      <c r="I511" s="5">
        <v>2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7">
        <v>0</v>
      </c>
      <c r="W511" s="7">
        <v>0</v>
      </c>
      <c r="X511" s="5">
        <v>2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0.22</v>
      </c>
    </row>
    <row r="512">
      <c r="A512" s="24">
        <v>3800</v>
      </c>
      <c r="B512" s="9" t="s">
        <v>754</v>
      </c>
      <c r="C512" s="9" t="s">
        <v>63</v>
      </c>
      <c r="D512" s="9" t="s">
        <v>103</v>
      </c>
      <c r="E512" s="9" t="s">
        <v>131</v>
      </c>
      <c r="F512" s="11">
        <v>4</v>
      </c>
      <c r="G512" s="10">
        <v>2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4</v>
      </c>
      <c r="V512" s="10">
        <v>2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1.33</v>
      </c>
      <c r="AL512" s="10">
        <v>1</v>
      </c>
      <c r="AM512" s="10">
        <v>2</v>
      </c>
      <c r="AN512" s="29">
        <v>0.26</v>
      </c>
    </row>
    <row r="513">
      <c r="A513" s="23">
        <v>3802</v>
      </c>
      <c r="B513" s="4" t="s">
        <v>755</v>
      </c>
      <c r="C513" s="4" t="s">
        <v>63</v>
      </c>
      <c r="D513" s="4" t="s">
        <v>85</v>
      </c>
      <c r="E513" s="4" t="s">
        <v>86</v>
      </c>
      <c r="F513" s="6">
        <v>1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3812</v>
      </c>
      <c r="B514" s="9" t="s">
        <v>756</v>
      </c>
      <c r="C514" s="9" t="s">
        <v>63</v>
      </c>
      <c r="D514" s="9" t="s">
        <v>80</v>
      </c>
      <c r="E514" s="9" t="s">
        <v>350</v>
      </c>
      <c r="F514" s="11">
        <v>9</v>
      </c>
      <c r="G514" s="10">
        <v>1</v>
      </c>
      <c r="H514" s="12">
        <v>0</v>
      </c>
      <c r="I514" s="12">
        <v>0</v>
      </c>
      <c r="J514" s="10">
        <v>8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8</v>
      </c>
      <c r="V514" s="10">
        <v>1</v>
      </c>
      <c r="W514" s="12">
        <v>0</v>
      </c>
      <c r="X514" s="12">
        <v>0</v>
      </c>
      <c r="Y514" s="10">
        <v>7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3</v>
      </c>
      <c r="AL514" s="10">
        <v>1</v>
      </c>
      <c r="AM514" s="10">
        <v>7</v>
      </c>
      <c r="AN514" s="29">
        <v>1.75</v>
      </c>
    </row>
    <row r="515">
      <c r="A515" s="23">
        <v>3813</v>
      </c>
      <c r="B515" s="4" t="s">
        <v>757</v>
      </c>
      <c r="C515" s="4" t="s">
        <v>63</v>
      </c>
      <c r="D515" s="4" t="s">
        <v>80</v>
      </c>
      <c r="E515" s="4" t="s">
        <v>350</v>
      </c>
      <c r="F515" s="6">
        <v>2</v>
      </c>
      <c r="G515" s="7">
        <v>0</v>
      </c>
      <c r="H515" s="5">
        <v>2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7">
        <v>0</v>
      </c>
      <c r="W515" s="5">
        <v>2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28">
        <v>0.5</v>
      </c>
    </row>
    <row r="516">
      <c r="A516" s="24">
        <v>3814</v>
      </c>
      <c r="B516" s="9" t="s">
        <v>758</v>
      </c>
      <c r="C516" s="9" t="s">
        <v>63</v>
      </c>
      <c r="D516" s="9" t="s">
        <v>93</v>
      </c>
      <c r="E516" s="9" t="s">
        <v>759</v>
      </c>
      <c r="F516" s="11">
        <v>4</v>
      </c>
      <c r="G516" s="10">
        <v>4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</v>
      </c>
      <c r="V516" s="10">
        <v>4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2</v>
      </c>
      <c r="AM516" s="10">
        <v>3</v>
      </c>
      <c r="AN516" s="49">
        <v>0</v>
      </c>
    </row>
    <row r="517">
      <c r="A517" s="23">
        <v>3817</v>
      </c>
      <c r="B517" s="4" t="s">
        <v>760</v>
      </c>
      <c r="C517" s="4" t="s">
        <v>171</v>
      </c>
      <c r="D517" s="4" t="s">
        <v>172</v>
      </c>
      <c r="E517" s="4" t="s">
        <v>761</v>
      </c>
      <c r="F517" s="6">
        <v>2</v>
      </c>
      <c r="G517" s="7">
        <v>0</v>
      </c>
      <c r="H517" s="7">
        <v>0</v>
      </c>
      <c r="I517" s="7">
        <v>0</v>
      </c>
      <c r="J517" s="7">
        <v>0</v>
      </c>
      <c r="K517" s="5">
        <v>2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7">
        <v>0</v>
      </c>
      <c r="W517" s="7">
        <v>0</v>
      </c>
      <c r="X517" s="7">
        <v>0</v>
      </c>
      <c r="Y517" s="7">
        <v>0</v>
      </c>
      <c r="Z517" s="5">
        <v>2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30">
        <v>0</v>
      </c>
    </row>
    <row r="518">
      <c r="A518" s="24">
        <v>3825</v>
      </c>
      <c r="B518" s="9" t="s">
        <v>762</v>
      </c>
      <c r="C518" s="9" t="s">
        <v>63</v>
      </c>
      <c r="D518" s="9" t="s">
        <v>115</v>
      </c>
      <c r="E518" s="9" t="s">
        <v>149</v>
      </c>
      <c r="F518" s="11">
        <v>2</v>
      </c>
      <c r="G518" s="12">
        <v>0</v>
      </c>
      <c r="H518" s="12">
        <v>0</v>
      </c>
      <c r="I518" s="10">
        <v>1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2">
        <v>0</v>
      </c>
      <c r="W518" s="12">
        <v>0</v>
      </c>
      <c r="X518" s="10">
        <v>1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0.48</v>
      </c>
    </row>
    <row r="519">
      <c r="A519" s="23">
        <v>3826</v>
      </c>
      <c r="B519" s="4" t="s">
        <v>763</v>
      </c>
      <c r="C519" s="4" t="s">
        <v>63</v>
      </c>
      <c r="D519" s="4" t="s">
        <v>80</v>
      </c>
      <c r="E519" s="4" t="s">
        <v>81</v>
      </c>
      <c r="F519" s="6">
        <v>4</v>
      </c>
      <c r="G519" s="5">
        <v>4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3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4</v>
      </c>
      <c r="AK519" s="8">
        <v>4</v>
      </c>
      <c r="AL519" s="5">
        <v>4</v>
      </c>
      <c r="AM519" s="5">
        <v>4</v>
      </c>
      <c r="AN519" s="28">
        <v>0.75</v>
      </c>
    </row>
    <row r="520">
      <c r="A520" s="24">
        <v>3827</v>
      </c>
      <c r="B520" s="9" t="s">
        <v>764</v>
      </c>
      <c r="C520" s="9" t="s">
        <v>63</v>
      </c>
      <c r="D520" s="9" t="s">
        <v>80</v>
      </c>
      <c r="E520" s="9" t="s">
        <v>81</v>
      </c>
      <c r="F520" s="11">
        <v>2</v>
      </c>
      <c r="G520" s="10">
        <v>2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49">
        <v>0</v>
      </c>
    </row>
    <row r="521">
      <c r="A521" s="23">
        <v>3836</v>
      </c>
      <c r="B521" s="4" t="s">
        <v>765</v>
      </c>
      <c r="C521" s="4" t="s">
        <v>63</v>
      </c>
      <c r="D521" s="4" t="s">
        <v>80</v>
      </c>
      <c r="E521" s="4" t="s">
        <v>81</v>
      </c>
      <c r="F521" s="6">
        <v>3</v>
      </c>
      <c r="G521" s="5">
        <v>2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5">
        <v>2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2</v>
      </c>
      <c r="AN521" s="30">
        <v>0</v>
      </c>
    </row>
    <row r="522">
      <c r="A522" s="24">
        <v>3837</v>
      </c>
      <c r="B522" s="9" t="s">
        <v>766</v>
      </c>
      <c r="C522" s="9" t="s">
        <v>63</v>
      </c>
      <c r="D522" s="9" t="s">
        <v>67</v>
      </c>
      <c r="E522" s="9" t="s">
        <v>71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3861</v>
      </c>
      <c r="B523" s="4" t="s">
        <v>767</v>
      </c>
      <c r="C523" s="4" t="s">
        <v>63</v>
      </c>
      <c r="D523" s="4" t="s">
        <v>115</v>
      </c>
      <c r="E523" s="4" t="s">
        <v>124</v>
      </c>
      <c r="F523" s="6">
        <v>2</v>
      </c>
      <c r="G523" s="7">
        <v>0</v>
      </c>
      <c r="H523" s="7">
        <v>0</v>
      </c>
      <c r="I523" s="5">
        <v>1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7">
        <v>0</v>
      </c>
      <c r="W523" s="7">
        <v>0</v>
      </c>
      <c r="X523" s="5">
        <v>1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3868</v>
      </c>
      <c r="B524" s="9" t="s">
        <v>768</v>
      </c>
      <c r="C524" s="9" t="s">
        <v>63</v>
      </c>
      <c r="D524" s="9" t="s">
        <v>115</v>
      </c>
      <c r="E524" s="9" t="s">
        <v>124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3876</v>
      </c>
      <c r="B525" s="4" t="s">
        <v>769</v>
      </c>
      <c r="C525" s="4" t="s">
        <v>63</v>
      </c>
      <c r="D525" s="4" t="s">
        <v>115</v>
      </c>
      <c r="E525" s="4" t="s">
        <v>124</v>
      </c>
      <c r="F525" s="6">
        <v>2</v>
      </c>
      <c r="G525" s="7">
        <v>0</v>
      </c>
      <c r="H525" s="5">
        <v>1</v>
      </c>
      <c r="I525" s="7">
        <v>0</v>
      </c>
      <c r="J525" s="7">
        <v>0</v>
      </c>
      <c r="K525" s="7">
        <v>0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7">
        <v>0</v>
      </c>
      <c r="W525" s="5">
        <v>1</v>
      </c>
      <c r="X525" s="7">
        <v>0</v>
      </c>
      <c r="Y525" s="7">
        <v>0</v>
      </c>
      <c r="Z525" s="7">
        <v>0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3877</v>
      </c>
      <c r="B526" s="9" t="s">
        <v>770</v>
      </c>
      <c r="C526" s="9" t="s">
        <v>63</v>
      </c>
      <c r="D526" s="9" t="s">
        <v>115</v>
      </c>
      <c r="E526" s="9" t="s">
        <v>124</v>
      </c>
      <c r="F526" s="11">
        <v>2</v>
      </c>
      <c r="G526" s="12">
        <v>0</v>
      </c>
      <c r="H526" s="12">
        <v>0</v>
      </c>
      <c r="I526" s="10">
        <v>2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2">
        <v>0</v>
      </c>
      <c r="W526" s="12">
        <v>0</v>
      </c>
      <c r="X526" s="10">
        <v>2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0.24</v>
      </c>
    </row>
    <row r="527">
      <c r="A527" s="23">
        <v>3879</v>
      </c>
      <c r="B527" s="4" t="s">
        <v>771</v>
      </c>
      <c r="C527" s="4" t="s">
        <v>63</v>
      </c>
      <c r="D527" s="4" t="s">
        <v>115</v>
      </c>
      <c r="E527" s="4" t="s">
        <v>124</v>
      </c>
      <c r="F527" s="6">
        <v>3</v>
      </c>
      <c r="G527" s="7">
        <v>0</v>
      </c>
      <c r="H527" s="7">
        <v>0</v>
      </c>
      <c r="I527" s="5">
        <v>1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7">
        <v>0</v>
      </c>
      <c r="W527" s="7">
        <v>0</v>
      </c>
      <c r="X527" s="5">
        <v>1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0.75</v>
      </c>
    </row>
    <row r="528">
      <c r="A528" s="24">
        <v>3890</v>
      </c>
      <c r="B528" s="9" t="s">
        <v>772</v>
      </c>
      <c r="C528" s="9" t="s">
        <v>63</v>
      </c>
      <c r="D528" s="9" t="s">
        <v>115</v>
      </c>
      <c r="E528" s="9" t="s">
        <v>124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0.24</v>
      </c>
    </row>
    <row r="529">
      <c r="A529" s="23">
        <v>3891</v>
      </c>
      <c r="B529" s="4" t="s">
        <v>773</v>
      </c>
      <c r="C529" s="4" t="s">
        <v>63</v>
      </c>
      <c r="D529" s="4" t="s">
        <v>115</v>
      </c>
      <c r="E529" s="4" t="s">
        <v>124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3901</v>
      </c>
      <c r="B530" s="9" t="s">
        <v>774</v>
      </c>
      <c r="C530" s="9" t="s">
        <v>63</v>
      </c>
      <c r="D530" s="9" t="s">
        <v>115</v>
      </c>
      <c r="E530" s="9" t="s">
        <v>124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9">
        <v>0</v>
      </c>
    </row>
    <row r="531">
      <c r="A531" s="23">
        <v>3909</v>
      </c>
      <c r="B531" s="4" t="s">
        <v>775</v>
      </c>
      <c r="C531" s="4" t="s">
        <v>63</v>
      </c>
      <c r="D531" s="4" t="s">
        <v>115</v>
      </c>
      <c r="E531" s="4" t="s">
        <v>124</v>
      </c>
      <c r="F531" s="6">
        <v>1</v>
      </c>
      <c r="G531" s="7">
        <v>0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3911</v>
      </c>
      <c r="B532" s="9" t="s">
        <v>776</v>
      </c>
      <c r="C532" s="9" t="s">
        <v>63</v>
      </c>
      <c r="D532" s="9" t="s">
        <v>115</v>
      </c>
      <c r="E532" s="9" t="s">
        <v>124</v>
      </c>
      <c r="F532" s="11">
        <v>1</v>
      </c>
      <c r="G532" s="12">
        <v>0</v>
      </c>
      <c r="H532" s="10">
        <v>1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0">
        <v>1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9">
        <v>0</v>
      </c>
    </row>
    <row r="533">
      <c r="A533" s="23">
        <v>3914</v>
      </c>
      <c r="B533" s="4" t="s">
        <v>777</v>
      </c>
      <c r="C533" s="4" t="s">
        <v>63</v>
      </c>
      <c r="D533" s="4" t="s">
        <v>115</v>
      </c>
      <c r="E533" s="4" t="s">
        <v>124</v>
      </c>
      <c r="F533" s="6">
        <v>2</v>
      </c>
      <c r="G533" s="5">
        <v>2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30">
        <v>0</v>
      </c>
    </row>
    <row r="534">
      <c r="A534" s="24">
        <v>3916</v>
      </c>
      <c r="B534" s="9" t="s">
        <v>778</v>
      </c>
      <c r="C534" s="9" t="s">
        <v>63</v>
      </c>
      <c r="D534" s="9" t="s">
        <v>115</v>
      </c>
      <c r="E534" s="9" t="s">
        <v>124</v>
      </c>
      <c r="F534" s="11">
        <v>1</v>
      </c>
      <c r="G534" s="12">
        <v>0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0.24</v>
      </c>
    </row>
    <row r="535">
      <c r="A535" s="23">
        <v>3918</v>
      </c>
      <c r="B535" s="4" t="s">
        <v>779</v>
      </c>
      <c r="C535" s="4" t="s">
        <v>63</v>
      </c>
      <c r="D535" s="4" t="s">
        <v>115</v>
      </c>
      <c r="E535" s="4" t="s">
        <v>124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3923</v>
      </c>
      <c r="B536" s="9" t="s">
        <v>780</v>
      </c>
      <c r="C536" s="9" t="s">
        <v>63</v>
      </c>
      <c r="D536" s="9" t="s">
        <v>115</v>
      </c>
      <c r="E536" s="9" t="s">
        <v>124</v>
      </c>
      <c r="F536" s="11">
        <v>1</v>
      </c>
      <c r="G536" s="12">
        <v>0</v>
      </c>
      <c r="H536" s="12">
        <v>0</v>
      </c>
      <c r="I536" s="10">
        <v>1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2">
        <v>0</v>
      </c>
      <c r="X536" s="10">
        <v>1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0.24</v>
      </c>
    </row>
    <row r="537">
      <c r="A537" s="23">
        <v>3924</v>
      </c>
      <c r="B537" s="4" t="s">
        <v>781</v>
      </c>
      <c r="C537" s="4" t="s">
        <v>63</v>
      </c>
      <c r="D537" s="4" t="s">
        <v>115</v>
      </c>
      <c r="E537" s="4" t="s">
        <v>124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3931</v>
      </c>
      <c r="B538" s="9" t="s">
        <v>782</v>
      </c>
      <c r="C538" s="9" t="s">
        <v>63</v>
      </c>
      <c r="D538" s="9" t="s">
        <v>115</v>
      </c>
      <c r="E538" s="9" t="s">
        <v>124</v>
      </c>
      <c r="F538" s="11">
        <v>2</v>
      </c>
      <c r="G538" s="10">
        <v>2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0.6</v>
      </c>
    </row>
    <row r="539">
      <c r="A539" s="23">
        <v>3935</v>
      </c>
      <c r="B539" s="4" t="s">
        <v>783</v>
      </c>
      <c r="C539" s="4" t="s">
        <v>63</v>
      </c>
      <c r="D539" s="4" t="s">
        <v>115</v>
      </c>
      <c r="E539" s="4" t="s">
        <v>124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0.22</v>
      </c>
    </row>
    <row r="540">
      <c r="A540" s="24">
        <v>3945</v>
      </c>
      <c r="B540" s="9" t="s">
        <v>784</v>
      </c>
      <c r="C540" s="9" t="s">
        <v>171</v>
      </c>
      <c r="D540" s="9" t="s">
        <v>189</v>
      </c>
      <c r="E540" s="9" t="s">
        <v>210</v>
      </c>
      <c r="F540" s="11">
        <v>1</v>
      </c>
      <c r="G540" s="12">
        <v>0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9">
        <v>0</v>
      </c>
    </row>
    <row r="541">
      <c r="A541" s="23">
        <v>3952</v>
      </c>
      <c r="B541" s="4" t="s">
        <v>785</v>
      </c>
      <c r="C541" s="4" t="s">
        <v>63</v>
      </c>
      <c r="D541" s="4" t="s">
        <v>80</v>
      </c>
      <c r="E541" s="4" t="s">
        <v>350</v>
      </c>
      <c r="F541" s="6">
        <v>1</v>
      </c>
      <c r="G541" s="7">
        <v>0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0.24</v>
      </c>
    </row>
    <row r="542">
      <c r="A542" s="24">
        <v>3955</v>
      </c>
      <c r="B542" s="9" t="s">
        <v>786</v>
      </c>
      <c r="C542" s="9" t="s">
        <v>63</v>
      </c>
      <c r="D542" s="9" t="s">
        <v>80</v>
      </c>
      <c r="E542" s="9" t="s">
        <v>350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9">
        <v>0</v>
      </c>
    </row>
    <row r="543">
      <c r="A543" s="23">
        <v>3968</v>
      </c>
      <c r="B543" s="4" t="s">
        <v>787</v>
      </c>
      <c r="C543" s="4" t="s">
        <v>63</v>
      </c>
      <c r="D543" s="4" t="s">
        <v>76</v>
      </c>
      <c r="E543" s="4" t="s">
        <v>163</v>
      </c>
      <c r="F543" s="6">
        <v>1</v>
      </c>
      <c r="G543" s="7">
        <v>0</v>
      </c>
      <c r="H543" s="5">
        <v>1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5">
        <v>1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3970</v>
      </c>
      <c r="B544" s="9" t="s">
        <v>788</v>
      </c>
      <c r="C544" s="9" t="s">
        <v>141</v>
      </c>
      <c r="D544" s="9" t="s">
        <v>436</v>
      </c>
      <c r="E544" s="9" t="s">
        <v>437</v>
      </c>
      <c r="F544" s="11">
        <v>4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0">
        <v>3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0">
        <v>2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</v>
      </c>
      <c r="AL544" s="10">
        <v>2</v>
      </c>
      <c r="AM544" s="10">
        <v>3</v>
      </c>
      <c r="AN544" s="49">
        <v>0</v>
      </c>
    </row>
    <row r="545">
      <c r="A545" s="23">
        <v>3973</v>
      </c>
      <c r="B545" s="4" t="s">
        <v>789</v>
      </c>
      <c r="C545" s="4" t="s">
        <v>63</v>
      </c>
      <c r="D545" s="4" t="s">
        <v>80</v>
      </c>
      <c r="E545" s="4" t="s">
        <v>350</v>
      </c>
      <c r="F545" s="6">
        <v>2</v>
      </c>
      <c r="G545" s="5">
        <v>1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5">
        <v>1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0">
        <v>0</v>
      </c>
    </row>
    <row r="546">
      <c r="A546" s="24">
        <v>3978</v>
      </c>
      <c r="B546" s="9" t="s">
        <v>790</v>
      </c>
      <c r="C546" s="9" t="s">
        <v>63</v>
      </c>
      <c r="D546" s="9" t="s">
        <v>115</v>
      </c>
      <c r="E546" s="9" t="s">
        <v>124</v>
      </c>
      <c r="F546" s="11">
        <v>3</v>
      </c>
      <c r="G546" s="12">
        <v>0</v>
      </c>
      <c r="H546" s="12">
        <v>0</v>
      </c>
      <c r="I546" s="12">
        <v>0</v>
      </c>
      <c r="J546" s="10">
        <v>3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2">
        <v>0</v>
      </c>
      <c r="W546" s="12">
        <v>0</v>
      </c>
      <c r="X546" s="12">
        <v>0</v>
      </c>
      <c r="Y546" s="10">
        <v>3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3</v>
      </c>
      <c r="AK546" s="13">
        <v>3</v>
      </c>
      <c r="AL546" s="10">
        <v>3</v>
      </c>
      <c r="AM546" s="10">
        <v>3</v>
      </c>
      <c r="AN546" s="29">
        <v>0.75</v>
      </c>
    </row>
    <row r="547">
      <c r="A547" s="23">
        <v>3980</v>
      </c>
      <c r="B547" s="4" t="s">
        <v>791</v>
      </c>
      <c r="C547" s="4" t="s">
        <v>171</v>
      </c>
      <c r="D547" s="4" t="s">
        <v>172</v>
      </c>
      <c r="E547" s="4" t="s">
        <v>761</v>
      </c>
      <c r="F547" s="6">
        <v>4</v>
      </c>
      <c r="G547" s="5">
        <v>2</v>
      </c>
      <c r="H547" s="7">
        <v>0</v>
      </c>
      <c r="I547" s="7">
        <v>0</v>
      </c>
      <c r="J547" s="5">
        <v>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4</v>
      </c>
      <c r="V547" s="5">
        <v>2</v>
      </c>
      <c r="W547" s="7">
        <v>0</v>
      </c>
      <c r="X547" s="7">
        <v>0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1.33</v>
      </c>
      <c r="AL547" s="5">
        <v>1</v>
      </c>
      <c r="AM547" s="5">
        <v>2</v>
      </c>
      <c r="AN547" s="28">
        <v>0.5</v>
      </c>
    </row>
    <row r="548">
      <c r="A548" s="24">
        <v>3985</v>
      </c>
      <c r="B548" s="9" t="s">
        <v>792</v>
      </c>
      <c r="C548" s="9" t="s">
        <v>63</v>
      </c>
      <c r="D548" s="9" t="s">
        <v>76</v>
      </c>
      <c r="E548" s="9" t="s">
        <v>264</v>
      </c>
      <c r="F548" s="11">
        <v>1</v>
      </c>
      <c r="G548" s="12">
        <v>0</v>
      </c>
      <c r="H548" s="10">
        <v>1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0">
        <v>1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9">
        <v>0</v>
      </c>
    </row>
    <row r="549">
      <c r="A549" s="23">
        <v>3989</v>
      </c>
      <c r="B549" s="4" t="s">
        <v>793</v>
      </c>
      <c r="C549" s="4" t="s">
        <v>63</v>
      </c>
      <c r="D549" s="4" t="s">
        <v>133</v>
      </c>
      <c r="E549" s="4" t="s">
        <v>251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3993</v>
      </c>
      <c r="B550" s="9" t="s">
        <v>794</v>
      </c>
      <c r="C550" s="9" t="s">
        <v>63</v>
      </c>
      <c r="D550" s="9" t="s">
        <v>115</v>
      </c>
      <c r="E550" s="9" t="s">
        <v>118</v>
      </c>
      <c r="F550" s="11">
        <v>1</v>
      </c>
      <c r="G550" s="12">
        <v>0</v>
      </c>
      <c r="H550" s="10">
        <v>1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0">
        <v>1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3994</v>
      </c>
      <c r="B551" s="4" t="s">
        <v>795</v>
      </c>
      <c r="C551" s="4" t="s">
        <v>360</v>
      </c>
      <c r="D551" s="4" t="s">
        <v>613</v>
      </c>
      <c r="E551" s="4" t="s">
        <v>362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4025</v>
      </c>
      <c r="B552" s="9" t="s">
        <v>796</v>
      </c>
      <c r="C552" s="9" t="s">
        <v>141</v>
      </c>
      <c r="D552" s="9" t="s">
        <v>797</v>
      </c>
      <c r="E552" s="9" t="s">
        <v>362</v>
      </c>
      <c r="F552" s="11">
        <v>1</v>
      </c>
      <c r="G552" s="12">
        <v>0</v>
      </c>
      <c r="H552" s="10">
        <v>1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0">
        <v>1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9">
        <v>0</v>
      </c>
    </row>
    <row r="553">
      <c r="A553" s="23">
        <v>4031</v>
      </c>
      <c r="B553" s="4" t="s">
        <v>798</v>
      </c>
      <c r="C553" s="4" t="s">
        <v>63</v>
      </c>
      <c r="D553" s="4" t="s">
        <v>80</v>
      </c>
      <c r="E553" s="4" t="s">
        <v>350</v>
      </c>
      <c r="F553" s="6">
        <v>2</v>
      </c>
      <c r="G553" s="5">
        <v>2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5">
        <v>2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30">
        <v>0</v>
      </c>
    </row>
    <row r="554">
      <c r="A554" s="24">
        <v>4032</v>
      </c>
      <c r="B554" s="9" t="s">
        <v>799</v>
      </c>
      <c r="C554" s="9" t="s">
        <v>63</v>
      </c>
      <c r="D554" s="9" t="s">
        <v>76</v>
      </c>
      <c r="E554" s="9" t="s">
        <v>306</v>
      </c>
      <c r="F554" s="11">
        <v>3</v>
      </c>
      <c r="G554" s="10">
        <v>3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3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2</v>
      </c>
      <c r="AN554" s="29">
        <v>0.35</v>
      </c>
    </row>
    <row r="555">
      <c r="A555" s="23">
        <v>4040</v>
      </c>
      <c r="B555" s="4" t="s">
        <v>800</v>
      </c>
      <c r="C555" s="4" t="s">
        <v>63</v>
      </c>
      <c r="D555" s="4" t="s">
        <v>115</v>
      </c>
      <c r="E555" s="4" t="s">
        <v>124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4047</v>
      </c>
      <c r="B556" s="9" t="s">
        <v>801</v>
      </c>
      <c r="C556" s="9" t="s">
        <v>63</v>
      </c>
      <c r="D556" s="9" t="s">
        <v>80</v>
      </c>
      <c r="E556" s="9" t="s">
        <v>81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4054</v>
      </c>
      <c r="B557" s="4" t="s">
        <v>802</v>
      </c>
      <c r="C557" s="4" t="s">
        <v>63</v>
      </c>
      <c r="D557" s="4" t="s">
        <v>93</v>
      </c>
      <c r="E557" s="4" t="s">
        <v>156</v>
      </c>
      <c r="F557" s="6">
        <v>10</v>
      </c>
      <c r="G557" s="5">
        <v>10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8</v>
      </c>
      <c r="V557" s="5">
        <v>8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10</v>
      </c>
      <c r="AK557" s="8">
        <v>10</v>
      </c>
      <c r="AL557" s="5">
        <v>10</v>
      </c>
      <c r="AM557" s="5">
        <v>10</v>
      </c>
      <c r="AN557" s="30">
        <v>0</v>
      </c>
    </row>
    <row r="558">
      <c r="A558" s="24">
        <v>4058</v>
      </c>
      <c r="B558" s="9" t="s">
        <v>803</v>
      </c>
      <c r="C558" s="9" t="s">
        <v>63</v>
      </c>
      <c r="D558" s="9" t="s">
        <v>115</v>
      </c>
      <c r="E558" s="9" t="s">
        <v>116</v>
      </c>
      <c r="F558" s="11">
        <v>1</v>
      </c>
      <c r="G558" s="12">
        <v>0</v>
      </c>
      <c r="H558" s="10">
        <v>1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0">
        <v>1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9">
        <v>0</v>
      </c>
    </row>
    <row r="559">
      <c r="A559" s="23">
        <v>4059</v>
      </c>
      <c r="B559" s="4" t="s">
        <v>804</v>
      </c>
      <c r="C559" s="4" t="s">
        <v>141</v>
      </c>
      <c r="D559" s="4" t="s">
        <v>668</v>
      </c>
      <c r="E559" s="4" t="s">
        <v>669</v>
      </c>
      <c r="F559" s="6">
        <v>2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5">
        <v>2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30">
        <v>0</v>
      </c>
    </row>
    <row r="560">
      <c r="A560" s="24">
        <v>4061</v>
      </c>
      <c r="B560" s="9" t="s">
        <v>805</v>
      </c>
      <c r="C560" s="9" t="s">
        <v>63</v>
      </c>
      <c r="D560" s="9" t="s">
        <v>115</v>
      </c>
      <c r="E560" s="9" t="s">
        <v>124</v>
      </c>
      <c r="F560" s="11">
        <v>2</v>
      </c>
      <c r="G560" s="12">
        <v>0</v>
      </c>
      <c r="H560" s="10">
        <v>2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2">
        <v>0</v>
      </c>
      <c r="W560" s="10">
        <v>2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29">
        <v>0.5</v>
      </c>
    </row>
    <row r="561">
      <c r="A561" s="23">
        <v>4076</v>
      </c>
      <c r="B561" s="4" t="s">
        <v>806</v>
      </c>
      <c r="C561" s="4" t="s">
        <v>63</v>
      </c>
      <c r="D561" s="4" t="s">
        <v>93</v>
      </c>
      <c r="E561" s="4" t="s">
        <v>156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4082</v>
      </c>
      <c r="B562" s="9" t="s">
        <v>807</v>
      </c>
      <c r="C562" s="9" t="s">
        <v>63</v>
      </c>
      <c r="D562" s="9" t="s">
        <v>67</v>
      </c>
      <c r="E562" s="9" t="s">
        <v>71</v>
      </c>
      <c r="F562" s="11">
        <v>2</v>
      </c>
      <c r="G562" s="10">
        <v>1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1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0.34</v>
      </c>
    </row>
    <row r="563">
      <c r="A563" s="23">
        <v>4087</v>
      </c>
      <c r="B563" s="4" t="s">
        <v>808</v>
      </c>
      <c r="C563" s="4" t="s">
        <v>63</v>
      </c>
      <c r="D563" s="4" t="s">
        <v>80</v>
      </c>
      <c r="E563" s="4" t="s">
        <v>81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4090</v>
      </c>
      <c r="B564" s="9" t="s">
        <v>809</v>
      </c>
      <c r="C564" s="9" t="s">
        <v>63</v>
      </c>
      <c r="D564" s="9" t="s">
        <v>80</v>
      </c>
      <c r="E564" s="9" t="s">
        <v>81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9">
        <v>0</v>
      </c>
    </row>
    <row r="565">
      <c r="A565" s="23">
        <v>4100</v>
      </c>
      <c r="B565" s="4" t="s">
        <v>810</v>
      </c>
      <c r="C565" s="4" t="s">
        <v>63</v>
      </c>
      <c r="D565" s="4" t="s">
        <v>80</v>
      </c>
      <c r="E565" s="4" t="s">
        <v>81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4103</v>
      </c>
      <c r="B566" s="9" t="s">
        <v>811</v>
      </c>
      <c r="C566" s="9" t="s">
        <v>63</v>
      </c>
      <c r="D566" s="9" t="s">
        <v>80</v>
      </c>
      <c r="E566" s="9" t="s">
        <v>81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4109</v>
      </c>
      <c r="B567" s="4" t="s">
        <v>812</v>
      </c>
      <c r="C567" s="4" t="s">
        <v>63</v>
      </c>
      <c r="D567" s="4" t="s">
        <v>80</v>
      </c>
      <c r="E567" s="4" t="s">
        <v>81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0.35</v>
      </c>
    </row>
    <row r="568">
      <c r="A568" s="24">
        <v>4110</v>
      </c>
      <c r="B568" s="9" t="s">
        <v>813</v>
      </c>
      <c r="C568" s="9" t="s">
        <v>63</v>
      </c>
      <c r="D568" s="9" t="s">
        <v>80</v>
      </c>
      <c r="E568" s="9" t="s">
        <v>81</v>
      </c>
      <c r="F568" s="11">
        <v>1</v>
      </c>
      <c r="G568" s="12">
        <v>0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49">
        <v>0</v>
      </c>
    </row>
    <row r="569">
      <c r="A569" s="23">
        <v>4116</v>
      </c>
      <c r="B569" s="4" t="s">
        <v>814</v>
      </c>
      <c r="C569" s="4" t="s">
        <v>141</v>
      </c>
      <c r="D569" s="4" t="s">
        <v>472</v>
      </c>
      <c r="E569" s="4" t="s">
        <v>540</v>
      </c>
      <c r="F569" s="6">
        <v>1</v>
      </c>
      <c r="G569" s="7">
        <v>0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4123</v>
      </c>
      <c r="B570" s="9" t="s">
        <v>815</v>
      </c>
      <c r="C570" s="9" t="s">
        <v>63</v>
      </c>
      <c r="D570" s="9" t="s">
        <v>80</v>
      </c>
      <c r="E570" s="9" t="s">
        <v>81</v>
      </c>
      <c r="F570" s="11">
        <v>4</v>
      </c>
      <c r="G570" s="10">
        <v>2</v>
      </c>
      <c r="H570" s="12">
        <v>0</v>
      </c>
      <c r="I570" s="10">
        <v>2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0">
        <v>1</v>
      </c>
      <c r="W570" s="12">
        <v>0</v>
      </c>
      <c r="X570" s="10">
        <v>2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49">
        <v>0</v>
      </c>
    </row>
    <row r="571">
      <c r="A571" s="23">
        <v>4133</v>
      </c>
      <c r="B571" s="4" t="s">
        <v>816</v>
      </c>
      <c r="C571" s="4" t="s">
        <v>63</v>
      </c>
      <c r="D571" s="4" t="s">
        <v>80</v>
      </c>
      <c r="E571" s="4" t="s">
        <v>81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0">
        <v>0</v>
      </c>
    </row>
    <row r="572">
      <c r="A572" s="24">
        <v>4145</v>
      </c>
      <c r="B572" s="9" t="s">
        <v>817</v>
      </c>
      <c r="C572" s="9" t="s">
        <v>63</v>
      </c>
      <c r="D572" s="9" t="s">
        <v>115</v>
      </c>
      <c r="E572" s="9" t="s">
        <v>247</v>
      </c>
      <c r="F572" s="11">
        <v>1</v>
      </c>
      <c r="G572" s="12">
        <v>0</v>
      </c>
      <c r="H572" s="10">
        <v>1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0">
        <v>1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4150</v>
      </c>
      <c r="B573" s="4" t="s">
        <v>818</v>
      </c>
      <c r="C573" s="4" t="s">
        <v>360</v>
      </c>
      <c r="D573" s="4" t="s">
        <v>819</v>
      </c>
      <c r="E573" s="4" t="s">
        <v>362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0">
        <v>0</v>
      </c>
    </row>
    <row r="574">
      <c r="A574" s="24">
        <v>4154</v>
      </c>
      <c r="B574" s="9" t="s">
        <v>820</v>
      </c>
      <c r="C574" s="9" t="s">
        <v>360</v>
      </c>
      <c r="D574" s="9" t="s">
        <v>821</v>
      </c>
      <c r="E574" s="9" t="s">
        <v>362</v>
      </c>
      <c r="F574" s="11">
        <v>1</v>
      </c>
      <c r="G574" s="12">
        <v>0</v>
      </c>
      <c r="H574" s="10">
        <v>1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0">
        <v>1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0.38</v>
      </c>
    </row>
    <row r="575">
      <c r="A575" s="23">
        <v>4168</v>
      </c>
      <c r="B575" s="4" t="s">
        <v>822</v>
      </c>
      <c r="C575" s="4" t="s">
        <v>63</v>
      </c>
      <c r="D575" s="4" t="s">
        <v>85</v>
      </c>
      <c r="E575" s="4" t="s">
        <v>107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4180</v>
      </c>
      <c r="B576" s="9" t="s">
        <v>823</v>
      </c>
      <c r="C576" s="9" t="s">
        <v>63</v>
      </c>
      <c r="D576" s="9" t="s">
        <v>85</v>
      </c>
      <c r="E576" s="9" t="s">
        <v>147</v>
      </c>
      <c r="F576" s="11">
        <v>2</v>
      </c>
      <c r="G576" s="12">
        <v>0</v>
      </c>
      <c r="H576" s="10">
        <v>2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0">
        <v>1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29">
        <v>0.25</v>
      </c>
    </row>
    <row r="577">
      <c r="A577" s="23">
        <v>4181</v>
      </c>
      <c r="B577" s="4" t="s">
        <v>824</v>
      </c>
      <c r="C577" s="4" t="s">
        <v>63</v>
      </c>
      <c r="D577" s="4" t="s">
        <v>85</v>
      </c>
      <c r="E577" s="4" t="s">
        <v>107</v>
      </c>
      <c r="F577" s="6">
        <v>2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5">
        <v>1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5">
        <v>1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4184</v>
      </c>
      <c r="B578" s="9" t="s">
        <v>825</v>
      </c>
      <c r="C578" s="9" t="s">
        <v>63</v>
      </c>
      <c r="D578" s="9" t="s">
        <v>115</v>
      </c>
      <c r="E578" s="9" t="s">
        <v>124</v>
      </c>
      <c r="F578" s="11">
        <v>2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0">
        <v>1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0">
        <v>1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0.24</v>
      </c>
    </row>
    <row r="579">
      <c r="A579" s="23">
        <v>4187</v>
      </c>
      <c r="B579" s="4" t="s">
        <v>826</v>
      </c>
      <c r="C579" s="4" t="s">
        <v>360</v>
      </c>
      <c r="D579" s="4" t="s">
        <v>593</v>
      </c>
      <c r="E579" s="4" t="s">
        <v>362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0.22</v>
      </c>
    </row>
    <row r="580">
      <c r="A580" s="24">
        <v>4191</v>
      </c>
      <c r="B580" s="9" t="s">
        <v>827</v>
      </c>
      <c r="C580" s="9" t="s">
        <v>141</v>
      </c>
      <c r="D580" s="9" t="s">
        <v>668</v>
      </c>
      <c r="E580" s="9" t="s">
        <v>669</v>
      </c>
      <c r="F580" s="11">
        <v>9</v>
      </c>
      <c r="G580" s="10">
        <v>1</v>
      </c>
      <c r="H580" s="12">
        <v>0</v>
      </c>
      <c r="I580" s="12">
        <v>0</v>
      </c>
      <c r="J580" s="10">
        <v>8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9</v>
      </c>
      <c r="V580" s="10">
        <v>1</v>
      </c>
      <c r="W580" s="12">
        <v>0</v>
      </c>
      <c r="X580" s="12">
        <v>0</v>
      </c>
      <c r="Y580" s="10">
        <v>8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</v>
      </c>
      <c r="AL580" s="10">
        <v>1</v>
      </c>
      <c r="AM580" s="10">
        <v>7</v>
      </c>
      <c r="AN580" s="29">
        <v>2.08</v>
      </c>
    </row>
    <row r="581">
      <c r="A581" s="23">
        <v>4198</v>
      </c>
      <c r="B581" s="4" t="s">
        <v>828</v>
      </c>
      <c r="C581" s="4" t="s">
        <v>63</v>
      </c>
      <c r="D581" s="4" t="s">
        <v>76</v>
      </c>
      <c r="E581" s="4" t="s">
        <v>163</v>
      </c>
      <c r="F581" s="6">
        <v>3</v>
      </c>
      <c r="G581" s="7">
        <v>0</v>
      </c>
      <c r="H581" s="7">
        <v>0</v>
      </c>
      <c r="I581" s="5">
        <v>1</v>
      </c>
      <c r="J581" s="5">
        <v>1</v>
      </c>
      <c r="K581" s="7">
        <v>0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7">
        <v>0</v>
      </c>
      <c r="W581" s="7">
        <v>0</v>
      </c>
      <c r="X581" s="5">
        <v>1</v>
      </c>
      <c r="Y581" s="5">
        <v>1</v>
      </c>
      <c r="Z581" s="7">
        <v>0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0.26</v>
      </c>
    </row>
    <row r="582">
      <c r="A582" s="24">
        <v>4199</v>
      </c>
      <c r="B582" s="9" t="s">
        <v>829</v>
      </c>
      <c r="C582" s="9" t="s">
        <v>663</v>
      </c>
      <c r="D582" s="9" t="s">
        <v>830</v>
      </c>
      <c r="E582" s="9" t="s">
        <v>362</v>
      </c>
      <c r="F582" s="11">
        <v>2</v>
      </c>
      <c r="G582" s="12">
        <v>0</v>
      </c>
      <c r="H582" s="10">
        <v>1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2">
        <v>0</v>
      </c>
      <c r="W582" s="10">
        <v>1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0.5</v>
      </c>
    </row>
    <row r="583">
      <c r="A583" s="23">
        <v>4207</v>
      </c>
      <c r="B583" s="4" t="s">
        <v>831</v>
      </c>
      <c r="C583" s="4" t="s">
        <v>63</v>
      </c>
      <c r="D583" s="4" t="s">
        <v>85</v>
      </c>
      <c r="E583" s="4" t="s">
        <v>147</v>
      </c>
      <c r="F583" s="6">
        <v>2</v>
      </c>
      <c r="G583" s="7">
        <v>0</v>
      </c>
      <c r="H583" s="7">
        <v>0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7">
        <v>0</v>
      </c>
      <c r="W583" s="7">
        <v>0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28">
        <v>0.52</v>
      </c>
    </row>
    <row r="584">
      <c r="A584" s="24">
        <v>4209</v>
      </c>
      <c r="B584" s="9" t="s">
        <v>832</v>
      </c>
      <c r="C584" s="9" t="s">
        <v>63</v>
      </c>
      <c r="D584" s="9" t="s">
        <v>85</v>
      </c>
      <c r="E584" s="9" t="s">
        <v>107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0.26</v>
      </c>
    </row>
    <row r="585">
      <c r="A585" s="23">
        <v>4216</v>
      </c>
      <c r="B585" s="4" t="s">
        <v>833</v>
      </c>
      <c r="C585" s="4" t="s">
        <v>63</v>
      </c>
      <c r="D585" s="4" t="s">
        <v>67</v>
      </c>
      <c r="E585" s="4" t="s">
        <v>71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4228</v>
      </c>
      <c r="B586" s="9" t="s">
        <v>834</v>
      </c>
      <c r="C586" s="9" t="s">
        <v>63</v>
      </c>
      <c r="D586" s="9" t="s">
        <v>80</v>
      </c>
      <c r="E586" s="9" t="s">
        <v>350</v>
      </c>
      <c r="F586" s="11">
        <v>1</v>
      </c>
      <c r="G586" s="12">
        <v>0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2">
        <v>0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4232</v>
      </c>
      <c r="B587" s="4" t="s">
        <v>835</v>
      </c>
      <c r="C587" s="4" t="s">
        <v>63</v>
      </c>
      <c r="D587" s="4" t="s">
        <v>76</v>
      </c>
      <c r="E587" s="4" t="s">
        <v>83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4243</v>
      </c>
      <c r="B588" s="9" t="s">
        <v>836</v>
      </c>
      <c r="C588" s="9" t="s">
        <v>63</v>
      </c>
      <c r="D588" s="9" t="s">
        <v>80</v>
      </c>
      <c r="E588" s="9" t="s">
        <v>81</v>
      </c>
      <c r="F588" s="11">
        <v>3</v>
      </c>
      <c r="G588" s="10">
        <v>2</v>
      </c>
      <c r="H588" s="12">
        <v>0</v>
      </c>
      <c r="I588" s="12">
        <v>0</v>
      </c>
      <c r="J588" s="12">
        <v>0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</v>
      </c>
      <c r="V588" s="10">
        <v>2</v>
      </c>
      <c r="W588" s="12">
        <v>0</v>
      </c>
      <c r="X588" s="12">
        <v>0</v>
      </c>
      <c r="Y588" s="12">
        <v>0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49">
        <v>0</v>
      </c>
    </row>
    <row r="589">
      <c r="A589" s="23">
        <v>4251</v>
      </c>
      <c r="B589" s="4" t="s">
        <v>837</v>
      </c>
      <c r="C589" s="4" t="s">
        <v>141</v>
      </c>
      <c r="D589" s="4" t="s">
        <v>371</v>
      </c>
      <c r="E589" s="4" t="s">
        <v>380</v>
      </c>
      <c r="F589" s="6">
        <v>2</v>
      </c>
      <c r="G589" s="5">
        <v>1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5">
        <v>1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4254</v>
      </c>
      <c r="B590" s="9" t="s">
        <v>838</v>
      </c>
      <c r="C590" s="9" t="s">
        <v>141</v>
      </c>
      <c r="D590" s="9" t="s">
        <v>371</v>
      </c>
      <c r="E590" s="9" t="s">
        <v>382</v>
      </c>
      <c r="F590" s="11">
        <v>1</v>
      </c>
      <c r="G590" s="12">
        <v>0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0.22</v>
      </c>
    </row>
    <row r="591">
      <c r="A591" s="23">
        <v>4264</v>
      </c>
      <c r="B591" s="4" t="s">
        <v>839</v>
      </c>
      <c r="C591" s="4" t="s">
        <v>141</v>
      </c>
      <c r="D591" s="4" t="s">
        <v>423</v>
      </c>
      <c r="E591" s="4" t="s">
        <v>520</v>
      </c>
      <c r="F591" s="6">
        <v>1</v>
      </c>
      <c r="G591" s="7">
        <v>0</v>
      </c>
      <c r="H591" s="5">
        <v>1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5">
        <v>1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0.17</v>
      </c>
    </row>
    <row r="592">
      <c r="A592" s="24">
        <v>4278</v>
      </c>
      <c r="B592" s="9" t="s">
        <v>840</v>
      </c>
      <c r="C592" s="9" t="s">
        <v>63</v>
      </c>
      <c r="D592" s="9" t="s">
        <v>115</v>
      </c>
      <c r="E592" s="9" t="s">
        <v>124</v>
      </c>
      <c r="F592" s="11">
        <v>3</v>
      </c>
      <c r="G592" s="10">
        <v>3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3</v>
      </c>
      <c r="V592" s="10">
        <v>3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3</v>
      </c>
      <c r="AK592" s="13">
        <v>3</v>
      </c>
      <c r="AL592" s="10">
        <v>3</v>
      </c>
      <c r="AM592" s="10">
        <v>3</v>
      </c>
      <c r="AN592" s="49">
        <v>0</v>
      </c>
    </row>
    <row r="593">
      <c r="A593" s="23">
        <v>4281</v>
      </c>
      <c r="B593" s="4" t="s">
        <v>841</v>
      </c>
      <c r="C593" s="4" t="s">
        <v>63</v>
      </c>
      <c r="D593" s="4" t="s">
        <v>85</v>
      </c>
      <c r="E593" s="4" t="s">
        <v>86</v>
      </c>
      <c r="F593" s="6">
        <v>2</v>
      </c>
      <c r="G593" s="5">
        <v>2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5">
        <v>2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4289</v>
      </c>
      <c r="B594" s="9" t="s">
        <v>842</v>
      </c>
      <c r="C594" s="9" t="s">
        <v>63</v>
      </c>
      <c r="D594" s="9" t="s">
        <v>80</v>
      </c>
      <c r="E594" s="9" t="s">
        <v>81</v>
      </c>
      <c r="F594" s="11">
        <v>2</v>
      </c>
      <c r="G594" s="10">
        <v>1</v>
      </c>
      <c r="H594" s="12">
        <v>0</v>
      </c>
      <c r="I594" s="10">
        <v>1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1</v>
      </c>
      <c r="W594" s="12">
        <v>0</v>
      </c>
      <c r="X594" s="10">
        <v>1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0.35</v>
      </c>
    </row>
    <row r="595">
      <c r="A595" s="23">
        <v>4291</v>
      </c>
      <c r="B595" s="4" t="s">
        <v>843</v>
      </c>
      <c r="C595" s="4" t="s">
        <v>63</v>
      </c>
      <c r="D595" s="4" t="s">
        <v>103</v>
      </c>
      <c r="E595" s="4" t="s">
        <v>844</v>
      </c>
      <c r="F595" s="6">
        <v>3</v>
      </c>
      <c r="G595" s="5">
        <v>1</v>
      </c>
      <c r="H595" s="5">
        <v>1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5">
        <v>1</v>
      </c>
      <c r="W595" s="5">
        <v>1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0.5</v>
      </c>
    </row>
    <row r="596">
      <c r="A596" s="24">
        <v>4297</v>
      </c>
      <c r="B596" s="9" t="s">
        <v>845</v>
      </c>
      <c r="C596" s="9" t="s">
        <v>63</v>
      </c>
      <c r="D596" s="9" t="s">
        <v>115</v>
      </c>
      <c r="E596" s="9" t="s">
        <v>116</v>
      </c>
      <c r="F596" s="11">
        <v>3</v>
      </c>
      <c r="G596" s="10">
        <v>3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3</v>
      </c>
      <c r="AK596" s="13">
        <v>3</v>
      </c>
      <c r="AL596" s="10">
        <v>3</v>
      </c>
      <c r="AM596" s="10">
        <v>3</v>
      </c>
      <c r="AN596" s="49">
        <v>0</v>
      </c>
    </row>
    <row r="597">
      <c r="A597" s="23">
        <v>4306</v>
      </c>
      <c r="B597" s="4" t="s">
        <v>846</v>
      </c>
      <c r="C597" s="4" t="s">
        <v>141</v>
      </c>
      <c r="D597" s="4" t="s">
        <v>371</v>
      </c>
      <c r="E597" s="4" t="s">
        <v>710</v>
      </c>
      <c r="F597" s="6">
        <v>3</v>
      </c>
      <c r="G597" s="5">
        <v>1</v>
      </c>
      <c r="H597" s="7">
        <v>0</v>
      </c>
      <c r="I597" s="5">
        <v>1</v>
      </c>
      <c r="J597" s="7">
        <v>0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3</v>
      </c>
      <c r="V597" s="5">
        <v>1</v>
      </c>
      <c r="W597" s="7">
        <v>0</v>
      </c>
      <c r="X597" s="5">
        <v>1</v>
      </c>
      <c r="Y597" s="7">
        <v>0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4308</v>
      </c>
      <c r="B598" s="9" t="s">
        <v>847</v>
      </c>
      <c r="C598" s="9" t="s">
        <v>63</v>
      </c>
      <c r="D598" s="9" t="s">
        <v>67</v>
      </c>
      <c r="E598" s="9" t="s">
        <v>848</v>
      </c>
      <c r="F598" s="11">
        <v>1</v>
      </c>
      <c r="G598" s="12">
        <v>0</v>
      </c>
      <c r="H598" s="10">
        <v>1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0">
        <v>1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9">
        <v>0</v>
      </c>
    </row>
    <row r="599">
      <c r="A599" s="23">
        <v>4310</v>
      </c>
      <c r="B599" s="4" t="s">
        <v>849</v>
      </c>
      <c r="C599" s="4" t="s">
        <v>63</v>
      </c>
      <c r="D599" s="4" t="s">
        <v>80</v>
      </c>
      <c r="E599" s="4" t="s">
        <v>96</v>
      </c>
      <c r="F599" s="6">
        <v>6</v>
      </c>
      <c r="G599" s="7">
        <v>0</v>
      </c>
      <c r="H599" s="7">
        <v>0</v>
      </c>
      <c r="I599" s="7">
        <v>0</v>
      </c>
      <c r="J599" s="5">
        <v>6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5</v>
      </c>
      <c r="V599" s="7">
        <v>0</v>
      </c>
      <c r="W599" s="7">
        <v>0</v>
      </c>
      <c r="X599" s="7">
        <v>0</v>
      </c>
      <c r="Y599" s="5">
        <v>5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3</v>
      </c>
      <c r="AK599" s="8">
        <v>3</v>
      </c>
      <c r="AL599" s="5">
        <v>3</v>
      </c>
      <c r="AM599" s="5">
        <v>3</v>
      </c>
      <c r="AN599" s="28">
        <v>1.3</v>
      </c>
    </row>
    <row r="600">
      <c r="A600" s="24">
        <v>4311</v>
      </c>
      <c r="B600" s="9" t="s">
        <v>850</v>
      </c>
      <c r="C600" s="9" t="s">
        <v>141</v>
      </c>
      <c r="D600" s="9" t="s">
        <v>423</v>
      </c>
      <c r="E600" s="9" t="s">
        <v>426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9">
        <v>0</v>
      </c>
    </row>
    <row r="601">
      <c r="A601" s="23">
        <v>4337</v>
      </c>
      <c r="B601" s="4" t="s">
        <v>851</v>
      </c>
      <c r="C601" s="4" t="s">
        <v>141</v>
      </c>
      <c r="D601" s="4" t="s">
        <v>371</v>
      </c>
      <c r="E601" s="4" t="s">
        <v>710</v>
      </c>
      <c r="F601" s="6">
        <v>5</v>
      </c>
      <c r="G601" s="7">
        <v>0</v>
      </c>
      <c r="H601" s="7">
        <v>0</v>
      </c>
      <c r="I601" s="5">
        <v>4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5</v>
      </c>
      <c r="V601" s="7">
        <v>0</v>
      </c>
      <c r="W601" s="7">
        <v>0</v>
      </c>
      <c r="X601" s="5">
        <v>4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1.67</v>
      </c>
      <c r="AL601" s="5">
        <v>1</v>
      </c>
      <c r="AM601" s="5">
        <v>3</v>
      </c>
      <c r="AN601" s="28">
        <v>0.96</v>
      </c>
    </row>
    <row r="602">
      <c r="A602" s="24">
        <v>4345</v>
      </c>
      <c r="B602" s="9" t="s">
        <v>852</v>
      </c>
      <c r="C602" s="9" t="s">
        <v>141</v>
      </c>
      <c r="D602" s="9" t="s">
        <v>423</v>
      </c>
      <c r="E602" s="9" t="s">
        <v>424</v>
      </c>
      <c r="F602" s="11">
        <v>3</v>
      </c>
      <c r="G602" s="12">
        <v>0</v>
      </c>
      <c r="H602" s="12">
        <v>0</v>
      </c>
      <c r="I602" s="10">
        <v>2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3</v>
      </c>
      <c r="V602" s="12">
        <v>0</v>
      </c>
      <c r="W602" s="12">
        <v>0</v>
      </c>
      <c r="X602" s="10">
        <v>2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1.5</v>
      </c>
      <c r="AL602" s="10">
        <v>1</v>
      </c>
      <c r="AM602" s="10">
        <v>2</v>
      </c>
      <c r="AN602" s="29">
        <v>0.25</v>
      </c>
    </row>
    <row r="603">
      <c r="A603" s="23">
        <v>4396</v>
      </c>
      <c r="B603" s="4" t="s">
        <v>853</v>
      </c>
      <c r="C603" s="4" t="s">
        <v>595</v>
      </c>
      <c r="D603" s="4" t="s">
        <v>854</v>
      </c>
      <c r="E603" s="4" t="s">
        <v>855</v>
      </c>
      <c r="F603" s="6">
        <v>1</v>
      </c>
      <c r="G603" s="7">
        <v>0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4398</v>
      </c>
      <c r="B604" s="9" t="s">
        <v>856</v>
      </c>
      <c r="C604" s="9" t="s">
        <v>63</v>
      </c>
      <c r="D604" s="9" t="s">
        <v>85</v>
      </c>
      <c r="E604" s="9" t="s">
        <v>86</v>
      </c>
      <c r="F604" s="11">
        <v>3</v>
      </c>
      <c r="G604" s="12">
        <v>0</v>
      </c>
      <c r="H604" s="12">
        <v>0</v>
      </c>
      <c r="I604" s="10">
        <v>3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2">
        <v>0</v>
      </c>
      <c r="W604" s="12">
        <v>0</v>
      </c>
      <c r="X604" s="10">
        <v>3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3</v>
      </c>
      <c r="AK604" s="13">
        <v>3</v>
      </c>
      <c r="AL604" s="10">
        <v>3</v>
      </c>
      <c r="AM604" s="10">
        <v>3</v>
      </c>
      <c r="AN604" s="29">
        <v>0.72</v>
      </c>
    </row>
    <row r="605">
      <c r="A605" s="23">
        <v>4401</v>
      </c>
      <c r="B605" s="4" t="s">
        <v>857</v>
      </c>
      <c r="C605" s="4" t="s">
        <v>360</v>
      </c>
      <c r="D605" s="4" t="s">
        <v>819</v>
      </c>
      <c r="E605" s="4" t="s">
        <v>362</v>
      </c>
      <c r="F605" s="6">
        <v>2</v>
      </c>
      <c r="G605" s="7">
        <v>0</v>
      </c>
      <c r="H605" s="7">
        <v>0</v>
      </c>
      <c r="I605" s="7">
        <v>0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7">
        <v>0</v>
      </c>
      <c r="W605" s="7">
        <v>0</v>
      </c>
      <c r="X605" s="7">
        <v>0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28">
        <v>0.5</v>
      </c>
    </row>
    <row r="606">
      <c r="A606" s="24">
        <v>4402</v>
      </c>
      <c r="B606" s="9" t="s">
        <v>858</v>
      </c>
      <c r="C606" s="9" t="s">
        <v>171</v>
      </c>
      <c r="D606" s="9" t="s">
        <v>482</v>
      </c>
      <c r="E606" s="9" t="s">
        <v>859</v>
      </c>
      <c r="F606" s="11">
        <v>2</v>
      </c>
      <c r="G606" s="12">
        <v>0</v>
      </c>
      <c r="H606" s="12">
        <v>0</v>
      </c>
      <c r="I606" s="12">
        <v>0</v>
      </c>
      <c r="J606" s="10">
        <v>1</v>
      </c>
      <c r="K606" s="10">
        <v>1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2">
        <v>0</v>
      </c>
      <c r="W606" s="12">
        <v>0</v>
      </c>
      <c r="X606" s="12">
        <v>0</v>
      </c>
      <c r="Y606" s="10">
        <v>1</v>
      </c>
      <c r="Z606" s="10">
        <v>1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9">
        <v>0</v>
      </c>
    </row>
    <row r="607">
      <c r="A607" s="23">
        <v>4411</v>
      </c>
      <c r="B607" s="4" t="s">
        <v>860</v>
      </c>
      <c r="C607" s="4" t="s">
        <v>141</v>
      </c>
      <c r="D607" s="4" t="s">
        <v>861</v>
      </c>
      <c r="E607" s="4" t="s">
        <v>362</v>
      </c>
      <c r="F607" s="6">
        <v>3</v>
      </c>
      <c r="G607" s="7">
        <v>0</v>
      </c>
      <c r="H607" s="7">
        <v>0</v>
      </c>
      <c r="I607" s="7">
        <v>0</v>
      </c>
      <c r="J607" s="5">
        <v>3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</v>
      </c>
      <c r="V607" s="7">
        <v>0</v>
      </c>
      <c r="W607" s="7">
        <v>0</v>
      </c>
      <c r="X607" s="7">
        <v>0</v>
      </c>
      <c r="Y607" s="5">
        <v>3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2</v>
      </c>
      <c r="AN607" s="28">
        <v>0.52</v>
      </c>
    </row>
    <row r="608">
      <c r="A608" s="24">
        <v>4414</v>
      </c>
      <c r="B608" s="9" t="s">
        <v>862</v>
      </c>
      <c r="C608" s="9" t="s">
        <v>63</v>
      </c>
      <c r="D608" s="9" t="s">
        <v>76</v>
      </c>
      <c r="E608" s="9" t="s">
        <v>127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9">
        <v>0</v>
      </c>
    </row>
    <row r="609">
      <c r="A609" s="23">
        <v>4418</v>
      </c>
      <c r="B609" s="4" t="s">
        <v>863</v>
      </c>
      <c r="C609" s="4" t="s">
        <v>63</v>
      </c>
      <c r="D609" s="4" t="s">
        <v>80</v>
      </c>
      <c r="E609" s="4" t="s">
        <v>81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4422</v>
      </c>
      <c r="B610" s="9" t="s">
        <v>864</v>
      </c>
      <c r="C610" s="9" t="s">
        <v>63</v>
      </c>
      <c r="D610" s="9" t="s">
        <v>115</v>
      </c>
      <c r="E610" s="9" t="s">
        <v>222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49">
        <v>0</v>
      </c>
    </row>
    <row r="611">
      <c r="A611" s="23">
        <v>4434</v>
      </c>
      <c r="B611" s="4" t="s">
        <v>865</v>
      </c>
      <c r="C611" s="4" t="s">
        <v>171</v>
      </c>
      <c r="D611" s="4" t="s">
        <v>866</v>
      </c>
      <c r="E611" s="4" t="s">
        <v>867</v>
      </c>
      <c r="F611" s="6">
        <v>2</v>
      </c>
      <c r="G611" s="5">
        <v>1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5">
        <v>1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4438</v>
      </c>
      <c r="B612" s="9" t="s">
        <v>868</v>
      </c>
      <c r="C612" s="9" t="s">
        <v>63</v>
      </c>
      <c r="D612" s="9" t="s">
        <v>85</v>
      </c>
      <c r="E612" s="9" t="s">
        <v>86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4440</v>
      </c>
      <c r="B613" s="4" t="s">
        <v>869</v>
      </c>
      <c r="C613" s="4" t="s">
        <v>63</v>
      </c>
      <c r="D613" s="4" t="s">
        <v>67</v>
      </c>
      <c r="E613" s="4" t="s">
        <v>848</v>
      </c>
      <c r="F613" s="6">
        <v>1</v>
      </c>
      <c r="G613" s="7">
        <v>0</v>
      </c>
      <c r="H613" s="5">
        <v>1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5">
        <v>1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4444</v>
      </c>
      <c r="B614" s="9" t="s">
        <v>870</v>
      </c>
      <c r="C614" s="9" t="s">
        <v>360</v>
      </c>
      <c r="D614" s="9" t="s">
        <v>593</v>
      </c>
      <c r="E614" s="9" t="s">
        <v>362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4455</v>
      </c>
      <c r="B615" s="4" t="s">
        <v>871</v>
      </c>
      <c r="C615" s="4" t="s">
        <v>171</v>
      </c>
      <c r="D615" s="4" t="s">
        <v>172</v>
      </c>
      <c r="E615" s="4" t="s">
        <v>192</v>
      </c>
      <c r="F615" s="6">
        <v>1</v>
      </c>
      <c r="G615" s="7">
        <v>0</v>
      </c>
      <c r="H615" s="5">
        <v>1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5">
        <v>1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4456</v>
      </c>
      <c r="B616" s="9" t="s">
        <v>872</v>
      </c>
      <c r="C616" s="9" t="s">
        <v>171</v>
      </c>
      <c r="D616" s="9" t="s">
        <v>172</v>
      </c>
      <c r="E616" s="9" t="s">
        <v>184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9">
        <v>0</v>
      </c>
    </row>
    <row r="617">
      <c r="A617" s="23">
        <v>4457</v>
      </c>
      <c r="B617" s="4" t="s">
        <v>873</v>
      </c>
      <c r="C617" s="4" t="s">
        <v>171</v>
      </c>
      <c r="D617" s="4" t="s">
        <v>172</v>
      </c>
      <c r="E617" s="4" t="s">
        <v>184</v>
      </c>
      <c r="F617" s="6">
        <v>9</v>
      </c>
      <c r="G617" s="5">
        <v>3</v>
      </c>
      <c r="H617" s="5">
        <v>1</v>
      </c>
      <c r="I617" s="7">
        <v>0</v>
      </c>
      <c r="J617" s="5">
        <v>2</v>
      </c>
      <c r="K617" s="5">
        <v>3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9</v>
      </c>
      <c r="V617" s="5">
        <v>3</v>
      </c>
      <c r="W617" s="5">
        <v>1</v>
      </c>
      <c r="X617" s="7">
        <v>0</v>
      </c>
      <c r="Y617" s="5">
        <v>2</v>
      </c>
      <c r="Z617" s="5">
        <v>3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1.8</v>
      </c>
      <c r="AL617" s="5">
        <v>2</v>
      </c>
      <c r="AM617" s="5">
        <v>3</v>
      </c>
      <c r="AN617" s="28">
        <v>0.22</v>
      </c>
    </row>
    <row r="618">
      <c r="A618" s="24">
        <v>4465</v>
      </c>
      <c r="B618" s="9" t="s">
        <v>874</v>
      </c>
      <c r="C618" s="9" t="s">
        <v>63</v>
      </c>
      <c r="D618" s="9" t="s">
        <v>115</v>
      </c>
      <c r="E618" s="9" t="s">
        <v>875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0.24</v>
      </c>
    </row>
    <row r="619">
      <c r="A619" s="23">
        <v>4484</v>
      </c>
      <c r="B619" s="4" t="s">
        <v>876</v>
      </c>
      <c r="C619" s="4" t="s">
        <v>171</v>
      </c>
      <c r="D619" s="4" t="s">
        <v>189</v>
      </c>
      <c r="E619" s="4" t="s">
        <v>208</v>
      </c>
      <c r="F619" s="6">
        <v>6</v>
      </c>
      <c r="G619" s="5">
        <v>1</v>
      </c>
      <c r="H619" s="7">
        <v>0</v>
      </c>
      <c r="I619" s="5">
        <v>5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5</v>
      </c>
      <c r="V619" s="5">
        <v>1</v>
      </c>
      <c r="W619" s="7">
        <v>0</v>
      </c>
      <c r="X619" s="5">
        <v>4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2</v>
      </c>
      <c r="AM619" s="5">
        <v>3</v>
      </c>
      <c r="AN619" s="30">
        <v>0</v>
      </c>
    </row>
    <row r="620">
      <c r="A620" s="24">
        <v>4490</v>
      </c>
      <c r="B620" s="9" t="s">
        <v>877</v>
      </c>
      <c r="C620" s="9" t="s">
        <v>63</v>
      </c>
      <c r="D620" s="9" t="s">
        <v>115</v>
      </c>
      <c r="E620" s="9" t="s">
        <v>118</v>
      </c>
      <c r="F620" s="11">
        <v>5</v>
      </c>
      <c r="G620" s="10">
        <v>2</v>
      </c>
      <c r="H620" s="12">
        <v>0</v>
      </c>
      <c r="I620" s="10">
        <v>1</v>
      </c>
      <c r="J620" s="12">
        <v>0</v>
      </c>
      <c r="K620" s="10">
        <v>1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5</v>
      </c>
      <c r="V620" s="10">
        <v>2</v>
      </c>
      <c r="W620" s="12">
        <v>0</v>
      </c>
      <c r="X620" s="10">
        <v>1</v>
      </c>
      <c r="Y620" s="12">
        <v>0</v>
      </c>
      <c r="Z620" s="10">
        <v>1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1.25</v>
      </c>
      <c r="AL620" s="10">
        <v>1</v>
      </c>
      <c r="AM620" s="10">
        <v>2</v>
      </c>
      <c r="AN620" s="29">
        <v>1.25</v>
      </c>
    </row>
    <row r="621">
      <c r="A621" s="23">
        <v>4512</v>
      </c>
      <c r="B621" s="4" t="s">
        <v>878</v>
      </c>
      <c r="C621" s="4" t="s">
        <v>141</v>
      </c>
      <c r="D621" s="4" t="s">
        <v>472</v>
      </c>
      <c r="E621" s="4" t="s">
        <v>540</v>
      </c>
      <c r="F621" s="6">
        <v>2</v>
      </c>
      <c r="G621" s="5">
        <v>2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30">
        <v>0</v>
      </c>
    </row>
    <row r="622">
      <c r="A622" s="24">
        <v>4525</v>
      </c>
      <c r="B622" s="9" t="s">
        <v>879</v>
      </c>
      <c r="C622" s="9" t="s">
        <v>63</v>
      </c>
      <c r="D622" s="9" t="s">
        <v>115</v>
      </c>
      <c r="E622" s="9" t="s">
        <v>124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0.22</v>
      </c>
    </row>
    <row r="623">
      <c r="A623" s="23">
        <v>4529</v>
      </c>
      <c r="B623" s="4" t="s">
        <v>880</v>
      </c>
      <c r="C623" s="4" t="s">
        <v>63</v>
      </c>
      <c r="D623" s="4" t="s">
        <v>73</v>
      </c>
      <c r="E623" s="4" t="s">
        <v>389</v>
      </c>
      <c r="F623" s="6">
        <v>4</v>
      </c>
      <c r="G623" s="5">
        <v>4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4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1.33</v>
      </c>
      <c r="AL623" s="5">
        <v>1</v>
      </c>
      <c r="AM623" s="5">
        <v>2</v>
      </c>
      <c r="AN623" s="28">
        <v>0.26</v>
      </c>
    </row>
    <row r="624">
      <c r="A624" s="24">
        <v>4538</v>
      </c>
      <c r="B624" s="9" t="s">
        <v>881</v>
      </c>
      <c r="C624" s="9" t="s">
        <v>63</v>
      </c>
      <c r="D624" s="9" t="s">
        <v>67</v>
      </c>
      <c r="E624" s="9" t="s">
        <v>160</v>
      </c>
      <c r="F624" s="11">
        <v>1</v>
      </c>
      <c r="G624" s="12">
        <v>0</v>
      </c>
      <c r="H624" s="10">
        <v>1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0">
        <v>1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9">
        <v>0</v>
      </c>
    </row>
    <row r="625">
      <c r="A625" s="23">
        <v>4543</v>
      </c>
      <c r="B625" s="4" t="s">
        <v>882</v>
      </c>
      <c r="C625" s="4" t="s">
        <v>360</v>
      </c>
      <c r="D625" s="4" t="s">
        <v>821</v>
      </c>
      <c r="E625" s="4" t="s">
        <v>362</v>
      </c>
      <c r="F625" s="6">
        <v>1</v>
      </c>
      <c r="G625" s="7">
        <v>0</v>
      </c>
      <c r="H625" s="5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0.26</v>
      </c>
    </row>
    <row r="626">
      <c r="A626" s="24">
        <v>4544</v>
      </c>
      <c r="B626" s="9" t="s">
        <v>883</v>
      </c>
      <c r="C626" s="9" t="s">
        <v>360</v>
      </c>
      <c r="D626" s="9" t="s">
        <v>613</v>
      </c>
      <c r="E626" s="9" t="s">
        <v>362</v>
      </c>
      <c r="F626" s="11">
        <v>3</v>
      </c>
      <c r="G626" s="12">
        <v>0</v>
      </c>
      <c r="H626" s="12">
        <v>0</v>
      </c>
      <c r="I626" s="10">
        <v>3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2">
        <v>0</v>
      </c>
      <c r="W626" s="12">
        <v>0</v>
      </c>
      <c r="X626" s="10">
        <v>3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3</v>
      </c>
      <c r="AK626" s="13">
        <v>3</v>
      </c>
      <c r="AL626" s="10">
        <v>3</v>
      </c>
      <c r="AM626" s="10">
        <v>3</v>
      </c>
      <c r="AN626" s="29">
        <v>0.78</v>
      </c>
    </row>
    <row r="627">
      <c r="A627" s="23">
        <v>4546</v>
      </c>
      <c r="B627" s="4" t="s">
        <v>884</v>
      </c>
      <c r="C627" s="4" t="s">
        <v>63</v>
      </c>
      <c r="D627" s="4" t="s">
        <v>109</v>
      </c>
      <c r="E627" s="4" t="s">
        <v>167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30">
        <v>0</v>
      </c>
    </row>
    <row r="628">
      <c r="A628" s="24">
        <v>4548</v>
      </c>
      <c r="B628" s="9" t="s">
        <v>885</v>
      </c>
      <c r="C628" s="9" t="s">
        <v>63</v>
      </c>
      <c r="D628" s="9" t="s">
        <v>115</v>
      </c>
      <c r="E628" s="9" t="s">
        <v>118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9">
        <v>0</v>
      </c>
    </row>
    <row r="629">
      <c r="A629" s="23">
        <v>4558</v>
      </c>
      <c r="B629" s="4" t="s">
        <v>886</v>
      </c>
      <c r="C629" s="4" t="s">
        <v>63</v>
      </c>
      <c r="D629" s="4" t="s">
        <v>115</v>
      </c>
      <c r="E629" s="4" t="s">
        <v>227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4561</v>
      </c>
      <c r="B630" s="9" t="s">
        <v>887</v>
      </c>
      <c r="C630" s="9" t="s">
        <v>63</v>
      </c>
      <c r="D630" s="9" t="s">
        <v>103</v>
      </c>
      <c r="E630" s="9" t="s">
        <v>323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9">
        <v>0</v>
      </c>
    </row>
    <row r="631">
      <c r="A631" s="23">
        <v>4564</v>
      </c>
      <c r="B631" s="4" t="s">
        <v>888</v>
      </c>
      <c r="C631" s="4" t="s">
        <v>595</v>
      </c>
      <c r="D631" s="4" t="s">
        <v>854</v>
      </c>
      <c r="E631" s="4" t="s">
        <v>855</v>
      </c>
      <c r="F631" s="6">
        <v>3</v>
      </c>
      <c r="G631" s="5">
        <v>1</v>
      </c>
      <c r="H631" s="5">
        <v>1</v>
      </c>
      <c r="I631" s="7">
        <v>0</v>
      </c>
      <c r="J631" s="7">
        <v>0</v>
      </c>
      <c r="K631" s="7">
        <v>0</v>
      </c>
      <c r="L631" s="5">
        <v>1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1</v>
      </c>
      <c r="W631" s="5">
        <v>1</v>
      </c>
      <c r="X631" s="7">
        <v>0</v>
      </c>
      <c r="Y631" s="7">
        <v>0</v>
      </c>
      <c r="Z631" s="7">
        <v>0</v>
      </c>
      <c r="AA631" s="5">
        <v>1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4567</v>
      </c>
      <c r="B632" s="9" t="s">
        <v>889</v>
      </c>
      <c r="C632" s="9" t="s">
        <v>63</v>
      </c>
      <c r="D632" s="9" t="s">
        <v>76</v>
      </c>
      <c r="E632" s="9" t="s">
        <v>127</v>
      </c>
      <c r="F632" s="11">
        <v>2</v>
      </c>
      <c r="G632" s="10">
        <v>1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1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4582</v>
      </c>
      <c r="B633" s="4" t="s">
        <v>890</v>
      </c>
      <c r="C633" s="4" t="s">
        <v>63</v>
      </c>
      <c r="D633" s="4" t="s">
        <v>80</v>
      </c>
      <c r="E633" s="4" t="s">
        <v>81</v>
      </c>
      <c r="F633" s="6">
        <v>3</v>
      </c>
      <c r="G633" s="5">
        <v>3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3</v>
      </c>
      <c r="AK633" s="8">
        <v>3</v>
      </c>
      <c r="AL633" s="5">
        <v>3</v>
      </c>
      <c r="AM633" s="5">
        <v>3</v>
      </c>
      <c r="AN633" s="28">
        <v>0.7</v>
      </c>
    </row>
    <row r="634">
      <c r="A634" s="24">
        <v>4583</v>
      </c>
      <c r="B634" s="9" t="s">
        <v>891</v>
      </c>
      <c r="C634" s="9" t="s">
        <v>63</v>
      </c>
      <c r="D634" s="9" t="s">
        <v>115</v>
      </c>
      <c r="E634" s="9" t="s">
        <v>222</v>
      </c>
      <c r="F634" s="11">
        <v>3</v>
      </c>
      <c r="G634" s="10">
        <v>3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29">
        <v>0.39</v>
      </c>
    </row>
    <row r="635">
      <c r="A635" s="23">
        <v>4596</v>
      </c>
      <c r="B635" s="4" t="s">
        <v>892</v>
      </c>
      <c r="C635" s="4" t="s">
        <v>171</v>
      </c>
      <c r="D635" s="4" t="s">
        <v>172</v>
      </c>
      <c r="E635" s="4" t="s">
        <v>173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30">
        <v>0</v>
      </c>
    </row>
    <row r="636">
      <c r="A636" s="24">
        <v>4606</v>
      </c>
      <c r="B636" s="9" t="s">
        <v>893</v>
      </c>
      <c r="C636" s="9" t="s">
        <v>63</v>
      </c>
      <c r="D636" s="9" t="s">
        <v>73</v>
      </c>
      <c r="E636" s="9" t="s">
        <v>445</v>
      </c>
      <c r="F636" s="11">
        <v>2</v>
      </c>
      <c r="G636" s="10">
        <v>2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0.26</v>
      </c>
    </row>
    <row r="637">
      <c r="A637" s="23">
        <v>4619</v>
      </c>
      <c r="B637" s="4" t="s">
        <v>894</v>
      </c>
      <c r="C637" s="4" t="s">
        <v>63</v>
      </c>
      <c r="D637" s="4" t="s">
        <v>103</v>
      </c>
      <c r="E637" s="4" t="s">
        <v>895</v>
      </c>
      <c r="F637" s="6">
        <v>1</v>
      </c>
      <c r="G637" s="7">
        <v>0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4625</v>
      </c>
      <c r="B638" s="9" t="s">
        <v>896</v>
      </c>
      <c r="C638" s="9" t="s">
        <v>63</v>
      </c>
      <c r="D638" s="9" t="s">
        <v>115</v>
      </c>
      <c r="E638" s="9" t="s">
        <v>116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0.26</v>
      </c>
    </row>
    <row r="639">
      <c r="A639" s="23">
        <v>4626</v>
      </c>
      <c r="B639" s="4" t="s">
        <v>897</v>
      </c>
      <c r="C639" s="4" t="s">
        <v>63</v>
      </c>
      <c r="D639" s="4" t="s">
        <v>73</v>
      </c>
      <c r="E639" s="4" t="s">
        <v>389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0.26</v>
      </c>
    </row>
    <row r="640">
      <c r="A640" s="24">
        <v>4629</v>
      </c>
      <c r="B640" s="9" t="s">
        <v>898</v>
      </c>
      <c r="C640" s="9" t="s">
        <v>63</v>
      </c>
      <c r="D640" s="9" t="s">
        <v>109</v>
      </c>
      <c r="E640" s="9" t="s">
        <v>145</v>
      </c>
      <c r="F640" s="11">
        <v>1</v>
      </c>
      <c r="G640" s="12">
        <v>0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4637</v>
      </c>
      <c r="B641" s="4" t="s">
        <v>899</v>
      </c>
      <c r="C641" s="4" t="s">
        <v>63</v>
      </c>
      <c r="D641" s="4" t="s">
        <v>133</v>
      </c>
      <c r="E641" s="4" t="s">
        <v>326</v>
      </c>
      <c r="F641" s="6">
        <v>2</v>
      </c>
      <c r="G641" s="5">
        <v>2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5">
        <v>2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4668</v>
      </c>
      <c r="B642" s="9" t="s">
        <v>900</v>
      </c>
      <c r="C642" s="9" t="s">
        <v>63</v>
      </c>
      <c r="D642" s="9" t="s">
        <v>73</v>
      </c>
      <c r="E642" s="9" t="s">
        <v>389</v>
      </c>
      <c r="F642" s="11">
        <v>1</v>
      </c>
      <c r="G642" s="12">
        <v>0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4672</v>
      </c>
      <c r="B643" s="4" t="s">
        <v>901</v>
      </c>
      <c r="C643" s="4" t="s">
        <v>63</v>
      </c>
      <c r="D643" s="4" t="s">
        <v>109</v>
      </c>
      <c r="E643" s="4" t="s">
        <v>902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0.37</v>
      </c>
    </row>
    <row r="644">
      <c r="A644" s="24">
        <v>4674</v>
      </c>
      <c r="B644" s="9" t="s">
        <v>903</v>
      </c>
      <c r="C644" s="9" t="s">
        <v>63</v>
      </c>
      <c r="D644" s="9" t="s">
        <v>85</v>
      </c>
      <c r="E644" s="9" t="s">
        <v>86</v>
      </c>
      <c r="F644" s="11">
        <v>4</v>
      </c>
      <c r="G644" s="12">
        <v>0</v>
      </c>
      <c r="H644" s="12">
        <v>0</v>
      </c>
      <c r="I644" s="10">
        <v>4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2">
        <v>0</v>
      </c>
      <c r="W644" s="12">
        <v>0</v>
      </c>
      <c r="X644" s="10">
        <v>2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4</v>
      </c>
      <c r="AK644" s="13">
        <v>4</v>
      </c>
      <c r="AL644" s="10">
        <v>4</v>
      </c>
      <c r="AM644" s="10">
        <v>4</v>
      </c>
      <c r="AN644" s="49">
        <v>0</v>
      </c>
    </row>
    <row r="645">
      <c r="A645" s="23">
        <v>4675</v>
      </c>
      <c r="B645" s="4" t="s">
        <v>904</v>
      </c>
      <c r="C645" s="4" t="s">
        <v>63</v>
      </c>
      <c r="D645" s="4" t="s">
        <v>93</v>
      </c>
      <c r="E645" s="4" t="s">
        <v>156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30">
        <v>0</v>
      </c>
    </row>
    <row r="646">
      <c r="A646" s="24">
        <v>4681</v>
      </c>
      <c r="B646" s="9" t="s">
        <v>905</v>
      </c>
      <c r="C646" s="9" t="s">
        <v>63</v>
      </c>
      <c r="D646" s="9" t="s">
        <v>85</v>
      </c>
      <c r="E646" s="9" t="s">
        <v>432</v>
      </c>
      <c r="F646" s="11">
        <v>3</v>
      </c>
      <c r="G646" s="10">
        <v>2</v>
      </c>
      <c r="H646" s="12">
        <v>0</v>
      </c>
      <c r="I646" s="12">
        <v>0</v>
      </c>
      <c r="J646" s="12">
        <v>0</v>
      </c>
      <c r="K646" s="12">
        <v>0</v>
      </c>
      <c r="L646" s="10">
        <v>1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0">
        <v>2</v>
      </c>
      <c r="W646" s="12">
        <v>0</v>
      </c>
      <c r="X646" s="12">
        <v>0</v>
      </c>
      <c r="Y646" s="12">
        <v>0</v>
      </c>
      <c r="Z646" s="12">
        <v>0</v>
      </c>
      <c r="AA646" s="10">
        <v>1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49">
        <v>0</v>
      </c>
    </row>
    <row r="647">
      <c r="A647" s="23">
        <v>4684</v>
      </c>
      <c r="B647" s="4" t="s">
        <v>906</v>
      </c>
      <c r="C647" s="4" t="s">
        <v>63</v>
      </c>
      <c r="D647" s="4" t="s">
        <v>85</v>
      </c>
      <c r="E647" s="4" t="s">
        <v>432</v>
      </c>
      <c r="F647" s="6">
        <v>3</v>
      </c>
      <c r="G647" s="5">
        <v>3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3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30">
        <v>0</v>
      </c>
    </row>
    <row r="648">
      <c r="A648" s="24">
        <v>4686</v>
      </c>
      <c r="B648" s="9" t="s">
        <v>907</v>
      </c>
      <c r="C648" s="9" t="s">
        <v>63</v>
      </c>
      <c r="D648" s="9" t="s">
        <v>85</v>
      </c>
      <c r="E648" s="9" t="s">
        <v>139</v>
      </c>
      <c r="F648" s="11">
        <v>2</v>
      </c>
      <c r="G648" s="12">
        <v>0</v>
      </c>
      <c r="H648" s="12">
        <v>0</v>
      </c>
      <c r="I648" s="12">
        <v>0</v>
      </c>
      <c r="J648" s="12">
        <v>0</v>
      </c>
      <c r="K648" s="10">
        <v>2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2">
        <v>0</v>
      </c>
      <c r="W648" s="12">
        <v>0</v>
      </c>
      <c r="X648" s="12">
        <v>0</v>
      </c>
      <c r="Y648" s="12">
        <v>0</v>
      </c>
      <c r="Z648" s="10">
        <v>2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49">
        <v>0</v>
      </c>
    </row>
    <row r="649">
      <c r="A649" s="23">
        <v>4700</v>
      </c>
      <c r="B649" s="4" t="s">
        <v>908</v>
      </c>
      <c r="C649" s="4" t="s">
        <v>63</v>
      </c>
      <c r="D649" s="4" t="s">
        <v>85</v>
      </c>
      <c r="E649" s="4" t="s">
        <v>342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4704</v>
      </c>
      <c r="B650" s="9" t="s">
        <v>909</v>
      </c>
      <c r="C650" s="9" t="s">
        <v>63</v>
      </c>
      <c r="D650" s="9" t="s">
        <v>93</v>
      </c>
      <c r="E650" s="9" t="s">
        <v>156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49">
        <v>0</v>
      </c>
    </row>
    <row r="651">
      <c r="A651" s="23">
        <v>4705</v>
      </c>
      <c r="B651" s="4" t="s">
        <v>910</v>
      </c>
      <c r="C651" s="4" t="s">
        <v>63</v>
      </c>
      <c r="D651" s="4" t="s">
        <v>93</v>
      </c>
      <c r="E651" s="4" t="s">
        <v>759</v>
      </c>
      <c r="F651" s="6">
        <v>2</v>
      </c>
      <c r="G651" s="5">
        <v>2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5">
        <v>2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28">
        <v>0.5</v>
      </c>
    </row>
    <row r="652">
      <c r="A652" s="24">
        <v>4707</v>
      </c>
      <c r="B652" s="9" t="s">
        <v>911</v>
      </c>
      <c r="C652" s="9" t="s">
        <v>63</v>
      </c>
      <c r="D652" s="9" t="s">
        <v>93</v>
      </c>
      <c r="E652" s="9" t="s">
        <v>156</v>
      </c>
      <c r="F652" s="11">
        <v>4</v>
      </c>
      <c r="G652" s="10">
        <v>1</v>
      </c>
      <c r="H652" s="10">
        <v>2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4</v>
      </c>
      <c r="V652" s="10">
        <v>1</v>
      </c>
      <c r="W652" s="10">
        <v>2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1.33</v>
      </c>
      <c r="AL652" s="10">
        <v>1</v>
      </c>
      <c r="AM652" s="10">
        <v>2</v>
      </c>
      <c r="AN652" s="29">
        <v>0.72</v>
      </c>
    </row>
    <row r="653">
      <c r="A653" s="23">
        <v>4709</v>
      </c>
      <c r="B653" s="4" t="s">
        <v>912</v>
      </c>
      <c r="C653" s="4" t="s">
        <v>63</v>
      </c>
      <c r="D653" s="4" t="s">
        <v>93</v>
      </c>
      <c r="E653" s="4" t="s">
        <v>156</v>
      </c>
      <c r="F653" s="6">
        <v>3</v>
      </c>
      <c r="G653" s="5">
        <v>3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5">
        <v>3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3</v>
      </c>
      <c r="AK653" s="8">
        <v>3</v>
      </c>
      <c r="AL653" s="5">
        <v>3</v>
      </c>
      <c r="AM653" s="5">
        <v>3</v>
      </c>
      <c r="AN653" s="30">
        <v>0</v>
      </c>
    </row>
    <row r="654">
      <c r="A654" s="24">
        <v>4712</v>
      </c>
      <c r="B654" s="9" t="s">
        <v>913</v>
      </c>
      <c r="C654" s="9" t="s">
        <v>63</v>
      </c>
      <c r="D654" s="9" t="s">
        <v>80</v>
      </c>
      <c r="E654" s="9" t="s">
        <v>88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9">
        <v>0</v>
      </c>
    </row>
    <row r="655">
      <c r="A655" s="23">
        <v>4715</v>
      </c>
      <c r="B655" s="4" t="s">
        <v>914</v>
      </c>
      <c r="C655" s="4" t="s">
        <v>63</v>
      </c>
      <c r="D655" s="4" t="s">
        <v>133</v>
      </c>
      <c r="E655" s="4" t="s">
        <v>134</v>
      </c>
      <c r="F655" s="6">
        <v>3</v>
      </c>
      <c r="G655" s="5">
        <v>3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</v>
      </c>
      <c r="V655" s="5">
        <v>2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3</v>
      </c>
      <c r="AK655" s="8">
        <v>3</v>
      </c>
      <c r="AL655" s="5">
        <v>3</v>
      </c>
      <c r="AM655" s="5">
        <v>3</v>
      </c>
      <c r="AN655" s="30">
        <v>0</v>
      </c>
    </row>
    <row r="656">
      <c r="A656" s="24">
        <v>4723</v>
      </c>
      <c r="B656" s="9" t="s">
        <v>915</v>
      </c>
      <c r="C656" s="9" t="s">
        <v>63</v>
      </c>
      <c r="D656" s="9" t="s">
        <v>85</v>
      </c>
      <c r="E656" s="9" t="s">
        <v>231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0.26</v>
      </c>
    </row>
    <row r="657">
      <c r="A657" s="23">
        <v>4734</v>
      </c>
      <c r="B657" s="4" t="s">
        <v>916</v>
      </c>
      <c r="C657" s="4" t="s">
        <v>63</v>
      </c>
      <c r="D657" s="4" t="s">
        <v>85</v>
      </c>
      <c r="E657" s="4" t="s">
        <v>231</v>
      </c>
      <c r="F657" s="6">
        <v>1</v>
      </c>
      <c r="G657" s="7">
        <v>0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0.26</v>
      </c>
    </row>
    <row r="658">
      <c r="A658" s="24">
        <v>4744</v>
      </c>
      <c r="B658" s="9" t="s">
        <v>917</v>
      </c>
      <c r="C658" s="9" t="s">
        <v>141</v>
      </c>
      <c r="D658" s="9" t="s">
        <v>142</v>
      </c>
      <c r="E658" s="9" t="s">
        <v>458</v>
      </c>
      <c r="F658" s="11">
        <v>3</v>
      </c>
      <c r="G658" s="12">
        <v>0</v>
      </c>
      <c r="H658" s="10">
        <v>1</v>
      </c>
      <c r="I658" s="10">
        <v>2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3</v>
      </c>
      <c r="V658" s="12">
        <v>0</v>
      </c>
      <c r="W658" s="10">
        <v>1</v>
      </c>
      <c r="X658" s="10">
        <v>2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2</v>
      </c>
      <c r="AN658" s="29">
        <v>0.22</v>
      </c>
    </row>
    <row r="659">
      <c r="A659" s="23">
        <v>4752</v>
      </c>
      <c r="B659" s="4" t="s">
        <v>918</v>
      </c>
      <c r="C659" s="4" t="s">
        <v>63</v>
      </c>
      <c r="D659" s="4" t="s">
        <v>115</v>
      </c>
      <c r="E659" s="4" t="s">
        <v>149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4754</v>
      </c>
      <c r="B660" s="9" t="s">
        <v>919</v>
      </c>
      <c r="C660" s="9" t="s">
        <v>63</v>
      </c>
      <c r="D660" s="9" t="s">
        <v>112</v>
      </c>
      <c r="E660" s="9" t="s">
        <v>375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9">
        <v>0</v>
      </c>
    </row>
    <row r="661">
      <c r="A661" s="23">
        <v>4755</v>
      </c>
      <c r="B661" s="4" t="s">
        <v>920</v>
      </c>
      <c r="C661" s="4" t="s">
        <v>141</v>
      </c>
      <c r="D661" s="4" t="s">
        <v>142</v>
      </c>
      <c r="E661" s="4" t="s">
        <v>458</v>
      </c>
      <c r="F661" s="6">
        <v>1</v>
      </c>
      <c r="G661" s="7">
        <v>0</v>
      </c>
      <c r="H661" s="7">
        <v>0</v>
      </c>
      <c r="I661" s="5">
        <v>1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5">
        <v>1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4759</v>
      </c>
      <c r="B662" s="9" t="s">
        <v>921</v>
      </c>
      <c r="C662" s="9" t="s">
        <v>63</v>
      </c>
      <c r="D662" s="9" t="s">
        <v>73</v>
      </c>
      <c r="E662" s="9" t="s">
        <v>445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49">
        <v>0</v>
      </c>
    </row>
    <row r="663">
      <c r="A663" s="23">
        <v>4781</v>
      </c>
      <c r="B663" s="4" t="s">
        <v>922</v>
      </c>
      <c r="C663" s="4" t="s">
        <v>171</v>
      </c>
      <c r="D663" s="4" t="s">
        <v>172</v>
      </c>
      <c r="E663" s="4" t="s">
        <v>173</v>
      </c>
      <c r="F663" s="6">
        <v>1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5">
        <v>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5">
        <v>1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4785</v>
      </c>
      <c r="B664" s="9" t="s">
        <v>923</v>
      </c>
      <c r="C664" s="9" t="s">
        <v>241</v>
      </c>
      <c r="D664" s="9" t="s">
        <v>242</v>
      </c>
      <c r="E664" s="9" t="s">
        <v>924</v>
      </c>
      <c r="F664" s="11">
        <v>3</v>
      </c>
      <c r="G664" s="12">
        <v>0</v>
      </c>
      <c r="H664" s="10">
        <v>1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3</v>
      </c>
      <c r="V664" s="12">
        <v>0</v>
      </c>
      <c r="W664" s="10">
        <v>1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0.75</v>
      </c>
    </row>
    <row r="665">
      <c r="A665" s="23">
        <v>4792</v>
      </c>
      <c r="B665" s="4" t="s">
        <v>925</v>
      </c>
      <c r="C665" s="4" t="s">
        <v>63</v>
      </c>
      <c r="D665" s="4" t="s">
        <v>80</v>
      </c>
      <c r="E665" s="4" t="s">
        <v>413</v>
      </c>
      <c r="F665" s="6">
        <v>4</v>
      </c>
      <c r="G665" s="5">
        <v>3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4</v>
      </c>
      <c r="V665" s="5">
        <v>3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1.33</v>
      </c>
      <c r="AL665" s="5">
        <v>1</v>
      </c>
      <c r="AM665" s="5">
        <v>2</v>
      </c>
      <c r="AN665" s="28">
        <v>0.25</v>
      </c>
    </row>
    <row r="666">
      <c r="A666" s="24">
        <v>4793</v>
      </c>
      <c r="B666" s="9" t="s">
        <v>926</v>
      </c>
      <c r="C666" s="9" t="s">
        <v>63</v>
      </c>
      <c r="D666" s="9" t="s">
        <v>73</v>
      </c>
      <c r="E666" s="9" t="s">
        <v>389</v>
      </c>
      <c r="F666" s="11">
        <v>3</v>
      </c>
      <c r="G666" s="10">
        <v>2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2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9">
        <v>0</v>
      </c>
    </row>
    <row r="667">
      <c r="A667" s="23">
        <v>4797</v>
      </c>
      <c r="B667" s="4" t="s">
        <v>927</v>
      </c>
      <c r="C667" s="4" t="s">
        <v>63</v>
      </c>
      <c r="D667" s="4" t="s">
        <v>115</v>
      </c>
      <c r="E667" s="4" t="s">
        <v>116</v>
      </c>
      <c r="F667" s="6">
        <v>3</v>
      </c>
      <c r="G667" s="7">
        <v>0</v>
      </c>
      <c r="H667" s="5">
        <v>3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7">
        <v>0</v>
      </c>
      <c r="W667" s="5">
        <v>3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3</v>
      </c>
      <c r="AK667" s="8">
        <v>3</v>
      </c>
      <c r="AL667" s="5">
        <v>3</v>
      </c>
      <c r="AM667" s="5">
        <v>3</v>
      </c>
      <c r="AN667" s="28">
        <v>0.66</v>
      </c>
    </row>
    <row r="668">
      <c r="A668" s="24">
        <v>4817</v>
      </c>
      <c r="B668" s="9" t="s">
        <v>928</v>
      </c>
      <c r="C668" s="9" t="s">
        <v>63</v>
      </c>
      <c r="D668" s="9" t="s">
        <v>109</v>
      </c>
      <c r="E668" s="9" t="s">
        <v>616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4821</v>
      </c>
      <c r="B669" s="4" t="s">
        <v>929</v>
      </c>
      <c r="C669" s="4" t="s">
        <v>63</v>
      </c>
      <c r="D669" s="4" t="s">
        <v>115</v>
      </c>
      <c r="E669" s="4" t="s">
        <v>116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4835</v>
      </c>
      <c r="B670" s="9" t="s">
        <v>930</v>
      </c>
      <c r="C670" s="9" t="s">
        <v>63</v>
      </c>
      <c r="D670" s="9" t="s">
        <v>103</v>
      </c>
      <c r="E670" s="9" t="s">
        <v>735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9">
        <v>0</v>
      </c>
    </row>
    <row r="671">
      <c r="A671" s="23">
        <v>4836</v>
      </c>
      <c r="B671" s="4" t="s">
        <v>931</v>
      </c>
      <c r="C671" s="4" t="s">
        <v>63</v>
      </c>
      <c r="D671" s="4" t="s">
        <v>133</v>
      </c>
      <c r="E671" s="4" t="s">
        <v>251</v>
      </c>
      <c r="F671" s="6">
        <v>2</v>
      </c>
      <c r="G671" s="5">
        <v>1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1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4840</v>
      </c>
      <c r="B672" s="9" t="s">
        <v>932</v>
      </c>
      <c r="C672" s="9" t="s">
        <v>63</v>
      </c>
      <c r="D672" s="9" t="s">
        <v>115</v>
      </c>
      <c r="E672" s="9" t="s">
        <v>247</v>
      </c>
      <c r="F672" s="11">
        <v>4</v>
      </c>
      <c r="G672" s="12">
        <v>0</v>
      </c>
      <c r="H672" s="10">
        <v>3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4</v>
      </c>
      <c r="V672" s="12">
        <v>0</v>
      </c>
      <c r="W672" s="10">
        <v>3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2</v>
      </c>
      <c r="AM672" s="10">
        <v>3</v>
      </c>
      <c r="AN672" s="29">
        <v>1.04</v>
      </c>
    </row>
    <row r="673">
      <c r="A673" s="23">
        <v>4843</v>
      </c>
      <c r="B673" s="4" t="s">
        <v>933</v>
      </c>
      <c r="C673" s="4" t="s">
        <v>63</v>
      </c>
      <c r="D673" s="4" t="s">
        <v>115</v>
      </c>
      <c r="E673" s="4" t="s">
        <v>116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4845</v>
      </c>
      <c r="B674" s="9" t="s">
        <v>934</v>
      </c>
      <c r="C674" s="9" t="s">
        <v>63</v>
      </c>
      <c r="D674" s="9" t="s">
        <v>115</v>
      </c>
      <c r="E674" s="9" t="s">
        <v>116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0.5</v>
      </c>
    </row>
    <row r="675">
      <c r="A675" s="23">
        <v>4852</v>
      </c>
      <c r="B675" s="4" t="s">
        <v>935</v>
      </c>
      <c r="C675" s="4" t="s">
        <v>63</v>
      </c>
      <c r="D675" s="4" t="s">
        <v>67</v>
      </c>
      <c r="E675" s="4" t="s">
        <v>160</v>
      </c>
      <c r="F675" s="6">
        <v>7</v>
      </c>
      <c r="G675" s="5">
        <v>5</v>
      </c>
      <c r="H675" s="7">
        <v>0</v>
      </c>
      <c r="I675" s="5">
        <v>2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6</v>
      </c>
      <c r="V675" s="5">
        <v>5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3.5</v>
      </c>
      <c r="AL675" s="5">
        <v>3</v>
      </c>
      <c r="AM675" s="5">
        <v>5</v>
      </c>
      <c r="AN675" s="30">
        <v>0</v>
      </c>
    </row>
    <row r="676">
      <c r="A676" s="24">
        <v>4853</v>
      </c>
      <c r="B676" s="9" t="s">
        <v>936</v>
      </c>
      <c r="C676" s="9" t="s">
        <v>63</v>
      </c>
      <c r="D676" s="9" t="s">
        <v>133</v>
      </c>
      <c r="E676" s="9" t="s">
        <v>251</v>
      </c>
      <c r="F676" s="11">
        <v>3</v>
      </c>
      <c r="G676" s="12">
        <v>0</v>
      </c>
      <c r="H676" s="12">
        <v>0</v>
      </c>
      <c r="I676" s="12">
        <v>0</v>
      </c>
      <c r="J676" s="10">
        <v>3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2">
        <v>0</v>
      </c>
      <c r="W676" s="12">
        <v>0</v>
      </c>
      <c r="X676" s="12">
        <v>0</v>
      </c>
      <c r="Y676" s="10">
        <v>3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0.75</v>
      </c>
    </row>
    <row r="677">
      <c r="A677" s="23">
        <v>4861</v>
      </c>
      <c r="B677" s="4" t="s">
        <v>937</v>
      </c>
      <c r="C677" s="4" t="s">
        <v>63</v>
      </c>
      <c r="D677" s="4" t="s">
        <v>115</v>
      </c>
      <c r="E677" s="4" t="s">
        <v>116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28">
        <v>0.25</v>
      </c>
    </row>
    <row r="678">
      <c r="A678" s="24">
        <v>4867</v>
      </c>
      <c r="B678" s="9" t="s">
        <v>938</v>
      </c>
      <c r="C678" s="9" t="s">
        <v>63</v>
      </c>
      <c r="D678" s="9" t="s">
        <v>133</v>
      </c>
      <c r="E678" s="9" t="s">
        <v>134</v>
      </c>
      <c r="F678" s="11">
        <v>2</v>
      </c>
      <c r="G678" s="10">
        <v>1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0">
        <v>1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0.5</v>
      </c>
    </row>
    <row r="679">
      <c r="A679" s="23">
        <v>4870</v>
      </c>
      <c r="B679" s="4" t="s">
        <v>939</v>
      </c>
      <c r="C679" s="4" t="s">
        <v>63</v>
      </c>
      <c r="D679" s="4" t="s">
        <v>133</v>
      </c>
      <c r="E679" s="4" t="s">
        <v>134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4871</v>
      </c>
      <c r="B680" s="9" t="s">
        <v>940</v>
      </c>
      <c r="C680" s="9" t="s">
        <v>63</v>
      </c>
      <c r="D680" s="9" t="s">
        <v>80</v>
      </c>
      <c r="E680" s="9" t="s">
        <v>88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4875</v>
      </c>
      <c r="B681" s="4" t="s">
        <v>941</v>
      </c>
      <c r="C681" s="4" t="s">
        <v>63</v>
      </c>
      <c r="D681" s="4" t="s">
        <v>85</v>
      </c>
      <c r="E681" s="4" t="s">
        <v>86</v>
      </c>
      <c r="F681" s="6">
        <v>2</v>
      </c>
      <c r="G681" s="7">
        <v>0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7">
        <v>0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0.5</v>
      </c>
    </row>
    <row r="682">
      <c r="A682" s="24">
        <v>4884</v>
      </c>
      <c r="B682" s="9" t="s">
        <v>942</v>
      </c>
      <c r="C682" s="9" t="s">
        <v>63</v>
      </c>
      <c r="D682" s="9" t="s">
        <v>85</v>
      </c>
      <c r="E682" s="9" t="s">
        <v>943</v>
      </c>
      <c r="F682" s="11">
        <v>1</v>
      </c>
      <c r="G682" s="12">
        <v>0</v>
      </c>
      <c r="H682" s="10">
        <v>1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0">
        <v>1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9">
        <v>0</v>
      </c>
    </row>
    <row r="683">
      <c r="A683" s="23">
        <v>4896</v>
      </c>
      <c r="B683" s="4" t="s">
        <v>944</v>
      </c>
      <c r="C683" s="4" t="s">
        <v>63</v>
      </c>
      <c r="D683" s="4" t="s">
        <v>115</v>
      </c>
      <c r="E683" s="4" t="s">
        <v>116</v>
      </c>
      <c r="F683" s="6">
        <v>2</v>
      </c>
      <c r="G683" s="5">
        <v>1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1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0.52</v>
      </c>
    </row>
    <row r="684">
      <c r="A684" s="24">
        <v>4897</v>
      </c>
      <c r="B684" s="9" t="s">
        <v>945</v>
      </c>
      <c r="C684" s="9" t="s">
        <v>63</v>
      </c>
      <c r="D684" s="9" t="s">
        <v>115</v>
      </c>
      <c r="E684" s="9" t="s">
        <v>116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9">
        <v>0</v>
      </c>
    </row>
    <row r="685">
      <c r="A685" s="23">
        <v>4901</v>
      </c>
      <c r="B685" s="4" t="s">
        <v>946</v>
      </c>
      <c r="C685" s="4" t="s">
        <v>63</v>
      </c>
      <c r="D685" s="4" t="s">
        <v>73</v>
      </c>
      <c r="E685" s="4" t="s">
        <v>98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4906</v>
      </c>
      <c r="B686" s="9" t="s">
        <v>947</v>
      </c>
      <c r="C686" s="9" t="s">
        <v>63</v>
      </c>
      <c r="D686" s="9" t="s">
        <v>80</v>
      </c>
      <c r="E686" s="9" t="s">
        <v>413</v>
      </c>
      <c r="F686" s="11">
        <v>2</v>
      </c>
      <c r="G686" s="12">
        <v>0</v>
      </c>
      <c r="H686" s="12">
        <v>0</v>
      </c>
      <c r="I686" s="10">
        <v>2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2">
        <v>0</v>
      </c>
      <c r="W686" s="12">
        <v>0</v>
      </c>
      <c r="X686" s="10">
        <v>2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49">
        <v>0</v>
      </c>
    </row>
    <row r="687">
      <c r="A687" s="23">
        <v>4920</v>
      </c>
      <c r="B687" s="4" t="s">
        <v>948</v>
      </c>
      <c r="C687" s="4" t="s">
        <v>63</v>
      </c>
      <c r="D687" s="4" t="s">
        <v>85</v>
      </c>
      <c r="E687" s="4" t="s">
        <v>86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30">
        <v>0</v>
      </c>
    </row>
    <row r="688">
      <c r="A688" s="24">
        <v>4933</v>
      </c>
      <c r="B688" s="9" t="s">
        <v>949</v>
      </c>
      <c r="C688" s="9" t="s">
        <v>63</v>
      </c>
      <c r="D688" s="9" t="s">
        <v>85</v>
      </c>
      <c r="E688" s="9" t="s">
        <v>950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4936</v>
      </c>
      <c r="B689" s="4" t="s">
        <v>951</v>
      </c>
      <c r="C689" s="4" t="s">
        <v>171</v>
      </c>
      <c r="D689" s="4" t="s">
        <v>172</v>
      </c>
      <c r="E689" s="4" t="s">
        <v>184</v>
      </c>
      <c r="F689" s="6">
        <v>1</v>
      </c>
      <c r="G689" s="7">
        <v>0</v>
      </c>
      <c r="H689" s="7">
        <v>0</v>
      </c>
      <c r="I689" s="7">
        <v>0</v>
      </c>
      <c r="J689" s="7">
        <v>0</v>
      </c>
      <c r="K689" s="5">
        <v>1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7">
        <v>0</v>
      </c>
      <c r="Y689" s="7">
        <v>0</v>
      </c>
      <c r="Z689" s="5">
        <v>1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4944</v>
      </c>
      <c r="B690" s="9" t="s">
        <v>952</v>
      </c>
      <c r="C690" s="9" t="s">
        <v>63</v>
      </c>
      <c r="D690" s="9" t="s">
        <v>133</v>
      </c>
      <c r="E690" s="9" t="s">
        <v>220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9">
        <v>0</v>
      </c>
    </row>
    <row r="691">
      <c r="A691" s="23">
        <v>4945</v>
      </c>
      <c r="B691" s="4" t="s">
        <v>953</v>
      </c>
      <c r="C691" s="4" t="s">
        <v>63</v>
      </c>
      <c r="D691" s="4" t="s">
        <v>93</v>
      </c>
      <c r="E691" s="4" t="s">
        <v>156</v>
      </c>
      <c r="F691" s="6">
        <v>2</v>
      </c>
      <c r="G691" s="5">
        <v>2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30">
        <v>0</v>
      </c>
    </row>
    <row r="692">
      <c r="A692" s="24">
        <v>4955</v>
      </c>
      <c r="B692" s="9" t="s">
        <v>954</v>
      </c>
      <c r="C692" s="9" t="s">
        <v>63</v>
      </c>
      <c r="D692" s="9" t="s">
        <v>115</v>
      </c>
      <c r="E692" s="9" t="s">
        <v>222</v>
      </c>
      <c r="F692" s="11">
        <v>4</v>
      </c>
      <c r="G692" s="10">
        <v>4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0">
        <v>4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4</v>
      </c>
      <c r="AK692" s="13">
        <v>4</v>
      </c>
      <c r="AL692" s="10">
        <v>4</v>
      </c>
      <c r="AM692" s="10">
        <v>4</v>
      </c>
      <c r="AN692" s="49">
        <v>0</v>
      </c>
    </row>
    <row r="693">
      <c r="A693" s="23">
        <v>4966</v>
      </c>
      <c r="B693" s="4" t="s">
        <v>955</v>
      </c>
      <c r="C693" s="4" t="s">
        <v>63</v>
      </c>
      <c r="D693" s="4" t="s">
        <v>133</v>
      </c>
      <c r="E693" s="4" t="s">
        <v>326</v>
      </c>
      <c r="F693" s="6">
        <v>5</v>
      </c>
      <c r="G693" s="5">
        <v>5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4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5</v>
      </c>
      <c r="AK693" s="8">
        <v>5</v>
      </c>
      <c r="AL693" s="5">
        <v>5</v>
      </c>
      <c r="AM693" s="5">
        <v>5</v>
      </c>
      <c r="AN693" s="30">
        <v>0</v>
      </c>
    </row>
    <row r="694">
      <c r="A694" s="24">
        <v>4969</v>
      </c>
      <c r="B694" s="9" t="s">
        <v>956</v>
      </c>
      <c r="C694" s="9" t="s">
        <v>63</v>
      </c>
      <c r="D694" s="9" t="s">
        <v>115</v>
      </c>
      <c r="E694" s="9" t="s">
        <v>116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9">
        <v>0</v>
      </c>
    </row>
    <row r="695">
      <c r="A695" s="23">
        <v>4975</v>
      </c>
      <c r="B695" s="4" t="s">
        <v>957</v>
      </c>
      <c r="C695" s="4" t="s">
        <v>63</v>
      </c>
      <c r="D695" s="4" t="s">
        <v>85</v>
      </c>
      <c r="E695" s="4" t="s">
        <v>86</v>
      </c>
      <c r="F695" s="6">
        <v>2</v>
      </c>
      <c r="G695" s="7">
        <v>0</v>
      </c>
      <c r="H695" s="5">
        <v>2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5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28">
        <v>0.37</v>
      </c>
    </row>
    <row r="696">
      <c r="A696" s="24">
        <v>4979</v>
      </c>
      <c r="B696" s="9" t="s">
        <v>958</v>
      </c>
      <c r="C696" s="9" t="s">
        <v>63</v>
      </c>
      <c r="D696" s="9" t="s">
        <v>85</v>
      </c>
      <c r="E696" s="9" t="s">
        <v>86</v>
      </c>
      <c r="F696" s="11">
        <v>3</v>
      </c>
      <c r="G696" s="10">
        <v>1</v>
      </c>
      <c r="H696" s="12">
        <v>0</v>
      </c>
      <c r="I696" s="10">
        <v>2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0">
        <v>1</v>
      </c>
      <c r="W696" s="12">
        <v>0</v>
      </c>
      <c r="X696" s="10">
        <v>2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1.5</v>
      </c>
      <c r="AL696" s="10">
        <v>1</v>
      </c>
      <c r="AM696" s="10">
        <v>2</v>
      </c>
      <c r="AN696" s="49">
        <v>0</v>
      </c>
    </row>
    <row r="697">
      <c r="A697" s="23">
        <v>4983</v>
      </c>
      <c r="B697" s="4" t="s">
        <v>959</v>
      </c>
      <c r="C697" s="4" t="s">
        <v>63</v>
      </c>
      <c r="D697" s="4" t="s">
        <v>133</v>
      </c>
      <c r="E697" s="4" t="s">
        <v>134</v>
      </c>
      <c r="F697" s="6">
        <v>1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4986</v>
      </c>
      <c r="B698" s="9" t="s">
        <v>960</v>
      </c>
      <c r="C698" s="9" t="s">
        <v>63</v>
      </c>
      <c r="D698" s="9" t="s">
        <v>73</v>
      </c>
      <c r="E698" s="9" t="s">
        <v>98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4987</v>
      </c>
      <c r="B699" s="4" t="s">
        <v>961</v>
      </c>
      <c r="C699" s="4" t="s">
        <v>63</v>
      </c>
      <c r="D699" s="4" t="s">
        <v>80</v>
      </c>
      <c r="E699" s="4" t="s">
        <v>81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4988</v>
      </c>
      <c r="B700" s="9" t="s">
        <v>962</v>
      </c>
      <c r="C700" s="9" t="s">
        <v>63</v>
      </c>
      <c r="D700" s="9" t="s">
        <v>80</v>
      </c>
      <c r="E700" s="9" t="s">
        <v>257</v>
      </c>
      <c r="F700" s="11">
        <v>1</v>
      </c>
      <c r="G700" s="12">
        <v>0</v>
      </c>
      <c r="H700" s="12">
        <v>0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0.26</v>
      </c>
    </row>
    <row r="701">
      <c r="A701" s="23">
        <v>4990</v>
      </c>
      <c r="B701" s="4" t="s">
        <v>963</v>
      </c>
      <c r="C701" s="4" t="s">
        <v>63</v>
      </c>
      <c r="D701" s="4" t="s">
        <v>80</v>
      </c>
      <c r="E701" s="4" t="s">
        <v>413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5007</v>
      </c>
      <c r="B702" s="9" t="s">
        <v>964</v>
      </c>
      <c r="C702" s="9" t="s">
        <v>63</v>
      </c>
      <c r="D702" s="9" t="s">
        <v>85</v>
      </c>
      <c r="E702" s="9" t="s">
        <v>100</v>
      </c>
      <c r="F702" s="11">
        <v>3</v>
      </c>
      <c r="G702" s="12">
        <v>0</v>
      </c>
      <c r="H702" s="12">
        <v>0</v>
      </c>
      <c r="I702" s="12">
        <v>0</v>
      </c>
      <c r="J702" s="10">
        <v>3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2">
        <v>0</v>
      </c>
      <c r="W702" s="12">
        <v>0</v>
      </c>
      <c r="X702" s="12">
        <v>0</v>
      </c>
      <c r="Y702" s="10">
        <v>3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29">
        <v>0.78</v>
      </c>
    </row>
    <row r="703">
      <c r="A703" s="23">
        <v>5023</v>
      </c>
      <c r="B703" s="4" t="s">
        <v>965</v>
      </c>
      <c r="C703" s="4" t="s">
        <v>171</v>
      </c>
      <c r="D703" s="4" t="s">
        <v>189</v>
      </c>
      <c r="E703" s="4" t="s">
        <v>200</v>
      </c>
      <c r="F703" s="6">
        <v>4</v>
      </c>
      <c r="G703" s="5">
        <v>1</v>
      </c>
      <c r="H703" s="7">
        <v>0</v>
      </c>
      <c r="I703" s="5">
        <v>1</v>
      </c>
      <c r="J703" s="7">
        <v>0</v>
      </c>
      <c r="K703" s="5">
        <v>2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5">
        <v>1</v>
      </c>
      <c r="W703" s="7">
        <v>0</v>
      </c>
      <c r="X703" s="5">
        <v>1</v>
      </c>
      <c r="Y703" s="7">
        <v>0</v>
      </c>
      <c r="Z703" s="5">
        <v>2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1.33</v>
      </c>
      <c r="AL703" s="5">
        <v>1</v>
      </c>
      <c r="AM703" s="5">
        <v>2</v>
      </c>
      <c r="AN703" s="28">
        <v>1.11</v>
      </c>
    </row>
    <row r="704">
      <c r="A704" s="24">
        <v>5032</v>
      </c>
      <c r="B704" s="9" t="s">
        <v>966</v>
      </c>
      <c r="C704" s="9" t="s">
        <v>63</v>
      </c>
      <c r="D704" s="9" t="s">
        <v>73</v>
      </c>
      <c r="E704" s="9" t="s">
        <v>445</v>
      </c>
      <c r="F704" s="11">
        <v>5</v>
      </c>
      <c r="G704" s="10">
        <v>2</v>
      </c>
      <c r="H704" s="12">
        <v>0</v>
      </c>
      <c r="I704" s="12">
        <v>0</v>
      </c>
      <c r="J704" s="10">
        <v>2</v>
      </c>
      <c r="K704" s="10">
        <v>1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5</v>
      </c>
      <c r="V704" s="10">
        <v>2</v>
      </c>
      <c r="W704" s="12">
        <v>0</v>
      </c>
      <c r="X704" s="12">
        <v>0</v>
      </c>
      <c r="Y704" s="10">
        <v>2</v>
      </c>
      <c r="Z704" s="10">
        <v>1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1.25</v>
      </c>
      <c r="AL704" s="10">
        <v>1</v>
      </c>
      <c r="AM704" s="10">
        <v>2</v>
      </c>
      <c r="AN704" s="29">
        <v>0.5</v>
      </c>
    </row>
    <row r="705">
      <c r="A705" s="23">
        <v>5045</v>
      </c>
      <c r="B705" s="4" t="s">
        <v>967</v>
      </c>
      <c r="C705" s="4" t="s">
        <v>63</v>
      </c>
      <c r="D705" s="4" t="s">
        <v>109</v>
      </c>
      <c r="E705" s="4" t="s">
        <v>616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5049</v>
      </c>
      <c r="B706" s="9" t="s">
        <v>968</v>
      </c>
      <c r="C706" s="9" t="s">
        <v>63</v>
      </c>
      <c r="D706" s="9" t="s">
        <v>133</v>
      </c>
      <c r="E706" s="9" t="s">
        <v>134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49">
        <v>0</v>
      </c>
    </row>
    <row r="707">
      <c r="A707" s="23">
        <v>5058</v>
      </c>
      <c r="B707" s="4" t="s">
        <v>969</v>
      </c>
      <c r="C707" s="4" t="s">
        <v>63</v>
      </c>
      <c r="D707" s="4" t="s">
        <v>80</v>
      </c>
      <c r="E707" s="4" t="s">
        <v>81</v>
      </c>
      <c r="F707" s="6">
        <v>2</v>
      </c>
      <c r="G707" s="5">
        <v>1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5">
        <v>1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5059</v>
      </c>
      <c r="B708" s="9" t="s">
        <v>970</v>
      </c>
      <c r="C708" s="9" t="s">
        <v>63</v>
      </c>
      <c r="D708" s="9" t="s">
        <v>103</v>
      </c>
      <c r="E708" s="9" t="s">
        <v>735</v>
      </c>
      <c r="F708" s="11">
        <v>2</v>
      </c>
      <c r="G708" s="12">
        <v>0</v>
      </c>
      <c r="H708" s="12">
        <v>0</v>
      </c>
      <c r="I708" s="10">
        <v>1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2">
        <v>0</v>
      </c>
      <c r="W708" s="12">
        <v>0</v>
      </c>
      <c r="X708" s="10">
        <v>1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0.5</v>
      </c>
    </row>
    <row r="709">
      <c r="A709" s="23">
        <v>5060</v>
      </c>
      <c r="B709" s="4" t="s">
        <v>971</v>
      </c>
      <c r="C709" s="4" t="s">
        <v>63</v>
      </c>
      <c r="D709" s="4" t="s">
        <v>76</v>
      </c>
      <c r="E709" s="4" t="s">
        <v>163</v>
      </c>
      <c r="F709" s="6">
        <v>2</v>
      </c>
      <c r="G709" s="7">
        <v>0</v>
      </c>
      <c r="H709" s="7">
        <v>0</v>
      </c>
      <c r="I709" s="5">
        <v>1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7">
        <v>0</v>
      </c>
      <c r="W709" s="7">
        <v>0</v>
      </c>
      <c r="X709" s="5">
        <v>1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0.34</v>
      </c>
    </row>
    <row r="710">
      <c r="A710" s="24">
        <v>5063</v>
      </c>
      <c r="B710" s="9" t="s">
        <v>972</v>
      </c>
      <c r="C710" s="9" t="s">
        <v>63</v>
      </c>
      <c r="D710" s="9" t="s">
        <v>90</v>
      </c>
      <c r="E710" s="9" t="s">
        <v>91</v>
      </c>
      <c r="F710" s="11">
        <v>2</v>
      </c>
      <c r="G710" s="10">
        <v>1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9">
        <v>0</v>
      </c>
    </row>
    <row r="711">
      <c r="A711" s="23">
        <v>5064</v>
      </c>
      <c r="B711" s="4" t="s">
        <v>973</v>
      </c>
      <c r="C711" s="4" t="s">
        <v>63</v>
      </c>
      <c r="D711" s="4" t="s">
        <v>76</v>
      </c>
      <c r="E711" s="4" t="s">
        <v>163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30">
        <v>0</v>
      </c>
    </row>
    <row r="712">
      <c r="A712" s="24">
        <v>5065</v>
      </c>
      <c r="B712" s="9" t="s">
        <v>974</v>
      </c>
      <c r="C712" s="9" t="s">
        <v>63</v>
      </c>
      <c r="D712" s="9" t="s">
        <v>85</v>
      </c>
      <c r="E712" s="9" t="s">
        <v>432</v>
      </c>
      <c r="F712" s="11">
        <v>2</v>
      </c>
      <c r="G712" s="10">
        <v>1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0">
        <v>1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9">
        <v>0</v>
      </c>
    </row>
    <row r="713">
      <c r="A713" s="23">
        <v>5067</v>
      </c>
      <c r="B713" s="4" t="s">
        <v>975</v>
      </c>
      <c r="C713" s="4" t="s">
        <v>63</v>
      </c>
      <c r="D713" s="4" t="s">
        <v>133</v>
      </c>
      <c r="E713" s="4" t="s">
        <v>326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0.39</v>
      </c>
    </row>
    <row r="714">
      <c r="A714" s="24">
        <v>5071</v>
      </c>
      <c r="B714" s="9" t="s">
        <v>976</v>
      </c>
      <c r="C714" s="9" t="s">
        <v>63</v>
      </c>
      <c r="D714" s="9" t="s">
        <v>67</v>
      </c>
      <c r="E714" s="9" t="s">
        <v>71</v>
      </c>
      <c r="F714" s="11">
        <v>2</v>
      </c>
      <c r="G714" s="12">
        <v>0</v>
      </c>
      <c r="H714" s="10">
        <v>1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2">
        <v>0</v>
      </c>
      <c r="W714" s="10">
        <v>1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0.62</v>
      </c>
    </row>
    <row r="715">
      <c r="A715" s="23">
        <v>5075</v>
      </c>
      <c r="B715" s="4" t="s">
        <v>977</v>
      </c>
      <c r="C715" s="4" t="s">
        <v>63</v>
      </c>
      <c r="D715" s="4" t="s">
        <v>133</v>
      </c>
      <c r="E715" s="4" t="s">
        <v>134</v>
      </c>
      <c r="F715" s="6">
        <v>2</v>
      </c>
      <c r="G715" s="5">
        <v>1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5">
        <v>1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0.5</v>
      </c>
    </row>
    <row r="716">
      <c r="A716" s="24">
        <v>5085</v>
      </c>
      <c r="B716" s="9" t="s">
        <v>978</v>
      </c>
      <c r="C716" s="9" t="s">
        <v>63</v>
      </c>
      <c r="D716" s="9" t="s">
        <v>93</v>
      </c>
      <c r="E716" s="9" t="s">
        <v>156</v>
      </c>
      <c r="F716" s="11">
        <v>4</v>
      </c>
      <c r="G716" s="10">
        <v>4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0">
        <v>4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4</v>
      </c>
      <c r="AK716" s="13">
        <v>4</v>
      </c>
      <c r="AL716" s="10">
        <v>4</v>
      </c>
      <c r="AM716" s="10">
        <v>4</v>
      </c>
      <c r="AN716" s="49">
        <v>0</v>
      </c>
    </row>
    <row r="717">
      <c r="A717" s="23">
        <v>5092</v>
      </c>
      <c r="B717" s="4" t="s">
        <v>979</v>
      </c>
      <c r="C717" s="4" t="s">
        <v>63</v>
      </c>
      <c r="D717" s="4" t="s">
        <v>85</v>
      </c>
      <c r="E717" s="4" t="s">
        <v>432</v>
      </c>
      <c r="F717" s="6">
        <v>4</v>
      </c>
      <c r="G717" s="5">
        <v>4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4</v>
      </c>
      <c r="V717" s="5">
        <v>4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1.33</v>
      </c>
      <c r="AL717" s="5">
        <v>1</v>
      </c>
      <c r="AM717" s="5">
        <v>2</v>
      </c>
      <c r="AN717" s="28">
        <v>0.63</v>
      </c>
    </row>
    <row r="718">
      <c r="A718" s="24">
        <v>5102</v>
      </c>
      <c r="B718" s="9" t="s">
        <v>980</v>
      </c>
      <c r="C718" s="9" t="s">
        <v>63</v>
      </c>
      <c r="D718" s="9" t="s">
        <v>103</v>
      </c>
      <c r="E718" s="9" t="s">
        <v>131</v>
      </c>
      <c r="F718" s="11">
        <v>2</v>
      </c>
      <c r="G718" s="10">
        <v>1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1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9">
        <v>0</v>
      </c>
    </row>
    <row r="719">
      <c r="A719" s="23">
        <v>5103</v>
      </c>
      <c r="B719" s="4" t="s">
        <v>981</v>
      </c>
      <c r="C719" s="4" t="s">
        <v>141</v>
      </c>
      <c r="D719" s="4" t="s">
        <v>423</v>
      </c>
      <c r="E719" s="4" t="s">
        <v>982</v>
      </c>
      <c r="F719" s="6">
        <v>7</v>
      </c>
      <c r="G719" s="5">
        <v>2</v>
      </c>
      <c r="H719" s="5">
        <v>1</v>
      </c>
      <c r="I719" s="5">
        <v>4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7</v>
      </c>
      <c r="V719" s="5">
        <v>2</v>
      </c>
      <c r="W719" s="5">
        <v>1</v>
      </c>
      <c r="X719" s="5">
        <v>4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2.33</v>
      </c>
      <c r="AL719" s="5">
        <v>2</v>
      </c>
      <c r="AM719" s="5">
        <v>4</v>
      </c>
      <c r="AN719" s="30">
        <v>0</v>
      </c>
    </row>
    <row r="720">
      <c r="A720" s="24">
        <v>5148</v>
      </c>
      <c r="B720" s="9" t="s">
        <v>983</v>
      </c>
      <c r="C720" s="9" t="s">
        <v>63</v>
      </c>
      <c r="D720" s="9" t="s">
        <v>85</v>
      </c>
      <c r="E720" s="9" t="s">
        <v>147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0.26</v>
      </c>
    </row>
    <row r="721">
      <c r="A721" s="23">
        <v>5149</v>
      </c>
      <c r="B721" s="4" t="s">
        <v>984</v>
      </c>
      <c r="C721" s="4" t="s">
        <v>63</v>
      </c>
      <c r="D721" s="4" t="s">
        <v>85</v>
      </c>
      <c r="E721" s="4" t="s">
        <v>147</v>
      </c>
      <c r="F721" s="6">
        <v>2</v>
      </c>
      <c r="G721" s="7">
        <v>0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28">
        <v>0.25</v>
      </c>
    </row>
    <row r="722">
      <c r="A722" s="24">
        <v>5150</v>
      </c>
      <c r="B722" s="9" t="s">
        <v>985</v>
      </c>
      <c r="C722" s="9" t="s">
        <v>63</v>
      </c>
      <c r="D722" s="9" t="s">
        <v>85</v>
      </c>
      <c r="E722" s="9" t="s">
        <v>147</v>
      </c>
      <c r="F722" s="11">
        <v>3</v>
      </c>
      <c r="G722" s="10">
        <v>2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0">
        <v>2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1.5</v>
      </c>
      <c r="AL722" s="10">
        <v>1</v>
      </c>
      <c r="AM722" s="10">
        <v>2</v>
      </c>
      <c r="AN722" s="49">
        <v>0</v>
      </c>
    </row>
    <row r="723">
      <c r="A723" s="23">
        <v>5169</v>
      </c>
      <c r="B723" s="4" t="s">
        <v>986</v>
      </c>
      <c r="C723" s="4" t="s">
        <v>63</v>
      </c>
      <c r="D723" s="4" t="s">
        <v>133</v>
      </c>
      <c r="E723" s="4" t="s">
        <v>251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5172</v>
      </c>
      <c r="B724" s="9" t="s">
        <v>987</v>
      </c>
      <c r="C724" s="9" t="s">
        <v>360</v>
      </c>
      <c r="D724" s="9" t="s">
        <v>988</v>
      </c>
      <c r="E724" s="9" t="s">
        <v>362</v>
      </c>
      <c r="F724" s="11">
        <v>1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2">
        <v>0</v>
      </c>
      <c r="W724" s="12">
        <v>0</v>
      </c>
      <c r="X724" s="12">
        <v>0</v>
      </c>
      <c r="Y724" s="12">
        <v>0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9">
        <v>0</v>
      </c>
    </row>
    <row r="725">
      <c r="A725" s="23">
        <v>5186</v>
      </c>
      <c r="B725" s="4" t="s">
        <v>989</v>
      </c>
      <c r="C725" s="4" t="s">
        <v>171</v>
      </c>
      <c r="D725" s="4" t="s">
        <v>172</v>
      </c>
      <c r="E725" s="4" t="s">
        <v>184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5193</v>
      </c>
      <c r="B726" s="9" t="s">
        <v>990</v>
      </c>
      <c r="C726" s="9" t="s">
        <v>63</v>
      </c>
      <c r="D726" s="9" t="s">
        <v>85</v>
      </c>
      <c r="E726" s="9" t="s">
        <v>86</v>
      </c>
      <c r="F726" s="11">
        <v>2</v>
      </c>
      <c r="G726" s="12">
        <v>0</v>
      </c>
      <c r="H726" s="12">
        <v>0</v>
      </c>
      <c r="I726" s="12">
        <v>0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2">
        <v>0</v>
      </c>
      <c r="W726" s="12">
        <v>0</v>
      </c>
      <c r="X726" s="12">
        <v>0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0.5</v>
      </c>
    </row>
    <row r="727">
      <c r="A727" s="23">
        <v>5199</v>
      </c>
      <c r="B727" s="4" t="s">
        <v>991</v>
      </c>
      <c r="C727" s="4" t="s">
        <v>63</v>
      </c>
      <c r="D727" s="4" t="s">
        <v>80</v>
      </c>
      <c r="E727" s="4" t="s">
        <v>81</v>
      </c>
      <c r="F727" s="6">
        <v>2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5">
        <v>1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5">
        <v>1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0.26</v>
      </c>
    </row>
    <row r="728">
      <c r="A728" s="24">
        <v>5200</v>
      </c>
      <c r="B728" s="9" t="s">
        <v>992</v>
      </c>
      <c r="C728" s="9" t="s">
        <v>63</v>
      </c>
      <c r="D728" s="9" t="s">
        <v>80</v>
      </c>
      <c r="E728" s="9" t="s">
        <v>81</v>
      </c>
      <c r="F728" s="11">
        <v>1</v>
      </c>
      <c r="G728" s="12">
        <v>0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5202</v>
      </c>
      <c r="B729" s="4" t="s">
        <v>993</v>
      </c>
      <c r="C729" s="4" t="s">
        <v>63</v>
      </c>
      <c r="D729" s="4" t="s">
        <v>115</v>
      </c>
      <c r="E729" s="4" t="s">
        <v>116</v>
      </c>
      <c r="F729" s="6">
        <v>3</v>
      </c>
      <c r="G729" s="5">
        <v>3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3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0.36</v>
      </c>
    </row>
    <row r="730">
      <c r="A730" s="24">
        <v>5204</v>
      </c>
      <c r="B730" s="9" t="s">
        <v>994</v>
      </c>
      <c r="C730" s="9" t="s">
        <v>171</v>
      </c>
      <c r="D730" s="9" t="s">
        <v>172</v>
      </c>
      <c r="E730" s="9" t="s">
        <v>184</v>
      </c>
      <c r="F730" s="11">
        <v>3</v>
      </c>
      <c r="G730" s="12">
        <v>0</v>
      </c>
      <c r="H730" s="12">
        <v>0</v>
      </c>
      <c r="I730" s="12">
        <v>0</v>
      </c>
      <c r="J730" s="12">
        <v>0</v>
      </c>
      <c r="K730" s="10">
        <v>3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2">
        <v>0</v>
      </c>
      <c r="W730" s="12">
        <v>0</v>
      </c>
      <c r="X730" s="12">
        <v>0</v>
      </c>
      <c r="Y730" s="12">
        <v>0</v>
      </c>
      <c r="Z730" s="10">
        <v>2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3</v>
      </c>
      <c r="AK730" s="13">
        <v>3</v>
      </c>
      <c r="AL730" s="10">
        <v>3</v>
      </c>
      <c r="AM730" s="10">
        <v>3</v>
      </c>
      <c r="AN730" s="49">
        <v>0</v>
      </c>
    </row>
    <row r="731">
      <c r="A731" s="23">
        <v>5212</v>
      </c>
      <c r="B731" s="4" t="s">
        <v>995</v>
      </c>
      <c r="C731" s="4" t="s">
        <v>63</v>
      </c>
      <c r="D731" s="4" t="s">
        <v>76</v>
      </c>
      <c r="E731" s="4" t="s">
        <v>83</v>
      </c>
      <c r="F731" s="6">
        <v>1</v>
      </c>
      <c r="G731" s="7">
        <v>0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0.36</v>
      </c>
    </row>
    <row r="732">
      <c r="A732" s="24">
        <v>5223</v>
      </c>
      <c r="B732" s="9" t="s">
        <v>996</v>
      </c>
      <c r="C732" s="9" t="s">
        <v>63</v>
      </c>
      <c r="D732" s="9" t="s">
        <v>133</v>
      </c>
      <c r="E732" s="9" t="s">
        <v>220</v>
      </c>
      <c r="F732" s="11">
        <v>2</v>
      </c>
      <c r="G732" s="10">
        <v>2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0">
        <v>2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49">
        <v>0</v>
      </c>
    </row>
    <row r="733">
      <c r="A733" s="23">
        <v>5240</v>
      </c>
      <c r="B733" s="4" t="s">
        <v>997</v>
      </c>
      <c r="C733" s="4" t="s">
        <v>63</v>
      </c>
      <c r="D733" s="4" t="s">
        <v>85</v>
      </c>
      <c r="E733" s="4" t="s">
        <v>86</v>
      </c>
      <c r="F733" s="6">
        <v>1</v>
      </c>
      <c r="G733" s="7">
        <v>0</v>
      </c>
      <c r="H733" s="5">
        <v>1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5">
        <v>1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0.24</v>
      </c>
    </row>
    <row r="734">
      <c r="A734" s="24">
        <v>5249</v>
      </c>
      <c r="B734" s="9" t="s">
        <v>998</v>
      </c>
      <c r="C734" s="9" t="s">
        <v>63</v>
      </c>
      <c r="D734" s="9" t="s">
        <v>85</v>
      </c>
      <c r="E734" s="9" t="s">
        <v>86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9">
        <v>0</v>
      </c>
    </row>
    <row r="735">
      <c r="A735" s="23">
        <v>5259</v>
      </c>
      <c r="B735" s="4" t="s">
        <v>999</v>
      </c>
      <c r="C735" s="4" t="s">
        <v>63</v>
      </c>
      <c r="D735" s="4" t="s">
        <v>85</v>
      </c>
      <c r="E735" s="4" t="s">
        <v>86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0.26</v>
      </c>
    </row>
    <row r="736">
      <c r="A736" s="24">
        <v>5278</v>
      </c>
      <c r="B736" s="9" t="s">
        <v>905</v>
      </c>
      <c r="C736" s="9" t="s">
        <v>63</v>
      </c>
      <c r="D736" s="9" t="s">
        <v>85</v>
      </c>
      <c r="E736" s="9" t="s">
        <v>86</v>
      </c>
      <c r="F736" s="11">
        <v>2</v>
      </c>
      <c r="G736" s="10">
        <v>1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1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5280</v>
      </c>
      <c r="B737" s="4" t="s">
        <v>1000</v>
      </c>
      <c r="C737" s="4" t="s">
        <v>63</v>
      </c>
      <c r="D737" s="4" t="s">
        <v>85</v>
      </c>
      <c r="E737" s="4" t="s">
        <v>86</v>
      </c>
      <c r="F737" s="6">
        <v>1</v>
      </c>
      <c r="G737" s="7">
        <v>0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5296</v>
      </c>
      <c r="B738" s="9" t="s">
        <v>1001</v>
      </c>
      <c r="C738" s="9" t="s">
        <v>63</v>
      </c>
      <c r="D738" s="9" t="s">
        <v>80</v>
      </c>
      <c r="E738" s="9" t="s">
        <v>350</v>
      </c>
      <c r="F738" s="11">
        <v>2</v>
      </c>
      <c r="G738" s="12">
        <v>0</v>
      </c>
      <c r="H738" s="10">
        <v>1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2">
        <v>0</v>
      </c>
      <c r="W738" s="10">
        <v>1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9">
        <v>0</v>
      </c>
    </row>
    <row r="739">
      <c r="A739" s="23">
        <v>5301</v>
      </c>
      <c r="B739" s="4" t="s">
        <v>1002</v>
      </c>
      <c r="C739" s="4" t="s">
        <v>63</v>
      </c>
      <c r="D739" s="4" t="s">
        <v>103</v>
      </c>
      <c r="E739" s="4" t="s">
        <v>1003</v>
      </c>
      <c r="F739" s="6">
        <v>7</v>
      </c>
      <c r="G739" s="5">
        <v>1</v>
      </c>
      <c r="H739" s="7">
        <v>0</v>
      </c>
      <c r="I739" s="7">
        <v>0</v>
      </c>
      <c r="J739" s="5">
        <v>6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5</v>
      </c>
      <c r="V739" s="5">
        <v>1</v>
      </c>
      <c r="W739" s="7">
        <v>0</v>
      </c>
      <c r="X739" s="7">
        <v>0</v>
      </c>
      <c r="Y739" s="5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2.33</v>
      </c>
      <c r="AL739" s="5">
        <v>3</v>
      </c>
      <c r="AM739" s="5">
        <v>3</v>
      </c>
      <c r="AN739" s="28">
        <v>0.75</v>
      </c>
    </row>
    <row r="740">
      <c r="A740" s="24">
        <v>5305</v>
      </c>
      <c r="B740" s="9" t="s">
        <v>1004</v>
      </c>
      <c r="C740" s="9" t="s">
        <v>63</v>
      </c>
      <c r="D740" s="9" t="s">
        <v>133</v>
      </c>
      <c r="E740" s="9" t="s">
        <v>134</v>
      </c>
      <c r="F740" s="11">
        <v>1</v>
      </c>
      <c r="G740" s="12">
        <v>0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0.24</v>
      </c>
    </row>
    <row r="741">
      <c r="A741" s="23">
        <v>5315</v>
      </c>
      <c r="B741" s="4" t="s">
        <v>1005</v>
      </c>
      <c r="C741" s="4" t="s">
        <v>63</v>
      </c>
      <c r="D741" s="4" t="s">
        <v>80</v>
      </c>
      <c r="E741" s="4" t="s">
        <v>413</v>
      </c>
      <c r="F741" s="6">
        <v>4</v>
      </c>
      <c r="G741" s="5">
        <v>2</v>
      </c>
      <c r="H741" s="7">
        <v>0</v>
      </c>
      <c r="I741" s="5">
        <v>1</v>
      </c>
      <c r="J741" s="7">
        <v>0</v>
      </c>
      <c r="K741" s="7">
        <v>0</v>
      </c>
      <c r="L741" s="5">
        <v>1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4</v>
      </c>
      <c r="V741" s="5">
        <v>2</v>
      </c>
      <c r="W741" s="7">
        <v>0</v>
      </c>
      <c r="X741" s="5">
        <v>1</v>
      </c>
      <c r="Y741" s="7">
        <v>0</v>
      </c>
      <c r="Z741" s="7">
        <v>0</v>
      </c>
      <c r="AA741" s="5">
        <v>1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1.33</v>
      </c>
      <c r="AL741" s="5">
        <v>1</v>
      </c>
      <c r="AM741" s="5">
        <v>2</v>
      </c>
      <c r="AN741" s="30">
        <v>0</v>
      </c>
    </row>
    <row r="742">
      <c r="A742" s="24">
        <v>5334</v>
      </c>
      <c r="B742" s="9" t="s">
        <v>1006</v>
      </c>
      <c r="C742" s="9" t="s">
        <v>63</v>
      </c>
      <c r="D742" s="9" t="s">
        <v>115</v>
      </c>
      <c r="E742" s="9" t="s">
        <v>875</v>
      </c>
      <c r="F742" s="11">
        <v>3</v>
      </c>
      <c r="G742" s="10">
        <v>2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2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0.62</v>
      </c>
    </row>
    <row r="743">
      <c r="A743" s="23">
        <v>5337</v>
      </c>
      <c r="B743" s="4" t="s">
        <v>1007</v>
      </c>
      <c r="C743" s="4" t="s">
        <v>63</v>
      </c>
      <c r="D743" s="4" t="s">
        <v>115</v>
      </c>
      <c r="E743" s="4" t="s">
        <v>222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5353</v>
      </c>
      <c r="B744" s="9" t="s">
        <v>1008</v>
      </c>
      <c r="C744" s="9" t="s">
        <v>63</v>
      </c>
      <c r="D744" s="9" t="s">
        <v>133</v>
      </c>
      <c r="E744" s="9" t="s">
        <v>251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9">
        <v>0</v>
      </c>
    </row>
    <row r="745">
      <c r="A745" s="23">
        <v>5361</v>
      </c>
      <c r="B745" s="4" t="s">
        <v>1009</v>
      </c>
      <c r="C745" s="4" t="s">
        <v>63</v>
      </c>
      <c r="D745" s="4" t="s">
        <v>67</v>
      </c>
      <c r="E745" s="4" t="s">
        <v>71</v>
      </c>
      <c r="F745" s="6">
        <v>2</v>
      </c>
      <c r="G745" s="5">
        <v>1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1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0.5</v>
      </c>
    </row>
    <row r="746">
      <c r="A746" s="24">
        <v>5362</v>
      </c>
      <c r="B746" s="9" t="s">
        <v>1010</v>
      </c>
      <c r="C746" s="9" t="s">
        <v>63</v>
      </c>
      <c r="D746" s="9" t="s">
        <v>67</v>
      </c>
      <c r="E746" s="9" t="s">
        <v>71</v>
      </c>
      <c r="F746" s="11">
        <v>2</v>
      </c>
      <c r="G746" s="12">
        <v>0</v>
      </c>
      <c r="H746" s="10">
        <v>1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2">
        <v>0</v>
      </c>
      <c r="W746" s="10">
        <v>1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0.6</v>
      </c>
    </row>
    <row r="747">
      <c r="A747" s="23">
        <v>5371</v>
      </c>
      <c r="B747" s="4" t="s">
        <v>1011</v>
      </c>
      <c r="C747" s="4" t="s">
        <v>63</v>
      </c>
      <c r="D747" s="4" t="s">
        <v>115</v>
      </c>
      <c r="E747" s="4" t="s">
        <v>118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5381</v>
      </c>
      <c r="B748" s="9" t="s">
        <v>1012</v>
      </c>
      <c r="C748" s="9" t="s">
        <v>63</v>
      </c>
      <c r="D748" s="9" t="s">
        <v>85</v>
      </c>
      <c r="E748" s="9" t="s">
        <v>231</v>
      </c>
      <c r="F748" s="11">
        <v>1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0">
        <v>1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0">
        <v>1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9">
        <v>0</v>
      </c>
    </row>
    <row r="749">
      <c r="A749" s="23">
        <v>5382</v>
      </c>
      <c r="B749" s="4" t="s">
        <v>1013</v>
      </c>
      <c r="C749" s="4" t="s">
        <v>63</v>
      </c>
      <c r="D749" s="4" t="s">
        <v>76</v>
      </c>
      <c r="E749" s="4" t="s">
        <v>83</v>
      </c>
      <c r="F749" s="6">
        <v>11</v>
      </c>
      <c r="G749" s="5">
        <v>6</v>
      </c>
      <c r="H749" s="7">
        <v>0</v>
      </c>
      <c r="I749" s="5">
        <v>2</v>
      </c>
      <c r="J749" s="5">
        <v>3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11</v>
      </c>
      <c r="V749" s="5">
        <v>6</v>
      </c>
      <c r="W749" s="7">
        <v>0</v>
      </c>
      <c r="X749" s="5">
        <v>2</v>
      </c>
      <c r="Y749" s="5">
        <v>3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2.75</v>
      </c>
      <c r="AL749" s="5">
        <v>2</v>
      </c>
      <c r="AM749" s="5">
        <v>6</v>
      </c>
      <c r="AN749" s="30">
        <v>0</v>
      </c>
    </row>
    <row r="750">
      <c r="A750" s="24">
        <v>5427</v>
      </c>
      <c r="B750" s="9" t="s">
        <v>1014</v>
      </c>
      <c r="C750" s="9" t="s">
        <v>141</v>
      </c>
      <c r="D750" s="9" t="s">
        <v>436</v>
      </c>
      <c r="E750" s="9" t="s">
        <v>1015</v>
      </c>
      <c r="F750" s="11">
        <v>2</v>
      </c>
      <c r="G750" s="10">
        <v>1</v>
      </c>
      <c r="H750" s="10">
        <v>1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0">
        <v>1</v>
      </c>
      <c r="W750" s="10">
        <v>1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9">
        <v>0</v>
      </c>
    </row>
    <row r="751">
      <c r="A751" s="23">
        <v>5446</v>
      </c>
      <c r="B751" s="4" t="s">
        <v>1016</v>
      </c>
      <c r="C751" s="4" t="s">
        <v>63</v>
      </c>
      <c r="D751" s="4" t="s">
        <v>115</v>
      </c>
      <c r="E751" s="4" t="s">
        <v>129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5463</v>
      </c>
      <c r="B752" s="9" t="s">
        <v>1017</v>
      </c>
      <c r="C752" s="9" t="s">
        <v>141</v>
      </c>
      <c r="D752" s="9" t="s">
        <v>429</v>
      </c>
      <c r="E752" s="9" t="s">
        <v>430</v>
      </c>
      <c r="F752" s="11">
        <v>2</v>
      </c>
      <c r="G752" s="10">
        <v>1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1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9">
        <v>0</v>
      </c>
    </row>
    <row r="753">
      <c r="A753" s="23">
        <v>5475</v>
      </c>
      <c r="B753" s="4" t="s">
        <v>1018</v>
      </c>
      <c r="C753" s="4" t="s">
        <v>63</v>
      </c>
      <c r="D753" s="4" t="s">
        <v>73</v>
      </c>
      <c r="E753" s="4" t="s">
        <v>1019</v>
      </c>
      <c r="F753" s="6">
        <v>3</v>
      </c>
      <c r="G753" s="5">
        <v>1</v>
      </c>
      <c r="H753" s="7">
        <v>0</v>
      </c>
      <c r="I753" s="5">
        <v>1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3</v>
      </c>
      <c r="V753" s="5">
        <v>1</v>
      </c>
      <c r="W753" s="7">
        <v>0</v>
      </c>
      <c r="X753" s="5">
        <v>1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0.26</v>
      </c>
    </row>
    <row r="754">
      <c r="A754" s="24">
        <v>5476</v>
      </c>
      <c r="B754" s="9" t="s">
        <v>1020</v>
      </c>
      <c r="C754" s="9" t="s">
        <v>141</v>
      </c>
      <c r="D754" s="9" t="s">
        <v>371</v>
      </c>
      <c r="E754" s="9" t="s">
        <v>380</v>
      </c>
      <c r="F754" s="11">
        <v>4</v>
      </c>
      <c r="G754" s="10">
        <v>1</v>
      </c>
      <c r="H754" s="12">
        <v>0</v>
      </c>
      <c r="I754" s="12">
        <v>0</v>
      </c>
      <c r="J754" s="10">
        <v>3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4</v>
      </c>
      <c r="V754" s="10">
        <v>1</v>
      </c>
      <c r="W754" s="12">
        <v>0</v>
      </c>
      <c r="X754" s="12">
        <v>0</v>
      </c>
      <c r="Y754" s="10">
        <v>3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</v>
      </c>
      <c r="AL754" s="10">
        <v>2</v>
      </c>
      <c r="AM754" s="10">
        <v>3</v>
      </c>
      <c r="AN754" s="29">
        <v>0.75</v>
      </c>
    </row>
    <row r="755">
      <c r="A755" s="23">
        <v>5477</v>
      </c>
      <c r="B755" s="4" t="s">
        <v>1021</v>
      </c>
      <c r="C755" s="4" t="s">
        <v>141</v>
      </c>
      <c r="D755" s="4" t="s">
        <v>423</v>
      </c>
      <c r="E755" s="4" t="s">
        <v>982</v>
      </c>
      <c r="F755" s="6">
        <v>2</v>
      </c>
      <c r="G755" s="7">
        <v>0</v>
      </c>
      <c r="H755" s="5">
        <v>1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5">
        <v>1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7">
        <v>0</v>
      </c>
      <c r="W755" s="5">
        <v>1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5">
        <v>1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0.5</v>
      </c>
    </row>
    <row r="756">
      <c r="A756" s="24">
        <v>5479</v>
      </c>
      <c r="B756" s="9" t="s">
        <v>1022</v>
      </c>
      <c r="C756" s="9" t="s">
        <v>63</v>
      </c>
      <c r="D756" s="9" t="s">
        <v>85</v>
      </c>
      <c r="E756" s="9" t="s">
        <v>231</v>
      </c>
      <c r="F756" s="11">
        <v>6</v>
      </c>
      <c r="G756" s="12">
        <v>0</v>
      </c>
      <c r="H756" s="10">
        <v>3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0">
        <v>1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6</v>
      </c>
      <c r="V756" s="12">
        <v>0</v>
      </c>
      <c r="W756" s="10">
        <v>3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0">
        <v>1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</v>
      </c>
      <c r="AL756" s="10">
        <v>2</v>
      </c>
      <c r="AM756" s="10">
        <v>3</v>
      </c>
      <c r="AN756" s="29">
        <v>1.3</v>
      </c>
    </row>
    <row r="757">
      <c r="A757" s="23">
        <v>5498</v>
      </c>
      <c r="B757" s="4" t="s">
        <v>1023</v>
      </c>
      <c r="C757" s="4" t="s">
        <v>63</v>
      </c>
      <c r="D757" s="4" t="s">
        <v>85</v>
      </c>
      <c r="E757" s="4" t="s">
        <v>432</v>
      </c>
      <c r="F757" s="6">
        <v>2</v>
      </c>
      <c r="G757" s="7">
        <v>0</v>
      </c>
      <c r="H757" s="7">
        <v>0</v>
      </c>
      <c r="I757" s="5">
        <v>1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7">
        <v>0</v>
      </c>
      <c r="W757" s="7">
        <v>0</v>
      </c>
      <c r="X757" s="5">
        <v>1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5500</v>
      </c>
      <c r="B758" s="9" t="s">
        <v>1024</v>
      </c>
      <c r="C758" s="9" t="s">
        <v>63</v>
      </c>
      <c r="D758" s="9" t="s">
        <v>133</v>
      </c>
      <c r="E758" s="9" t="s">
        <v>251</v>
      </c>
      <c r="F758" s="11">
        <v>1</v>
      </c>
      <c r="G758" s="12">
        <v>0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2">
        <v>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0.35</v>
      </c>
    </row>
    <row r="759">
      <c r="A759" s="23">
        <v>5505</v>
      </c>
      <c r="B759" s="4" t="s">
        <v>1025</v>
      </c>
      <c r="C759" s="4" t="s">
        <v>63</v>
      </c>
      <c r="D759" s="4" t="s">
        <v>67</v>
      </c>
      <c r="E759" s="4" t="s">
        <v>71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5512</v>
      </c>
      <c r="B760" s="9" t="s">
        <v>1026</v>
      </c>
      <c r="C760" s="9" t="s">
        <v>63</v>
      </c>
      <c r="D760" s="9" t="s">
        <v>85</v>
      </c>
      <c r="E760" s="9" t="s">
        <v>231</v>
      </c>
      <c r="F760" s="11">
        <v>2</v>
      </c>
      <c r="G760" s="12">
        <v>0</v>
      </c>
      <c r="H760" s="10">
        <v>2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0">
        <v>2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29">
        <v>0.5</v>
      </c>
    </row>
    <row r="761">
      <c r="A761" s="23">
        <v>5533</v>
      </c>
      <c r="B761" s="4" t="s">
        <v>1027</v>
      </c>
      <c r="C761" s="4" t="s">
        <v>63</v>
      </c>
      <c r="D761" s="4" t="s">
        <v>133</v>
      </c>
      <c r="E761" s="4" t="s">
        <v>251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5536</v>
      </c>
      <c r="B762" s="9" t="s">
        <v>1028</v>
      </c>
      <c r="C762" s="9" t="s">
        <v>141</v>
      </c>
      <c r="D762" s="9" t="s">
        <v>436</v>
      </c>
      <c r="E762" s="9" t="s">
        <v>437</v>
      </c>
      <c r="F762" s="11">
        <v>2</v>
      </c>
      <c r="G762" s="12">
        <v>0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2">
        <v>0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29">
        <v>0.48</v>
      </c>
    </row>
    <row r="763">
      <c r="A763" s="23">
        <v>5546</v>
      </c>
      <c r="B763" s="4" t="s">
        <v>1029</v>
      </c>
      <c r="C763" s="4" t="s">
        <v>171</v>
      </c>
      <c r="D763" s="4" t="s">
        <v>482</v>
      </c>
      <c r="E763" s="4" t="s">
        <v>483</v>
      </c>
      <c r="F763" s="6">
        <v>3</v>
      </c>
      <c r="G763" s="5">
        <v>1</v>
      </c>
      <c r="H763" s="7">
        <v>0</v>
      </c>
      <c r="I763" s="7">
        <v>0</v>
      </c>
      <c r="J763" s="7">
        <v>0</v>
      </c>
      <c r="K763" s="5">
        <v>2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3</v>
      </c>
      <c r="V763" s="5">
        <v>1</v>
      </c>
      <c r="W763" s="7">
        <v>0</v>
      </c>
      <c r="X763" s="7">
        <v>0</v>
      </c>
      <c r="Y763" s="7">
        <v>0</v>
      </c>
      <c r="Z763" s="5">
        <v>2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1.5</v>
      </c>
      <c r="AL763" s="5">
        <v>1</v>
      </c>
      <c r="AM763" s="5">
        <v>2</v>
      </c>
      <c r="AN763" s="30">
        <v>0</v>
      </c>
    </row>
    <row r="764">
      <c r="A764" s="24">
        <v>5561</v>
      </c>
      <c r="B764" s="9" t="s">
        <v>1030</v>
      </c>
      <c r="C764" s="9" t="s">
        <v>63</v>
      </c>
      <c r="D764" s="9" t="s">
        <v>80</v>
      </c>
      <c r="E764" s="9" t="s">
        <v>413</v>
      </c>
      <c r="F764" s="11">
        <v>2</v>
      </c>
      <c r="G764" s="12">
        <v>0</v>
      </c>
      <c r="H764" s="12">
        <v>0</v>
      </c>
      <c r="I764" s="10">
        <v>1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2">
        <v>0</v>
      </c>
      <c r="W764" s="12">
        <v>0</v>
      </c>
      <c r="X764" s="10">
        <v>1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9">
        <v>0</v>
      </c>
    </row>
    <row r="765">
      <c r="A765" s="23">
        <v>5632</v>
      </c>
      <c r="B765" s="4" t="s">
        <v>1031</v>
      </c>
      <c r="C765" s="4" t="s">
        <v>360</v>
      </c>
      <c r="D765" s="4" t="s">
        <v>613</v>
      </c>
      <c r="E765" s="4" t="s">
        <v>362</v>
      </c>
      <c r="F765" s="6">
        <v>2</v>
      </c>
      <c r="G765" s="7">
        <v>0</v>
      </c>
      <c r="H765" s="7">
        <v>0</v>
      </c>
      <c r="I765" s="5">
        <v>2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7">
        <v>0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30">
        <v>0</v>
      </c>
    </row>
    <row r="766">
      <c r="A766" s="24">
        <v>5633</v>
      </c>
      <c r="B766" s="9" t="s">
        <v>1032</v>
      </c>
      <c r="C766" s="9" t="s">
        <v>360</v>
      </c>
      <c r="D766" s="9" t="s">
        <v>613</v>
      </c>
      <c r="E766" s="9" t="s">
        <v>362</v>
      </c>
      <c r="F766" s="11">
        <v>1</v>
      </c>
      <c r="G766" s="12">
        <v>0</v>
      </c>
      <c r="H766" s="12">
        <v>0</v>
      </c>
      <c r="I766" s="10">
        <v>1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0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5645</v>
      </c>
      <c r="B767" s="4" t="s">
        <v>1033</v>
      </c>
      <c r="C767" s="4" t="s">
        <v>360</v>
      </c>
      <c r="D767" s="4" t="s">
        <v>1034</v>
      </c>
      <c r="E767" s="4" t="s">
        <v>362</v>
      </c>
      <c r="F767" s="6">
        <v>1</v>
      </c>
      <c r="G767" s="7">
        <v>0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0.35</v>
      </c>
    </row>
    <row r="768">
      <c r="A768" s="24">
        <v>5749</v>
      </c>
      <c r="B768" s="9" t="s">
        <v>1035</v>
      </c>
      <c r="C768" s="9" t="s">
        <v>360</v>
      </c>
      <c r="D768" s="9" t="s">
        <v>361</v>
      </c>
      <c r="E768" s="9" t="s">
        <v>362</v>
      </c>
      <c r="F768" s="11">
        <v>1</v>
      </c>
      <c r="G768" s="12">
        <v>0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5768</v>
      </c>
      <c r="B769" s="4" t="s">
        <v>1036</v>
      </c>
      <c r="C769" s="4" t="s">
        <v>360</v>
      </c>
      <c r="D769" s="4" t="s">
        <v>593</v>
      </c>
      <c r="E769" s="4" t="s">
        <v>362</v>
      </c>
      <c r="F769" s="6">
        <v>5</v>
      </c>
      <c r="G769" s="5">
        <v>1</v>
      </c>
      <c r="H769" s="7">
        <v>0</v>
      </c>
      <c r="I769" s="5">
        <v>1</v>
      </c>
      <c r="J769" s="5">
        <v>1</v>
      </c>
      <c r="K769" s="5">
        <v>1</v>
      </c>
      <c r="L769" s="7">
        <v>0</v>
      </c>
      <c r="M769" s="7">
        <v>0</v>
      </c>
      <c r="N769" s="5">
        <v>1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5</v>
      </c>
      <c r="V769" s="5">
        <v>1</v>
      </c>
      <c r="W769" s="7">
        <v>0</v>
      </c>
      <c r="X769" s="5">
        <v>1</v>
      </c>
      <c r="Y769" s="5">
        <v>1</v>
      </c>
      <c r="Z769" s="5">
        <v>1</v>
      </c>
      <c r="AA769" s="7">
        <v>0</v>
      </c>
      <c r="AB769" s="7">
        <v>0</v>
      </c>
      <c r="AC769" s="5">
        <v>1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5777</v>
      </c>
      <c r="B770" s="9" t="s">
        <v>1037</v>
      </c>
      <c r="C770" s="9" t="s">
        <v>360</v>
      </c>
      <c r="D770" s="9" t="s">
        <v>1034</v>
      </c>
      <c r="E770" s="9" t="s">
        <v>362</v>
      </c>
      <c r="F770" s="11">
        <v>1</v>
      </c>
      <c r="G770" s="12">
        <v>0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0.22</v>
      </c>
    </row>
    <row r="771">
      <c r="A771" s="23">
        <v>5780</v>
      </c>
      <c r="B771" s="4" t="s">
        <v>1038</v>
      </c>
      <c r="C771" s="4" t="s">
        <v>360</v>
      </c>
      <c r="D771" s="4" t="s">
        <v>1034</v>
      </c>
      <c r="E771" s="4" t="s">
        <v>362</v>
      </c>
      <c r="F771" s="6">
        <v>1</v>
      </c>
      <c r="G771" s="7">
        <v>0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5799</v>
      </c>
      <c r="B772" s="9" t="s">
        <v>1039</v>
      </c>
      <c r="C772" s="9" t="s">
        <v>360</v>
      </c>
      <c r="D772" s="9" t="s">
        <v>751</v>
      </c>
      <c r="E772" s="9" t="s">
        <v>362</v>
      </c>
      <c r="F772" s="11">
        <v>4</v>
      </c>
      <c r="G772" s="12">
        <v>0</v>
      </c>
      <c r="H772" s="12">
        <v>0</v>
      </c>
      <c r="I772" s="10">
        <v>1</v>
      </c>
      <c r="J772" s="10">
        <v>3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2">
        <v>0</v>
      </c>
      <c r="W772" s="12">
        <v>0</v>
      </c>
      <c r="X772" s="10">
        <v>1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</v>
      </c>
      <c r="AL772" s="10">
        <v>2</v>
      </c>
      <c r="AM772" s="10">
        <v>3</v>
      </c>
      <c r="AN772" s="29">
        <v>0.52</v>
      </c>
    </row>
    <row r="773">
      <c r="A773" s="23">
        <v>5804</v>
      </c>
      <c r="B773" s="4" t="s">
        <v>1040</v>
      </c>
      <c r="C773" s="4" t="s">
        <v>360</v>
      </c>
      <c r="D773" s="4" t="s">
        <v>1034</v>
      </c>
      <c r="E773" s="4" t="s">
        <v>362</v>
      </c>
      <c r="F773" s="6">
        <v>2</v>
      </c>
      <c r="G773" s="7">
        <v>0</v>
      </c>
      <c r="H773" s="5">
        <v>1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5">
        <v>1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5818</v>
      </c>
      <c r="B774" s="9" t="s">
        <v>1041</v>
      </c>
      <c r="C774" s="9" t="s">
        <v>360</v>
      </c>
      <c r="D774" s="9" t="s">
        <v>587</v>
      </c>
      <c r="E774" s="9" t="s">
        <v>362</v>
      </c>
      <c r="F774" s="11">
        <v>1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5868</v>
      </c>
      <c r="B775" s="4" t="s">
        <v>1042</v>
      </c>
      <c r="C775" s="4" t="s">
        <v>360</v>
      </c>
      <c r="D775" s="4" t="s">
        <v>1034</v>
      </c>
      <c r="E775" s="4" t="s">
        <v>362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5932</v>
      </c>
      <c r="B776" s="9" t="s">
        <v>1043</v>
      </c>
      <c r="C776" s="9" t="s">
        <v>360</v>
      </c>
      <c r="D776" s="9" t="s">
        <v>361</v>
      </c>
      <c r="E776" s="9" t="s">
        <v>362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9">
        <v>0</v>
      </c>
    </row>
    <row r="777">
      <c r="A777" s="23">
        <v>5954</v>
      </c>
      <c r="B777" s="4" t="s">
        <v>1044</v>
      </c>
      <c r="C777" s="4" t="s">
        <v>605</v>
      </c>
      <c r="D777" s="4" t="s">
        <v>1045</v>
      </c>
      <c r="E777" s="4" t="s">
        <v>1046</v>
      </c>
      <c r="F777" s="6">
        <v>2</v>
      </c>
      <c r="G777" s="7">
        <v>0</v>
      </c>
      <c r="H777" s="7">
        <v>0</v>
      </c>
      <c r="I777" s="5">
        <v>1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7">
        <v>0</v>
      </c>
      <c r="W777" s="7">
        <v>0</v>
      </c>
      <c r="X777" s="5">
        <v>1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0.26</v>
      </c>
    </row>
    <row r="778">
      <c r="A778" s="24">
        <v>5959</v>
      </c>
      <c r="B778" s="9" t="s">
        <v>1047</v>
      </c>
      <c r="C778" s="9" t="s">
        <v>663</v>
      </c>
      <c r="D778" s="9" t="s">
        <v>1048</v>
      </c>
      <c r="E778" s="9" t="s">
        <v>362</v>
      </c>
      <c r="F778" s="11">
        <v>2</v>
      </c>
      <c r="G778" s="12">
        <v>0</v>
      </c>
      <c r="H778" s="12">
        <v>0</v>
      </c>
      <c r="I778" s="10">
        <v>2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49">
        <v>0</v>
      </c>
    </row>
    <row r="779">
      <c r="A779" s="23">
        <v>5980</v>
      </c>
      <c r="B779" s="4" t="s">
        <v>1049</v>
      </c>
      <c r="C779" s="4" t="s">
        <v>605</v>
      </c>
      <c r="D779" s="4" t="s">
        <v>653</v>
      </c>
      <c r="E779" s="4" t="s">
        <v>654</v>
      </c>
      <c r="F779" s="6">
        <v>1</v>
      </c>
      <c r="G779" s="7">
        <v>0</v>
      </c>
      <c r="H779" s="7">
        <v>0</v>
      </c>
      <c r="I779" s="7">
        <v>0</v>
      </c>
      <c r="J779" s="7">
        <v>0</v>
      </c>
      <c r="K779" s="5">
        <v>1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7">
        <v>0</v>
      </c>
      <c r="X779" s="7">
        <v>0</v>
      </c>
      <c r="Y779" s="7">
        <v>0</v>
      </c>
      <c r="Z779" s="5">
        <v>1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6000</v>
      </c>
      <c r="B780" s="9" t="s">
        <v>1050</v>
      </c>
      <c r="C780" s="9" t="s">
        <v>63</v>
      </c>
      <c r="D780" s="9" t="s">
        <v>73</v>
      </c>
      <c r="E780" s="9" t="s">
        <v>389</v>
      </c>
      <c r="F780" s="11">
        <v>1</v>
      </c>
      <c r="G780" s="12">
        <v>0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9">
        <v>0</v>
      </c>
    </row>
    <row r="781">
      <c r="A781" s="23">
        <v>6005</v>
      </c>
      <c r="B781" s="4" t="s">
        <v>1051</v>
      </c>
      <c r="C781" s="4" t="s">
        <v>663</v>
      </c>
      <c r="D781" s="4" t="s">
        <v>1048</v>
      </c>
      <c r="E781" s="4" t="s">
        <v>362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6026</v>
      </c>
      <c r="B782" s="9" t="s">
        <v>1052</v>
      </c>
      <c r="C782" s="9" t="s">
        <v>605</v>
      </c>
      <c r="D782" s="9" t="s">
        <v>606</v>
      </c>
      <c r="E782" s="9" t="s">
        <v>1053</v>
      </c>
      <c r="F782" s="11">
        <v>4</v>
      </c>
      <c r="G782" s="12">
        <v>0</v>
      </c>
      <c r="H782" s="10">
        <v>2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4</v>
      </c>
      <c r="V782" s="12">
        <v>0</v>
      </c>
      <c r="W782" s="10">
        <v>2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1.33</v>
      </c>
      <c r="AL782" s="10">
        <v>1</v>
      </c>
      <c r="AM782" s="10">
        <v>2</v>
      </c>
      <c r="AN782" s="29">
        <v>1</v>
      </c>
    </row>
    <row r="783">
      <c r="A783" s="23">
        <v>6030</v>
      </c>
      <c r="B783" s="4" t="s">
        <v>1054</v>
      </c>
      <c r="C783" s="4" t="s">
        <v>171</v>
      </c>
      <c r="D783" s="4" t="s">
        <v>172</v>
      </c>
      <c r="E783" s="4" t="s">
        <v>184</v>
      </c>
      <c r="F783" s="6">
        <v>3</v>
      </c>
      <c r="G783" s="7">
        <v>0</v>
      </c>
      <c r="H783" s="7">
        <v>0</v>
      </c>
      <c r="I783" s="7">
        <v>0</v>
      </c>
      <c r="J783" s="7">
        <v>0</v>
      </c>
      <c r="K783" s="5">
        <v>3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7">
        <v>0</v>
      </c>
      <c r="Y783" s="7">
        <v>0</v>
      </c>
      <c r="Z783" s="5">
        <v>2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3</v>
      </c>
      <c r="AK783" s="8">
        <v>3</v>
      </c>
      <c r="AL783" s="5">
        <v>3</v>
      </c>
      <c r="AM783" s="5">
        <v>3</v>
      </c>
      <c r="AN783" s="30">
        <v>0</v>
      </c>
    </row>
    <row r="784">
      <c r="A784" s="24">
        <v>6045</v>
      </c>
      <c r="B784" s="9" t="s">
        <v>1055</v>
      </c>
      <c r="C784" s="9" t="s">
        <v>663</v>
      </c>
      <c r="D784" s="9" t="s">
        <v>1048</v>
      </c>
      <c r="E784" s="9" t="s">
        <v>362</v>
      </c>
      <c r="F784" s="11">
        <v>3</v>
      </c>
      <c r="G784" s="12">
        <v>0</v>
      </c>
      <c r="H784" s="12">
        <v>0</v>
      </c>
      <c r="I784" s="12">
        <v>0</v>
      </c>
      <c r="J784" s="10">
        <v>3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2">
        <v>0</v>
      </c>
      <c r="W784" s="12">
        <v>0</v>
      </c>
      <c r="X784" s="12">
        <v>0</v>
      </c>
      <c r="Y784" s="10">
        <v>3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0.5</v>
      </c>
    </row>
    <row r="785">
      <c r="A785" s="23">
        <v>6080</v>
      </c>
      <c r="B785" s="4" t="s">
        <v>1056</v>
      </c>
      <c r="C785" s="4" t="s">
        <v>141</v>
      </c>
      <c r="D785" s="4" t="s">
        <v>142</v>
      </c>
      <c r="E785" s="4" t="s">
        <v>458</v>
      </c>
      <c r="F785" s="6">
        <v>1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0">
        <v>0</v>
      </c>
    </row>
    <row r="786">
      <c r="A786" s="24">
        <v>6114</v>
      </c>
      <c r="B786" s="9" t="s">
        <v>1057</v>
      </c>
      <c r="C786" s="9" t="s">
        <v>141</v>
      </c>
      <c r="D786" s="9" t="s">
        <v>253</v>
      </c>
      <c r="E786" s="9" t="s">
        <v>1058</v>
      </c>
      <c r="F786" s="11">
        <v>4</v>
      </c>
      <c r="G786" s="12">
        <v>0</v>
      </c>
      <c r="H786" s="12">
        <v>0</v>
      </c>
      <c r="I786" s="12">
        <v>0</v>
      </c>
      <c r="J786" s="10">
        <v>4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</v>
      </c>
      <c r="V786" s="12">
        <v>0</v>
      </c>
      <c r="W786" s="12">
        <v>0</v>
      </c>
      <c r="X786" s="12">
        <v>0</v>
      </c>
      <c r="Y786" s="10">
        <v>4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4</v>
      </c>
      <c r="AK786" s="13">
        <v>4</v>
      </c>
      <c r="AL786" s="10">
        <v>4</v>
      </c>
      <c r="AM786" s="10">
        <v>4</v>
      </c>
      <c r="AN786" s="29">
        <v>1.04</v>
      </c>
    </row>
    <row r="787">
      <c r="A787" s="23">
        <v>6149</v>
      </c>
      <c r="B787" s="4" t="s">
        <v>1059</v>
      </c>
      <c r="C787" s="4" t="s">
        <v>601</v>
      </c>
      <c r="D787" s="4" t="s">
        <v>705</v>
      </c>
      <c r="E787" s="4" t="s">
        <v>362</v>
      </c>
      <c r="F787" s="6">
        <v>1</v>
      </c>
      <c r="G787" s="7">
        <v>0</v>
      </c>
      <c r="H787" s="7">
        <v>0</v>
      </c>
      <c r="I787" s="7">
        <v>0</v>
      </c>
      <c r="J787" s="7">
        <v>0</v>
      </c>
      <c r="K787" s="5">
        <v>1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7">
        <v>0</v>
      </c>
      <c r="W787" s="7">
        <v>0</v>
      </c>
      <c r="X787" s="7">
        <v>0</v>
      </c>
      <c r="Y787" s="7">
        <v>0</v>
      </c>
      <c r="Z787" s="5">
        <v>1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6151</v>
      </c>
      <c r="B788" s="9" t="s">
        <v>1060</v>
      </c>
      <c r="C788" s="9" t="s">
        <v>63</v>
      </c>
      <c r="D788" s="9" t="s">
        <v>103</v>
      </c>
      <c r="E788" s="9" t="s">
        <v>323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9">
        <v>0</v>
      </c>
    </row>
    <row r="789">
      <c r="A789" s="23">
        <v>6156</v>
      </c>
      <c r="B789" s="4" t="s">
        <v>1061</v>
      </c>
      <c r="C789" s="4" t="s">
        <v>63</v>
      </c>
      <c r="D789" s="4" t="s">
        <v>103</v>
      </c>
      <c r="E789" s="4" t="s">
        <v>323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30">
        <v>0</v>
      </c>
    </row>
    <row r="790">
      <c r="A790" s="24">
        <v>6162</v>
      </c>
      <c r="B790" s="9" t="s">
        <v>1062</v>
      </c>
      <c r="C790" s="9" t="s">
        <v>141</v>
      </c>
      <c r="D790" s="9" t="s">
        <v>418</v>
      </c>
      <c r="E790" s="9" t="s">
        <v>1063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9">
        <v>0</v>
      </c>
    </row>
    <row r="791">
      <c r="A791" s="23">
        <v>6202</v>
      </c>
      <c r="B791" s="4" t="s">
        <v>1064</v>
      </c>
      <c r="C791" s="4" t="s">
        <v>663</v>
      </c>
      <c r="D791" s="4" t="s">
        <v>664</v>
      </c>
      <c r="E791" s="4" t="s">
        <v>362</v>
      </c>
      <c r="F791" s="6">
        <v>4</v>
      </c>
      <c r="G791" s="7">
        <v>0</v>
      </c>
      <c r="H791" s="5">
        <v>1</v>
      </c>
      <c r="I791" s="7">
        <v>0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4</v>
      </c>
      <c r="V791" s="7">
        <v>0</v>
      </c>
      <c r="W791" s="5">
        <v>1</v>
      </c>
      <c r="X791" s="7">
        <v>0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0.87</v>
      </c>
    </row>
    <row r="792">
      <c r="A792" s="24">
        <v>6227</v>
      </c>
      <c r="B792" s="9" t="s">
        <v>1065</v>
      </c>
      <c r="C792" s="9" t="s">
        <v>605</v>
      </c>
      <c r="D792" s="9" t="s">
        <v>606</v>
      </c>
      <c r="E792" s="9" t="s">
        <v>1053</v>
      </c>
      <c r="F792" s="11">
        <v>3</v>
      </c>
      <c r="G792" s="12">
        <v>0</v>
      </c>
      <c r="H792" s="10">
        <v>1</v>
      </c>
      <c r="I792" s="12">
        <v>0</v>
      </c>
      <c r="J792" s="10">
        <v>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2">
        <v>0</v>
      </c>
      <c r="W792" s="10">
        <v>1</v>
      </c>
      <c r="X792" s="12">
        <v>0</v>
      </c>
      <c r="Y792" s="10">
        <v>2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29">
        <v>0.78</v>
      </c>
    </row>
    <row r="793">
      <c r="A793" s="23">
        <v>6228</v>
      </c>
      <c r="B793" s="4" t="s">
        <v>1066</v>
      </c>
      <c r="C793" s="4" t="s">
        <v>605</v>
      </c>
      <c r="D793" s="4" t="s">
        <v>606</v>
      </c>
      <c r="E793" s="4" t="s">
        <v>1053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6269</v>
      </c>
      <c r="B794" s="9" t="s">
        <v>1067</v>
      </c>
      <c r="C794" s="9" t="s">
        <v>63</v>
      </c>
      <c r="D794" s="9" t="s">
        <v>76</v>
      </c>
      <c r="E794" s="9" t="s">
        <v>77</v>
      </c>
      <c r="F794" s="11">
        <v>3</v>
      </c>
      <c r="G794" s="10">
        <v>1</v>
      </c>
      <c r="H794" s="10">
        <v>1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0">
        <v>1</v>
      </c>
      <c r="W794" s="10">
        <v>1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6286</v>
      </c>
      <c r="B795" s="4" t="s">
        <v>1068</v>
      </c>
      <c r="C795" s="4" t="s">
        <v>63</v>
      </c>
      <c r="D795" s="4" t="s">
        <v>76</v>
      </c>
      <c r="E795" s="4" t="s">
        <v>163</v>
      </c>
      <c r="F795" s="6">
        <v>3</v>
      </c>
      <c r="G795" s="5">
        <v>1</v>
      </c>
      <c r="H795" s="7">
        <v>0</v>
      </c>
      <c r="I795" s="7">
        <v>0</v>
      </c>
      <c r="J795" s="5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5">
        <v>1</v>
      </c>
      <c r="W795" s="7">
        <v>0</v>
      </c>
      <c r="X795" s="7">
        <v>0</v>
      </c>
      <c r="Y795" s="5">
        <v>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30">
        <v>0</v>
      </c>
    </row>
    <row r="796">
      <c r="A796" s="24">
        <v>6300</v>
      </c>
      <c r="B796" s="9" t="s">
        <v>1069</v>
      </c>
      <c r="C796" s="9" t="s">
        <v>63</v>
      </c>
      <c r="D796" s="9" t="s">
        <v>85</v>
      </c>
      <c r="E796" s="9" t="s">
        <v>342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6303</v>
      </c>
      <c r="B797" s="4" t="s">
        <v>1070</v>
      </c>
      <c r="C797" s="4" t="s">
        <v>63</v>
      </c>
      <c r="D797" s="4" t="s">
        <v>115</v>
      </c>
      <c r="E797" s="4" t="s">
        <v>116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0">
        <v>0</v>
      </c>
    </row>
    <row r="798">
      <c r="A798" s="24">
        <v>6315</v>
      </c>
      <c r="B798" s="9" t="s">
        <v>1071</v>
      </c>
      <c r="C798" s="9" t="s">
        <v>171</v>
      </c>
      <c r="D798" s="9" t="s">
        <v>172</v>
      </c>
      <c r="E798" s="9" t="s">
        <v>192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49">
        <v>0</v>
      </c>
    </row>
    <row r="799">
      <c r="A799" s="23">
        <v>6341</v>
      </c>
      <c r="B799" s="4" t="s">
        <v>1072</v>
      </c>
      <c r="C799" s="4" t="s">
        <v>63</v>
      </c>
      <c r="D799" s="4" t="s">
        <v>67</v>
      </c>
      <c r="E799" s="4" t="s">
        <v>160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6345</v>
      </c>
      <c r="B800" s="9" t="s">
        <v>1073</v>
      </c>
      <c r="C800" s="9" t="s">
        <v>63</v>
      </c>
      <c r="D800" s="9" t="s">
        <v>76</v>
      </c>
      <c r="E800" s="9" t="s">
        <v>163</v>
      </c>
      <c r="F800" s="11">
        <v>2</v>
      </c>
      <c r="G800" s="12">
        <v>0</v>
      </c>
      <c r="H800" s="12">
        <v>0</v>
      </c>
      <c r="I800" s="10">
        <v>1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2">
        <v>0</v>
      </c>
      <c r="W800" s="12">
        <v>0</v>
      </c>
      <c r="X800" s="10">
        <v>1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0.26</v>
      </c>
    </row>
    <row r="801">
      <c r="A801" s="23">
        <v>6349</v>
      </c>
      <c r="B801" s="4" t="s">
        <v>1074</v>
      </c>
      <c r="C801" s="4" t="s">
        <v>171</v>
      </c>
      <c r="D801" s="4" t="s">
        <v>172</v>
      </c>
      <c r="E801" s="4" t="s">
        <v>173</v>
      </c>
      <c r="F801" s="6">
        <v>1</v>
      </c>
      <c r="G801" s="7">
        <v>0</v>
      </c>
      <c r="H801" s="7">
        <v>0</v>
      </c>
      <c r="I801" s="7">
        <v>0</v>
      </c>
      <c r="J801" s="7">
        <v>0</v>
      </c>
      <c r="K801" s="5">
        <v>1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7">
        <v>0</v>
      </c>
      <c r="Y801" s="7">
        <v>0</v>
      </c>
      <c r="Z801" s="5">
        <v>1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6372</v>
      </c>
      <c r="B802" s="9" t="s">
        <v>1075</v>
      </c>
      <c r="C802" s="9" t="s">
        <v>63</v>
      </c>
      <c r="D802" s="9" t="s">
        <v>85</v>
      </c>
      <c r="E802" s="9" t="s">
        <v>107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0.22</v>
      </c>
    </row>
    <row r="803">
      <c r="A803" s="23">
        <v>6424</v>
      </c>
      <c r="B803" s="4" t="s">
        <v>1076</v>
      </c>
      <c r="C803" s="4" t="s">
        <v>605</v>
      </c>
      <c r="D803" s="4" t="s">
        <v>1077</v>
      </c>
      <c r="E803" s="4" t="s">
        <v>1078</v>
      </c>
      <c r="F803" s="6">
        <v>1</v>
      </c>
      <c r="G803" s="7">
        <v>0</v>
      </c>
      <c r="H803" s="5">
        <v>1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5">
        <v>1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0.22</v>
      </c>
    </row>
    <row r="804">
      <c r="A804" s="24">
        <v>6434</v>
      </c>
      <c r="B804" s="9" t="s">
        <v>627</v>
      </c>
      <c r="C804" s="9" t="s">
        <v>63</v>
      </c>
      <c r="D804" s="9" t="s">
        <v>76</v>
      </c>
      <c r="E804" s="9" t="s">
        <v>163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6439</v>
      </c>
      <c r="B805" s="4" t="s">
        <v>1079</v>
      </c>
      <c r="C805" s="4" t="s">
        <v>63</v>
      </c>
      <c r="D805" s="4" t="s">
        <v>80</v>
      </c>
      <c r="E805" s="4" t="s">
        <v>96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6446</v>
      </c>
      <c r="B806" s="9" t="s">
        <v>1080</v>
      </c>
      <c r="C806" s="9" t="s">
        <v>63</v>
      </c>
      <c r="D806" s="9" t="s">
        <v>76</v>
      </c>
      <c r="E806" s="9" t="s">
        <v>163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6447</v>
      </c>
      <c r="B807" s="4" t="s">
        <v>1081</v>
      </c>
      <c r="C807" s="4" t="s">
        <v>63</v>
      </c>
      <c r="D807" s="4" t="s">
        <v>80</v>
      </c>
      <c r="E807" s="4" t="s">
        <v>257</v>
      </c>
      <c r="F807" s="6">
        <v>1</v>
      </c>
      <c r="G807" s="7">
        <v>0</v>
      </c>
      <c r="H807" s="5">
        <v>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7">
        <v>0</v>
      </c>
      <c r="W807" s="5">
        <v>1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6462</v>
      </c>
      <c r="B808" s="9" t="s">
        <v>1082</v>
      </c>
      <c r="C808" s="9" t="s">
        <v>171</v>
      </c>
      <c r="D808" s="9" t="s">
        <v>482</v>
      </c>
      <c r="E808" s="9" t="s">
        <v>483</v>
      </c>
      <c r="F808" s="11">
        <v>1</v>
      </c>
      <c r="G808" s="12">
        <v>0</v>
      </c>
      <c r="H808" s="12">
        <v>0</v>
      </c>
      <c r="I808" s="12">
        <v>0</v>
      </c>
      <c r="J808" s="12">
        <v>0</v>
      </c>
      <c r="K808" s="12">
        <v>0</v>
      </c>
      <c r="L808" s="10">
        <v>1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2">
        <v>0</v>
      </c>
      <c r="W808" s="12">
        <v>0</v>
      </c>
      <c r="X808" s="12">
        <v>0</v>
      </c>
      <c r="Y808" s="12">
        <v>0</v>
      </c>
      <c r="Z808" s="12">
        <v>0</v>
      </c>
      <c r="AA808" s="10">
        <v>1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9">
        <v>0</v>
      </c>
    </row>
    <row r="809">
      <c r="A809" s="23">
        <v>6483</v>
      </c>
      <c r="B809" s="4" t="s">
        <v>1083</v>
      </c>
      <c r="C809" s="4" t="s">
        <v>63</v>
      </c>
      <c r="D809" s="4" t="s">
        <v>67</v>
      </c>
      <c r="E809" s="4" t="s">
        <v>71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6484</v>
      </c>
      <c r="B810" s="9" t="s">
        <v>1084</v>
      </c>
      <c r="C810" s="9" t="s">
        <v>63</v>
      </c>
      <c r="D810" s="9" t="s">
        <v>64</v>
      </c>
      <c r="E810" s="9" t="s">
        <v>362</v>
      </c>
      <c r="F810" s="11">
        <v>2</v>
      </c>
      <c r="G810" s="10">
        <v>1</v>
      </c>
      <c r="H810" s="10">
        <v>1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1</v>
      </c>
      <c r="W810" s="10">
        <v>1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0.6</v>
      </c>
    </row>
    <row r="811">
      <c r="A811" s="23">
        <v>6486</v>
      </c>
      <c r="B811" s="4" t="s">
        <v>961</v>
      </c>
      <c r="C811" s="4" t="s">
        <v>63</v>
      </c>
      <c r="D811" s="4" t="s">
        <v>73</v>
      </c>
      <c r="E811" s="4" t="s">
        <v>445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6524</v>
      </c>
      <c r="B812" s="9" t="s">
        <v>1085</v>
      </c>
      <c r="C812" s="9" t="s">
        <v>605</v>
      </c>
      <c r="D812" s="9" t="s">
        <v>1086</v>
      </c>
      <c r="E812" s="9" t="s">
        <v>1087</v>
      </c>
      <c r="F812" s="11">
        <v>1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6526</v>
      </c>
      <c r="B813" s="4" t="s">
        <v>1088</v>
      </c>
      <c r="C813" s="4" t="s">
        <v>63</v>
      </c>
      <c r="D813" s="4" t="s">
        <v>103</v>
      </c>
      <c r="E813" s="4" t="s">
        <v>215</v>
      </c>
      <c r="F813" s="6">
        <v>2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5">
        <v>2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30">
        <v>0</v>
      </c>
    </row>
    <row r="814">
      <c r="A814" s="24">
        <v>6538</v>
      </c>
      <c r="B814" s="9" t="s">
        <v>1089</v>
      </c>
      <c r="C814" s="9" t="s">
        <v>141</v>
      </c>
      <c r="D814" s="9" t="s">
        <v>253</v>
      </c>
      <c r="E814" s="9" t="s">
        <v>1058</v>
      </c>
      <c r="F814" s="11">
        <v>2</v>
      </c>
      <c r="G814" s="10">
        <v>2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49">
        <v>0</v>
      </c>
    </row>
    <row r="815">
      <c r="A815" s="23">
        <v>6605</v>
      </c>
      <c r="B815" s="4" t="s">
        <v>1090</v>
      </c>
      <c r="C815" s="4" t="s">
        <v>605</v>
      </c>
      <c r="D815" s="4" t="s">
        <v>606</v>
      </c>
      <c r="E815" s="4" t="s">
        <v>1091</v>
      </c>
      <c r="F815" s="6">
        <v>4</v>
      </c>
      <c r="G815" s="7">
        <v>0</v>
      </c>
      <c r="H815" s="7">
        <v>0</v>
      </c>
      <c r="I815" s="7">
        <v>0</v>
      </c>
      <c r="J815" s="5">
        <v>4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4</v>
      </c>
      <c r="V815" s="7">
        <v>0</v>
      </c>
      <c r="W815" s="7">
        <v>0</v>
      </c>
      <c r="X815" s="7">
        <v>0</v>
      </c>
      <c r="Y815" s="5">
        <v>4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4</v>
      </c>
      <c r="AK815" s="8">
        <v>4</v>
      </c>
      <c r="AL815" s="5">
        <v>4</v>
      </c>
      <c r="AM815" s="5">
        <v>4</v>
      </c>
      <c r="AN815" s="28">
        <v>1.04</v>
      </c>
    </row>
    <row r="816">
      <c r="A816" s="24">
        <v>6622</v>
      </c>
      <c r="B816" s="9" t="s">
        <v>1092</v>
      </c>
      <c r="C816" s="9" t="s">
        <v>663</v>
      </c>
      <c r="D816" s="9" t="s">
        <v>664</v>
      </c>
      <c r="E816" s="9" t="s">
        <v>362</v>
      </c>
      <c r="F816" s="11">
        <v>4</v>
      </c>
      <c r="G816" s="12">
        <v>0</v>
      </c>
      <c r="H816" s="12">
        <v>0</v>
      </c>
      <c r="I816" s="12">
        <v>0</v>
      </c>
      <c r="J816" s="10">
        <v>4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2">
        <v>0</v>
      </c>
      <c r="W816" s="12">
        <v>0</v>
      </c>
      <c r="X816" s="12">
        <v>0</v>
      </c>
      <c r="Y816" s="10">
        <v>4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0.78</v>
      </c>
    </row>
    <row r="817">
      <c r="A817" s="23">
        <v>6628</v>
      </c>
      <c r="B817" s="4" t="s">
        <v>1093</v>
      </c>
      <c r="C817" s="4" t="s">
        <v>63</v>
      </c>
      <c r="D817" s="4" t="s">
        <v>76</v>
      </c>
      <c r="E817" s="4" t="s">
        <v>163</v>
      </c>
      <c r="F817" s="6">
        <v>1</v>
      </c>
      <c r="G817" s="7">
        <v>0</v>
      </c>
      <c r="H817" s="7">
        <v>0</v>
      </c>
      <c r="I817" s="5">
        <v>1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6636</v>
      </c>
      <c r="B818" s="9" t="s">
        <v>1094</v>
      </c>
      <c r="C818" s="9" t="s">
        <v>63</v>
      </c>
      <c r="D818" s="9" t="s">
        <v>133</v>
      </c>
      <c r="E818" s="9" t="s">
        <v>220</v>
      </c>
      <c r="F818" s="11">
        <v>1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49">
        <v>0</v>
      </c>
    </row>
    <row r="819">
      <c r="A819" s="23">
        <v>6667</v>
      </c>
      <c r="B819" s="4" t="s">
        <v>1095</v>
      </c>
      <c r="C819" s="4" t="s">
        <v>63</v>
      </c>
      <c r="D819" s="4" t="s">
        <v>133</v>
      </c>
      <c r="E819" s="4" t="s">
        <v>326</v>
      </c>
      <c r="F819" s="6">
        <v>2</v>
      </c>
      <c r="G819" s="5">
        <v>1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1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6670</v>
      </c>
      <c r="B820" s="9" t="s">
        <v>1096</v>
      </c>
      <c r="C820" s="9" t="s">
        <v>63</v>
      </c>
      <c r="D820" s="9" t="s">
        <v>133</v>
      </c>
      <c r="E820" s="9" t="s">
        <v>134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6697</v>
      </c>
      <c r="B821" s="4" t="s">
        <v>1097</v>
      </c>
      <c r="C821" s="4" t="s">
        <v>663</v>
      </c>
      <c r="D821" s="4" t="s">
        <v>1048</v>
      </c>
      <c r="E821" s="4" t="s">
        <v>362</v>
      </c>
      <c r="F821" s="6">
        <v>2</v>
      </c>
      <c r="G821" s="7">
        <v>0</v>
      </c>
      <c r="H821" s="7">
        <v>0</v>
      </c>
      <c r="I821" s="7">
        <v>0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7">
        <v>0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0.52</v>
      </c>
    </row>
    <row r="822">
      <c r="A822" s="24">
        <v>6707</v>
      </c>
      <c r="B822" s="9" t="s">
        <v>1098</v>
      </c>
      <c r="C822" s="9" t="s">
        <v>63</v>
      </c>
      <c r="D822" s="9" t="s">
        <v>133</v>
      </c>
      <c r="E822" s="9" t="s">
        <v>251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9">
        <v>0</v>
      </c>
    </row>
    <row r="823">
      <c r="A823" s="23">
        <v>6708</v>
      </c>
      <c r="B823" s="4" t="s">
        <v>1099</v>
      </c>
      <c r="C823" s="4" t="s">
        <v>605</v>
      </c>
      <c r="D823" s="4" t="s">
        <v>1100</v>
      </c>
      <c r="E823" s="4" t="s">
        <v>1101</v>
      </c>
      <c r="F823" s="6">
        <v>4</v>
      </c>
      <c r="G823" s="5">
        <v>1</v>
      </c>
      <c r="H823" s="7">
        <v>0</v>
      </c>
      <c r="I823" s="7">
        <v>0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3</v>
      </c>
      <c r="V823" s="5">
        <v>1</v>
      </c>
      <c r="W823" s="7">
        <v>0</v>
      </c>
      <c r="X823" s="7">
        <v>0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</v>
      </c>
      <c r="AL823" s="5">
        <v>2</v>
      </c>
      <c r="AM823" s="5">
        <v>3</v>
      </c>
      <c r="AN823" s="28">
        <v>0.5</v>
      </c>
    </row>
    <row r="824">
      <c r="A824" s="24">
        <v>6716</v>
      </c>
      <c r="B824" s="9" t="s">
        <v>1102</v>
      </c>
      <c r="C824" s="9" t="s">
        <v>63</v>
      </c>
      <c r="D824" s="9" t="s">
        <v>73</v>
      </c>
      <c r="E824" s="9" t="s">
        <v>445</v>
      </c>
      <c r="F824" s="11">
        <v>2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29">
        <v>0.26</v>
      </c>
    </row>
    <row r="825">
      <c r="A825" s="23">
        <v>6729</v>
      </c>
      <c r="B825" s="4" t="s">
        <v>1103</v>
      </c>
      <c r="C825" s="4" t="s">
        <v>63</v>
      </c>
      <c r="D825" s="4" t="s">
        <v>133</v>
      </c>
      <c r="E825" s="4" t="s">
        <v>134</v>
      </c>
      <c r="F825" s="6">
        <v>3</v>
      </c>
      <c r="G825" s="7">
        <v>0</v>
      </c>
      <c r="H825" s="7">
        <v>0</v>
      </c>
      <c r="I825" s="5">
        <v>2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3</v>
      </c>
      <c r="V825" s="7">
        <v>0</v>
      </c>
      <c r="W825" s="7">
        <v>0</v>
      </c>
      <c r="X825" s="5">
        <v>2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0.52</v>
      </c>
    </row>
    <row r="826">
      <c r="A826" s="24">
        <v>6787</v>
      </c>
      <c r="B826" s="9" t="s">
        <v>1104</v>
      </c>
      <c r="C826" s="9" t="s">
        <v>1105</v>
      </c>
      <c r="D826" s="9" t="s">
        <v>1106</v>
      </c>
      <c r="E826" s="9" t="s">
        <v>362</v>
      </c>
      <c r="F826" s="11">
        <v>2</v>
      </c>
      <c r="G826" s="12">
        <v>0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2">
        <v>0</v>
      </c>
      <c r="W826" s="12">
        <v>0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29">
        <v>0.5</v>
      </c>
    </row>
    <row r="827">
      <c r="A827" s="23">
        <v>6911</v>
      </c>
      <c r="B827" s="4" t="s">
        <v>1107</v>
      </c>
      <c r="C827" s="4" t="s">
        <v>63</v>
      </c>
      <c r="D827" s="4" t="s">
        <v>64</v>
      </c>
      <c r="E827" s="4" t="s">
        <v>1108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6970</v>
      </c>
      <c r="B828" s="9" t="s">
        <v>1109</v>
      </c>
      <c r="C828" s="9" t="s">
        <v>141</v>
      </c>
      <c r="D828" s="9" t="s">
        <v>557</v>
      </c>
      <c r="E828" s="9" t="s">
        <v>1110</v>
      </c>
      <c r="F828" s="11">
        <v>4</v>
      </c>
      <c r="G828" s="12">
        <v>0</v>
      </c>
      <c r="H828" s="12">
        <v>0</v>
      </c>
      <c r="I828" s="10">
        <v>3</v>
      </c>
      <c r="J828" s="12">
        <v>0</v>
      </c>
      <c r="K828" s="10">
        <v>1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4</v>
      </c>
      <c r="V828" s="12">
        <v>0</v>
      </c>
      <c r="W828" s="12">
        <v>0</v>
      </c>
      <c r="X828" s="10">
        <v>3</v>
      </c>
      <c r="Y828" s="12">
        <v>0</v>
      </c>
      <c r="Z828" s="10">
        <v>1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2</v>
      </c>
      <c r="AM828" s="10">
        <v>3</v>
      </c>
      <c r="AN828" s="29">
        <v>0.72</v>
      </c>
    </row>
    <row r="829">
      <c r="A829" s="23">
        <v>6971</v>
      </c>
      <c r="B829" s="4" t="s">
        <v>1111</v>
      </c>
      <c r="C829" s="4" t="s">
        <v>141</v>
      </c>
      <c r="D829" s="4" t="s">
        <v>142</v>
      </c>
      <c r="E829" s="4" t="s">
        <v>458</v>
      </c>
      <c r="F829" s="6">
        <v>1</v>
      </c>
      <c r="G829" s="7">
        <v>0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6997</v>
      </c>
      <c r="B830" s="9" t="s">
        <v>1112</v>
      </c>
      <c r="C830" s="9" t="s">
        <v>141</v>
      </c>
      <c r="D830" s="9" t="s">
        <v>142</v>
      </c>
      <c r="E830" s="9" t="s">
        <v>458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9">
        <v>0</v>
      </c>
    </row>
    <row r="831">
      <c r="A831" s="23">
        <v>6998</v>
      </c>
      <c r="B831" s="4" t="s">
        <v>1113</v>
      </c>
      <c r="C831" s="4" t="s">
        <v>141</v>
      </c>
      <c r="D831" s="4" t="s">
        <v>142</v>
      </c>
      <c r="E831" s="4" t="s">
        <v>458</v>
      </c>
      <c r="F831" s="6">
        <v>1</v>
      </c>
      <c r="G831" s="7">
        <v>0</v>
      </c>
      <c r="H831" s="5">
        <v>1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5">
        <v>1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0.22</v>
      </c>
    </row>
    <row r="832">
      <c r="A832" s="24">
        <v>7128</v>
      </c>
      <c r="B832" s="9" t="s">
        <v>1114</v>
      </c>
      <c r="C832" s="9" t="s">
        <v>63</v>
      </c>
      <c r="D832" s="9" t="s">
        <v>115</v>
      </c>
      <c r="E832" s="9" t="s">
        <v>118</v>
      </c>
      <c r="F832" s="11">
        <v>2</v>
      </c>
      <c r="G832" s="12">
        <v>0</v>
      </c>
      <c r="H832" s="12">
        <v>0</v>
      </c>
      <c r="I832" s="12">
        <v>0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29">
        <v>0.25</v>
      </c>
    </row>
    <row r="833">
      <c r="A833" s="23">
        <v>7152</v>
      </c>
      <c r="B833" s="4" t="s">
        <v>1115</v>
      </c>
      <c r="C833" s="4" t="s">
        <v>1116</v>
      </c>
      <c r="D833" s="4" t="s">
        <v>1117</v>
      </c>
      <c r="E833" s="4" t="s">
        <v>1118</v>
      </c>
      <c r="F833" s="6">
        <v>1</v>
      </c>
      <c r="G833" s="7">
        <v>0</v>
      </c>
      <c r="H833" s="5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0.24</v>
      </c>
    </row>
    <row r="834">
      <c r="A834" s="24">
        <v>7201</v>
      </c>
      <c r="B834" s="9" t="s">
        <v>1119</v>
      </c>
      <c r="C834" s="9" t="s">
        <v>1105</v>
      </c>
      <c r="D834" s="9" t="s">
        <v>1120</v>
      </c>
      <c r="E834" s="9" t="s">
        <v>362</v>
      </c>
      <c r="F834" s="11">
        <v>7</v>
      </c>
      <c r="G834" s="12">
        <v>0</v>
      </c>
      <c r="H834" s="10">
        <v>3</v>
      </c>
      <c r="I834" s="12">
        <v>0</v>
      </c>
      <c r="J834" s="10">
        <v>4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6</v>
      </c>
      <c r="V834" s="12">
        <v>0</v>
      </c>
      <c r="W834" s="10">
        <v>3</v>
      </c>
      <c r="X834" s="12">
        <v>0</v>
      </c>
      <c r="Y834" s="10">
        <v>3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2.33</v>
      </c>
      <c r="AL834" s="10">
        <v>3</v>
      </c>
      <c r="AM834" s="10">
        <v>3</v>
      </c>
      <c r="AN834" s="29">
        <v>1.5</v>
      </c>
    </row>
    <row r="835">
      <c r="A835" s="23">
        <v>7258</v>
      </c>
      <c r="B835" s="4" t="s">
        <v>1121</v>
      </c>
      <c r="C835" s="4" t="s">
        <v>63</v>
      </c>
      <c r="D835" s="4" t="s">
        <v>115</v>
      </c>
      <c r="E835" s="4" t="s">
        <v>116</v>
      </c>
      <c r="F835" s="6">
        <v>2</v>
      </c>
      <c r="G835" s="7">
        <v>0</v>
      </c>
      <c r="H835" s="7">
        <v>0</v>
      </c>
      <c r="I835" s="5">
        <v>2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7">
        <v>0</v>
      </c>
      <c r="W835" s="7">
        <v>0</v>
      </c>
      <c r="X835" s="5">
        <v>2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30">
        <v>0</v>
      </c>
    </row>
    <row r="836">
      <c r="A836" s="24">
        <v>7341</v>
      </c>
      <c r="B836" s="9" t="s">
        <v>1122</v>
      </c>
      <c r="C836" s="9" t="s">
        <v>1123</v>
      </c>
      <c r="D836" s="9" t="s">
        <v>362</v>
      </c>
      <c r="E836" s="9" t="s">
        <v>362</v>
      </c>
      <c r="F836" s="11">
        <v>8</v>
      </c>
      <c r="G836" s="12">
        <v>0</v>
      </c>
      <c r="H836" s="10">
        <v>1</v>
      </c>
      <c r="I836" s="10">
        <v>2</v>
      </c>
      <c r="J836" s="10">
        <v>5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8</v>
      </c>
      <c r="V836" s="12">
        <v>0</v>
      </c>
      <c r="W836" s="10">
        <v>1</v>
      </c>
      <c r="X836" s="10">
        <v>2</v>
      </c>
      <c r="Y836" s="10">
        <v>5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1</v>
      </c>
      <c r="AM836" s="10">
        <v>4</v>
      </c>
      <c r="AN836" s="29">
        <v>1.5</v>
      </c>
    </row>
    <row r="837">
      <c r="A837" s="23">
        <v>7349</v>
      </c>
      <c r="B837" s="4" t="s">
        <v>1124</v>
      </c>
      <c r="C837" s="4" t="s">
        <v>141</v>
      </c>
      <c r="D837" s="4" t="s">
        <v>356</v>
      </c>
      <c r="E837" s="4" t="s">
        <v>1125</v>
      </c>
      <c r="F837" s="6">
        <v>4</v>
      </c>
      <c r="G837" s="7">
        <v>0</v>
      </c>
      <c r="H837" s="5">
        <v>2</v>
      </c>
      <c r="I837" s="5">
        <v>2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4</v>
      </c>
      <c r="V837" s="7">
        <v>0</v>
      </c>
      <c r="W837" s="5">
        <v>2</v>
      </c>
      <c r="X837" s="5">
        <v>2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28">
        <v>0.68</v>
      </c>
    </row>
    <row r="838">
      <c r="A838" s="24">
        <v>7369</v>
      </c>
      <c r="B838" s="9" t="s">
        <v>1126</v>
      </c>
      <c r="C838" s="9" t="s">
        <v>63</v>
      </c>
      <c r="D838" s="9" t="s">
        <v>76</v>
      </c>
      <c r="E838" s="9" t="s">
        <v>83</v>
      </c>
      <c r="F838" s="11">
        <v>3</v>
      </c>
      <c r="G838" s="12">
        <v>0</v>
      </c>
      <c r="H838" s="12">
        <v>0</v>
      </c>
      <c r="I838" s="10">
        <v>1</v>
      </c>
      <c r="J838" s="10">
        <v>1</v>
      </c>
      <c r="K838" s="10">
        <v>1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</v>
      </c>
      <c r="V838" s="12">
        <v>0</v>
      </c>
      <c r="W838" s="12">
        <v>0</v>
      </c>
      <c r="X838" s="10">
        <v>1</v>
      </c>
      <c r="Y838" s="10">
        <v>1</v>
      </c>
      <c r="Z838" s="10">
        <v>1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0.24</v>
      </c>
    </row>
    <row r="839">
      <c r="A839" s="23">
        <v>7370</v>
      </c>
      <c r="B839" s="4" t="s">
        <v>1127</v>
      </c>
      <c r="C839" s="4" t="s">
        <v>63</v>
      </c>
      <c r="D839" s="4" t="s">
        <v>76</v>
      </c>
      <c r="E839" s="4" t="s">
        <v>83</v>
      </c>
      <c r="F839" s="6">
        <v>2</v>
      </c>
      <c r="G839" s="5">
        <v>2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5">
        <v>2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30">
        <v>0</v>
      </c>
    </row>
    <row r="840">
      <c r="A840" s="24">
        <v>7439</v>
      </c>
      <c r="B840" s="9" t="s">
        <v>1128</v>
      </c>
      <c r="C840" s="9" t="s">
        <v>663</v>
      </c>
      <c r="D840" s="9" t="s">
        <v>830</v>
      </c>
      <c r="E840" s="9" t="s">
        <v>362</v>
      </c>
      <c r="F840" s="11">
        <v>4</v>
      </c>
      <c r="G840" s="12">
        <v>0</v>
      </c>
      <c r="H840" s="10">
        <v>2</v>
      </c>
      <c r="I840" s="10">
        <v>1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2">
        <v>0</v>
      </c>
      <c r="W840" s="10">
        <v>2</v>
      </c>
      <c r="X840" s="10">
        <v>1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1.33</v>
      </c>
      <c r="AL840" s="10">
        <v>1</v>
      </c>
      <c r="AM840" s="10">
        <v>2</v>
      </c>
      <c r="AN840" s="29">
        <v>1</v>
      </c>
    </row>
    <row r="841">
      <c r="A841" s="23">
        <v>7496</v>
      </c>
      <c r="B841" s="4" t="s">
        <v>1129</v>
      </c>
      <c r="C841" s="4" t="s">
        <v>63</v>
      </c>
      <c r="D841" s="4" t="s">
        <v>67</v>
      </c>
      <c r="E841" s="4" t="s">
        <v>160</v>
      </c>
      <c r="F841" s="6">
        <v>1</v>
      </c>
      <c r="G841" s="7">
        <v>0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0.22</v>
      </c>
    </row>
    <row r="842">
      <c r="A842" s="24">
        <v>7538</v>
      </c>
      <c r="B842" s="9" t="s">
        <v>1130</v>
      </c>
      <c r="C842" s="9" t="s">
        <v>141</v>
      </c>
      <c r="D842" s="9" t="s">
        <v>472</v>
      </c>
      <c r="E842" s="9" t="s">
        <v>540</v>
      </c>
      <c r="F842" s="11">
        <v>2</v>
      </c>
      <c r="G842" s="12">
        <v>0</v>
      </c>
      <c r="H842" s="12">
        <v>0</v>
      </c>
      <c r="I842" s="10">
        <v>1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2">
        <v>0</v>
      </c>
      <c r="X842" s="10">
        <v>1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7552</v>
      </c>
      <c r="B843" s="4" t="s">
        <v>1131</v>
      </c>
      <c r="C843" s="4" t="s">
        <v>141</v>
      </c>
      <c r="D843" s="4" t="s">
        <v>797</v>
      </c>
      <c r="E843" s="4" t="s">
        <v>362</v>
      </c>
      <c r="F843" s="6">
        <v>3</v>
      </c>
      <c r="G843" s="7">
        <v>0</v>
      </c>
      <c r="H843" s="7">
        <v>0</v>
      </c>
      <c r="I843" s="5">
        <v>2</v>
      </c>
      <c r="J843" s="7">
        <v>0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7">
        <v>0</v>
      </c>
      <c r="W843" s="7">
        <v>0</v>
      </c>
      <c r="X843" s="5">
        <v>2</v>
      </c>
      <c r="Y843" s="7">
        <v>0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0.22</v>
      </c>
    </row>
    <row r="844">
      <c r="A844" s="24">
        <v>7557</v>
      </c>
      <c r="B844" s="9" t="s">
        <v>1132</v>
      </c>
      <c r="C844" s="9" t="s">
        <v>63</v>
      </c>
      <c r="D844" s="9" t="s">
        <v>133</v>
      </c>
      <c r="E844" s="9" t="s">
        <v>326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7561</v>
      </c>
      <c r="B845" s="4" t="s">
        <v>1133</v>
      </c>
      <c r="C845" s="4" t="s">
        <v>141</v>
      </c>
      <c r="D845" s="4" t="s">
        <v>142</v>
      </c>
      <c r="E845" s="4" t="s">
        <v>458</v>
      </c>
      <c r="F845" s="6">
        <v>2</v>
      </c>
      <c r="G845" s="7">
        <v>0</v>
      </c>
      <c r="H845" s="7">
        <v>0</v>
      </c>
      <c r="I845" s="5">
        <v>2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7">
        <v>0</v>
      </c>
      <c r="X845" s="5">
        <v>2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28">
        <v>0.5</v>
      </c>
    </row>
    <row r="846">
      <c r="A846" s="24">
        <v>7578</v>
      </c>
      <c r="B846" s="9" t="s">
        <v>1134</v>
      </c>
      <c r="C846" s="9" t="s">
        <v>63</v>
      </c>
      <c r="D846" s="9" t="s">
        <v>103</v>
      </c>
      <c r="E846" s="9" t="s">
        <v>215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0.36</v>
      </c>
    </row>
    <row r="847">
      <c r="A847" s="23">
        <v>7598</v>
      </c>
      <c r="B847" s="4" t="s">
        <v>1135</v>
      </c>
      <c r="C847" s="4" t="s">
        <v>63</v>
      </c>
      <c r="D847" s="4" t="s">
        <v>109</v>
      </c>
      <c r="E847" s="4" t="s">
        <v>616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7625</v>
      </c>
      <c r="B848" s="9" t="s">
        <v>1136</v>
      </c>
      <c r="C848" s="9" t="s">
        <v>63</v>
      </c>
      <c r="D848" s="9" t="s">
        <v>115</v>
      </c>
      <c r="E848" s="9" t="s">
        <v>116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9">
        <v>0</v>
      </c>
    </row>
    <row r="849">
      <c r="A849" s="23">
        <v>7628</v>
      </c>
      <c r="B849" s="4" t="s">
        <v>1137</v>
      </c>
      <c r="C849" s="4" t="s">
        <v>63</v>
      </c>
      <c r="D849" s="4" t="s">
        <v>115</v>
      </c>
      <c r="E849" s="4" t="s">
        <v>116</v>
      </c>
      <c r="F849" s="6">
        <v>3</v>
      </c>
      <c r="G849" s="5">
        <v>3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3</v>
      </c>
      <c r="V849" s="5">
        <v>3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3</v>
      </c>
      <c r="AK849" s="8">
        <v>3</v>
      </c>
      <c r="AL849" s="5">
        <v>3</v>
      </c>
      <c r="AM849" s="5">
        <v>3</v>
      </c>
      <c r="AN849" s="30">
        <v>0</v>
      </c>
    </row>
    <row r="850">
      <c r="A850" s="24">
        <v>7631</v>
      </c>
      <c r="B850" s="9" t="s">
        <v>1138</v>
      </c>
      <c r="C850" s="9" t="s">
        <v>63</v>
      </c>
      <c r="D850" s="9" t="s">
        <v>133</v>
      </c>
      <c r="E850" s="9" t="s">
        <v>326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9">
        <v>0</v>
      </c>
    </row>
    <row r="851">
      <c r="A851" s="23">
        <v>7650</v>
      </c>
      <c r="B851" s="4" t="s">
        <v>1139</v>
      </c>
      <c r="C851" s="4" t="s">
        <v>63</v>
      </c>
      <c r="D851" s="4" t="s">
        <v>73</v>
      </c>
      <c r="E851" s="4" t="s">
        <v>445</v>
      </c>
      <c r="F851" s="6">
        <v>2</v>
      </c>
      <c r="G851" s="5">
        <v>1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5">
        <v>1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7657</v>
      </c>
      <c r="B852" s="9" t="s">
        <v>972</v>
      </c>
      <c r="C852" s="9" t="s">
        <v>63</v>
      </c>
      <c r="D852" s="9" t="s">
        <v>103</v>
      </c>
      <c r="E852" s="9" t="s">
        <v>1003</v>
      </c>
      <c r="F852" s="11">
        <v>1</v>
      </c>
      <c r="G852" s="12">
        <v>0</v>
      </c>
      <c r="H852" s="12">
        <v>0</v>
      </c>
      <c r="I852" s="10">
        <v>1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0">
        <v>1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9">
        <v>0</v>
      </c>
    </row>
    <row r="853">
      <c r="A853" s="23">
        <v>7665</v>
      </c>
      <c r="B853" s="4" t="s">
        <v>1140</v>
      </c>
      <c r="C853" s="4" t="s">
        <v>63</v>
      </c>
      <c r="D853" s="4" t="s">
        <v>76</v>
      </c>
      <c r="E853" s="4" t="s">
        <v>77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7666</v>
      </c>
      <c r="B854" s="9" t="s">
        <v>1141</v>
      </c>
      <c r="C854" s="9" t="s">
        <v>63</v>
      </c>
      <c r="D854" s="9" t="s">
        <v>76</v>
      </c>
      <c r="E854" s="9" t="s">
        <v>83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9">
        <v>0</v>
      </c>
    </row>
    <row r="855">
      <c r="A855" s="23">
        <v>7676</v>
      </c>
      <c r="B855" s="4" t="s">
        <v>1142</v>
      </c>
      <c r="C855" s="4" t="s">
        <v>1116</v>
      </c>
      <c r="D855" s="4" t="s">
        <v>1143</v>
      </c>
      <c r="E855" s="4" t="s">
        <v>1144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7793</v>
      </c>
      <c r="B856" s="9" t="s">
        <v>1145</v>
      </c>
      <c r="C856" s="9" t="s">
        <v>1116</v>
      </c>
      <c r="D856" s="9" t="s">
        <v>1143</v>
      </c>
      <c r="E856" s="9" t="s">
        <v>1146</v>
      </c>
      <c r="F856" s="11">
        <v>1</v>
      </c>
      <c r="G856" s="12">
        <v>0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7818</v>
      </c>
      <c r="B857" s="4" t="s">
        <v>1147</v>
      </c>
      <c r="C857" s="4" t="s">
        <v>1116</v>
      </c>
      <c r="D857" s="4" t="s">
        <v>1148</v>
      </c>
      <c r="E857" s="4" t="s">
        <v>1149</v>
      </c>
      <c r="F857" s="6">
        <v>4</v>
      </c>
      <c r="G857" s="7">
        <v>0</v>
      </c>
      <c r="H857" s="5">
        <v>1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5">
        <v>1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4</v>
      </c>
      <c r="V857" s="7">
        <v>0</v>
      </c>
      <c r="W857" s="5">
        <v>1</v>
      </c>
      <c r="X857" s="7">
        <v>0</v>
      </c>
      <c r="Y857" s="5">
        <v>2</v>
      </c>
      <c r="Z857" s="7">
        <v>0</v>
      </c>
      <c r="AA857" s="7">
        <v>0</v>
      </c>
      <c r="AB857" s="7">
        <v>0</v>
      </c>
      <c r="AC857" s="5">
        <v>1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0.75</v>
      </c>
    </row>
    <row r="858">
      <c r="A858" s="24">
        <v>7925</v>
      </c>
      <c r="B858" s="9" t="s">
        <v>1150</v>
      </c>
      <c r="C858" s="9" t="s">
        <v>171</v>
      </c>
      <c r="D858" s="9" t="s">
        <v>866</v>
      </c>
      <c r="E858" s="9" t="s">
        <v>867</v>
      </c>
      <c r="F858" s="11">
        <v>3</v>
      </c>
      <c r="G858" s="10">
        <v>1</v>
      </c>
      <c r="H858" s="10">
        <v>1</v>
      </c>
      <c r="I858" s="12">
        <v>0</v>
      </c>
      <c r="J858" s="12">
        <v>0</v>
      </c>
      <c r="K858" s="10">
        <v>1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1</v>
      </c>
      <c r="W858" s="10">
        <v>1</v>
      </c>
      <c r="X858" s="12">
        <v>0</v>
      </c>
      <c r="Y858" s="12">
        <v>0</v>
      </c>
      <c r="Z858" s="10">
        <v>1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0.35</v>
      </c>
    </row>
    <row r="859">
      <c r="A859" s="23">
        <v>7935</v>
      </c>
      <c r="B859" s="4" t="s">
        <v>1151</v>
      </c>
      <c r="C859" s="4" t="s">
        <v>63</v>
      </c>
      <c r="D859" s="4" t="s">
        <v>90</v>
      </c>
      <c r="E859" s="4" t="s">
        <v>538</v>
      </c>
      <c r="F859" s="6">
        <v>6</v>
      </c>
      <c r="G859" s="5">
        <v>3</v>
      </c>
      <c r="H859" s="7">
        <v>0</v>
      </c>
      <c r="I859" s="5">
        <v>2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6</v>
      </c>
      <c r="V859" s="5">
        <v>3</v>
      </c>
      <c r="W859" s="7">
        <v>0</v>
      </c>
      <c r="X859" s="5">
        <v>2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2</v>
      </c>
      <c r="AM859" s="5">
        <v>3</v>
      </c>
      <c r="AN859" s="28">
        <v>0.22</v>
      </c>
    </row>
    <row r="860">
      <c r="A860" s="24">
        <v>8021</v>
      </c>
      <c r="B860" s="9" t="s">
        <v>1152</v>
      </c>
      <c r="C860" s="9" t="s">
        <v>241</v>
      </c>
      <c r="D860" s="9" t="s">
        <v>242</v>
      </c>
      <c r="E860" s="9" t="s">
        <v>1153</v>
      </c>
      <c r="F860" s="11">
        <v>3</v>
      </c>
      <c r="G860" s="12">
        <v>0</v>
      </c>
      <c r="H860" s="10">
        <v>2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3</v>
      </c>
      <c r="V860" s="12">
        <v>0</v>
      </c>
      <c r="W860" s="10">
        <v>2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29">
        <v>0.75</v>
      </c>
    </row>
    <row r="861">
      <c r="A861" s="23">
        <v>8095</v>
      </c>
      <c r="B861" s="4" t="s">
        <v>1154</v>
      </c>
      <c r="C861" s="4" t="s">
        <v>63</v>
      </c>
      <c r="D861" s="4" t="s">
        <v>90</v>
      </c>
      <c r="E861" s="4" t="s">
        <v>91</v>
      </c>
      <c r="F861" s="6">
        <v>8</v>
      </c>
      <c r="G861" s="7">
        <v>0</v>
      </c>
      <c r="H861" s="7">
        <v>0</v>
      </c>
      <c r="I861" s="5">
        <v>7</v>
      </c>
      <c r="J861" s="7">
        <v>0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5</v>
      </c>
      <c r="V861" s="7">
        <v>0</v>
      </c>
      <c r="W861" s="7">
        <v>0</v>
      </c>
      <c r="X861" s="5">
        <v>4</v>
      </c>
      <c r="Y861" s="7">
        <v>0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4</v>
      </c>
      <c r="AL861" s="5">
        <v>4</v>
      </c>
      <c r="AM861" s="5">
        <v>7</v>
      </c>
      <c r="AN861" s="30">
        <v>0</v>
      </c>
    </row>
    <row r="862">
      <c r="A862" s="24">
        <v>8098</v>
      </c>
      <c r="B862" s="9" t="s">
        <v>1155</v>
      </c>
      <c r="C862" s="9" t="s">
        <v>171</v>
      </c>
      <c r="D862" s="9" t="s">
        <v>172</v>
      </c>
      <c r="E862" s="9" t="s">
        <v>173</v>
      </c>
      <c r="F862" s="11">
        <v>1</v>
      </c>
      <c r="G862" s="12">
        <v>0</v>
      </c>
      <c r="H862" s="12">
        <v>0</v>
      </c>
      <c r="I862" s="12">
        <v>0</v>
      </c>
      <c r="J862" s="12">
        <v>0</v>
      </c>
      <c r="K862" s="10">
        <v>1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2">
        <v>0</v>
      </c>
      <c r="W862" s="12">
        <v>0</v>
      </c>
      <c r="X862" s="12">
        <v>0</v>
      </c>
      <c r="Y862" s="12">
        <v>0</v>
      </c>
      <c r="Z862" s="10">
        <v>1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9">
        <v>0</v>
      </c>
    </row>
    <row r="863">
      <c r="A863" s="23">
        <v>8107</v>
      </c>
      <c r="B863" s="4" t="s">
        <v>1156</v>
      </c>
      <c r="C863" s="4" t="s">
        <v>63</v>
      </c>
      <c r="D863" s="4" t="s">
        <v>76</v>
      </c>
      <c r="E863" s="4" t="s">
        <v>163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8132</v>
      </c>
      <c r="B864" s="9" t="s">
        <v>1157</v>
      </c>
      <c r="C864" s="9" t="s">
        <v>63</v>
      </c>
      <c r="D864" s="9" t="s">
        <v>85</v>
      </c>
      <c r="E864" s="9" t="s">
        <v>86</v>
      </c>
      <c r="F864" s="11">
        <v>2</v>
      </c>
      <c r="G864" s="12">
        <v>0</v>
      </c>
      <c r="H864" s="10">
        <v>1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2">
        <v>0</v>
      </c>
      <c r="W864" s="10">
        <v>1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0.52</v>
      </c>
    </row>
    <row r="865">
      <c r="A865" s="23">
        <v>8151</v>
      </c>
      <c r="B865" s="4" t="s">
        <v>1158</v>
      </c>
      <c r="C865" s="4" t="s">
        <v>141</v>
      </c>
      <c r="D865" s="4" t="s">
        <v>668</v>
      </c>
      <c r="E865" s="4" t="s">
        <v>669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8156</v>
      </c>
      <c r="B866" s="9" t="s">
        <v>1159</v>
      </c>
      <c r="C866" s="9" t="s">
        <v>141</v>
      </c>
      <c r="D866" s="9" t="s">
        <v>668</v>
      </c>
      <c r="E866" s="9" t="s">
        <v>669</v>
      </c>
      <c r="F866" s="11">
        <v>1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0">
        <v>1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0">
        <v>1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9">
        <v>0</v>
      </c>
    </row>
    <row r="867">
      <c r="A867" s="23">
        <v>8214</v>
      </c>
      <c r="B867" s="4" t="s">
        <v>1160</v>
      </c>
      <c r="C867" s="4" t="s">
        <v>63</v>
      </c>
      <c r="D867" s="4" t="s">
        <v>133</v>
      </c>
      <c r="E867" s="4" t="s">
        <v>220</v>
      </c>
      <c r="F867" s="6">
        <v>4</v>
      </c>
      <c r="G867" s="5">
        <v>3</v>
      </c>
      <c r="H867" s="7">
        <v>0</v>
      </c>
      <c r="I867" s="7">
        <v>0</v>
      </c>
      <c r="J867" s="7">
        <v>0</v>
      </c>
      <c r="K867" s="7">
        <v>0</v>
      </c>
      <c r="L867" s="5">
        <v>1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4</v>
      </c>
      <c r="V867" s="5">
        <v>3</v>
      </c>
      <c r="W867" s="7">
        <v>0</v>
      </c>
      <c r="X867" s="7">
        <v>0</v>
      </c>
      <c r="Y867" s="7">
        <v>0</v>
      </c>
      <c r="Z867" s="7">
        <v>0</v>
      </c>
      <c r="AA867" s="5">
        <v>1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</v>
      </c>
      <c r="AL867" s="5">
        <v>2</v>
      </c>
      <c r="AM867" s="5">
        <v>3</v>
      </c>
      <c r="AN867" s="30">
        <v>0</v>
      </c>
    </row>
    <row r="868">
      <c r="A868" s="24">
        <v>8256</v>
      </c>
      <c r="B868" s="9" t="s">
        <v>1161</v>
      </c>
      <c r="C868" s="9" t="s">
        <v>63</v>
      </c>
      <c r="D868" s="9" t="s">
        <v>67</v>
      </c>
      <c r="E868" s="9" t="s">
        <v>68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0.24</v>
      </c>
    </row>
    <row r="869">
      <c r="A869" s="23">
        <v>8278</v>
      </c>
      <c r="B869" s="4" t="s">
        <v>1162</v>
      </c>
      <c r="C869" s="4" t="s">
        <v>171</v>
      </c>
      <c r="D869" s="4" t="s">
        <v>194</v>
      </c>
      <c r="E869" s="4" t="s">
        <v>195</v>
      </c>
      <c r="F869" s="6">
        <v>2</v>
      </c>
      <c r="G869" s="7">
        <v>0</v>
      </c>
      <c r="H869" s="7">
        <v>0</v>
      </c>
      <c r="I869" s="5">
        <v>1</v>
      </c>
      <c r="J869" s="7">
        <v>0</v>
      </c>
      <c r="K869" s="5">
        <v>1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7">
        <v>0</v>
      </c>
      <c r="W869" s="7">
        <v>0</v>
      </c>
      <c r="X869" s="5">
        <v>1</v>
      </c>
      <c r="Y869" s="7">
        <v>0</v>
      </c>
      <c r="Z869" s="5">
        <v>1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8289</v>
      </c>
      <c r="B870" s="9" t="s">
        <v>1163</v>
      </c>
      <c r="C870" s="9" t="s">
        <v>171</v>
      </c>
      <c r="D870" s="9" t="s">
        <v>189</v>
      </c>
      <c r="E870" s="9" t="s">
        <v>190</v>
      </c>
      <c r="F870" s="11">
        <v>1</v>
      </c>
      <c r="G870" s="12">
        <v>0</v>
      </c>
      <c r="H870" s="12">
        <v>0</v>
      </c>
      <c r="I870" s="12">
        <v>0</v>
      </c>
      <c r="J870" s="12">
        <v>0</v>
      </c>
      <c r="K870" s="10">
        <v>1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2">
        <v>0</v>
      </c>
      <c r="Z870" s="10">
        <v>1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9">
        <v>0</v>
      </c>
    </row>
    <row r="871">
      <c r="A871" s="23">
        <v>8352</v>
      </c>
      <c r="B871" s="4" t="s">
        <v>1164</v>
      </c>
      <c r="C871" s="4" t="s">
        <v>663</v>
      </c>
      <c r="D871" s="4" t="s">
        <v>676</v>
      </c>
      <c r="E871" s="4" t="s">
        <v>362</v>
      </c>
      <c r="F871" s="6">
        <v>1</v>
      </c>
      <c r="G871" s="7">
        <v>0</v>
      </c>
      <c r="H871" s="7">
        <v>0</v>
      </c>
      <c r="I871" s="7">
        <v>0</v>
      </c>
      <c r="J871" s="7">
        <v>0</v>
      </c>
      <c r="K871" s="5">
        <v>1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7">
        <v>0</v>
      </c>
      <c r="Y871" s="7">
        <v>0</v>
      </c>
      <c r="Z871" s="5">
        <v>1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8381</v>
      </c>
      <c r="B872" s="9" t="s">
        <v>1165</v>
      </c>
      <c r="C872" s="9" t="s">
        <v>141</v>
      </c>
      <c r="D872" s="9" t="s">
        <v>423</v>
      </c>
      <c r="E872" s="9" t="s">
        <v>1166</v>
      </c>
      <c r="F872" s="11">
        <v>2</v>
      </c>
      <c r="G872" s="12">
        <v>0</v>
      </c>
      <c r="H872" s="12">
        <v>0</v>
      </c>
      <c r="I872" s="12">
        <v>0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2">
        <v>0</v>
      </c>
      <c r="W872" s="12">
        <v>0</v>
      </c>
      <c r="X872" s="12">
        <v>0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0.48</v>
      </c>
    </row>
    <row r="873">
      <c r="A873" s="23">
        <v>8478</v>
      </c>
      <c r="B873" s="4" t="s">
        <v>1167</v>
      </c>
      <c r="C873" s="4" t="s">
        <v>63</v>
      </c>
      <c r="D873" s="4" t="s">
        <v>115</v>
      </c>
      <c r="E873" s="4" t="s">
        <v>292</v>
      </c>
      <c r="F873" s="6">
        <v>1</v>
      </c>
      <c r="G873" s="7">
        <v>0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8479</v>
      </c>
      <c r="B874" s="9" t="s">
        <v>1168</v>
      </c>
      <c r="C874" s="9" t="s">
        <v>63</v>
      </c>
      <c r="D874" s="9" t="s">
        <v>112</v>
      </c>
      <c r="E874" s="9" t="s">
        <v>113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8535</v>
      </c>
      <c r="B875" s="4" t="s">
        <v>1169</v>
      </c>
      <c r="C875" s="4" t="s">
        <v>601</v>
      </c>
      <c r="D875" s="4" t="s">
        <v>695</v>
      </c>
      <c r="E875" s="4" t="s">
        <v>362</v>
      </c>
      <c r="F875" s="6">
        <v>2</v>
      </c>
      <c r="G875" s="7">
        <v>0</v>
      </c>
      <c r="H875" s="7">
        <v>0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7">
        <v>0</v>
      </c>
      <c r="W875" s="7">
        <v>0</v>
      </c>
      <c r="X875" s="7">
        <v>0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28">
        <v>0.5</v>
      </c>
    </row>
    <row r="876">
      <c r="A876" s="24">
        <v>8540</v>
      </c>
      <c r="B876" s="9" t="s">
        <v>1170</v>
      </c>
      <c r="C876" s="9" t="s">
        <v>63</v>
      </c>
      <c r="D876" s="9" t="s">
        <v>73</v>
      </c>
      <c r="E876" s="9" t="s">
        <v>74</v>
      </c>
      <c r="F876" s="11">
        <v>2</v>
      </c>
      <c r="G876" s="12">
        <v>0</v>
      </c>
      <c r="H876" s="12">
        <v>0</v>
      </c>
      <c r="I876" s="10">
        <v>2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2">
        <v>0</v>
      </c>
      <c r="W876" s="12">
        <v>0</v>
      </c>
      <c r="X876" s="10">
        <v>2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8566</v>
      </c>
      <c r="B877" s="4" t="s">
        <v>1171</v>
      </c>
      <c r="C877" s="4" t="s">
        <v>63</v>
      </c>
      <c r="D877" s="4" t="s">
        <v>109</v>
      </c>
      <c r="E877" s="4" t="s">
        <v>1172</v>
      </c>
      <c r="F877" s="6">
        <v>3</v>
      </c>
      <c r="G877" s="7">
        <v>0</v>
      </c>
      <c r="H877" s="7">
        <v>0</v>
      </c>
      <c r="I877" s="7">
        <v>0</v>
      </c>
      <c r="J877" s="5">
        <v>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7">
        <v>0</v>
      </c>
      <c r="W877" s="7">
        <v>0</v>
      </c>
      <c r="X877" s="7">
        <v>0</v>
      </c>
      <c r="Y877" s="5">
        <v>3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0.78</v>
      </c>
    </row>
    <row r="878">
      <c r="A878" s="24">
        <v>8651</v>
      </c>
      <c r="B878" s="9" t="s">
        <v>1173</v>
      </c>
      <c r="C878" s="9" t="s">
        <v>63</v>
      </c>
      <c r="D878" s="9" t="s">
        <v>103</v>
      </c>
      <c r="E878" s="9" t="s">
        <v>1003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8652</v>
      </c>
      <c r="B879" s="4" t="s">
        <v>1174</v>
      </c>
      <c r="C879" s="4" t="s">
        <v>171</v>
      </c>
      <c r="D879" s="4" t="s">
        <v>197</v>
      </c>
      <c r="E879" s="4" t="s">
        <v>465</v>
      </c>
      <c r="F879" s="6">
        <v>3</v>
      </c>
      <c r="G879" s="7">
        <v>0</v>
      </c>
      <c r="H879" s="7">
        <v>0</v>
      </c>
      <c r="I879" s="7">
        <v>0</v>
      </c>
      <c r="J879" s="5">
        <v>2</v>
      </c>
      <c r="K879" s="5">
        <v>1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7">
        <v>0</v>
      </c>
      <c r="W879" s="7">
        <v>0</v>
      </c>
      <c r="X879" s="7">
        <v>0</v>
      </c>
      <c r="Y879" s="5">
        <v>1</v>
      </c>
      <c r="Z879" s="5">
        <v>1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2</v>
      </c>
      <c r="AN879" s="30">
        <v>0</v>
      </c>
    </row>
    <row r="880">
      <c r="A880" s="24">
        <v>8695</v>
      </c>
      <c r="B880" s="9" t="s">
        <v>1175</v>
      </c>
      <c r="C880" s="9" t="s">
        <v>141</v>
      </c>
      <c r="D880" s="9" t="s">
        <v>253</v>
      </c>
      <c r="E880" s="9" t="s">
        <v>254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0.24</v>
      </c>
    </row>
    <row r="881">
      <c r="A881" s="23">
        <v>8715</v>
      </c>
      <c r="B881" s="4" t="s">
        <v>1176</v>
      </c>
      <c r="C881" s="4" t="s">
        <v>63</v>
      </c>
      <c r="D881" s="4" t="s">
        <v>85</v>
      </c>
      <c r="E881" s="4" t="s">
        <v>100</v>
      </c>
      <c r="F881" s="6">
        <v>2</v>
      </c>
      <c r="G881" s="7">
        <v>0</v>
      </c>
      <c r="H881" s="7">
        <v>0</v>
      </c>
      <c r="I881" s="7">
        <v>0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7">
        <v>0</v>
      </c>
      <c r="W881" s="7">
        <v>0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28">
        <v>0.48</v>
      </c>
    </row>
    <row r="882">
      <c r="A882" s="24">
        <v>8723</v>
      </c>
      <c r="B882" s="9" t="s">
        <v>1177</v>
      </c>
      <c r="C882" s="9" t="s">
        <v>63</v>
      </c>
      <c r="D882" s="9" t="s">
        <v>93</v>
      </c>
      <c r="E882" s="9" t="s">
        <v>759</v>
      </c>
      <c r="F882" s="11">
        <v>3</v>
      </c>
      <c r="G882" s="10">
        <v>2</v>
      </c>
      <c r="H882" s="12">
        <v>0</v>
      </c>
      <c r="I882" s="12">
        <v>0</v>
      </c>
      <c r="J882" s="12">
        <v>0</v>
      </c>
      <c r="K882" s="10">
        <v>1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0">
        <v>2</v>
      </c>
      <c r="W882" s="12">
        <v>0</v>
      </c>
      <c r="X882" s="12">
        <v>0</v>
      </c>
      <c r="Y882" s="12">
        <v>0</v>
      </c>
      <c r="Z882" s="10">
        <v>1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1.5</v>
      </c>
      <c r="AL882" s="10">
        <v>1</v>
      </c>
      <c r="AM882" s="10">
        <v>2</v>
      </c>
      <c r="AN882" s="49">
        <v>0</v>
      </c>
    </row>
    <row r="883">
      <c r="A883" s="23">
        <v>8743</v>
      </c>
      <c r="B883" s="4" t="s">
        <v>1178</v>
      </c>
      <c r="C883" s="4" t="s">
        <v>63</v>
      </c>
      <c r="D883" s="4" t="s">
        <v>115</v>
      </c>
      <c r="E883" s="4" t="s">
        <v>149</v>
      </c>
      <c r="F883" s="6">
        <v>3</v>
      </c>
      <c r="G883" s="5">
        <v>1</v>
      </c>
      <c r="H883" s="7">
        <v>0</v>
      </c>
      <c r="I883" s="5">
        <v>1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5">
        <v>1</v>
      </c>
      <c r="W883" s="7">
        <v>0</v>
      </c>
      <c r="X883" s="5">
        <v>1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0.75</v>
      </c>
    </row>
    <row r="884">
      <c r="A884" s="24">
        <v>8751</v>
      </c>
      <c r="B884" s="9" t="s">
        <v>1179</v>
      </c>
      <c r="C884" s="9" t="s">
        <v>63</v>
      </c>
      <c r="D884" s="9" t="s">
        <v>76</v>
      </c>
      <c r="E884" s="9" t="s">
        <v>77</v>
      </c>
      <c r="F884" s="11">
        <v>2</v>
      </c>
      <c r="G884" s="10">
        <v>1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1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8755</v>
      </c>
      <c r="B885" s="4" t="s">
        <v>1180</v>
      </c>
      <c r="C885" s="4" t="s">
        <v>171</v>
      </c>
      <c r="D885" s="4" t="s">
        <v>1181</v>
      </c>
      <c r="E885" s="4" t="s">
        <v>1181</v>
      </c>
      <c r="F885" s="6">
        <v>1</v>
      </c>
      <c r="G885" s="7">
        <v>0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8791</v>
      </c>
      <c r="B886" s="9" t="s">
        <v>1182</v>
      </c>
      <c r="C886" s="9" t="s">
        <v>63</v>
      </c>
      <c r="D886" s="9" t="s">
        <v>80</v>
      </c>
      <c r="E886" s="9" t="s">
        <v>96</v>
      </c>
      <c r="F886" s="11">
        <v>1</v>
      </c>
      <c r="G886" s="12">
        <v>0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0.22</v>
      </c>
    </row>
    <row r="887">
      <c r="A887" s="23">
        <v>8795</v>
      </c>
      <c r="B887" s="4" t="s">
        <v>1183</v>
      </c>
      <c r="C887" s="4" t="s">
        <v>63</v>
      </c>
      <c r="D887" s="4" t="s">
        <v>73</v>
      </c>
      <c r="E887" s="4" t="s">
        <v>74</v>
      </c>
      <c r="F887" s="6">
        <v>5</v>
      </c>
      <c r="G887" s="5">
        <v>4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5</v>
      </c>
      <c r="V887" s="5">
        <v>4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1.67</v>
      </c>
      <c r="AL887" s="5">
        <v>1</v>
      </c>
      <c r="AM887" s="5">
        <v>3</v>
      </c>
      <c r="AN887" s="28">
        <v>0.5</v>
      </c>
    </row>
    <row r="888">
      <c r="A888" s="24">
        <v>8961</v>
      </c>
      <c r="B888" s="9" t="s">
        <v>1184</v>
      </c>
      <c r="C888" s="9" t="s">
        <v>63</v>
      </c>
      <c r="D888" s="9" t="s">
        <v>76</v>
      </c>
      <c r="E888" s="9" t="s">
        <v>234</v>
      </c>
      <c r="F888" s="11">
        <v>2</v>
      </c>
      <c r="G888" s="10">
        <v>2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2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49">
        <v>0</v>
      </c>
    </row>
    <row r="889">
      <c r="A889" s="23">
        <v>9061</v>
      </c>
      <c r="B889" s="4" t="s">
        <v>1185</v>
      </c>
      <c r="C889" s="4" t="s">
        <v>141</v>
      </c>
      <c r="D889" s="4" t="s">
        <v>423</v>
      </c>
      <c r="E889" s="4" t="s">
        <v>1186</v>
      </c>
      <c r="F889" s="6">
        <v>1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5">
        <v>1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5">
        <v>1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9105</v>
      </c>
      <c r="B890" s="9" t="s">
        <v>1187</v>
      </c>
      <c r="C890" s="9" t="s">
        <v>63</v>
      </c>
      <c r="D890" s="9" t="s">
        <v>133</v>
      </c>
      <c r="E890" s="9" t="s">
        <v>326</v>
      </c>
      <c r="F890" s="11">
        <v>2</v>
      </c>
      <c r="G890" s="10">
        <v>1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0">
        <v>1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9119</v>
      </c>
      <c r="B891" s="4" t="s">
        <v>1188</v>
      </c>
      <c r="C891" s="4" t="s">
        <v>63</v>
      </c>
      <c r="D891" s="4" t="s">
        <v>85</v>
      </c>
      <c r="E891" s="4" t="s">
        <v>86</v>
      </c>
      <c r="F891" s="6">
        <v>1</v>
      </c>
      <c r="G891" s="7">
        <v>0</v>
      </c>
      <c r="H891" s="5">
        <v>1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5">
        <v>1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9220</v>
      </c>
      <c r="B892" s="9" t="s">
        <v>1189</v>
      </c>
      <c r="C892" s="9" t="s">
        <v>63</v>
      </c>
      <c r="D892" s="9" t="s">
        <v>80</v>
      </c>
      <c r="E892" s="9" t="s">
        <v>257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49">
        <v>0</v>
      </c>
    </row>
    <row r="893">
      <c r="A893" s="23">
        <v>9221</v>
      </c>
      <c r="B893" s="4" t="s">
        <v>1190</v>
      </c>
      <c r="C893" s="4" t="s">
        <v>63</v>
      </c>
      <c r="D893" s="4" t="s">
        <v>80</v>
      </c>
      <c r="E893" s="4" t="s">
        <v>81</v>
      </c>
      <c r="F893" s="6">
        <v>3</v>
      </c>
      <c r="G893" s="5">
        <v>1</v>
      </c>
      <c r="H893" s="7">
        <v>0</v>
      </c>
      <c r="I893" s="5">
        <v>2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3</v>
      </c>
      <c r="V893" s="5">
        <v>1</v>
      </c>
      <c r="W893" s="7">
        <v>0</v>
      </c>
      <c r="X893" s="5">
        <v>2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30">
        <v>0</v>
      </c>
    </row>
    <row r="894">
      <c r="A894" s="24">
        <v>9278</v>
      </c>
      <c r="B894" s="9" t="s">
        <v>1191</v>
      </c>
      <c r="C894" s="9" t="s">
        <v>63</v>
      </c>
      <c r="D894" s="9" t="s">
        <v>112</v>
      </c>
      <c r="E894" s="9" t="s">
        <v>113</v>
      </c>
      <c r="F894" s="11">
        <v>2</v>
      </c>
      <c r="G894" s="10">
        <v>1</v>
      </c>
      <c r="H894" s="12">
        <v>0</v>
      </c>
      <c r="I894" s="12">
        <v>0</v>
      </c>
      <c r="J894" s="12">
        <v>0</v>
      </c>
      <c r="K894" s="10">
        <v>1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0">
        <v>1</v>
      </c>
      <c r="W894" s="12">
        <v>0</v>
      </c>
      <c r="X894" s="12">
        <v>0</v>
      </c>
      <c r="Y894" s="12">
        <v>0</v>
      </c>
      <c r="Z894" s="10">
        <v>1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0.35</v>
      </c>
    </row>
    <row r="895">
      <c r="A895" s="23">
        <v>9311</v>
      </c>
      <c r="B895" s="4" t="s">
        <v>1192</v>
      </c>
      <c r="C895" s="4" t="s">
        <v>63</v>
      </c>
      <c r="D895" s="4" t="s">
        <v>76</v>
      </c>
      <c r="E895" s="4" t="s">
        <v>163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9364</v>
      </c>
      <c r="B896" s="9" t="s">
        <v>1193</v>
      </c>
      <c r="C896" s="9" t="s">
        <v>360</v>
      </c>
      <c r="D896" s="9" t="s">
        <v>1194</v>
      </c>
      <c r="E896" s="9" t="s">
        <v>362</v>
      </c>
      <c r="F896" s="11">
        <v>2</v>
      </c>
      <c r="G896" s="12">
        <v>0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2">
        <v>0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0.5</v>
      </c>
    </row>
    <row r="897">
      <c r="A897" s="23">
        <v>9462</v>
      </c>
      <c r="B897" s="4" t="s">
        <v>1195</v>
      </c>
      <c r="C897" s="4" t="s">
        <v>63</v>
      </c>
      <c r="D897" s="4" t="s">
        <v>115</v>
      </c>
      <c r="E897" s="4" t="s">
        <v>292</v>
      </c>
      <c r="F897" s="6">
        <v>1</v>
      </c>
      <c r="G897" s="7">
        <v>0</v>
      </c>
      <c r="H897" s="5">
        <v>1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5">
        <v>1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9483</v>
      </c>
      <c r="B898" s="9" t="s">
        <v>1196</v>
      </c>
      <c r="C898" s="9" t="s">
        <v>63</v>
      </c>
      <c r="D898" s="9" t="s">
        <v>103</v>
      </c>
      <c r="E898" s="9" t="s">
        <v>131</v>
      </c>
      <c r="F898" s="11">
        <v>2</v>
      </c>
      <c r="G898" s="10">
        <v>1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1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0.26</v>
      </c>
    </row>
    <row r="899">
      <c r="A899" s="23">
        <v>9527</v>
      </c>
      <c r="B899" s="4" t="s">
        <v>1197</v>
      </c>
      <c r="C899" s="4" t="s">
        <v>63</v>
      </c>
      <c r="D899" s="4" t="s">
        <v>115</v>
      </c>
      <c r="E899" s="4" t="s">
        <v>124</v>
      </c>
      <c r="F899" s="6">
        <v>1</v>
      </c>
      <c r="G899" s="7">
        <v>0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0.24</v>
      </c>
    </row>
    <row r="900">
      <c r="A900" s="24">
        <v>9529</v>
      </c>
      <c r="B900" s="9" t="s">
        <v>1198</v>
      </c>
      <c r="C900" s="9" t="s">
        <v>63</v>
      </c>
      <c r="D900" s="9" t="s">
        <v>133</v>
      </c>
      <c r="E900" s="9" t="s">
        <v>326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9">
        <v>0</v>
      </c>
    </row>
    <row r="901">
      <c r="A901" s="23">
        <v>9558</v>
      </c>
      <c r="B901" s="4" t="s">
        <v>1199</v>
      </c>
      <c r="C901" s="4" t="s">
        <v>63</v>
      </c>
      <c r="D901" s="4" t="s">
        <v>73</v>
      </c>
      <c r="E901" s="4" t="s">
        <v>389</v>
      </c>
      <c r="F901" s="6">
        <v>6</v>
      </c>
      <c r="G901" s="5">
        <v>1</v>
      </c>
      <c r="H901" s="7">
        <v>0</v>
      </c>
      <c r="I901" s="7">
        <v>0</v>
      </c>
      <c r="J901" s="5">
        <v>5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5">
        <v>1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1</v>
      </c>
      <c r="AM901" s="5">
        <v>4</v>
      </c>
      <c r="AN901" s="28">
        <v>0.52</v>
      </c>
    </row>
    <row r="902">
      <c r="A902" s="24">
        <v>9627</v>
      </c>
      <c r="B902" s="9" t="s">
        <v>1200</v>
      </c>
      <c r="C902" s="9" t="s">
        <v>141</v>
      </c>
      <c r="D902" s="9" t="s">
        <v>423</v>
      </c>
      <c r="E902" s="9" t="s">
        <v>450</v>
      </c>
      <c r="F902" s="11">
        <v>1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9">
        <v>0</v>
      </c>
    </row>
    <row r="903">
      <c r="A903" s="23">
        <v>9630</v>
      </c>
      <c r="B903" s="4" t="s">
        <v>1201</v>
      </c>
      <c r="C903" s="4" t="s">
        <v>63</v>
      </c>
      <c r="D903" s="4" t="s">
        <v>85</v>
      </c>
      <c r="E903" s="4" t="s">
        <v>107</v>
      </c>
      <c r="F903" s="6">
        <v>3</v>
      </c>
      <c r="G903" s="7">
        <v>0</v>
      </c>
      <c r="H903" s="7">
        <v>0</v>
      </c>
      <c r="I903" s="5">
        <v>1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7">
        <v>0</v>
      </c>
      <c r="W903" s="7">
        <v>0</v>
      </c>
      <c r="X903" s="5">
        <v>1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0.75</v>
      </c>
    </row>
    <row r="904">
      <c r="A904" s="24">
        <v>9645</v>
      </c>
      <c r="B904" s="9" t="s">
        <v>1202</v>
      </c>
      <c r="C904" s="9" t="s">
        <v>595</v>
      </c>
      <c r="D904" s="9" t="s">
        <v>362</v>
      </c>
      <c r="E904" s="9" t="s">
        <v>601</v>
      </c>
      <c r="F904" s="11">
        <v>2</v>
      </c>
      <c r="G904" s="12">
        <v>0</v>
      </c>
      <c r="H904" s="10">
        <v>1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0">
        <v>1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0.52</v>
      </c>
    </row>
    <row r="905">
      <c r="A905" s="23">
        <v>9677</v>
      </c>
      <c r="B905" s="4" t="s">
        <v>1203</v>
      </c>
      <c r="C905" s="4" t="s">
        <v>171</v>
      </c>
      <c r="D905" s="4" t="s">
        <v>189</v>
      </c>
      <c r="E905" s="4" t="s">
        <v>210</v>
      </c>
      <c r="F905" s="6">
        <v>5</v>
      </c>
      <c r="G905" s="7">
        <v>0</v>
      </c>
      <c r="H905" s="7">
        <v>0</v>
      </c>
      <c r="I905" s="5">
        <v>3</v>
      </c>
      <c r="J905" s="7">
        <v>0</v>
      </c>
      <c r="K905" s="5">
        <v>2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4</v>
      </c>
      <c r="V905" s="7">
        <v>0</v>
      </c>
      <c r="W905" s="7">
        <v>0</v>
      </c>
      <c r="X905" s="5">
        <v>2</v>
      </c>
      <c r="Y905" s="7">
        <v>0</v>
      </c>
      <c r="Z905" s="5">
        <v>2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2.5</v>
      </c>
      <c r="AL905" s="5">
        <v>2</v>
      </c>
      <c r="AM905" s="5">
        <v>3</v>
      </c>
      <c r="AN905" s="30">
        <v>0</v>
      </c>
    </row>
    <row r="906">
      <c r="A906" s="24">
        <v>9749</v>
      </c>
      <c r="B906" s="9" t="s">
        <v>1204</v>
      </c>
      <c r="C906" s="9" t="s">
        <v>605</v>
      </c>
      <c r="D906" s="9" t="s">
        <v>653</v>
      </c>
      <c r="E906" s="9" t="s">
        <v>654</v>
      </c>
      <c r="F906" s="11">
        <v>4</v>
      </c>
      <c r="G906" s="12">
        <v>0</v>
      </c>
      <c r="H906" s="10">
        <v>3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4</v>
      </c>
      <c r="V906" s="12">
        <v>0</v>
      </c>
      <c r="W906" s="10">
        <v>3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1.33</v>
      </c>
      <c r="AL906" s="10">
        <v>1</v>
      </c>
      <c r="AM906" s="10">
        <v>2</v>
      </c>
      <c r="AN906" s="29">
        <v>0.78</v>
      </c>
    </row>
    <row r="907">
      <c r="A907" s="23">
        <v>9759</v>
      </c>
      <c r="B907" s="4" t="s">
        <v>1205</v>
      </c>
      <c r="C907" s="4" t="s">
        <v>241</v>
      </c>
      <c r="D907" s="4" t="s">
        <v>1206</v>
      </c>
      <c r="E907" s="4" t="s">
        <v>362</v>
      </c>
      <c r="F907" s="6">
        <v>2</v>
      </c>
      <c r="G907" s="7">
        <v>0</v>
      </c>
      <c r="H907" s="5">
        <v>2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7">
        <v>0</v>
      </c>
      <c r="W907" s="5">
        <v>2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28">
        <v>0.5</v>
      </c>
    </row>
    <row r="908">
      <c r="A908" s="24">
        <v>9770</v>
      </c>
      <c r="B908" s="9" t="s">
        <v>1207</v>
      </c>
      <c r="C908" s="9" t="s">
        <v>141</v>
      </c>
      <c r="D908" s="9" t="s">
        <v>472</v>
      </c>
      <c r="E908" s="9" t="s">
        <v>473</v>
      </c>
      <c r="F908" s="11">
        <v>1</v>
      </c>
      <c r="G908" s="12">
        <v>0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9811</v>
      </c>
      <c r="B909" s="4" t="s">
        <v>1208</v>
      </c>
      <c r="C909" s="4" t="s">
        <v>63</v>
      </c>
      <c r="D909" s="4" t="s">
        <v>103</v>
      </c>
      <c r="E909" s="4" t="s">
        <v>131</v>
      </c>
      <c r="F909" s="6">
        <v>5</v>
      </c>
      <c r="G909" s="5">
        <v>5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5</v>
      </c>
      <c r="V909" s="5">
        <v>5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5</v>
      </c>
      <c r="AK909" s="8">
        <v>5</v>
      </c>
      <c r="AL909" s="5">
        <v>5</v>
      </c>
      <c r="AM909" s="5">
        <v>5</v>
      </c>
      <c r="AN909" s="30">
        <v>0</v>
      </c>
    </row>
    <row r="910">
      <c r="A910" s="24">
        <v>9826</v>
      </c>
      <c r="B910" s="9" t="s">
        <v>1209</v>
      </c>
      <c r="C910" s="9" t="s">
        <v>63</v>
      </c>
      <c r="D910" s="9" t="s">
        <v>80</v>
      </c>
      <c r="E910" s="9" t="s">
        <v>413</v>
      </c>
      <c r="F910" s="11">
        <v>2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0">
        <v>2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0">
        <v>2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49">
        <v>0</v>
      </c>
    </row>
    <row r="911">
      <c r="A911" s="23">
        <v>9835</v>
      </c>
      <c r="B911" s="4" t="s">
        <v>1210</v>
      </c>
      <c r="C911" s="4" t="s">
        <v>63</v>
      </c>
      <c r="D911" s="4" t="s">
        <v>109</v>
      </c>
      <c r="E911" s="4" t="s">
        <v>167</v>
      </c>
      <c r="F911" s="6">
        <v>1</v>
      </c>
      <c r="G911" s="7">
        <v>0</v>
      </c>
      <c r="H911" s="5">
        <v>1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5">
        <v>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0.24</v>
      </c>
    </row>
    <row r="912">
      <c r="A912" s="24">
        <v>9836</v>
      </c>
      <c r="B912" s="9" t="s">
        <v>1211</v>
      </c>
      <c r="C912" s="9" t="s">
        <v>63</v>
      </c>
      <c r="D912" s="9" t="s">
        <v>93</v>
      </c>
      <c r="E912" s="9" t="s">
        <v>156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9">
        <v>0</v>
      </c>
    </row>
    <row r="913">
      <c r="A913" s="23">
        <v>9840</v>
      </c>
      <c r="B913" s="4" t="s">
        <v>1111</v>
      </c>
      <c r="C913" s="4" t="s">
        <v>141</v>
      </c>
      <c r="D913" s="4" t="s">
        <v>142</v>
      </c>
      <c r="E913" s="4" t="s">
        <v>143</v>
      </c>
      <c r="F913" s="6">
        <v>1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9881</v>
      </c>
      <c r="B914" s="9" t="s">
        <v>1212</v>
      </c>
      <c r="C914" s="9" t="s">
        <v>63</v>
      </c>
      <c r="D914" s="9" t="s">
        <v>80</v>
      </c>
      <c r="E914" s="9" t="s">
        <v>413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9">
        <v>0</v>
      </c>
    </row>
    <row r="915">
      <c r="A915" s="23">
        <v>9926</v>
      </c>
      <c r="B915" s="4" t="s">
        <v>1213</v>
      </c>
      <c r="C915" s="4" t="s">
        <v>63</v>
      </c>
      <c r="D915" s="4" t="s">
        <v>67</v>
      </c>
      <c r="E915" s="4" t="s">
        <v>71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9931</v>
      </c>
      <c r="B916" s="9" t="s">
        <v>1214</v>
      </c>
      <c r="C916" s="9" t="s">
        <v>63</v>
      </c>
      <c r="D916" s="9" t="s">
        <v>76</v>
      </c>
      <c r="E916" s="9" t="s">
        <v>127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9">
        <v>0</v>
      </c>
    </row>
    <row r="917">
      <c r="A917" s="23">
        <v>10018</v>
      </c>
      <c r="B917" s="4" t="s">
        <v>1215</v>
      </c>
      <c r="C917" s="4" t="s">
        <v>63</v>
      </c>
      <c r="D917" s="4" t="s">
        <v>115</v>
      </c>
      <c r="E917" s="4" t="s">
        <v>222</v>
      </c>
      <c r="F917" s="6">
        <v>2</v>
      </c>
      <c r="G917" s="5">
        <v>1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5">
        <v>1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10045</v>
      </c>
      <c r="B918" s="9" t="s">
        <v>1216</v>
      </c>
      <c r="C918" s="9" t="s">
        <v>63</v>
      </c>
      <c r="D918" s="9" t="s">
        <v>133</v>
      </c>
      <c r="E918" s="9" t="s">
        <v>134</v>
      </c>
      <c r="F918" s="11">
        <v>1</v>
      </c>
      <c r="G918" s="12">
        <v>0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0.22</v>
      </c>
    </row>
    <row r="919">
      <c r="A919" s="23">
        <v>10050</v>
      </c>
      <c r="B919" s="4" t="s">
        <v>1217</v>
      </c>
      <c r="C919" s="4" t="s">
        <v>63</v>
      </c>
      <c r="D919" s="4" t="s">
        <v>85</v>
      </c>
      <c r="E919" s="4" t="s">
        <v>432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0.38</v>
      </c>
    </row>
    <row r="920">
      <c r="A920" s="24">
        <v>10062</v>
      </c>
      <c r="B920" s="9" t="s">
        <v>1218</v>
      </c>
      <c r="C920" s="9" t="s">
        <v>663</v>
      </c>
      <c r="D920" s="9" t="s">
        <v>1048</v>
      </c>
      <c r="E920" s="9" t="s">
        <v>362</v>
      </c>
      <c r="F920" s="11">
        <v>2</v>
      </c>
      <c r="G920" s="12">
        <v>0</v>
      </c>
      <c r="H920" s="12">
        <v>0</v>
      </c>
      <c r="I920" s="10">
        <v>2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2">
        <v>0</v>
      </c>
      <c r="W920" s="12">
        <v>0</v>
      </c>
      <c r="X920" s="10">
        <v>2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0.52</v>
      </c>
    </row>
    <row r="921">
      <c r="A921" s="23">
        <v>10063</v>
      </c>
      <c r="B921" s="4" t="s">
        <v>1219</v>
      </c>
      <c r="C921" s="4" t="s">
        <v>63</v>
      </c>
      <c r="D921" s="4" t="s">
        <v>76</v>
      </c>
      <c r="E921" s="4" t="s">
        <v>163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0.24</v>
      </c>
    </row>
    <row r="922">
      <c r="A922" s="24">
        <v>10123</v>
      </c>
      <c r="B922" s="9" t="s">
        <v>1220</v>
      </c>
      <c r="C922" s="9" t="s">
        <v>171</v>
      </c>
      <c r="D922" s="9" t="s">
        <v>189</v>
      </c>
      <c r="E922" s="9" t="s">
        <v>190</v>
      </c>
      <c r="F922" s="11">
        <v>4</v>
      </c>
      <c r="G922" s="12">
        <v>0</v>
      </c>
      <c r="H922" s="12">
        <v>0</v>
      </c>
      <c r="I922" s="10">
        <v>3</v>
      </c>
      <c r="J922" s="12">
        <v>0</v>
      </c>
      <c r="K922" s="10">
        <v>1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2">
        <v>0</v>
      </c>
      <c r="W922" s="12">
        <v>0</v>
      </c>
      <c r="X922" s="10">
        <v>1</v>
      </c>
      <c r="Y922" s="12">
        <v>0</v>
      </c>
      <c r="Z922" s="10">
        <v>1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</v>
      </c>
      <c r="AL922" s="10">
        <v>2</v>
      </c>
      <c r="AM922" s="10">
        <v>3</v>
      </c>
      <c r="AN922" s="49">
        <v>0</v>
      </c>
    </row>
    <row r="923">
      <c r="A923" s="23">
        <v>10126</v>
      </c>
      <c r="B923" s="4" t="s">
        <v>1221</v>
      </c>
      <c r="C923" s="4" t="s">
        <v>1116</v>
      </c>
      <c r="D923" s="4" t="s">
        <v>1222</v>
      </c>
      <c r="E923" s="4" t="s">
        <v>1223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10178</v>
      </c>
      <c r="B924" s="9" t="s">
        <v>1224</v>
      </c>
      <c r="C924" s="9" t="s">
        <v>63</v>
      </c>
      <c r="D924" s="9" t="s">
        <v>80</v>
      </c>
      <c r="E924" s="9" t="s">
        <v>96</v>
      </c>
      <c r="F924" s="11">
        <v>9</v>
      </c>
      <c r="G924" s="12">
        <v>0</v>
      </c>
      <c r="H924" s="12">
        <v>0</v>
      </c>
      <c r="I924" s="12">
        <v>0</v>
      </c>
      <c r="J924" s="10">
        <v>9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9</v>
      </c>
      <c r="V924" s="12">
        <v>0</v>
      </c>
      <c r="W924" s="12">
        <v>0</v>
      </c>
      <c r="X924" s="12">
        <v>0</v>
      </c>
      <c r="Y924" s="10">
        <v>9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9</v>
      </c>
      <c r="AK924" s="13">
        <v>9</v>
      </c>
      <c r="AL924" s="10">
        <v>9</v>
      </c>
      <c r="AM924" s="10">
        <v>9</v>
      </c>
      <c r="AN924" s="29">
        <v>2.34</v>
      </c>
    </row>
    <row r="925">
      <c r="A925" s="23">
        <v>10187</v>
      </c>
      <c r="B925" s="4" t="s">
        <v>1225</v>
      </c>
      <c r="C925" s="4" t="s">
        <v>171</v>
      </c>
      <c r="D925" s="4" t="s">
        <v>384</v>
      </c>
      <c r="E925" s="4" t="s">
        <v>384</v>
      </c>
      <c r="F925" s="6">
        <v>5</v>
      </c>
      <c r="G925" s="5">
        <v>2</v>
      </c>
      <c r="H925" s="5">
        <v>1</v>
      </c>
      <c r="I925" s="7">
        <v>0</v>
      </c>
      <c r="J925" s="7">
        <v>0</v>
      </c>
      <c r="K925" s="5">
        <v>1</v>
      </c>
      <c r="L925" s="5">
        <v>1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4</v>
      </c>
      <c r="V925" s="5">
        <v>1</v>
      </c>
      <c r="W925" s="5">
        <v>1</v>
      </c>
      <c r="X925" s="7">
        <v>0</v>
      </c>
      <c r="Y925" s="7">
        <v>0</v>
      </c>
      <c r="Z925" s="5">
        <v>1</v>
      </c>
      <c r="AA925" s="5">
        <v>1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1.25</v>
      </c>
      <c r="AL925" s="5">
        <v>1</v>
      </c>
      <c r="AM925" s="5">
        <v>2</v>
      </c>
      <c r="AN925" s="28">
        <v>0.24</v>
      </c>
    </row>
    <row r="926">
      <c r="A926" s="24">
        <v>10365</v>
      </c>
      <c r="B926" s="9" t="s">
        <v>1226</v>
      </c>
      <c r="C926" s="9" t="s">
        <v>141</v>
      </c>
      <c r="D926" s="9" t="s">
        <v>423</v>
      </c>
      <c r="E926" s="9" t="s">
        <v>424</v>
      </c>
      <c r="F926" s="11">
        <v>2</v>
      </c>
      <c r="G926" s="12">
        <v>0</v>
      </c>
      <c r="H926" s="12">
        <v>0</v>
      </c>
      <c r="I926" s="12">
        <v>0</v>
      </c>
      <c r="J926" s="12">
        <v>0</v>
      </c>
      <c r="K926" s="10">
        <v>1</v>
      </c>
      <c r="L926" s="10">
        <v>1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2">
        <v>0</v>
      </c>
      <c r="W926" s="12">
        <v>0</v>
      </c>
      <c r="X926" s="12">
        <v>0</v>
      </c>
      <c r="Y926" s="12">
        <v>0</v>
      </c>
      <c r="Z926" s="10">
        <v>1</v>
      </c>
      <c r="AA926" s="10">
        <v>1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0.48</v>
      </c>
    </row>
    <row r="927">
      <c r="A927" s="23">
        <v>10385</v>
      </c>
      <c r="B927" s="4" t="s">
        <v>1227</v>
      </c>
      <c r="C927" s="4" t="s">
        <v>171</v>
      </c>
      <c r="D927" s="4" t="s">
        <v>482</v>
      </c>
      <c r="E927" s="4" t="s">
        <v>483</v>
      </c>
      <c r="F927" s="6">
        <v>1</v>
      </c>
      <c r="G927" s="7">
        <v>0</v>
      </c>
      <c r="H927" s="5">
        <v>1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5">
        <v>1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10461</v>
      </c>
      <c r="B928" s="9" t="s">
        <v>1228</v>
      </c>
      <c r="C928" s="9" t="s">
        <v>63</v>
      </c>
      <c r="D928" s="9" t="s">
        <v>76</v>
      </c>
      <c r="E928" s="9" t="s">
        <v>83</v>
      </c>
      <c r="F928" s="11">
        <v>2</v>
      </c>
      <c r="G928" s="12">
        <v>0</v>
      </c>
      <c r="H928" s="10">
        <v>2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2">
        <v>0</v>
      </c>
      <c r="W928" s="10">
        <v>2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49">
        <v>0</v>
      </c>
    </row>
    <row r="929">
      <c r="A929" s="23">
        <v>10487</v>
      </c>
      <c r="B929" s="4" t="s">
        <v>1229</v>
      </c>
      <c r="C929" s="4" t="s">
        <v>171</v>
      </c>
      <c r="D929" s="4" t="s">
        <v>172</v>
      </c>
      <c r="E929" s="4" t="s">
        <v>173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10542</v>
      </c>
      <c r="B930" s="9" t="s">
        <v>1230</v>
      </c>
      <c r="C930" s="9" t="s">
        <v>63</v>
      </c>
      <c r="D930" s="9" t="s">
        <v>80</v>
      </c>
      <c r="E930" s="9" t="s">
        <v>96</v>
      </c>
      <c r="F930" s="11">
        <v>2</v>
      </c>
      <c r="G930" s="12">
        <v>0</v>
      </c>
      <c r="H930" s="12">
        <v>0</v>
      </c>
      <c r="I930" s="12">
        <v>0</v>
      </c>
      <c r="J930" s="10">
        <v>1</v>
      </c>
      <c r="K930" s="10">
        <v>1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2">
        <v>0</v>
      </c>
      <c r="W930" s="12">
        <v>0</v>
      </c>
      <c r="X930" s="12">
        <v>0</v>
      </c>
      <c r="Y930" s="10">
        <v>1</v>
      </c>
      <c r="Z930" s="10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10546</v>
      </c>
      <c r="B931" s="4" t="s">
        <v>1231</v>
      </c>
      <c r="C931" s="4" t="s">
        <v>663</v>
      </c>
      <c r="D931" s="4" t="s">
        <v>716</v>
      </c>
      <c r="E931" s="4" t="s">
        <v>362</v>
      </c>
      <c r="F931" s="6">
        <v>1</v>
      </c>
      <c r="G931" s="7">
        <v>0</v>
      </c>
      <c r="H931" s="5">
        <v>1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5">
        <v>1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10577</v>
      </c>
      <c r="B932" s="9" t="s">
        <v>1232</v>
      </c>
      <c r="C932" s="9" t="s">
        <v>663</v>
      </c>
      <c r="D932" s="9" t="s">
        <v>664</v>
      </c>
      <c r="E932" s="9" t="s">
        <v>362</v>
      </c>
      <c r="F932" s="11">
        <v>2</v>
      </c>
      <c r="G932" s="12">
        <v>0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2">
        <v>0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0.52</v>
      </c>
    </row>
    <row r="933">
      <c r="A933" s="23">
        <v>10604</v>
      </c>
      <c r="B933" s="4" t="s">
        <v>1233</v>
      </c>
      <c r="C933" s="4" t="s">
        <v>141</v>
      </c>
      <c r="D933" s="4" t="s">
        <v>253</v>
      </c>
      <c r="E933" s="4" t="s">
        <v>1058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0.24</v>
      </c>
    </row>
    <row r="934">
      <c r="A934" s="24">
        <v>10612</v>
      </c>
      <c r="B934" s="9" t="s">
        <v>1234</v>
      </c>
      <c r="C934" s="9" t="s">
        <v>63</v>
      </c>
      <c r="D934" s="9" t="s">
        <v>133</v>
      </c>
      <c r="E934" s="9" t="s">
        <v>251</v>
      </c>
      <c r="F934" s="11">
        <v>3</v>
      </c>
      <c r="G934" s="10">
        <v>1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0">
        <v>1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0">
        <v>1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0">
        <v>1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9">
        <v>0</v>
      </c>
    </row>
    <row r="935">
      <c r="A935" s="23">
        <v>10651</v>
      </c>
      <c r="B935" s="4" t="s">
        <v>1235</v>
      </c>
      <c r="C935" s="4" t="s">
        <v>63</v>
      </c>
      <c r="D935" s="4" t="s">
        <v>115</v>
      </c>
      <c r="E935" s="4" t="s">
        <v>319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10734</v>
      </c>
      <c r="B936" s="9" t="s">
        <v>1236</v>
      </c>
      <c r="C936" s="9" t="s">
        <v>671</v>
      </c>
      <c r="D936" s="9" t="s">
        <v>1237</v>
      </c>
      <c r="E936" s="9" t="s">
        <v>362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0.26</v>
      </c>
    </row>
    <row r="937">
      <c r="A937" s="23">
        <v>10775</v>
      </c>
      <c r="B937" s="4" t="s">
        <v>1238</v>
      </c>
      <c r="C937" s="4" t="s">
        <v>171</v>
      </c>
      <c r="D937" s="4" t="s">
        <v>172</v>
      </c>
      <c r="E937" s="4" t="s">
        <v>184</v>
      </c>
      <c r="F937" s="6">
        <v>2</v>
      </c>
      <c r="G937" s="5">
        <v>1</v>
      </c>
      <c r="H937" s="7">
        <v>0</v>
      </c>
      <c r="I937" s="7">
        <v>0</v>
      </c>
      <c r="J937" s="7">
        <v>0</v>
      </c>
      <c r="K937" s="5">
        <v>1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5">
        <v>1</v>
      </c>
      <c r="W937" s="7">
        <v>0</v>
      </c>
      <c r="X937" s="7">
        <v>0</v>
      </c>
      <c r="Y937" s="7">
        <v>0</v>
      </c>
      <c r="Z937" s="5">
        <v>1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10847</v>
      </c>
      <c r="B938" s="9" t="s">
        <v>1239</v>
      </c>
      <c r="C938" s="9" t="s">
        <v>63</v>
      </c>
      <c r="D938" s="9" t="s">
        <v>64</v>
      </c>
      <c r="E938" s="9" t="s">
        <v>1240</v>
      </c>
      <c r="F938" s="11">
        <v>2</v>
      </c>
      <c r="G938" s="12">
        <v>0</v>
      </c>
      <c r="H938" s="10">
        <v>2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2">
        <v>0</v>
      </c>
      <c r="W938" s="10">
        <v>2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49">
        <v>0</v>
      </c>
    </row>
    <row r="939">
      <c r="A939" s="23">
        <v>10862</v>
      </c>
      <c r="B939" s="4" t="s">
        <v>1241</v>
      </c>
      <c r="C939" s="4" t="s">
        <v>171</v>
      </c>
      <c r="D939" s="4" t="s">
        <v>172</v>
      </c>
      <c r="E939" s="4" t="s">
        <v>173</v>
      </c>
      <c r="F939" s="6">
        <v>2</v>
      </c>
      <c r="G939" s="7">
        <v>0</v>
      </c>
      <c r="H939" s="7">
        <v>0</v>
      </c>
      <c r="I939" s="5">
        <v>1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5">
        <v>1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0.52</v>
      </c>
    </row>
    <row r="940">
      <c r="A940" s="24">
        <v>10924</v>
      </c>
      <c r="B940" s="9" t="s">
        <v>1242</v>
      </c>
      <c r="C940" s="9" t="s">
        <v>63</v>
      </c>
      <c r="D940" s="9" t="s">
        <v>76</v>
      </c>
      <c r="E940" s="9" t="s">
        <v>83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10957</v>
      </c>
      <c r="B941" s="4" t="s">
        <v>1243</v>
      </c>
      <c r="C941" s="4" t="s">
        <v>141</v>
      </c>
      <c r="D941" s="4" t="s">
        <v>423</v>
      </c>
      <c r="E941" s="4" t="s">
        <v>982</v>
      </c>
      <c r="F941" s="6">
        <v>3</v>
      </c>
      <c r="G941" s="7">
        <v>0</v>
      </c>
      <c r="H941" s="5">
        <v>3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7">
        <v>0</v>
      </c>
      <c r="W941" s="5">
        <v>3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28">
        <v>0.85</v>
      </c>
    </row>
    <row r="942">
      <c r="A942" s="24">
        <v>10989</v>
      </c>
      <c r="B942" s="9" t="s">
        <v>1244</v>
      </c>
      <c r="C942" s="9" t="s">
        <v>141</v>
      </c>
      <c r="D942" s="9" t="s">
        <v>685</v>
      </c>
      <c r="E942" s="9" t="s">
        <v>686</v>
      </c>
      <c r="F942" s="11">
        <v>1</v>
      </c>
      <c r="G942" s="12">
        <v>0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9">
        <v>0</v>
      </c>
    </row>
    <row r="943">
      <c r="A943" s="23">
        <v>11124</v>
      </c>
      <c r="B943" s="4" t="s">
        <v>1245</v>
      </c>
      <c r="C943" s="4" t="s">
        <v>63</v>
      </c>
      <c r="D943" s="4" t="s">
        <v>64</v>
      </c>
      <c r="E943" s="4" t="s">
        <v>1240</v>
      </c>
      <c r="F943" s="6">
        <v>1</v>
      </c>
      <c r="G943" s="7">
        <v>0</v>
      </c>
      <c r="H943" s="5">
        <v>1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5">
        <v>1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11221</v>
      </c>
      <c r="B944" s="9" t="s">
        <v>1246</v>
      </c>
      <c r="C944" s="9" t="s">
        <v>63</v>
      </c>
      <c r="D944" s="9" t="s">
        <v>109</v>
      </c>
      <c r="E944" s="9" t="s">
        <v>616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9">
        <v>0</v>
      </c>
    </row>
    <row r="945">
      <c r="A945" s="23">
        <v>11265</v>
      </c>
      <c r="B945" s="4" t="s">
        <v>1247</v>
      </c>
      <c r="C945" s="4" t="s">
        <v>663</v>
      </c>
      <c r="D945" s="4" t="s">
        <v>830</v>
      </c>
      <c r="E945" s="4" t="s">
        <v>362</v>
      </c>
      <c r="F945" s="6">
        <v>1</v>
      </c>
      <c r="G945" s="7">
        <v>0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0">
        <v>0</v>
      </c>
    </row>
    <row r="946">
      <c r="A946" s="24">
        <v>11268</v>
      </c>
      <c r="B946" s="9" t="s">
        <v>1248</v>
      </c>
      <c r="C946" s="9" t="s">
        <v>663</v>
      </c>
      <c r="D946" s="9" t="s">
        <v>830</v>
      </c>
      <c r="E946" s="9" t="s">
        <v>362</v>
      </c>
      <c r="F946" s="11">
        <v>2</v>
      </c>
      <c r="G946" s="10">
        <v>1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0.26</v>
      </c>
    </row>
    <row r="947">
      <c r="A947" s="23">
        <v>11281</v>
      </c>
      <c r="B947" s="4" t="s">
        <v>444</v>
      </c>
      <c r="C947" s="4" t="s">
        <v>63</v>
      </c>
      <c r="D947" s="4" t="s">
        <v>109</v>
      </c>
      <c r="E947" s="4" t="s">
        <v>167</v>
      </c>
      <c r="F947" s="6">
        <v>4</v>
      </c>
      <c r="G947" s="5">
        <v>4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2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4</v>
      </c>
      <c r="AK947" s="8">
        <v>4</v>
      </c>
      <c r="AL947" s="5">
        <v>4</v>
      </c>
      <c r="AM947" s="5">
        <v>4</v>
      </c>
      <c r="AN947" s="30">
        <v>0</v>
      </c>
    </row>
    <row r="948">
      <c r="A948" s="24">
        <v>11310</v>
      </c>
      <c r="B948" s="9" t="s">
        <v>1249</v>
      </c>
      <c r="C948" s="9" t="s">
        <v>63</v>
      </c>
      <c r="D948" s="9" t="s">
        <v>103</v>
      </c>
      <c r="E948" s="9" t="s">
        <v>131</v>
      </c>
      <c r="F948" s="11">
        <v>2</v>
      </c>
      <c r="G948" s="10">
        <v>1</v>
      </c>
      <c r="H948" s="12">
        <v>0</v>
      </c>
      <c r="I948" s="12">
        <v>0</v>
      </c>
      <c r="J948" s="12">
        <v>0</v>
      </c>
      <c r="K948" s="10">
        <v>1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1</v>
      </c>
      <c r="W948" s="12">
        <v>0</v>
      </c>
      <c r="X948" s="12">
        <v>0</v>
      </c>
      <c r="Y948" s="12">
        <v>0</v>
      </c>
      <c r="Z948" s="10">
        <v>1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9">
        <v>0</v>
      </c>
    </row>
    <row r="949">
      <c r="A949" s="23">
        <v>11363</v>
      </c>
      <c r="B949" s="4" t="s">
        <v>1250</v>
      </c>
      <c r="C949" s="4" t="s">
        <v>141</v>
      </c>
      <c r="D949" s="4" t="s">
        <v>472</v>
      </c>
      <c r="E949" s="4" t="s">
        <v>540</v>
      </c>
      <c r="F949" s="6">
        <v>2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5">
        <v>1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5">
        <v>1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11423</v>
      </c>
      <c r="B950" s="9" t="s">
        <v>1251</v>
      </c>
      <c r="C950" s="9" t="s">
        <v>63</v>
      </c>
      <c r="D950" s="9" t="s">
        <v>133</v>
      </c>
      <c r="E950" s="9" t="s">
        <v>251</v>
      </c>
      <c r="F950" s="11">
        <v>2</v>
      </c>
      <c r="G950" s="10">
        <v>1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0">
        <v>1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11531</v>
      </c>
      <c r="B951" s="4" t="s">
        <v>1252</v>
      </c>
      <c r="C951" s="4" t="s">
        <v>63</v>
      </c>
      <c r="D951" s="4" t="s">
        <v>85</v>
      </c>
      <c r="E951" s="4" t="s">
        <v>231</v>
      </c>
      <c r="F951" s="6">
        <v>4</v>
      </c>
      <c r="G951" s="7">
        <v>0</v>
      </c>
      <c r="H951" s="7">
        <v>0</v>
      </c>
      <c r="I951" s="7">
        <v>0</v>
      </c>
      <c r="J951" s="5">
        <v>4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4</v>
      </c>
      <c r="V951" s="7">
        <v>0</v>
      </c>
      <c r="W951" s="7">
        <v>0</v>
      </c>
      <c r="X951" s="7">
        <v>0</v>
      </c>
      <c r="Y951" s="5">
        <v>4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</v>
      </c>
      <c r="AL951" s="5">
        <v>2</v>
      </c>
      <c r="AM951" s="5">
        <v>3</v>
      </c>
      <c r="AN951" s="28">
        <v>1.04</v>
      </c>
    </row>
    <row r="952">
      <c r="A952" s="24">
        <v>11580</v>
      </c>
      <c r="B952" s="9" t="s">
        <v>1253</v>
      </c>
      <c r="C952" s="9" t="s">
        <v>63</v>
      </c>
      <c r="D952" s="9" t="s">
        <v>115</v>
      </c>
      <c r="E952" s="9" t="s">
        <v>149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11598</v>
      </c>
      <c r="B953" s="4" t="s">
        <v>1254</v>
      </c>
      <c r="C953" s="4" t="s">
        <v>63</v>
      </c>
      <c r="D953" s="4" t="s">
        <v>80</v>
      </c>
      <c r="E953" s="4" t="s">
        <v>413</v>
      </c>
      <c r="F953" s="6">
        <v>1</v>
      </c>
      <c r="G953" s="7">
        <v>0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7">
        <v>0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0.26</v>
      </c>
    </row>
    <row r="954">
      <c r="A954" s="24">
        <v>11599</v>
      </c>
      <c r="B954" s="9" t="s">
        <v>1255</v>
      </c>
      <c r="C954" s="9" t="s">
        <v>63</v>
      </c>
      <c r="D954" s="9" t="s">
        <v>85</v>
      </c>
      <c r="E954" s="9" t="s">
        <v>107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0.26</v>
      </c>
    </row>
    <row r="955">
      <c r="A955" s="23">
        <v>11609</v>
      </c>
      <c r="B955" s="4" t="s">
        <v>1256</v>
      </c>
      <c r="C955" s="4" t="s">
        <v>63</v>
      </c>
      <c r="D955" s="4" t="s">
        <v>133</v>
      </c>
      <c r="E955" s="4" t="s">
        <v>251</v>
      </c>
      <c r="F955" s="6">
        <v>2</v>
      </c>
      <c r="G955" s="7">
        <v>0</v>
      </c>
      <c r="H955" s="7">
        <v>0</v>
      </c>
      <c r="I955" s="7">
        <v>0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7">
        <v>0</v>
      </c>
      <c r="W955" s="7">
        <v>0</v>
      </c>
      <c r="X955" s="7">
        <v>0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0.22</v>
      </c>
    </row>
    <row r="956">
      <c r="A956" s="24">
        <v>11612</v>
      </c>
      <c r="B956" s="9" t="s">
        <v>1257</v>
      </c>
      <c r="C956" s="9" t="s">
        <v>63</v>
      </c>
      <c r="D956" s="9" t="s">
        <v>67</v>
      </c>
      <c r="E956" s="9" t="s">
        <v>160</v>
      </c>
      <c r="F956" s="11">
        <v>1</v>
      </c>
      <c r="G956" s="12">
        <v>0</v>
      </c>
      <c r="H956" s="12">
        <v>0</v>
      </c>
      <c r="I956" s="12">
        <v>0</v>
      </c>
      <c r="J956" s="12">
        <v>0</v>
      </c>
      <c r="K956" s="10">
        <v>1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2">
        <v>0</v>
      </c>
      <c r="Y956" s="12">
        <v>0</v>
      </c>
      <c r="Z956" s="10">
        <v>1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9">
        <v>0</v>
      </c>
    </row>
    <row r="957">
      <c r="A957" s="23">
        <v>11618</v>
      </c>
      <c r="B957" s="4" t="s">
        <v>1258</v>
      </c>
      <c r="C957" s="4" t="s">
        <v>171</v>
      </c>
      <c r="D957" s="4" t="s">
        <v>439</v>
      </c>
      <c r="E957" s="4" t="s">
        <v>447</v>
      </c>
      <c r="F957" s="6">
        <v>2</v>
      </c>
      <c r="G957" s="7">
        <v>0</v>
      </c>
      <c r="H957" s="7">
        <v>0</v>
      </c>
      <c r="I957" s="7">
        <v>0</v>
      </c>
      <c r="J957" s="7">
        <v>0</v>
      </c>
      <c r="K957" s="5">
        <v>1</v>
      </c>
      <c r="L957" s="5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7">
        <v>0</v>
      </c>
      <c r="W957" s="7">
        <v>0</v>
      </c>
      <c r="X957" s="7">
        <v>0</v>
      </c>
      <c r="Y957" s="7">
        <v>0</v>
      </c>
      <c r="Z957" s="5">
        <v>1</v>
      </c>
      <c r="AA957" s="5">
        <v>1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11636</v>
      </c>
      <c r="B958" s="9" t="s">
        <v>1259</v>
      </c>
      <c r="C958" s="9" t="s">
        <v>63</v>
      </c>
      <c r="D958" s="9" t="s">
        <v>133</v>
      </c>
      <c r="E958" s="9" t="s">
        <v>251</v>
      </c>
      <c r="F958" s="11">
        <v>2</v>
      </c>
      <c r="G958" s="10">
        <v>1</v>
      </c>
      <c r="H958" s="10">
        <v>1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1</v>
      </c>
      <c r="W958" s="10">
        <v>1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11639</v>
      </c>
      <c r="B959" s="4" t="s">
        <v>1260</v>
      </c>
      <c r="C959" s="4" t="s">
        <v>63</v>
      </c>
      <c r="D959" s="4" t="s">
        <v>115</v>
      </c>
      <c r="E959" s="4" t="s">
        <v>149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30">
        <v>0</v>
      </c>
    </row>
    <row r="960">
      <c r="A960" s="24">
        <v>11793</v>
      </c>
      <c r="B960" s="9" t="s">
        <v>1261</v>
      </c>
      <c r="C960" s="9" t="s">
        <v>63</v>
      </c>
      <c r="D960" s="9" t="s">
        <v>67</v>
      </c>
      <c r="E960" s="9" t="s">
        <v>71</v>
      </c>
      <c r="F960" s="11">
        <v>1</v>
      </c>
      <c r="G960" s="10">
        <v>1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9">
        <v>0</v>
      </c>
    </row>
    <row r="961">
      <c r="A961" s="23">
        <v>11833</v>
      </c>
      <c r="B961" s="4" t="s">
        <v>1262</v>
      </c>
      <c r="C961" s="4" t="s">
        <v>63</v>
      </c>
      <c r="D961" s="4" t="s">
        <v>76</v>
      </c>
      <c r="E961" s="4" t="s">
        <v>77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11835</v>
      </c>
      <c r="B962" s="9" t="s">
        <v>1263</v>
      </c>
      <c r="C962" s="9" t="s">
        <v>63</v>
      </c>
      <c r="D962" s="9" t="s">
        <v>115</v>
      </c>
      <c r="E962" s="9" t="s">
        <v>222</v>
      </c>
      <c r="F962" s="11">
        <v>3</v>
      </c>
      <c r="G962" s="12">
        <v>0</v>
      </c>
      <c r="H962" s="12">
        <v>0</v>
      </c>
      <c r="I962" s="12">
        <v>0</v>
      </c>
      <c r="J962" s="10">
        <v>3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2">
        <v>0</v>
      </c>
      <c r="W962" s="12">
        <v>0</v>
      </c>
      <c r="X962" s="12">
        <v>0</v>
      </c>
      <c r="Y962" s="10">
        <v>3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1.5</v>
      </c>
      <c r="AL962" s="10">
        <v>1</v>
      </c>
      <c r="AM962" s="10">
        <v>2</v>
      </c>
      <c r="AN962" s="29">
        <v>0.75</v>
      </c>
    </row>
    <row r="963">
      <c r="A963" s="23">
        <v>11838</v>
      </c>
      <c r="B963" s="4" t="s">
        <v>1264</v>
      </c>
      <c r="C963" s="4" t="s">
        <v>63</v>
      </c>
      <c r="D963" s="4" t="s">
        <v>80</v>
      </c>
      <c r="E963" s="4" t="s">
        <v>96</v>
      </c>
      <c r="F963" s="6">
        <v>17</v>
      </c>
      <c r="G963" s="7">
        <v>0</v>
      </c>
      <c r="H963" s="7">
        <v>0</v>
      </c>
      <c r="I963" s="7">
        <v>0</v>
      </c>
      <c r="J963" s="5">
        <v>17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16</v>
      </c>
      <c r="V963" s="7">
        <v>0</v>
      </c>
      <c r="W963" s="7">
        <v>0</v>
      </c>
      <c r="X963" s="7">
        <v>0</v>
      </c>
      <c r="Y963" s="5">
        <v>16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8.5</v>
      </c>
      <c r="AL963" s="5">
        <v>8</v>
      </c>
      <c r="AM963" s="5">
        <v>16</v>
      </c>
      <c r="AN963" s="28">
        <v>4</v>
      </c>
    </row>
    <row r="964">
      <c r="A964" s="24">
        <v>11842</v>
      </c>
      <c r="B964" s="9" t="s">
        <v>1265</v>
      </c>
      <c r="C964" s="9" t="s">
        <v>63</v>
      </c>
      <c r="D964" s="9" t="s">
        <v>115</v>
      </c>
      <c r="E964" s="9" t="s">
        <v>116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0.35</v>
      </c>
    </row>
    <row r="965">
      <c r="A965" s="23">
        <v>11850</v>
      </c>
      <c r="B965" s="4" t="s">
        <v>1266</v>
      </c>
      <c r="C965" s="4" t="s">
        <v>63</v>
      </c>
      <c r="D965" s="4" t="s">
        <v>90</v>
      </c>
      <c r="E965" s="4" t="s">
        <v>538</v>
      </c>
      <c r="F965" s="6">
        <v>5</v>
      </c>
      <c r="G965" s="5">
        <v>4</v>
      </c>
      <c r="H965" s="7">
        <v>0</v>
      </c>
      <c r="I965" s="7">
        <v>0</v>
      </c>
      <c r="J965" s="7">
        <v>0</v>
      </c>
      <c r="K965" s="7">
        <v>0</v>
      </c>
      <c r="L965" s="5">
        <v>1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4</v>
      </c>
      <c r="V965" s="5">
        <v>3</v>
      </c>
      <c r="W965" s="7">
        <v>0</v>
      </c>
      <c r="X965" s="7">
        <v>0</v>
      </c>
      <c r="Y965" s="7">
        <v>0</v>
      </c>
      <c r="Z965" s="7">
        <v>0</v>
      </c>
      <c r="AA965" s="5">
        <v>1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2.5</v>
      </c>
      <c r="AL965" s="5">
        <v>2</v>
      </c>
      <c r="AM965" s="5">
        <v>4</v>
      </c>
      <c r="AN965" s="30">
        <v>0</v>
      </c>
    </row>
    <row r="966">
      <c r="A966" s="24">
        <v>11852</v>
      </c>
      <c r="B966" s="9" t="s">
        <v>1267</v>
      </c>
      <c r="C966" s="9" t="s">
        <v>63</v>
      </c>
      <c r="D966" s="9" t="s">
        <v>76</v>
      </c>
      <c r="E966" s="9" t="s">
        <v>83</v>
      </c>
      <c r="F966" s="11">
        <v>3</v>
      </c>
      <c r="G966" s="10">
        <v>1</v>
      </c>
      <c r="H966" s="12">
        <v>0</v>
      </c>
      <c r="I966" s="10">
        <v>2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1</v>
      </c>
      <c r="W966" s="12">
        <v>0</v>
      </c>
      <c r="X966" s="10">
        <v>2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0.75</v>
      </c>
    </row>
    <row r="967">
      <c r="A967" s="23">
        <v>11936</v>
      </c>
      <c r="B967" s="4" t="s">
        <v>1268</v>
      </c>
      <c r="C967" s="4" t="s">
        <v>63</v>
      </c>
      <c r="D967" s="4" t="s">
        <v>76</v>
      </c>
      <c r="E967" s="4" t="s">
        <v>77</v>
      </c>
      <c r="F967" s="6">
        <v>3</v>
      </c>
      <c r="G967" s="7">
        <v>0</v>
      </c>
      <c r="H967" s="5">
        <v>3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7">
        <v>0</v>
      </c>
      <c r="W967" s="5">
        <v>3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3</v>
      </c>
      <c r="AK967" s="8">
        <v>3</v>
      </c>
      <c r="AL967" s="5">
        <v>3</v>
      </c>
      <c r="AM967" s="5">
        <v>3</v>
      </c>
      <c r="AN967" s="28">
        <v>0.75</v>
      </c>
    </row>
    <row r="968">
      <c r="A968" s="24">
        <v>11946</v>
      </c>
      <c r="B968" s="9" t="s">
        <v>1269</v>
      </c>
      <c r="C968" s="9" t="s">
        <v>63</v>
      </c>
      <c r="D968" s="9" t="s">
        <v>115</v>
      </c>
      <c r="E968" s="9" t="s">
        <v>118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9">
        <v>0</v>
      </c>
    </row>
    <row r="969">
      <c r="A969" s="23">
        <v>11958</v>
      </c>
      <c r="B969" s="4" t="s">
        <v>1270</v>
      </c>
      <c r="C969" s="4" t="s">
        <v>63</v>
      </c>
      <c r="D969" s="4" t="s">
        <v>67</v>
      </c>
      <c r="E969" s="4" t="s">
        <v>160</v>
      </c>
      <c r="F969" s="6">
        <v>2</v>
      </c>
      <c r="G969" s="5">
        <v>1</v>
      </c>
      <c r="H969" s="5">
        <v>1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5">
        <v>1</v>
      </c>
      <c r="W969" s="5">
        <v>1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0.22</v>
      </c>
    </row>
    <row r="970">
      <c r="A970" s="24">
        <v>11969</v>
      </c>
      <c r="B970" s="9" t="s">
        <v>1271</v>
      </c>
      <c r="C970" s="9" t="s">
        <v>63</v>
      </c>
      <c r="D970" s="9" t="s">
        <v>76</v>
      </c>
      <c r="E970" s="9" t="s">
        <v>234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49">
        <v>0</v>
      </c>
    </row>
    <row r="971">
      <c r="A971" s="23">
        <v>11992</v>
      </c>
      <c r="B971" s="4" t="s">
        <v>1272</v>
      </c>
      <c r="C971" s="4" t="s">
        <v>63</v>
      </c>
      <c r="D971" s="4" t="s">
        <v>76</v>
      </c>
      <c r="E971" s="4" t="s">
        <v>83</v>
      </c>
      <c r="F971" s="6">
        <v>2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5">
        <v>2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5">
        <v>2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30">
        <v>0</v>
      </c>
    </row>
    <row r="972">
      <c r="A972" s="24">
        <v>11993</v>
      </c>
      <c r="B972" s="9" t="s">
        <v>1273</v>
      </c>
      <c r="C972" s="9" t="s">
        <v>63</v>
      </c>
      <c r="D972" s="9" t="s">
        <v>76</v>
      </c>
      <c r="E972" s="9" t="s">
        <v>83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9">
        <v>0</v>
      </c>
    </row>
    <row r="973">
      <c r="A973" s="23">
        <v>12005</v>
      </c>
      <c r="B973" s="4" t="s">
        <v>1274</v>
      </c>
      <c r="C973" s="4" t="s">
        <v>63</v>
      </c>
      <c r="D973" s="4" t="s">
        <v>64</v>
      </c>
      <c r="E973" s="4" t="s">
        <v>1240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28">
        <v>0.36</v>
      </c>
    </row>
    <row r="974">
      <c r="A974" s="24">
        <v>12013</v>
      </c>
      <c r="B974" s="9" t="s">
        <v>1275</v>
      </c>
      <c r="C974" s="9" t="s">
        <v>63</v>
      </c>
      <c r="D974" s="9" t="s">
        <v>80</v>
      </c>
      <c r="E974" s="9" t="s">
        <v>257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9">
        <v>0</v>
      </c>
    </row>
    <row r="975">
      <c r="A975" s="23">
        <v>12014</v>
      </c>
      <c r="B975" s="4" t="s">
        <v>1276</v>
      </c>
      <c r="C975" s="4" t="s">
        <v>63</v>
      </c>
      <c r="D975" s="4" t="s">
        <v>80</v>
      </c>
      <c r="E975" s="4" t="s">
        <v>257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12032</v>
      </c>
      <c r="B976" s="9" t="s">
        <v>1277</v>
      </c>
      <c r="C976" s="9" t="s">
        <v>63</v>
      </c>
      <c r="D976" s="9" t="s">
        <v>115</v>
      </c>
      <c r="E976" s="9" t="s">
        <v>116</v>
      </c>
      <c r="F976" s="11">
        <v>3</v>
      </c>
      <c r="G976" s="10">
        <v>2</v>
      </c>
      <c r="H976" s="10">
        <v>1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0">
        <v>2</v>
      </c>
      <c r="W976" s="10">
        <v>1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1.5</v>
      </c>
      <c r="AL976" s="10">
        <v>1</v>
      </c>
      <c r="AM976" s="10">
        <v>2</v>
      </c>
      <c r="AN976" s="49">
        <v>0</v>
      </c>
    </row>
    <row r="977">
      <c r="A977" s="23">
        <v>12047</v>
      </c>
      <c r="B977" s="4" t="s">
        <v>232</v>
      </c>
      <c r="C977" s="4" t="s">
        <v>63</v>
      </c>
      <c r="D977" s="4" t="s">
        <v>115</v>
      </c>
      <c r="E977" s="4" t="s">
        <v>149</v>
      </c>
      <c r="F977" s="6">
        <v>1</v>
      </c>
      <c r="G977" s="7">
        <v>0</v>
      </c>
      <c r="H977" s="7">
        <v>0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0.24</v>
      </c>
    </row>
    <row r="978">
      <c r="A978" s="24">
        <v>12055</v>
      </c>
      <c r="B978" s="9" t="s">
        <v>1278</v>
      </c>
      <c r="C978" s="9" t="s">
        <v>63</v>
      </c>
      <c r="D978" s="9" t="s">
        <v>115</v>
      </c>
      <c r="E978" s="9" t="s">
        <v>118</v>
      </c>
      <c r="F978" s="11">
        <v>1</v>
      </c>
      <c r="G978" s="12">
        <v>0</v>
      </c>
      <c r="H978" s="10">
        <v>1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0">
        <v>1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12062</v>
      </c>
      <c r="B979" s="4" t="s">
        <v>1279</v>
      </c>
      <c r="C979" s="4" t="s">
        <v>63</v>
      </c>
      <c r="D979" s="4" t="s">
        <v>133</v>
      </c>
      <c r="E979" s="4" t="s">
        <v>251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0.24</v>
      </c>
    </row>
    <row r="980">
      <c r="A980" s="24">
        <v>12072</v>
      </c>
      <c r="B980" s="9" t="s">
        <v>1280</v>
      </c>
      <c r="C980" s="9" t="s">
        <v>63</v>
      </c>
      <c r="D980" s="9" t="s">
        <v>93</v>
      </c>
      <c r="E980" s="9" t="s">
        <v>94</v>
      </c>
      <c r="F980" s="11">
        <v>1</v>
      </c>
      <c r="G980" s="12">
        <v>0</v>
      </c>
      <c r="H980" s="10">
        <v>1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0">
        <v>1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0.39</v>
      </c>
    </row>
    <row r="981">
      <c r="A981" s="23">
        <v>12097</v>
      </c>
      <c r="B981" s="4" t="s">
        <v>1281</v>
      </c>
      <c r="C981" s="4" t="s">
        <v>63</v>
      </c>
      <c r="D981" s="4" t="s">
        <v>109</v>
      </c>
      <c r="E981" s="4" t="s">
        <v>1282</v>
      </c>
      <c r="F981" s="6">
        <v>2</v>
      </c>
      <c r="G981" s="7">
        <v>0</v>
      </c>
      <c r="H981" s="7">
        <v>0</v>
      </c>
      <c r="I981" s="5">
        <v>1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7">
        <v>0</v>
      </c>
      <c r="W981" s="7">
        <v>0</v>
      </c>
      <c r="X981" s="5">
        <v>1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0.5</v>
      </c>
    </row>
    <row r="982">
      <c r="A982" s="24">
        <v>12110</v>
      </c>
      <c r="B982" s="9" t="s">
        <v>1283</v>
      </c>
      <c r="C982" s="9" t="s">
        <v>63</v>
      </c>
      <c r="D982" s="9" t="s">
        <v>76</v>
      </c>
      <c r="E982" s="9" t="s">
        <v>83</v>
      </c>
      <c r="F982" s="11">
        <v>4</v>
      </c>
      <c r="G982" s="10">
        <v>2</v>
      </c>
      <c r="H982" s="12">
        <v>0</v>
      </c>
      <c r="I982" s="10">
        <v>1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</v>
      </c>
      <c r="V982" s="10">
        <v>2</v>
      </c>
      <c r="W982" s="12">
        <v>0</v>
      </c>
      <c r="X982" s="10">
        <v>1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1.33</v>
      </c>
      <c r="AL982" s="10">
        <v>1</v>
      </c>
      <c r="AM982" s="10">
        <v>2</v>
      </c>
      <c r="AN982" s="29">
        <v>0.52</v>
      </c>
    </row>
    <row r="983">
      <c r="A983" s="23">
        <v>12122</v>
      </c>
      <c r="B983" s="4" t="s">
        <v>1284</v>
      </c>
      <c r="C983" s="4" t="s">
        <v>63</v>
      </c>
      <c r="D983" s="4" t="s">
        <v>80</v>
      </c>
      <c r="E983" s="4" t="s">
        <v>81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12142</v>
      </c>
      <c r="B984" s="9" t="s">
        <v>1285</v>
      </c>
      <c r="C984" s="9" t="s">
        <v>63</v>
      </c>
      <c r="D984" s="9" t="s">
        <v>133</v>
      </c>
      <c r="E984" s="9" t="s">
        <v>251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9">
        <v>0</v>
      </c>
    </row>
    <row r="985">
      <c r="A985" s="23">
        <v>12166</v>
      </c>
      <c r="B985" s="4" t="s">
        <v>1286</v>
      </c>
      <c r="C985" s="4" t="s">
        <v>63</v>
      </c>
      <c r="D985" s="4" t="s">
        <v>115</v>
      </c>
      <c r="E985" s="4" t="s">
        <v>292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12176</v>
      </c>
      <c r="B986" s="9" t="s">
        <v>1287</v>
      </c>
      <c r="C986" s="9" t="s">
        <v>63</v>
      </c>
      <c r="D986" s="9" t="s">
        <v>115</v>
      </c>
      <c r="E986" s="9" t="s">
        <v>149</v>
      </c>
      <c r="F986" s="11">
        <v>2</v>
      </c>
      <c r="G986" s="10">
        <v>1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1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0.5</v>
      </c>
    </row>
    <row r="987">
      <c r="A987" s="23">
        <v>12177</v>
      </c>
      <c r="B987" s="4" t="s">
        <v>1288</v>
      </c>
      <c r="C987" s="4" t="s">
        <v>63</v>
      </c>
      <c r="D987" s="4" t="s">
        <v>115</v>
      </c>
      <c r="E987" s="4" t="s">
        <v>149</v>
      </c>
      <c r="F987" s="6">
        <v>7</v>
      </c>
      <c r="G987" s="5">
        <v>5</v>
      </c>
      <c r="H987" s="7">
        <v>0</v>
      </c>
      <c r="I987" s="5">
        <v>1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4</v>
      </c>
      <c r="W987" s="7">
        <v>0</v>
      </c>
      <c r="X987" s="5">
        <v>1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2.33</v>
      </c>
      <c r="AL987" s="5">
        <v>1</v>
      </c>
      <c r="AM987" s="5">
        <v>5</v>
      </c>
      <c r="AN987" s="28">
        <v>1.56</v>
      </c>
    </row>
    <row r="988">
      <c r="A988" s="24">
        <v>12183</v>
      </c>
      <c r="B988" s="9" t="s">
        <v>1289</v>
      </c>
      <c r="C988" s="9" t="s">
        <v>63</v>
      </c>
      <c r="D988" s="9" t="s">
        <v>64</v>
      </c>
      <c r="E988" s="9" t="s">
        <v>1290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9">
        <v>0</v>
      </c>
    </row>
    <row r="989">
      <c r="A989" s="23">
        <v>12192</v>
      </c>
      <c r="B989" s="4" t="s">
        <v>1291</v>
      </c>
      <c r="C989" s="4" t="s">
        <v>171</v>
      </c>
      <c r="D989" s="4" t="s">
        <v>172</v>
      </c>
      <c r="E989" s="4" t="s">
        <v>184</v>
      </c>
      <c r="F989" s="6">
        <v>2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5">
        <v>1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5">
        <v>1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12194</v>
      </c>
      <c r="B990" s="9" t="s">
        <v>1292</v>
      </c>
      <c r="C990" s="9" t="s">
        <v>63</v>
      </c>
      <c r="D990" s="9" t="s">
        <v>115</v>
      </c>
      <c r="E990" s="9" t="s">
        <v>118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0.26</v>
      </c>
    </row>
    <row r="991">
      <c r="A991" s="23">
        <v>12202</v>
      </c>
      <c r="B991" s="4" t="s">
        <v>1293</v>
      </c>
      <c r="C991" s="4" t="s">
        <v>63</v>
      </c>
      <c r="D991" s="4" t="s">
        <v>85</v>
      </c>
      <c r="E991" s="4" t="s">
        <v>1294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0.36</v>
      </c>
    </row>
    <row r="992">
      <c r="A992" s="24">
        <v>12218</v>
      </c>
      <c r="B992" s="9" t="s">
        <v>1295</v>
      </c>
      <c r="C992" s="9" t="s">
        <v>63</v>
      </c>
      <c r="D992" s="9" t="s">
        <v>80</v>
      </c>
      <c r="E992" s="9" t="s">
        <v>96</v>
      </c>
      <c r="F992" s="11">
        <v>1</v>
      </c>
      <c r="G992" s="12">
        <v>0</v>
      </c>
      <c r="H992" s="10">
        <v>1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0">
        <v>1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9">
        <v>0</v>
      </c>
    </row>
    <row r="993">
      <c r="A993" s="23">
        <v>12252</v>
      </c>
      <c r="B993" s="4" t="s">
        <v>1296</v>
      </c>
      <c r="C993" s="4" t="s">
        <v>63</v>
      </c>
      <c r="D993" s="4" t="s">
        <v>115</v>
      </c>
      <c r="E993" s="4" t="s">
        <v>116</v>
      </c>
      <c r="F993" s="6">
        <v>2</v>
      </c>
      <c r="G993" s="7">
        <v>0</v>
      </c>
      <c r="H993" s="7">
        <v>0</v>
      </c>
      <c r="I993" s="5">
        <v>1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7">
        <v>0</v>
      </c>
      <c r="W993" s="7">
        <v>0</v>
      </c>
      <c r="X993" s="5">
        <v>1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12289</v>
      </c>
      <c r="B994" s="9" t="s">
        <v>1297</v>
      </c>
      <c r="C994" s="9" t="s">
        <v>605</v>
      </c>
      <c r="D994" s="9" t="s">
        <v>606</v>
      </c>
      <c r="E994" s="9" t="s">
        <v>1298</v>
      </c>
      <c r="F994" s="11">
        <v>4</v>
      </c>
      <c r="G994" s="12">
        <v>0</v>
      </c>
      <c r="H994" s="10">
        <v>3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2">
        <v>0</v>
      </c>
      <c r="W994" s="10">
        <v>3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</v>
      </c>
      <c r="AL994" s="10">
        <v>2</v>
      </c>
      <c r="AM994" s="10">
        <v>3</v>
      </c>
      <c r="AN994" s="29">
        <v>1.04</v>
      </c>
    </row>
    <row r="995">
      <c r="A995" s="23">
        <v>12371</v>
      </c>
      <c r="B995" s="4" t="s">
        <v>1299</v>
      </c>
      <c r="C995" s="4" t="s">
        <v>141</v>
      </c>
      <c r="D995" s="4" t="s">
        <v>423</v>
      </c>
      <c r="E995" s="4" t="s">
        <v>1186</v>
      </c>
      <c r="F995" s="6">
        <v>1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0.24</v>
      </c>
    </row>
    <row r="996">
      <c r="A996" s="24">
        <v>12385</v>
      </c>
      <c r="B996" s="9" t="s">
        <v>1300</v>
      </c>
      <c r="C996" s="9" t="s">
        <v>63</v>
      </c>
      <c r="D996" s="9" t="s">
        <v>133</v>
      </c>
      <c r="E996" s="9" t="s">
        <v>220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9">
        <v>0</v>
      </c>
    </row>
    <row r="997">
      <c r="A997" s="23">
        <v>12453</v>
      </c>
      <c r="B997" s="4" t="s">
        <v>1301</v>
      </c>
      <c r="C997" s="4" t="s">
        <v>663</v>
      </c>
      <c r="D997" s="4" t="s">
        <v>688</v>
      </c>
      <c r="E997" s="4" t="s">
        <v>362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12495</v>
      </c>
      <c r="B998" s="9" t="s">
        <v>1302</v>
      </c>
      <c r="C998" s="9" t="s">
        <v>171</v>
      </c>
      <c r="D998" s="9" t="s">
        <v>482</v>
      </c>
      <c r="E998" s="9" t="s">
        <v>859</v>
      </c>
      <c r="F998" s="11">
        <v>1</v>
      </c>
      <c r="G998" s="12">
        <v>0</v>
      </c>
      <c r="H998" s="12">
        <v>0</v>
      </c>
      <c r="I998" s="12">
        <v>0</v>
      </c>
      <c r="J998" s="12">
        <v>0</v>
      </c>
      <c r="K998" s="10">
        <v>1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2">
        <v>0</v>
      </c>
      <c r="Z998" s="10">
        <v>1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9">
        <v>0</v>
      </c>
    </row>
    <row r="999">
      <c r="A999" s="23">
        <v>12518</v>
      </c>
      <c r="B999" s="4" t="s">
        <v>1303</v>
      </c>
      <c r="C999" s="4" t="s">
        <v>663</v>
      </c>
      <c r="D999" s="4" t="s">
        <v>830</v>
      </c>
      <c r="E999" s="4" t="s">
        <v>362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12614</v>
      </c>
      <c r="B1000" s="9" t="s">
        <v>1304</v>
      </c>
      <c r="C1000" s="9" t="s">
        <v>671</v>
      </c>
      <c r="D1000" s="9" t="s">
        <v>672</v>
      </c>
      <c r="E1000" s="9" t="s">
        <v>362</v>
      </c>
      <c r="F1000" s="11">
        <v>2</v>
      </c>
      <c r="G1000" s="12">
        <v>0</v>
      </c>
      <c r="H1000" s="12">
        <v>0</v>
      </c>
      <c r="I1000" s="12">
        <v>0</v>
      </c>
      <c r="J1000" s="10">
        <v>1</v>
      </c>
      <c r="K1000" s="10">
        <v>1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2">
        <v>0</v>
      </c>
      <c r="W1000" s="12">
        <v>0</v>
      </c>
      <c r="X1000" s="12">
        <v>0</v>
      </c>
      <c r="Y1000" s="10">
        <v>1</v>
      </c>
      <c r="Z1000" s="10">
        <v>1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12617</v>
      </c>
      <c r="B1001" s="4" t="s">
        <v>1305</v>
      </c>
      <c r="C1001" s="4" t="s">
        <v>141</v>
      </c>
      <c r="D1001" s="4" t="s">
        <v>472</v>
      </c>
      <c r="E1001" s="4" t="s">
        <v>540</v>
      </c>
      <c r="F1001" s="6">
        <v>5</v>
      </c>
      <c r="G1001" s="7">
        <v>0</v>
      </c>
      <c r="H1001" s="5">
        <v>2</v>
      </c>
      <c r="I1001" s="5">
        <v>3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5</v>
      </c>
      <c r="V1001" s="7">
        <v>0</v>
      </c>
      <c r="W1001" s="5">
        <v>2</v>
      </c>
      <c r="X1001" s="5">
        <v>3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2.5</v>
      </c>
      <c r="AL1001" s="5">
        <v>2</v>
      </c>
      <c r="AM1001" s="5">
        <v>3</v>
      </c>
      <c r="AN1001" s="28">
        <v>1.1</v>
      </c>
    </row>
    <row r="1002">
      <c r="A1002" s="24">
        <v>12631</v>
      </c>
      <c r="B1002" s="9" t="s">
        <v>1306</v>
      </c>
      <c r="C1002" s="9" t="s">
        <v>63</v>
      </c>
      <c r="D1002" s="9" t="s">
        <v>67</v>
      </c>
      <c r="E1002" s="9" t="s">
        <v>160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12638</v>
      </c>
      <c r="B1003" s="4" t="s">
        <v>1307</v>
      </c>
      <c r="C1003" s="4" t="s">
        <v>63</v>
      </c>
      <c r="D1003" s="4" t="s">
        <v>76</v>
      </c>
      <c r="E1003" s="4" t="s">
        <v>77</v>
      </c>
      <c r="F1003" s="6">
        <v>1</v>
      </c>
      <c r="G1003" s="7">
        <v>0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12649</v>
      </c>
      <c r="B1004" s="9" t="s">
        <v>1308</v>
      </c>
      <c r="C1004" s="9" t="s">
        <v>663</v>
      </c>
      <c r="D1004" s="9" t="s">
        <v>688</v>
      </c>
      <c r="E1004" s="9" t="s">
        <v>362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0.26</v>
      </c>
    </row>
    <row r="1005">
      <c r="A1005" s="23">
        <v>12650</v>
      </c>
      <c r="B1005" s="4" t="s">
        <v>1309</v>
      </c>
      <c r="C1005" s="4" t="s">
        <v>141</v>
      </c>
      <c r="D1005" s="4" t="s">
        <v>142</v>
      </c>
      <c r="E1005" s="4" t="s">
        <v>458</v>
      </c>
      <c r="F1005" s="6">
        <v>1</v>
      </c>
      <c r="G1005" s="7">
        <v>0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12681</v>
      </c>
      <c r="B1006" s="9" t="s">
        <v>1310</v>
      </c>
      <c r="C1006" s="9" t="s">
        <v>63</v>
      </c>
      <c r="D1006" s="9" t="s">
        <v>85</v>
      </c>
      <c r="E1006" s="9" t="s">
        <v>86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0.26</v>
      </c>
    </row>
    <row r="1007">
      <c r="A1007" s="23">
        <v>12699</v>
      </c>
      <c r="B1007" s="4" t="s">
        <v>1311</v>
      </c>
      <c r="C1007" s="4" t="s">
        <v>360</v>
      </c>
      <c r="D1007" s="4" t="s">
        <v>819</v>
      </c>
      <c r="E1007" s="4" t="s">
        <v>362</v>
      </c>
      <c r="F1007" s="6">
        <v>1</v>
      </c>
      <c r="G1007" s="7">
        <v>0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12763</v>
      </c>
      <c r="B1008" s="9" t="s">
        <v>1312</v>
      </c>
      <c r="C1008" s="9" t="s">
        <v>63</v>
      </c>
      <c r="D1008" s="9" t="s">
        <v>67</v>
      </c>
      <c r="E1008" s="9" t="s">
        <v>71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0.3</v>
      </c>
    </row>
    <row r="1009">
      <c r="A1009" s="23">
        <v>12766</v>
      </c>
      <c r="B1009" s="4" t="s">
        <v>1313</v>
      </c>
      <c r="C1009" s="4" t="s">
        <v>1116</v>
      </c>
      <c r="D1009" s="4" t="s">
        <v>1222</v>
      </c>
      <c r="E1009" s="4" t="s">
        <v>1314</v>
      </c>
      <c r="F1009" s="6">
        <v>2</v>
      </c>
      <c r="G1009" s="7">
        <v>0</v>
      </c>
      <c r="H1009" s="7">
        <v>0</v>
      </c>
      <c r="I1009" s="5">
        <v>2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30">
        <v>0</v>
      </c>
    </row>
    <row r="1010">
      <c r="A1010" s="24">
        <v>12799</v>
      </c>
      <c r="B1010" s="9" t="s">
        <v>1315</v>
      </c>
      <c r="C1010" s="9" t="s">
        <v>63</v>
      </c>
      <c r="D1010" s="9" t="s">
        <v>67</v>
      </c>
      <c r="E1010" s="9" t="s">
        <v>71</v>
      </c>
      <c r="F1010" s="11">
        <v>4</v>
      </c>
      <c r="G1010" s="10">
        <v>3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0">
        <v>3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1.33</v>
      </c>
      <c r="AL1010" s="10">
        <v>1</v>
      </c>
      <c r="AM1010" s="10">
        <v>2</v>
      </c>
      <c r="AN1010" s="29">
        <v>0.26</v>
      </c>
    </row>
    <row r="1011">
      <c r="A1011" s="23">
        <v>12807</v>
      </c>
      <c r="B1011" s="4" t="s">
        <v>1316</v>
      </c>
      <c r="C1011" s="4" t="s">
        <v>63</v>
      </c>
      <c r="D1011" s="4" t="s">
        <v>73</v>
      </c>
      <c r="E1011" s="4" t="s">
        <v>445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12822</v>
      </c>
      <c r="B1012" s="9" t="s">
        <v>1317</v>
      </c>
      <c r="C1012" s="9" t="s">
        <v>63</v>
      </c>
      <c r="D1012" s="9" t="s">
        <v>67</v>
      </c>
      <c r="E1012" s="9" t="s">
        <v>160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12834</v>
      </c>
      <c r="B1013" s="4" t="s">
        <v>1318</v>
      </c>
      <c r="C1013" s="4" t="s">
        <v>63</v>
      </c>
      <c r="D1013" s="4" t="s">
        <v>76</v>
      </c>
      <c r="E1013" s="4" t="s">
        <v>127</v>
      </c>
      <c r="F1013" s="6">
        <v>2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5">
        <v>2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5">
        <v>2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30">
        <v>0</v>
      </c>
    </row>
    <row r="1014">
      <c r="A1014" s="24">
        <v>12836</v>
      </c>
      <c r="B1014" s="9" t="s">
        <v>1319</v>
      </c>
      <c r="C1014" s="9" t="s">
        <v>63</v>
      </c>
      <c r="D1014" s="9" t="s">
        <v>90</v>
      </c>
      <c r="E1014" s="9" t="s">
        <v>538</v>
      </c>
      <c r="F1014" s="11">
        <v>4</v>
      </c>
      <c r="G1014" s="10">
        <v>2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0">
        <v>1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4</v>
      </c>
      <c r="V1014" s="10">
        <v>2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0">
        <v>1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1.33</v>
      </c>
      <c r="AL1014" s="10">
        <v>1</v>
      </c>
      <c r="AM1014" s="10">
        <v>2</v>
      </c>
      <c r="AN1014" s="29">
        <v>0.25</v>
      </c>
    </row>
    <row r="1015">
      <c r="A1015" s="23">
        <v>12854</v>
      </c>
      <c r="B1015" s="4" t="s">
        <v>1320</v>
      </c>
      <c r="C1015" s="4" t="s">
        <v>63</v>
      </c>
      <c r="D1015" s="4" t="s">
        <v>85</v>
      </c>
      <c r="E1015" s="4" t="s">
        <v>342</v>
      </c>
      <c r="F1015" s="6">
        <v>2</v>
      </c>
      <c r="G1015" s="7">
        <v>0</v>
      </c>
      <c r="H1015" s="5">
        <v>1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2</v>
      </c>
      <c r="V1015" s="7">
        <v>0</v>
      </c>
      <c r="W1015" s="5">
        <v>1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12932</v>
      </c>
      <c r="B1016" s="9" t="s">
        <v>1321</v>
      </c>
      <c r="C1016" s="9" t="s">
        <v>63</v>
      </c>
      <c r="D1016" s="9" t="s">
        <v>133</v>
      </c>
      <c r="E1016" s="9" t="s">
        <v>251</v>
      </c>
      <c r="F1016" s="11">
        <v>3</v>
      </c>
      <c r="G1016" s="10">
        <v>2</v>
      </c>
      <c r="H1016" s="10">
        <v>1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0">
        <v>1</v>
      </c>
      <c r="W1016" s="10">
        <v>1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29">
        <v>0.5</v>
      </c>
    </row>
    <row r="1017">
      <c r="A1017" s="23">
        <v>13008</v>
      </c>
      <c r="B1017" s="4" t="s">
        <v>1322</v>
      </c>
      <c r="C1017" s="4" t="s">
        <v>63</v>
      </c>
      <c r="D1017" s="4" t="s">
        <v>76</v>
      </c>
      <c r="E1017" s="4" t="s">
        <v>77</v>
      </c>
      <c r="F1017" s="6">
        <v>3</v>
      </c>
      <c r="G1017" s="7">
        <v>0</v>
      </c>
      <c r="H1017" s="7">
        <v>0</v>
      </c>
      <c r="I1017" s="5">
        <v>2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7">
        <v>0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28">
        <v>0.5</v>
      </c>
    </row>
    <row r="1018">
      <c r="A1018" s="24">
        <v>13133</v>
      </c>
      <c r="B1018" s="9" t="s">
        <v>1323</v>
      </c>
      <c r="C1018" s="9" t="s">
        <v>171</v>
      </c>
      <c r="D1018" s="9" t="s">
        <v>172</v>
      </c>
      <c r="E1018" s="9" t="s">
        <v>184</v>
      </c>
      <c r="F1018" s="11">
        <v>2</v>
      </c>
      <c r="G1018" s="10">
        <v>1</v>
      </c>
      <c r="H1018" s="12">
        <v>0</v>
      </c>
      <c r="I1018" s="12">
        <v>0</v>
      </c>
      <c r="J1018" s="12">
        <v>0</v>
      </c>
      <c r="K1018" s="10">
        <v>1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0">
        <v>1</v>
      </c>
      <c r="W1018" s="12">
        <v>0</v>
      </c>
      <c r="X1018" s="12">
        <v>0</v>
      </c>
      <c r="Y1018" s="12">
        <v>0</v>
      </c>
      <c r="Z1018" s="10">
        <v>1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9">
        <v>0</v>
      </c>
    </row>
    <row r="1019">
      <c r="A1019" s="23">
        <v>13142</v>
      </c>
      <c r="B1019" s="4" t="s">
        <v>1324</v>
      </c>
      <c r="C1019" s="4" t="s">
        <v>63</v>
      </c>
      <c r="D1019" s="4" t="s">
        <v>115</v>
      </c>
      <c r="E1019" s="4" t="s">
        <v>149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13155</v>
      </c>
      <c r="B1020" s="9" t="s">
        <v>1325</v>
      </c>
      <c r="C1020" s="9" t="s">
        <v>63</v>
      </c>
      <c r="D1020" s="9" t="s">
        <v>115</v>
      </c>
      <c r="E1020" s="9" t="s">
        <v>875</v>
      </c>
      <c r="F1020" s="11">
        <v>1</v>
      </c>
      <c r="G1020" s="12">
        <v>0</v>
      </c>
      <c r="H1020" s="10">
        <v>1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0">
        <v>1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0.24</v>
      </c>
    </row>
    <row r="1021">
      <c r="A1021" s="23">
        <v>13158</v>
      </c>
      <c r="B1021" s="4" t="s">
        <v>1326</v>
      </c>
      <c r="C1021" s="4" t="s">
        <v>63</v>
      </c>
      <c r="D1021" s="4" t="s">
        <v>73</v>
      </c>
      <c r="E1021" s="4" t="s">
        <v>445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13180</v>
      </c>
      <c r="B1022" s="9" t="s">
        <v>1327</v>
      </c>
      <c r="C1022" s="9" t="s">
        <v>63</v>
      </c>
      <c r="D1022" s="9" t="s">
        <v>115</v>
      </c>
      <c r="E1022" s="9" t="s">
        <v>116</v>
      </c>
      <c r="F1022" s="11">
        <v>1</v>
      </c>
      <c r="G1022" s="12">
        <v>0</v>
      </c>
      <c r="H1022" s="12">
        <v>0</v>
      </c>
      <c r="I1022" s="12">
        <v>0</v>
      </c>
      <c r="J1022" s="12">
        <v>0</v>
      </c>
      <c r="K1022" s="12">
        <v>0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2">
        <v>0</v>
      </c>
      <c r="Z1022" s="12">
        <v>0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9">
        <v>0</v>
      </c>
    </row>
    <row r="1023">
      <c r="A1023" s="23">
        <v>13203</v>
      </c>
      <c r="B1023" s="4" t="s">
        <v>1328</v>
      </c>
      <c r="C1023" s="4" t="s">
        <v>63</v>
      </c>
      <c r="D1023" s="4" t="s">
        <v>76</v>
      </c>
      <c r="E1023" s="4" t="s">
        <v>163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13231</v>
      </c>
      <c r="B1024" s="9" t="s">
        <v>1329</v>
      </c>
      <c r="C1024" s="9" t="s">
        <v>63</v>
      </c>
      <c r="D1024" s="9" t="s">
        <v>115</v>
      </c>
      <c r="E1024" s="9" t="s">
        <v>222</v>
      </c>
      <c r="F1024" s="11">
        <v>2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0">
        <v>2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2">
        <v>0</v>
      </c>
      <c r="W1024" s="12">
        <v>0</v>
      </c>
      <c r="X1024" s="12">
        <v>0</v>
      </c>
      <c r="Y1024" s="12">
        <v>0</v>
      </c>
      <c r="Z1024" s="12">
        <v>0</v>
      </c>
      <c r="AA1024" s="10">
        <v>2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49">
        <v>0</v>
      </c>
    </row>
    <row r="1025">
      <c r="A1025" s="23">
        <v>13261</v>
      </c>
      <c r="B1025" s="4" t="s">
        <v>1330</v>
      </c>
      <c r="C1025" s="4" t="s">
        <v>63</v>
      </c>
      <c r="D1025" s="4" t="s">
        <v>85</v>
      </c>
      <c r="E1025" s="4" t="s">
        <v>1331</v>
      </c>
      <c r="F1025" s="6">
        <v>5</v>
      </c>
      <c r="G1025" s="7">
        <v>0</v>
      </c>
      <c r="H1025" s="7">
        <v>0</v>
      </c>
      <c r="I1025" s="5">
        <v>3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7">
        <v>0</v>
      </c>
      <c r="W1025" s="7">
        <v>0</v>
      </c>
      <c r="X1025" s="5">
        <v>1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2.5</v>
      </c>
      <c r="AL1025" s="5">
        <v>2</v>
      </c>
      <c r="AM1025" s="5">
        <v>3</v>
      </c>
      <c r="AN1025" s="28">
        <v>0.52</v>
      </c>
    </row>
    <row r="1026">
      <c r="A1026" s="24">
        <v>13275</v>
      </c>
      <c r="B1026" s="9" t="s">
        <v>1332</v>
      </c>
      <c r="C1026" s="9" t="s">
        <v>63</v>
      </c>
      <c r="D1026" s="9" t="s">
        <v>85</v>
      </c>
      <c r="E1026" s="9" t="s">
        <v>107</v>
      </c>
      <c r="F1026" s="11">
        <v>3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0">
        <v>3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2">
        <v>0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0">
        <v>2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49">
        <v>0</v>
      </c>
    </row>
    <row r="1027">
      <c r="A1027" s="23">
        <v>13278</v>
      </c>
      <c r="B1027" s="4" t="s">
        <v>1333</v>
      </c>
      <c r="C1027" s="4" t="s">
        <v>63</v>
      </c>
      <c r="D1027" s="4" t="s">
        <v>67</v>
      </c>
      <c r="E1027" s="4" t="s">
        <v>71</v>
      </c>
      <c r="F1027" s="6">
        <v>3</v>
      </c>
      <c r="G1027" s="5">
        <v>1</v>
      </c>
      <c r="H1027" s="5">
        <v>2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3</v>
      </c>
      <c r="V1027" s="5">
        <v>1</v>
      </c>
      <c r="W1027" s="5">
        <v>2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1.5</v>
      </c>
      <c r="AL1027" s="5">
        <v>1</v>
      </c>
      <c r="AM1027" s="5">
        <v>2</v>
      </c>
      <c r="AN1027" s="28">
        <v>0.5</v>
      </c>
    </row>
    <row r="1028">
      <c r="A1028" s="24">
        <v>13346</v>
      </c>
      <c r="B1028" s="9" t="s">
        <v>1334</v>
      </c>
      <c r="C1028" s="9" t="s">
        <v>63</v>
      </c>
      <c r="D1028" s="9" t="s">
        <v>85</v>
      </c>
      <c r="E1028" s="9" t="s">
        <v>1335</v>
      </c>
      <c r="F1028" s="11">
        <v>1</v>
      </c>
      <c r="G1028" s="12">
        <v>0</v>
      </c>
      <c r="H1028" s="12">
        <v>0</v>
      </c>
      <c r="I1028" s="12">
        <v>0</v>
      </c>
      <c r="J1028" s="12">
        <v>0</v>
      </c>
      <c r="K1028" s="10">
        <v>1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2">
        <v>0</v>
      </c>
      <c r="Y1028" s="12">
        <v>0</v>
      </c>
      <c r="Z1028" s="10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13355</v>
      </c>
      <c r="B1029" s="4" t="s">
        <v>1336</v>
      </c>
      <c r="C1029" s="4" t="s">
        <v>63</v>
      </c>
      <c r="D1029" s="4" t="s">
        <v>80</v>
      </c>
      <c r="E1029" s="4" t="s">
        <v>81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13356</v>
      </c>
      <c r="B1030" s="9" t="s">
        <v>1337</v>
      </c>
      <c r="C1030" s="9" t="s">
        <v>63</v>
      </c>
      <c r="D1030" s="9" t="s">
        <v>115</v>
      </c>
      <c r="E1030" s="9" t="s">
        <v>118</v>
      </c>
      <c r="F1030" s="11">
        <v>1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0">
        <v>1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0">
        <v>1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13361</v>
      </c>
      <c r="B1031" s="4" t="s">
        <v>1338</v>
      </c>
      <c r="C1031" s="4" t="s">
        <v>63</v>
      </c>
      <c r="D1031" s="4" t="s">
        <v>73</v>
      </c>
      <c r="E1031" s="4" t="s">
        <v>445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0.26</v>
      </c>
    </row>
    <row r="1032">
      <c r="A1032" s="24">
        <v>13362</v>
      </c>
      <c r="B1032" s="9" t="s">
        <v>1339</v>
      </c>
      <c r="C1032" s="9" t="s">
        <v>63</v>
      </c>
      <c r="D1032" s="9" t="s">
        <v>115</v>
      </c>
      <c r="E1032" s="9" t="s">
        <v>124</v>
      </c>
      <c r="F1032" s="11">
        <v>3</v>
      </c>
      <c r="G1032" s="10">
        <v>2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1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29">
        <v>0.25</v>
      </c>
    </row>
    <row r="1033">
      <c r="A1033" s="23">
        <v>13365</v>
      </c>
      <c r="B1033" s="4" t="s">
        <v>1340</v>
      </c>
      <c r="C1033" s="4" t="s">
        <v>63</v>
      </c>
      <c r="D1033" s="4" t="s">
        <v>76</v>
      </c>
      <c r="E1033" s="4" t="s">
        <v>127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13368</v>
      </c>
      <c r="B1034" s="9" t="s">
        <v>1341</v>
      </c>
      <c r="C1034" s="9" t="s">
        <v>63</v>
      </c>
      <c r="D1034" s="9" t="s">
        <v>115</v>
      </c>
      <c r="E1034" s="9" t="s">
        <v>227</v>
      </c>
      <c r="F1034" s="11">
        <v>1</v>
      </c>
      <c r="G1034" s="12">
        <v>0</v>
      </c>
      <c r="H1034" s="10">
        <v>1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0">
        <v>1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49">
        <v>0</v>
      </c>
    </row>
    <row r="1035">
      <c r="A1035" s="23">
        <v>13375</v>
      </c>
      <c r="B1035" s="4" t="s">
        <v>1342</v>
      </c>
      <c r="C1035" s="4" t="s">
        <v>63</v>
      </c>
      <c r="D1035" s="4" t="s">
        <v>115</v>
      </c>
      <c r="E1035" s="4" t="s">
        <v>247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0.24</v>
      </c>
    </row>
    <row r="1036">
      <c r="A1036" s="24">
        <v>13380</v>
      </c>
      <c r="B1036" s="9" t="s">
        <v>1343</v>
      </c>
      <c r="C1036" s="9" t="s">
        <v>141</v>
      </c>
      <c r="D1036" s="9" t="s">
        <v>371</v>
      </c>
      <c r="E1036" s="9" t="s">
        <v>372</v>
      </c>
      <c r="F1036" s="11">
        <v>1</v>
      </c>
      <c r="G1036" s="12">
        <v>0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0.24</v>
      </c>
    </row>
    <row r="1037">
      <c r="A1037" s="23">
        <v>13398</v>
      </c>
      <c r="B1037" s="4" t="s">
        <v>1344</v>
      </c>
      <c r="C1037" s="4" t="s">
        <v>63</v>
      </c>
      <c r="D1037" s="4" t="s">
        <v>103</v>
      </c>
      <c r="E1037" s="4" t="s">
        <v>735</v>
      </c>
      <c r="F1037" s="6">
        <v>1</v>
      </c>
      <c r="G1037" s="7">
        <v>0</v>
      </c>
      <c r="H1037" s="5">
        <v>1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5">
        <v>1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13407</v>
      </c>
      <c r="B1038" s="9" t="s">
        <v>1345</v>
      </c>
      <c r="C1038" s="9" t="s">
        <v>63</v>
      </c>
      <c r="D1038" s="9" t="s">
        <v>133</v>
      </c>
      <c r="E1038" s="9" t="s">
        <v>251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13414</v>
      </c>
      <c r="B1039" s="4" t="s">
        <v>1346</v>
      </c>
      <c r="C1039" s="4" t="s">
        <v>63</v>
      </c>
      <c r="D1039" s="4" t="s">
        <v>133</v>
      </c>
      <c r="E1039" s="4" t="s">
        <v>251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13417</v>
      </c>
      <c r="B1040" s="9" t="s">
        <v>1347</v>
      </c>
      <c r="C1040" s="9" t="s">
        <v>63</v>
      </c>
      <c r="D1040" s="9" t="s">
        <v>133</v>
      </c>
      <c r="E1040" s="9" t="s">
        <v>326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9">
        <v>0</v>
      </c>
    </row>
    <row r="1041">
      <c r="A1041" s="23">
        <v>13438</v>
      </c>
      <c r="B1041" s="4" t="s">
        <v>1348</v>
      </c>
      <c r="C1041" s="4" t="s">
        <v>63</v>
      </c>
      <c r="D1041" s="4" t="s">
        <v>133</v>
      </c>
      <c r="E1041" s="4" t="s">
        <v>134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13453</v>
      </c>
      <c r="B1042" s="9" t="s">
        <v>1349</v>
      </c>
      <c r="C1042" s="9" t="s">
        <v>63</v>
      </c>
      <c r="D1042" s="9" t="s">
        <v>133</v>
      </c>
      <c r="E1042" s="9" t="s">
        <v>251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0.25</v>
      </c>
    </row>
    <row r="1043">
      <c r="A1043" s="23">
        <v>13456</v>
      </c>
      <c r="B1043" s="4" t="s">
        <v>1350</v>
      </c>
      <c r="C1043" s="4" t="s">
        <v>63</v>
      </c>
      <c r="D1043" s="4" t="s">
        <v>133</v>
      </c>
      <c r="E1043" s="4" t="s">
        <v>326</v>
      </c>
      <c r="F1043" s="6">
        <v>1</v>
      </c>
      <c r="G1043" s="7">
        <v>0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7">
        <v>0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13478</v>
      </c>
      <c r="B1044" s="9" t="s">
        <v>1351</v>
      </c>
      <c r="C1044" s="9" t="s">
        <v>63</v>
      </c>
      <c r="D1044" s="9" t="s">
        <v>133</v>
      </c>
      <c r="E1044" s="9" t="s">
        <v>251</v>
      </c>
      <c r="F1044" s="11">
        <v>1</v>
      </c>
      <c r="G1044" s="12">
        <v>0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0.24</v>
      </c>
    </row>
    <row r="1045">
      <c r="A1045" s="23">
        <v>13489</v>
      </c>
      <c r="B1045" s="4" t="s">
        <v>1352</v>
      </c>
      <c r="C1045" s="4" t="s">
        <v>63</v>
      </c>
      <c r="D1045" s="4" t="s">
        <v>133</v>
      </c>
      <c r="E1045" s="4" t="s">
        <v>251</v>
      </c>
      <c r="F1045" s="6">
        <v>2</v>
      </c>
      <c r="G1045" s="7">
        <v>0</v>
      </c>
      <c r="H1045" s="5">
        <v>1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7">
        <v>0</v>
      </c>
      <c r="W1045" s="5">
        <v>1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0.24</v>
      </c>
    </row>
    <row r="1046">
      <c r="A1046" s="24">
        <v>13492</v>
      </c>
      <c r="B1046" s="9" t="s">
        <v>1353</v>
      </c>
      <c r="C1046" s="9" t="s">
        <v>63</v>
      </c>
      <c r="D1046" s="9" t="s">
        <v>76</v>
      </c>
      <c r="E1046" s="9" t="s">
        <v>163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0.26</v>
      </c>
    </row>
    <row r="1047">
      <c r="A1047" s="23">
        <v>13503</v>
      </c>
      <c r="B1047" s="4" t="s">
        <v>1354</v>
      </c>
      <c r="C1047" s="4" t="s">
        <v>63</v>
      </c>
      <c r="D1047" s="4" t="s">
        <v>103</v>
      </c>
      <c r="E1047" s="4" t="s">
        <v>1003</v>
      </c>
      <c r="F1047" s="6">
        <v>2</v>
      </c>
      <c r="G1047" s="7">
        <v>0</v>
      </c>
      <c r="H1047" s="7">
        <v>0</v>
      </c>
      <c r="I1047" s="5">
        <v>2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5">
        <v>2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30">
        <v>0</v>
      </c>
    </row>
    <row r="1048">
      <c r="A1048" s="24">
        <v>13504</v>
      </c>
      <c r="B1048" s="9" t="s">
        <v>1355</v>
      </c>
      <c r="C1048" s="9" t="s">
        <v>63</v>
      </c>
      <c r="D1048" s="9" t="s">
        <v>93</v>
      </c>
      <c r="E1048" s="9" t="s">
        <v>1356</v>
      </c>
      <c r="F1048" s="11">
        <v>4</v>
      </c>
      <c r="G1048" s="10">
        <v>2</v>
      </c>
      <c r="H1048" s="12">
        <v>0</v>
      </c>
      <c r="I1048" s="12">
        <v>0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</v>
      </c>
      <c r="V1048" s="10">
        <v>2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1.33</v>
      </c>
      <c r="AL1048" s="10">
        <v>1</v>
      </c>
      <c r="AM1048" s="10">
        <v>2</v>
      </c>
      <c r="AN1048" s="29">
        <v>0.62</v>
      </c>
    </row>
    <row r="1049">
      <c r="A1049" s="23">
        <v>13505</v>
      </c>
      <c r="B1049" s="4" t="s">
        <v>1357</v>
      </c>
      <c r="C1049" s="4" t="s">
        <v>63</v>
      </c>
      <c r="D1049" s="4" t="s">
        <v>76</v>
      </c>
      <c r="E1049" s="4" t="s">
        <v>77</v>
      </c>
      <c r="F1049" s="6">
        <v>3</v>
      </c>
      <c r="G1049" s="5">
        <v>1</v>
      </c>
      <c r="H1049" s="7">
        <v>0</v>
      </c>
      <c r="I1049" s="5">
        <v>2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5">
        <v>1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1.5</v>
      </c>
      <c r="AL1049" s="5">
        <v>1</v>
      </c>
      <c r="AM1049" s="5">
        <v>2</v>
      </c>
      <c r="AN1049" s="30">
        <v>0</v>
      </c>
    </row>
    <row r="1050">
      <c r="A1050" s="24">
        <v>13508</v>
      </c>
      <c r="B1050" s="9" t="s">
        <v>1358</v>
      </c>
      <c r="C1050" s="9" t="s">
        <v>63</v>
      </c>
      <c r="D1050" s="9" t="s">
        <v>67</v>
      </c>
      <c r="E1050" s="9" t="s">
        <v>68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0.22</v>
      </c>
    </row>
    <row r="1051">
      <c r="A1051" s="23">
        <v>13523</v>
      </c>
      <c r="B1051" s="4" t="s">
        <v>1359</v>
      </c>
      <c r="C1051" s="4" t="s">
        <v>63</v>
      </c>
      <c r="D1051" s="4" t="s">
        <v>115</v>
      </c>
      <c r="E1051" s="4" t="s">
        <v>124</v>
      </c>
      <c r="F1051" s="6">
        <v>1</v>
      </c>
      <c r="G1051" s="7">
        <v>0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0.22</v>
      </c>
    </row>
    <row r="1052">
      <c r="A1052" s="24">
        <v>13524</v>
      </c>
      <c r="B1052" s="9" t="s">
        <v>1360</v>
      </c>
      <c r="C1052" s="9" t="s">
        <v>63</v>
      </c>
      <c r="D1052" s="9" t="s">
        <v>64</v>
      </c>
      <c r="E1052" s="9" t="s">
        <v>1361</v>
      </c>
      <c r="F1052" s="11">
        <v>1</v>
      </c>
      <c r="G1052" s="12">
        <v>0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13532</v>
      </c>
      <c r="B1053" s="4" t="s">
        <v>1362</v>
      </c>
      <c r="C1053" s="4" t="s">
        <v>63</v>
      </c>
      <c r="D1053" s="4" t="s">
        <v>85</v>
      </c>
      <c r="E1053" s="4" t="s">
        <v>139</v>
      </c>
      <c r="F1053" s="6">
        <v>3</v>
      </c>
      <c r="G1053" s="5">
        <v>3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5">
        <v>2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1.5</v>
      </c>
      <c r="AL1053" s="5">
        <v>1</v>
      </c>
      <c r="AM1053" s="5">
        <v>2</v>
      </c>
      <c r="AN1053" s="30">
        <v>0</v>
      </c>
    </row>
    <row r="1054">
      <c r="A1054" s="24">
        <v>13567</v>
      </c>
      <c r="B1054" s="9" t="s">
        <v>1363</v>
      </c>
      <c r="C1054" s="9" t="s">
        <v>171</v>
      </c>
      <c r="D1054" s="9" t="s">
        <v>439</v>
      </c>
      <c r="E1054" s="9" t="s">
        <v>440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9">
        <v>0</v>
      </c>
    </row>
    <row r="1055">
      <c r="A1055" s="23">
        <v>13577</v>
      </c>
      <c r="B1055" s="4" t="s">
        <v>1364</v>
      </c>
      <c r="C1055" s="4" t="s">
        <v>171</v>
      </c>
      <c r="D1055" s="4" t="s">
        <v>172</v>
      </c>
      <c r="E1055" s="4" t="s">
        <v>192</v>
      </c>
      <c r="F1055" s="6">
        <v>1</v>
      </c>
      <c r="G1055" s="7">
        <v>0</v>
      </c>
      <c r="H1055" s="7">
        <v>0</v>
      </c>
      <c r="I1055" s="7">
        <v>0</v>
      </c>
      <c r="J1055" s="7">
        <v>0</v>
      </c>
      <c r="K1055" s="5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7">
        <v>0</v>
      </c>
      <c r="Z1055" s="5">
        <v>1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13586</v>
      </c>
      <c r="B1056" s="9" t="s">
        <v>1365</v>
      </c>
      <c r="C1056" s="9" t="s">
        <v>63</v>
      </c>
      <c r="D1056" s="9" t="s">
        <v>85</v>
      </c>
      <c r="E1056" s="9" t="s">
        <v>950</v>
      </c>
      <c r="F1056" s="11">
        <v>1</v>
      </c>
      <c r="G1056" s="12">
        <v>0</v>
      </c>
      <c r="H1056" s="10">
        <v>1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0">
        <v>1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9">
        <v>0</v>
      </c>
    </row>
    <row r="1057">
      <c r="A1057" s="23">
        <v>13588</v>
      </c>
      <c r="B1057" s="4" t="s">
        <v>1366</v>
      </c>
      <c r="C1057" s="4" t="s">
        <v>63</v>
      </c>
      <c r="D1057" s="4" t="s">
        <v>76</v>
      </c>
      <c r="E1057" s="4" t="s">
        <v>163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13590</v>
      </c>
      <c r="B1058" s="9" t="s">
        <v>1367</v>
      </c>
      <c r="C1058" s="9" t="s">
        <v>63</v>
      </c>
      <c r="D1058" s="9" t="s">
        <v>115</v>
      </c>
      <c r="E1058" s="9" t="s">
        <v>116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9">
        <v>0</v>
      </c>
    </row>
    <row r="1059">
      <c r="A1059" s="23">
        <v>13639</v>
      </c>
      <c r="B1059" s="4" t="s">
        <v>1368</v>
      </c>
      <c r="C1059" s="4" t="s">
        <v>63</v>
      </c>
      <c r="D1059" s="4" t="s">
        <v>73</v>
      </c>
      <c r="E1059" s="4" t="s">
        <v>74</v>
      </c>
      <c r="F1059" s="6">
        <v>3</v>
      </c>
      <c r="G1059" s="7">
        <v>0</v>
      </c>
      <c r="H1059" s="7">
        <v>0</v>
      </c>
      <c r="I1059" s="5">
        <v>1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7">
        <v>0</v>
      </c>
      <c r="W1059" s="7">
        <v>0</v>
      </c>
      <c r="X1059" s="5">
        <v>1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28">
        <v>0.75</v>
      </c>
    </row>
    <row r="1060">
      <c r="A1060" s="24">
        <v>13672</v>
      </c>
      <c r="B1060" s="9" t="s">
        <v>1369</v>
      </c>
      <c r="C1060" s="9" t="s">
        <v>63</v>
      </c>
      <c r="D1060" s="9" t="s">
        <v>67</v>
      </c>
      <c r="E1060" s="9" t="s">
        <v>71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0.35</v>
      </c>
    </row>
    <row r="1061">
      <c r="A1061" s="23">
        <v>13716</v>
      </c>
      <c r="B1061" s="4" t="s">
        <v>1370</v>
      </c>
      <c r="C1061" s="4" t="s">
        <v>63</v>
      </c>
      <c r="D1061" s="4" t="s">
        <v>76</v>
      </c>
      <c r="E1061" s="4" t="s">
        <v>83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13720</v>
      </c>
      <c r="B1062" s="9" t="s">
        <v>1371</v>
      </c>
      <c r="C1062" s="9" t="s">
        <v>63</v>
      </c>
      <c r="D1062" s="9" t="s">
        <v>115</v>
      </c>
      <c r="E1062" s="9" t="s">
        <v>229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0.24</v>
      </c>
    </row>
    <row r="1063">
      <c r="A1063" s="23">
        <v>13733</v>
      </c>
      <c r="B1063" s="4" t="s">
        <v>1372</v>
      </c>
      <c r="C1063" s="4" t="s">
        <v>63</v>
      </c>
      <c r="D1063" s="4" t="s">
        <v>115</v>
      </c>
      <c r="E1063" s="4" t="s">
        <v>116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13775</v>
      </c>
      <c r="B1064" s="9" t="s">
        <v>1373</v>
      </c>
      <c r="C1064" s="9" t="s">
        <v>63</v>
      </c>
      <c r="D1064" s="9" t="s">
        <v>80</v>
      </c>
      <c r="E1064" s="9" t="s">
        <v>81</v>
      </c>
      <c r="F1064" s="11">
        <v>2</v>
      </c>
      <c r="G1064" s="10">
        <v>1</v>
      </c>
      <c r="H1064" s="12">
        <v>0</v>
      </c>
      <c r="I1064" s="10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1</v>
      </c>
      <c r="W1064" s="12">
        <v>0</v>
      </c>
      <c r="X1064" s="10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9">
        <v>0</v>
      </c>
    </row>
    <row r="1065">
      <c r="A1065" s="23">
        <v>13800</v>
      </c>
      <c r="B1065" s="4" t="s">
        <v>1374</v>
      </c>
      <c r="C1065" s="4" t="s">
        <v>63</v>
      </c>
      <c r="D1065" s="4" t="s">
        <v>115</v>
      </c>
      <c r="E1065" s="4" t="s">
        <v>116</v>
      </c>
      <c r="F1065" s="6">
        <v>2</v>
      </c>
      <c r="G1065" s="5">
        <v>2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2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2</v>
      </c>
      <c r="AL1065" s="5">
        <v>2</v>
      </c>
      <c r="AM1065" s="5">
        <v>2</v>
      </c>
      <c r="AN1065" s="30">
        <v>0</v>
      </c>
    </row>
    <row r="1066">
      <c r="A1066" s="24">
        <v>13839</v>
      </c>
      <c r="B1066" s="9" t="s">
        <v>1375</v>
      </c>
      <c r="C1066" s="9" t="s">
        <v>171</v>
      </c>
      <c r="D1066" s="9" t="s">
        <v>189</v>
      </c>
      <c r="E1066" s="9" t="s">
        <v>1376</v>
      </c>
      <c r="F1066" s="11">
        <v>1</v>
      </c>
      <c r="G1066" s="12">
        <v>0</v>
      </c>
      <c r="H1066" s="12">
        <v>0</v>
      </c>
      <c r="I1066" s="12">
        <v>0</v>
      </c>
      <c r="J1066" s="12">
        <v>0</v>
      </c>
      <c r="K1066" s="10">
        <v>1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2">
        <v>0</v>
      </c>
      <c r="Y1066" s="12">
        <v>0</v>
      </c>
      <c r="Z1066" s="10">
        <v>1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13862</v>
      </c>
      <c r="B1067" s="4" t="s">
        <v>1377</v>
      </c>
      <c r="C1067" s="4" t="s">
        <v>63</v>
      </c>
      <c r="D1067" s="4" t="s">
        <v>115</v>
      </c>
      <c r="E1067" s="4" t="s">
        <v>118</v>
      </c>
      <c r="F1067" s="6">
        <v>1</v>
      </c>
      <c r="G1067" s="7">
        <v>0</v>
      </c>
      <c r="H1067" s="7">
        <v>0</v>
      </c>
      <c r="I1067" s="7">
        <v>0</v>
      </c>
      <c r="J1067" s="7">
        <v>0</v>
      </c>
      <c r="K1067" s="5">
        <v>1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7">
        <v>0</v>
      </c>
      <c r="Y1067" s="7">
        <v>0</v>
      </c>
      <c r="Z1067" s="5">
        <v>1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0.26</v>
      </c>
    </row>
    <row r="1068">
      <c r="A1068" s="24">
        <v>13888</v>
      </c>
      <c r="B1068" s="9" t="s">
        <v>1378</v>
      </c>
      <c r="C1068" s="9" t="s">
        <v>63</v>
      </c>
      <c r="D1068" s="9" t="s">
        <v>85</v>
      </c>
      <c r="E1068" s="9" t="s">
        <v>231</v>
      </c>
      <c r="F1068" s="11">
        <v>2</v>
      </c>
      <c r="G1068" s="12">
        <v>0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2">
        <v>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0.5</v>
      </c>
    </row>
    <row r="1069">
      <c r="A1069" s="23">
        <v>13898</v>
      </c>
      <c r="B1069" s="4" t="s">
        <v>1379</v>
      </c>
      <c r="C1069" s="4" t="s">
        <v>63</v>
      </c>
      <c r="D1069" s="4" t="s">
        <v>85</v>
      </c>
      <c r="E1069" s="4" t="s">
        <v>86</v>
      </c>
      <c r="F1069" s="6">
        <v>2</v>
      </c>
      <c r="G1069" s="7">
        <v>0</v>
      </c>
      <c r="H1069" s="5">
        <v>2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7">
        <v>0</v>
      </c>
      <c r="W1069" s="5">
        <v>2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28">
        <v>0.5</v>
      </c>
    </row>
    <row r="1070">
      <c r="A1070" s="24">
        <v>13905</v>
      </c>
      <c r="B1070" s="9" t="s">
        <v>1380</v>
      </c>
      <c r="C1070" s="9" t="s">
        <v>63</v>
      </c>
      <c r="D1070" s="9" t="s">
        <v>85</v>
      </c>
      <c r="E1070" s="9" t="s">
        <v>231</v>
      </c>
      <c r="F1070" s="11">
        <v>3</v>
      </c>
      <c r="G1070" s="12">
        <v>0</v>
      </c>
      <c r="H1070" s="12">
        <v>0</v>
      </c>
      <c r="I1070" s="12">
        <v>0</v>
      </c>
      <c r="J1070" s="10">
        <v>3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2">
        <v>0</v>
      </c>
      <c r="W1070" s="12">
        <v>0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29">
        <v>0.5</v>
      </c>
    </row>
    <row r="1071">
      <c r="A1071" s="23">
        <v>13913</v>
      </c>
      <c r="B1071" s="4" t="s">
        <v>1381</v>
      </c>
      <c r="C1071" s="4" t="s">
        <v>63</v>
      </c>
      <c r="D1071" s="4" t="s">
        <v>80</v>
      </c>
      <c r="E1071" s="4" t="s">
        <v>96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0">
        <v>0</v>
      </c>
    </row>
    <row r="1072">
      <c r="A1072" s="24">
        <v>13914</v>
      </c>
      <c r="B1072" s="9" t="s">
        <v>1382</v>
      </c>
      <c r="C1072" s="9" t="s">
        <v>63</v>
      </c>
      <c r="D1072" s="9" t="s">
        <v>90</v>
      </c>
      <c r="E1072" s="9" t="s">
        <v>538</v>
      </c>
      <c r="F1072" s="11">
        <v>4</v>
      </c>
      <c r="G1072" s="10">
        <v>2</v>
      </c>
      <c r="H1072" s="10">
        <v>1</v>
      </c>
      <c r="I1072" s="12">
        <v>0</v>
      </c>
      <c r="J1072" s="12">
        <v>0</v>
      </c>
      <c r="K1072" s="12">
        <v>0</v>
      </c>
      <c r="L1072" s="10">
        <v>1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4</v>
      </c>
      <c r="V1072" s="10">
        <v>2</v>
      </c>
      <c r="W1072" s="10">
        <v>1</v>
      </c>
      <c r="X1072" s="12">
        <v>0</v>
      </c>
      <c r="Y1072" s="12">
        <v>0</v>
      </c>
      <c r="Z1072" s="12">
        <v>0</v>
      </c>
      <c r="AA1072" s="10">
        <v>1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1.33</v>
      </c>
      <c r="AL1072" s="10">
        <v>1</v>
      </c>
      <c r="AM1072" s="10">
        <v>2</v>
      </c>
      <c r="AN1072" s="49">
        <v>0</v>
      </c>
    </row>
    <row r="1073">
      <c r="A1073" s="23">
        <v>14013</v>
      </c>
      <c r="B1073" s="4" t="s">
        <v>1383</v>
      </c>
      <c r="C1073" s="4" t="s">
        <v>63</v>
      </c>
      <c r="D1073" s="4" t="s">
        <v>73</v>
      </c>
      <c r="E1073" s="4" t="s">
        <v>445</v>
      </c>
      <c r="F1073" s="6">
        <v>2</v>
      </c>
      <c r="G1073" s="5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5">
        <v>2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14055</v>
      </c>
      <c r="B1074" s="9" t="s">
        <v>1384</v>
      </c>
      <c r="C1074" s="9" t="s">
        <v>63</v>
      </c>
      <c r="D1074" s="9" t="s">
        <v>115</v>
      </c>
      <c r="E1074" s="9" t="s">
        <v>116</v>
      </c>
      <c r="F1074" s="11">
        <v>2</v>
      </c>
      <c r="G1074" s="10">
        <v>2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0">
        <v>2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9">
        <v>0</v>
      </c>
    </row>
    <row r="1075">
      <c r="A1075" s="23">
        <v>14065</v>
      </c>
      <c r="B1075" s="4" t="s">
        <v>1385</v>
      </c>
      <c r="C1075" s="4" t="s">
        <v>171</v>
      </c>
      <c r="D1075" s="4" t="s">
        <v>172</v>
      </c>
      <c r="E1075" s="4" t="s">
        <v>184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14081</v>
      </c>
      <c r="B1076" s="9" t="s">
        <v>1386</v>
      </c>
      <c r="C1076" s="9" t="s">
        <v>63</v>
      </c>
      <c r="D1076" s="9" t="s">
        <v>80</v>
      </c>
      <c r="E1076" s="9" t="s">
        <v>88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14138</v>
      </c>
      <c r="B1077" s="4" t="s">
        <v>1387</v>
      </c>
      <c r="C1077" s="4" t="s">
        <v>63</v>
      </c>
      <c r="D1077" s="4" t="s">
        <v>73</v>
      </c>
      <c r="E1077" s="4" t="s">
        <v>74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14158</v>
      </c>
      <c r="B1078" s="9" t="s">
        <v>1388</v>
      </c>
      <c r="C1078" s="9" t="s">
        <v>63</v>
      </c>
      <c r="D1078" s="9" t="s">
        <v>76</v>
      </c>
      <c r="E1078" s="9" t="s">
        <v>83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9">
        <v>0</v>
      </c>
    </row>
    <row r="1079">
      <c r="A1079" s="23">
        <v>14180</v>
      </c>
      <c r="B1079" s="4" t="s">
        <v>1389</v>
      </c>
      <c r="C1079" s="4" t="s">
        <v>63</v>
      </c>
      <c r="D1079" s="4" t="s">
        <v>103</v>
      </c>
      <c r="E1079" s="4" t="s">
        <v>1003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14191</v>
      </c>
      <c r="B1080" s="9" t="s">
        <v>1390</v>
      </c>
      <c r="C1080" s="9" t="s">
        <v>1116</v>
      </c>
      <c r="D1080" s="9" t="s">
        <v>1143</v>
      </c>
      <c r="E1080" s="9" t="s">
        <v>362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14236</v>
      </c>
      <c r="B1081" s="4" t="s">
        <v>1391</v>
      </c>
      <c r="C1081" s="4" t="s">
        <v>63</v>
      </c>
      <c r="D1081" s="4" t="s">
        <v>115</v>
      </c>
      <c r="E1081" s="4" t="s">
        <v>116</v>
      </c>
      <c r="F1081" s="6">
        <v>2</v>
      </c>
      <c r="G1081" s="7">
        <v>0</v>
      </c>
      <c r="H1081" s="7">
        <v>0</v>
      </c>
      <c r="I1081" s="7">
        <v>0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28">
        <v>0.24</v>
      </c>
    </row>
    <row r="1082">
      <c r="A1082" s="24">
        <v>14270</v>
      </c>
      <c r="B1082" s="9" t="s">
        <v>1392</v>
      </c>
      <c r="C1082" s="9" t="s">
        <v>63</v>
      </c>
      <c r="D1082" s="9" t="s">
        <v>115</v>
      </c>
      <c r="E1082" s="9" t="s">
        <v>124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9">
        <v>0</v>
      </c>
    </row>
    <row r="1083">
      <c r="A1083" s="23">
        <v>14323</v>
      </c>
      <c r="B1083" s="4" t="s">
        <v>1393</v>
      </c>
      <c r="C1083" s="4" t="s">
        <v>63</v>
      </c>
      <c r="D1083" s="4" t="s">
        <v>76</v>
      </c>
      <c r="E1083" s="4" t="s">
        <v>77</v>
      </c>
      <c r="F1083" s="6">
        <v>1</v>
      </c>
      <c r="G1083" s="7">
        <v>0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0.22</v>
      </c>
    </row>
    <row r="1084">
      <c r="A1084" s="24">
        <v>14409</v>
      </c>
      <c r="B1084" s="9" t="s">
        <v>1394</v>
      </c>
      <c r="C1084" s="9" t="s">
        <v>171</v>
      </c>
      <c r="D1084" s="9" t="s">
        <v>866</v>
      </c>
      <c r="E1084" s="9" t="s">
        <v>867</v>
      </c>
      <c r="F1084" s="11">
        <v>3</v>
      </c>
      <c r="G1084" s="10">
        <v>1</v>
      </c>
      <c r="H1084" s="10">
        <v>1</v>
      </c>
      <c r="I1084" s="12">
        <v>0</v>
      </c>
      <c r="J1084" s="12">
        <v>0</v>
      </c>
      <c r="K1084" s="10">
        <v>1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3</v>
      </c>
      <c r="V1084" s="10">
        <v>1</v>
      </c>
      <c r="W1084" s="10">
        <v>1</v>
      </c>
      <c r="X1084" s="12">
        <v>0</v>
      </c>
      <c r="Y1084" s="12">
        <v>0</v>
      </c>
      <c r="Z1084" s="10">
        <v>1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0.37</v>
      </c>
    </row>
    <row r="1085">
      <c r="A1085" s="23">
        <v>14418</v>
      </c>
      <c r="B1085" s="4" t="s">
        <v>1395</v>
      </c>
      <c r="C1085" s="4" t="s">
        <v>63</v>
      </c>
      <c r="D1085" s="4" t="s">
        <v>93</v>
      </c>
      <c r="E1085" s="4" t="s">
        <v>156</v>
      </c>
      <c r="F1085" s="6">
        <v>5</v>
      </c>
      <c r="G1085" s="5">
        <v>3</v>
      </c>
      <c r="H1085" s="7">
        <v>0</v>
      </c>
      <c r="I1085" s="5">
        <v>1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5">
        <v>2</v>
      </c>
      <c r="W1085" s="7">
        <v>0</v>
      </c>
      <c r="X1085" s="5">
        <v>1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1.67</v>
      </c>
      <c r="AL1085" s="5">
        <v>1</v>
      </c>
      <c r="AM1085" s="5">
        <v>3</v>
      </c>
      <c r="AN1085" s="28">
        <v>0.5</v>
      </c>
    </row>
    <row r="1086">
      <c r="A1086" s="24">
        <v>14428</v>
      </c>
      <c r="B1086" s="9" t="s">
        <v>1396</v>
      </c>
      <c r="C1086" s="9" t="s">
        <v>63</v>
      </c>
      <c r="D1086" s="9" t="s">
        <v>85</v>
      </c>
      <c r="E1086" s="9" t="s">
        <v>100</v>
      </c>
      <c r="F1086" s="11">
        <v>1</v>
      </c>
      <c r="G1086" s="12">
        <v>0</v>
      </c>
      <c r="H1086" s="10">
        <v>1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0">
        <v>1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9">
        <v>0</v>
      </c>
    </row>
    <row r="1087">
      <c r="A1087" s="23">
        <v>14439</v>
      </c>
      <c r="B1087" s="4" t="s">
        <v>1397</v>
      </c>
      <c r="C1087" s="4" t="s">
        <v>141</v>
      </c>
      <c r="D1087" s="4" t="s">
        <v>1398</v>
      </c>
      <c r="E1087" s="4" t="s">
        <v>1399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0">
        <v>0</v>
      </c>
    </row>
    <row r="1088">
      <c r="A1088" s="24">
        <v>14469</v>
      </c>
      <c r="B1088" s="9" t="s">
        <v>1400</v>
      </c>
      <c r="C1088" s="9" t="s">
        <v>63</v>
      </c>
      <c r="D1088" s="9" t="s">
        <v>115</v>
      </c>
      <c r="E1088" s="9" t="s">
        <v>149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9">
        <v>0</v>
      </c>
    </row>
    <row r="1089">
      <c r="A1089" s="23">
        <v>14476</v>
      </c>
      <c r="B1089" s="4" t="s">
        <v>1401</v>
      </c>
      <c r="C1089" s="4" t="s">
        <v>63</v>
      </c>
      <c r="D1089" s="4" t="s">
        <v>115</v>
      </c>
      <c r="E1089" s="4" t="s">
        <v>124</v>
      </c>
      <c r="F1089" s="6">
        <v>1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14523</v>
      </c>
      <c r="B1090" s="9" t="s">
        <v>1402</v>
      </c>
      <c r="C1090" s="9" t="s">
        <v>63</v>
      </c>
      <c r="D1090" s="9" t="s">
        <v>76</v>
      </c>
      <c r="E1090" s="9" t="s">
        <v>127</v>
      </c>
      <c r="F1090" s="11">
        <v>1</v>
      </c>
      <c r="G1090" s="12">
        <v>0</v>
      </c>
      <c r="H1090" s="12">
        <v>0</v>
      </c>
      <c r="I1090" s="10">
        <v>1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14570</v>
      </c>
      <c r="B1091" s="4" t="s">
        <v>1403</v>
      </c>
      <c r="C1091" s="4" t="s">
        <v>360</v>
      </c>
      <c r="D1091" s="4" t="s">
        <v>819</v>
      </c>
      <c r="E1091" s="4" t="s">
        <v>362</v>
      </c>
      <c r="F1091" s="6">
        <v>2</v>
      </c>
      <c r="G1091" s="7">
        <v>0</v>
      </c>
      <c r="H1091" s="7">
        <v>0</v>
      </c>
      <c r="I1091" s="7">
        <v>0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7">
        <v>0</v>
      </c>
      <c r="W1091" s="7">
        <v>0</v>
      </c>
      <c r="X1091" s="7">
        <v>0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30">
        <v>0</v>
      </c>
    </row>
    <row r="1092">
      <c r="A1092" s="24">
        <v>14599</v>
      </c>
      <c r="B1092" s="9" t="s">
        <v>1404</v>
      </c>
      <c r="C1092" s="9" t="s">
        <v>141</v>
      </c>
      <c r="D1092" s="9" t="s">
        <v>142</v>
      </c>
      <c r="E1092" s="9" t="s">
        <v>458</v>
      </c>
      <c r="F1092" s="11">
        <v>1</v>
      </c>
      <c r="G1092" s="12">
        <v>0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0.22</v>
      </c>
    </row>
    <row r="1093">
      <c r="A1093" s="23">
        <v>14624</v>
      </c>
      <c r="B1093" s="4" t="s">
        <v>1405</v>
      </c>
      <c r="C1093" s="4" t="s">
        <v>141</v>
      </c>
      <c r="D1093" s="4" t="s">
        <v>371</v>
      </c>
      <c r="E1093" s="4" t="s">
        <v>710</v>
      </c>
      <c r="F1093" s="6">
        <v>2</v>
      </c>
      <c r="G1093" s="7">
        <v>0</v>
      </c>
      <c r="H1093" s="7">
        <v>0</v>
      </c>
      <c r="I1093" s="5">
        <v>2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7">
        <v>0</v>
      </c>
      <c r="W1093" s="7">
        <v>0</v>
      </c>
      <c r="X1093" s="5">
        <v>2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30">
        <v>0</v>
      </c>
    </row>
    <row r="1094">
      <c r="A1094" s="24">
        <v>14628</v>
      </c>
      <c r="B1094" s="9" t="s">
        <v>1406</v>
      </c>
      <c r="C1094" s="9" t="s">
        <v>63</v>
      </c>
      <c r="D1094" s="9" t="s">
        <v>115</v>
      </c>
      <c r="E1094" s="9" t="s">
        <v>149</v>
      </c>
      <c r="F1094" s="11">
        <v>1</v>
      </c>
      <c r="G1094" s="12">
        <v>0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0.26</v>
      </c>
    </row>
    <row r="1095">
      <c r="A1095" s="23">
        <v>14749</v>
      </c>
      <c r="B1095" s="4" t="s">
        <v>1407</v>
      </c>
      <c r="C1095" s="4" t="s">
        <v>663</v>
      </c>
      <c r="D1095" s="4" t="s">
        <v>688</v>
      </c>
      <c r="E1095" s="4" t="s">
        <v>362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0.26</v>
      </c>
    </row>
    <row r="1096">
      <c r="A1096" s="24">
        <v>14777</v>
      </c>
      <c r="B1096" s="9" t="s">
        <v>1408</v>
      </c>
      <c r="C1096" s="9" t="s">
        <v>63</v>
      </c>
      <c r="D1096" s="9" t="s">
        <v>115</v>
      </c>
      <c r="E1096" s="9" t="s">
        <v>319</v>
      </c>
      <c r="F1096" s="11">
        <v>2</v>
      </c>
      <c r="G1096" s="12">
        <v>0</v>
      </c>
      <c r="H1096" s="12">
        <v>0</v>
      </c>
      <c r="I1096" s="12">
        <v>0</v>
      </c>
      <c r="J1096" s="10">
        <v>1</v>
      </c>
      <c r="K1096" s="10">
        <v>1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2">
        <v>0</v>
      </c>
      <c r="X1096" s="12">
        <v>0</v>
      </c>
      <c r="Y1096" s="10">
        <v>1</v>
      </c>
      <c r="Z1096" s="10">
        <v>1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14789</v>
      </c>
      <c r="B1097" s="4" t="s">
        <v>1409</v>
      </c>
      <c r="C1097" s="4" t="s">
        <v>63</v>
      </c>
      <c r="D1097" s="4" t="s">
        <v>67</v>
      </c>
      <c r="E1097" s="4" t="s">
        <v>71</v>
      </c>
      <c r="F1097" s="6">
        <v>2</v>
      </c>
      <c r="G1097" s="5">
        <v>1</v>
      </c>
      <c r="H1097" s="5">
        <v>1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1</v>
      </c>
      <c r="W1097" s="5">
        <v>1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0.22</v>
      </c>
    </row>
    <row r="1098">
      <c r="A1098" s="24">
        <v>14818</v>
      </c>
      <c r="B1098" s="9" t="s">
        <v>1410</v>
      </c>
      <c r="C1098" s="9" t="s">
        <v>63</v>
      </c>
      <c r="D1098" s="9" t="s">
        <v>80</v>
      </c>
      <c r="E1098" s="9" t="s">
        <v>413</v>
      </c>
      <c r="F1098" s="11">
        <v>2</v>
      </c>
      <c r="G1098" s="12">
        <v>0</v>
      </c>
      <c r="H1098" s="12">
        <v>0</v>
      </c>
      <c r="I1098" s="12">
        <v>0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29">
        <v>0.25</v>
      </c>
    </row>
    <row r="1099">
      <c r="A1099" s="23">
        <v>14824</v>
      </c>
      <c r="B1099" s="4" t="s">
        <v>1411</v>
      </c>
      <c r="C1099" s="4" t="s">
        <v>141</v>
      </c>
      <c r="D1099" s="4" t="s">
        <v>523</v>
      </c>
      <c r="E1099" s="4" t="s">
        <v>1412</v>
      </c>
      <c r="F1099" s="6">
        <v>3</v>
      </c>
      <c r="G1099" s="7">
        <v>0</v>
      </c>
      <c r="H1099" s="5">
        <v>1</v>
      </c>
      <c r="I1099" s="5">
        <v>2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</v>
      </c>
      <c r="V1099" s="7">
        <v>0</v>
      </c>
      <c r="W1099" s="5">
        <v>1</v>
      </c>
      <c r="X1099" s="5">
        <v>2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1.5</v>
      </c>
      <c r="AL1099" s="5">
        <v>1</v>
      </c>
      <c r="AM1099" s="5">
        <v>2</v>
      </c>
      <c r="AN1099" s="30">
        <v>0</v>
      </c>
    </row>
    <row r="1100">
      <c r="A1100" s="24">
        <v>14842</v>
      </c>
      <c r="B1100" s="9" t="s">
        <v>1413</v>
      </c>
      <c r="C1100" s="9" t="s">
        <v>63</v>
      </c>
      <c r="D1100" s="9" t="s">
        <v>85</v>
      </c>
      <c r="E1100" s="9" t="s">
        <v>86</v>
      </c>
      <c r="F1100" s="11">
        <v>8</v>
      </c>
      <c r="G1100" s="12">
        <v>0</v>
      </c>
      <c r="H1100" s="12">
        <v>0</v>
      </c>
      <c r="I1100" s="12">
        <v>0</v>
      </c>
      <c r="J1100" s="10">
        <v>8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7</v>
      </c>
      <c r="V1100" s="12">
        <v>0</v>
      </c>
      <c r="W1100" s="12">
        <v>0</v>
      </c>
      <c r="X1100" s="12">
        <v>0</v>
      </c>
      <c r="Y1100" s="10">
        <v>7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8</v>
      </c>
      <c r="AK1100" s="13">
        <v>8</v>
      </c>
      <c r="AL1100" s="10">
        <v>8</v>
      </c>
      <c r="AM1100" s="10">
        <v>8</v>
      </c>
      <c r="AN1100" s="49">
        <v>0</v>
      </c>
    </row>
    <row r="1101">
      <c r="A1101" s="23">
        <v>14877</v>
      </c>
      <c r="B1101" s="4" t="s">
        <v>1414</v>
      </c>
      <c r="C1101" s="4" t="s">
        <v>63</v>
      </c>
      <c r="D1101" s="4" t="s">
        <v>76</v>
      </c>
      <c r="E1101" s="4" t="s">
        <v>127</v>
      </c>
      <c r="F1101" s="6">
        <v>3</v>
      </c>
      <c r="G1101" s="7">
        <v>0</v>
      </c>
      <c r="H1101" s="5">
        <v>3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7">
        <v>0</v>
      </c>
      <c r="W1101" s="5">
        <v>3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3</v>
      </c>
      <c r="AK1101" s="8">
        <v>3</v>
      </c>
      <c r="AL1101" s="5">
        <v>3</v>
      </c>
      <c r="AM1101" s="5">
        <v>3</v>
      </c>
      <c r="AN1101" s="28">
        <v>0.78</v>
      </c>
    </row>
    <row r="1102">
      <c r="A1102" s="24">
        <v>14883</v>
      </c>
      <c r="B1102" s="9" t="s">
        <v>1415</v>
      </c>
      <c r="C1102" s="9" t="s">
        <v>63</v>
      </c>
      <c r="D1102" s="9" t="s">
        <v>85</v>
      </c>
      <c r="E1102" s="9" t="s">
        <v>107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0.37</v>
      </c>
    </row>
    <row r="1103">
      <c r="A1103" s="23">
        <v>14901</v>
      </c>
      <c r="B1103" s="4" t="s">
        <v>1416</v>
      </c>
      <c r="C1103" s="4" t="s">
        <v>141</v>
      </c>
      <c r="D1103" s="4" t="s">
        <v>429</v>
      </c>
      <c r="E1103" s="4" t="s">
        <v>430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0.24</v>
      </c>
    </row>
    <row r="1104">
      <c r="A1104" s="24">
        <v>14932</v>
      </c>
      <c r="B1104" s="9" t="s">
        <v>1417</v>
      </c>
      <c r="C1104" s="9" t="s">
        <v>141</v>
      </c>
      <c r="D1104" s="9" t="s">
        <v>371</v>
      </c>
      <c r="E1104" s="9" t="s">
        <v>382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49">
        <v>0</v>
      </c>
    </row>
    <row r="1105">
      <c r="A1105" s="23">
        <v>14963</v>
      </c>
      <c r="B1105" s="4" t="s">
        <v>1418</v>
      </c>
      <c r="C1105" s="4" t="s">
        <v>63</v>
      </c>
      <c r="D1105" s="4" t="s">
        <v>76</v>
      </c>
      <c r="E1105" s="4" t="s">
        <v>83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14978</v>
      </c>
      <c r="B1106" s="9" t="s">
        <v>1419</v>
      </c>
      <c r="C1106" s="9" t="s">
        <v>63</v>
      </c>
      <c r="D1106" s="9" t="s">
        <v>76</v>
      </c>
      <c r="E1106" s="9" t="s">
        <v>77</v>
      </c>
      <c r="F1106" s="11">
        <v>2</v>
      </c>
      <c r="G1106" s="10">
        <v>1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0">
        <v>1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15005</v>
      </c>
      <c r="B1107" s="4" t="s">
        <v>1420</v>
      </c>
      <c r="C1107" s="4" t="s">
        <v>63</v>
      </c>
      <c r="D1107" s="4" t="s">
        <v>85</v>
      </c>
      <c r="E1107" s="4" t="s">
        <v>86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15010</v>
      </c>
      <c r="B1108" s="9" t="s">
        <v>1421</v>
      </c>
      <c r="C1108" s="9" t="s">
        <v>171</v>
      </c>
      <c r="D1108" s="9" t="s">
        <v>189</v>
      </c>
      <c r="E1108" s="9" t="s">
        <v>190</v>
      </c>
      <c r="F1108" s="11">
        <v>2</v>
      </c>
      <c r="G1108" s="12">
        <v>0</v>
      </c>
      <c r="H1108" s="12">
        <v>0</v>
      </c>
      <c r="I1108" s="10">
        <v>1</v>
      </c>
      <c r="J1108" s="12">
        <v>0</v>
      </c>
      <c r="K1108" s="10">
        <v>1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2">
        <v>0</v>
      </c>
      <c r="W1108" s="12">
        <v>0</v>
      </c>
      <c r="X1108" s="10">
        <v>1</v>
      </c>
      <c r="Y1108" s="12">
        <v>0</v>
      </c>
      <c r="Z1108" s="10">
        <v>1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9">
        <v>0</v>
      </c>
    </row>
    <row r="1109">
      <c r="A1109" s="23">
        <v>15015</v>
      </c>
      <c r="B1109" s="4" t="s">
        <v>1422</v>
      </c>
      <c r="C1109" s="4" t="s">
        <v>63</v>
      </c>
      <c r="D1109" s="4" t="s">
        <v>93</v>
      </c>
      <c r="E1109" s="4" t="s">
        <v>759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0.26</v>
      </c>
    </row>
    <row r="1110">
      <c r="A1110" s="24">
        <v>15032</v>
      </c>
      <c r="B1110" s="9" t="s">
        <v>1423</v>
      </c>
      <c r="C1110" s="9" t="s">
        <v>63</v>
      </c>
      <c r="D1110" s="9" t="s">
        <v>67</v>
      </c>
      <c r="E1110" s="9" t="s">
        <v>71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15039</v>
      </c>
      <c r="B1111" s="4" t="s">
        <v>1424</v>
      </c>
      <c r="C1111" s="4" t="s">
        <v>63</v>
      </c>
      <c r="D1111" s="4" t="s">
        <v>133</v>
      </c>
      <c r="E1111" s="4" t="s">
        <v>220</v>
      </c>
      <c r="F1111" s="6">
        <v>1</v>
      </c>
      <c r="G1111" s="7">
        <v>0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0">
        <v>0</v>
      </c>
    </row>
    <row r="1112">
      <c r="A1112" s="24">
        <v>15040</v>
      </c>
      <c r="B1112" s="9" t="s">
        <v>1425</v>
      </c>
      <c r="C1112" s="9" t="s">
        <v>63</v>
      </c>
      <c r="D1112" s="9" t="s">
        <v>133</v>
      </c>
      <c r="E1112" s="9" t="s">
        <v>134</v>
      </c>
      <c r="F1112" s="11">
        <v>1</v>
      </c>
      <c r="G1112" s="12">
        <v>0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0.22</v>
      </c>
    </row>
    <row r="1113">
      <c r="A1113" s="23">
        <v>15122</v>
      </c>
      <c r="B1113" s="4" t="s">
        <v>1426</v>
      </c>
      <c r="C1113" s="4" t="s">
        <v>360</v>
      </c>
      <c r="D1113" s="4" t="s">
        <v>1427</v>
      </c>
      <c r="E1113" s="4" t="s">
        <v>362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15126</v>
      </c>
      <c r="B1114" s="9" t="s">
        <v>1428</v>
      </c>
      <c r="C1114" s="9" t="s">
        <v>63</v>
      </c>
      <c r="D1114" s="9" t="s">
        <v>80</v>
      </c>
      <c r="E1114" s="9" t="s">
        <v>88</v>
      </c>
      <c r="F1114" s="11">
        <v>3</v>
      </c>
      <c r="G1114" s="10">
        <v>1</v>
      </c>
      <c r="H1114" s="12">
        <v>0</v>
      </c>
      <c r="I1114" s="12">
        <v>0</v>
      </c>
      <c r="J1114" s="12">
        <v>0</v>
      </c>
      <c r="K1114" s="10">
        <v>1</v>
      </c>
      <c r="L1114" s="12">
        <v>0</v>
      </c>
      <c r="M1114" s="12">
        <v>0</v>
      </c>
      <c r="N1114" s="10">
        <v>1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0">
        <v>1</v>
      </c>
      <c r="W1114" s="12">
        <v>0</v>
      </c>
      <c r="X1114" s="12">
        <v>0</v>
      </c>
      <c r="Y1114" s="12">
        <v>0</v>
      </c>
      <c r="Z1114" s="10">
        <v>1</v>
      </c>
      <c r="AA1114" s="12">
        <v>0</v>
      </c>
      <c r="AB1114" s="12">
        <v>0</v>
      </c>
      <c r="AC1114" s="10">
        <v>1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9">
        <v>0</v>
      </c>
    </row>
    <row r="1115">
      <c r="A1115" s="23">
        <v>15150</v>
      </c>
      <c r="B1115" s="4" t="s">
        <v>1429</v>
      </c>
      <c r="C1115" s="4" t="s">
        <v>63</v>
      </c>
      <c r="D1115" s="4" t="s">
        <v>115</v>
      </c>
      <c r="E1115" s="4" t="s">
        <v>118</v>
      </c>
      <c r="F1115" s="6">
        <v>1</v>
      </c>
      <c r="G1115" s="7">
        <v>0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0.26</v>
      </c>
    </row>
    <row r="1116">
      <c r="A1116" s="24">
        <v>15408</v>
      </c>
      <c r="B1116" s="9" t="s">
        <v>1430</v>
      </c>
      <c r="C1116" s="9" t="s">
        <v>1123</v>
      </c>
      <c r="D1116" s="9" t="s">
        <v>362</v>
      </c>
      <c r="E1116" s="9" t="s">
        <v>362</v>
      </c>
      <c r="F1116" s="11">
        <v>1</v>
      </c>
      <c r="G1116" s="12">
        <v>0</v>
      </c>
      <c r="H1116" s="10">
        <v>1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0">
        <v>1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15544</v>
      </c>
      <c r="B1117" s="4" t="s">
        <v>1431</v>
      </c>
      <c r="C1117" s="4" t="s">
        <v>63</v>
      </c>
      <c r="D1117" s="4" t="s">
        <v>115</v>
      </c>
      <c r="E1117" s="4" t="s">
        <v>149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15556</v>
      </c>
      <c r="B1118" s="9" t="s">
        <v>1432</v>
      </c>
      <c r="C1118" s="9" t="s">
        <v>663</v>
      </c>
      <c r="D1118" s="9" t="s">
        <v>1048</v>
      </c>
      <c r="E1118" s="9" t="s">
        <v>362</v>
      </c>
      <c r="F1118" s="11">
        <v>4</v>
      </c>
      <c r="G1118" s="12">
        <v>0</v>
      </c>
      <c r="H1118" s="10">
        <v>1</v>
      </c>
      <c r="I1118" s="10">
        <v>3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2">
        <v>0</v>
      </c>
      <c r="W1118" s="10">
        <v>1</v>
      </c>
      <c r="X1118" s="10">
        <v>3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</v>
      </c>
      <c r="AL1118" s="10">
        <v>2</v>
      </c>
      <c r="AM1118" s="10">
        <v>3</v>
      </c>
      <c r="AN1118" s="29">
        <v>0.26</v>
      </c>
    </row>
    <row r="1119">
      <c r="A1119" s="23">
        <v>15609</v>
      </c>
      <c r="B1119" s="4" t="s">
        <v>1433</v>
      </c>
      <c r="C1119" s="4" t="s">
        <v>63</v>
      </c>
      <c r="D1119" s="4" t="s">
        <v>115</v>
      </c>
      <c r="E1119" s="4" t="s">
        <v>118</v>
      </c>
      <c r="F1119" s="6">
        <v>1</v>
      </c>
      <c r="G1119" s="7">
        <v>0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15623</v>
      </c>
      <c r="B1120" s="9" t="s">
        <v>1434</v>
      </c>
      <c r="C1120" s="9" t="s">
        <v>141</v>
      </c>
      <c r="D1120" s="9" t="s">
        <v>523</v>
      </c>
      <c r="E1120" s="9" t="s">
        <v>1435</v>
      </c>
      <c r="F1120" s="11">
        <v>1</v>
      </c>
      <c r="G1120" s="12">
        <v>0</v>
      </c>
      <c r="H1120" s="10">
        <v>1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0">
        <v>1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0.22</v>
      </c>
    </row>
    <row r="1121">
      <c r="A1121" s="23">
        <v>15721</v>
      </c>
      <c r="B1121" s="4" t="s">
        <v>1436</v>
      </c>
      <c r="C1121" s="4" t="s">
        <v>63</v>
      </c>
      <c r="D1121" s="4" t="s">
        <v>85</v>
      </c>
      <c r="E1121" s="4" t="s">
        <v>86</v>
      </c>
      <c r="F1121" s="6">
        <v>1</v>
      </c>
      <c r="G1121" s="7">
        <v>0</v>
      </c>
      <c r="H1121" s="7">
        <v>0</v>
      </c>
      <c r="I1121" s="5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7">
        <v>0</v>
      </c>
      <c r="W1121" s="7">
        <v>0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15730</v>
      </c>
      <c r="B1122" s="9" t="s">
        <v>1437</v>
      </c>
      <c r="C1122" s="9" t="s">
        <v>141</v>
      </c>
      <c r="D1122" s="9" t="s">
        <v>253</v>
      </c>
      <c r="E1122" s="9" t="s">
        <v>254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15750</v>
      </c>
      <c r="B1123" s="4" t="s">
        <v>1438</v>
      </c>
      <c r="C1123" s="4" t="s">
        <v>63</v>
      </c>
      <c r="D1123" s="4" t="s">
        <v>76</v>
      </c>
      <c r="E1123" s="4" t="s">
        <v>234</v>
      </c>
      <c r="F1123" s="6">
        <v>2</v>
      </c>
      <c r="G1123" s="7">
        <v>0</v>
      </c>
      <c r="H1123" s="7">
        <v>0</v>
      </c>
      <c r="I1123" s="7">
        <v>0</v>
      </c>
      <c r="J1123" s="7">
        <v>0</v>
      </c>
      <c r="K1123" s="5">
        <v>1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7">
        <v>0</v>
      </c>
      <c r="W1123" s="7">
        <v>0</v>
      </c>
      <c r="X1123" s="7">
        <v>0</v>
      </c>
      <c r="Y1123" s="7">
        <v>0</v>
      </c>
      <c r="Z1123" s="5">
        <v>1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15757</v>
      </c>
      <c r="B1124" s="9" t="s">
        <v>1439</v>
      </c>
      <c r="C1124" s="9" t="s">
        <v>1440</v>
      </c>
      <c r="D1124" s="9" t="s">
        <v>1441</v>
      </c>
      <c r="E1124" s="9" t="s">
        <v>362</v>
      </c>
      <c r="F1124" s="11">
        <v>1</v>
      </c>
      <c r="G1124" s="12">
        <v>0</v>
      </c>
      <c r="H1124" s="10">
        <v>1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0">
        <v>1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0.26</v>
      </c>
    </row>
    <row r="1125">
      <c r="A1125" s="23">
        <v>15774</v>
      </c>
      <c r="B1125" s="4" t="s">
        <v>1442</v>
      </c>
      <c r="C1125" s="4" t="s">
        <v>63</v>
      </c>
      <c r="D1125" s="4" t="s">
        <v>115</v>
      </c>
      <c r="E1125" s="4" t="s">
        <v>222</v>
      </c>
      <c r="F1125" s="6">
        <v>5</v>
      </c>
      <c r="G1125" s="5">
        <v>5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4</v>
      </c>
      <c r="V1125" s="5">
        <v>4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2.5</v>
      </c>
      <c r="AL1125" s="5">
        <v>2</v>
      </c>
      <c r="AM1125" s="5">
        <v>4</v>
      </c>
      <c r="AN1125" s="30">
        <v>0</v>
      </c>
    </row>
    <row r="1126">
      <c r="A1126" s="24">
        <v>15839</v>
      </c>
      <c r="B1126" s="9" t="s">
        <v>1443</v>
      </c>
      <c r="C1126" s="9" t="s">
        <v>663</v>
      </c>
      <c r="D1126" s="9" t="s">
        <v>1444</v>
      </c>
      <c r="E1126" s="9" t="s">
        <v>362</v>
      </c>
      <c r="F1126" s="11">
        <v>3</v>
      </c>
      <c r="G1126" s="12">
        <v>0</v>
      </c>
      <c r="H1126" s="10">
        <v>3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3</v>
      </c>
      <c r="V1126" s="12">
        <v>0</v>
      </c>
      <c r="W1126" s="10">
        <v>3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3</v>
      </c>
      <c r="AK1126" s="13">
        <v>3</v>
      </c>
      <c r="AL1126" s="10">
        <v>3</v>
      </c>
      <c r="AM1126" s="10">
        <v>3</v>
      </c>
      <c r="AN1126" s="29">
        <v>0.75</v>
      </c>
    </row>
    <row r="1127">
      <c r="A1127" s="23">
        <v>15844</v>
      </c>
      <c r="B1127" s="4" t="s">
        <v>1445</v>
      </c>
      <c r="C1127" s="4" t="s">
        <v>63</v>
      </c>
      <c r="D1127" s="4" t="s">
        <v>67</v>
      </c>
      <c r="E1127" s="4" t="s">
        <v>71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0">
        <v>0</v>
      </c>
    </row>
    <row r="1128">
      <c r="A1128" s="24">
        <v>15855</v>
      </c>
      <c r="B1128" s="9" t="s">
        <v>1446</v>
      </c>
      <c r="C1128" s="9" t="s">
        <v>171</v>
      </c>
      <c r="D1128" s="9" t="s">
        <v>172</v>
      </c>
      <c r="E1128" s="9" t="s">
        <v>761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0.26</v>
      </c>
    </row>
    <row r="1129">
      <c r="A1129" s="23">
        <v>15857</v>
      </c>
      <c r="B1129" s="4" t="s">
        <v>1447</v>
      </c>
      <c r="C1129" s="4" t="s">
        <v>663</v>
      </c>
      <c r="D1129" s="4" t="s">
        <v>1448</v>
      </c>
      <c r="E1129" s="4" t="s">
        <v>362</v>
      </c>
      <c r="F1129" s="6">
        <v>5</v>
      </c>
      <c r="G1129" s="7">
        <v>0</v>
      </c>
      <c r="H1129" s="5">
        <v>2</v>
      </c>
      <c r="I1129" s="5">
        <v>3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5</v>
      </c>
      <c r="V1129" s="7">
        <v>0</v>
      </c>
      <c r="W1129" s="5">
        <v>2</v>
      </c>
      <c r="X1129" s="5">
        <v>3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2.5</v>
      </c>
      <c r="AL1129" s="5">
        <v>2</v>
      </c>
      <c r="AM1129" s="5">
        <v>3</v>
      </c>
      <c r="AN1129" s="28">
        <v>1.25</v>
      </c>
    </row>
    <row r="1130">
      <c r="A1130" s="24">
        <v>15868</v>
      </c>
      <c r="B1130" s="9" t="s">
        <v>1449</v>
      </c>
      <c r="C1130" s="9" t="s">
        <v>63</v>
      </c>
      <c r="D1130" s="9" t="s">
        <v>133</v>
      </c>
      <c r="E1130" s="9" t="s">
        <v>134</v>
      </c>
      <c r="F1130" s="11">
        <v>1</v>
      </c>
      <c r="G1130" s="12">
        <v>0</v>
      </c>
      <c r="H1130" s="10">
        <v>1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0">
        <v>1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0.36</v>
      </c>
    </row>
    <row r="1131">
      <c r="A1131" s="23">
        <v>15872</v>
      </c>
      <c r="B1131" s="4" t="s">
        <v>1450</v>
      </c>
      <c r="C1131" s="4" t="s">
        <v>141</v>
      </c>
      <c r="D1131" s="4" t="s">
        <v>685</v>
      </c>
      <c r="E1131" s="4" t="s">
        <v>686</v>
      </c>
      <c r="F1131" s="6">
        <v>2</v>
      </c>
      <c r="G1131" s="7">
        <v>0</v>
      </c>
      <c r="H1131" s="7">
        <v>0</v>
      </c>
      <c r="I1131" s="5">
        <v>1</v>
      </c>
      <c r="J1131" s="7">
        <v>0</v>
      </c>
      <c r="K1131" s="7">
        <v>0</v>
      </c>
      <c r="L1131" s="5">
        <v>1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5">
        <v>1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15917</v>
      </c>
      <c r="B1132" s="9" t="s">
        <v>1451</v>
      </c>
      <c r="C1132" s="9" t="s">
        <v>63</v>
      </c>
      <c r="D1132" s="9" t="s">
        <v>73</v>
      </c>
      <c r="E1132" s="9" t="s">
        <v>445</v>
      </c>
      <c r="F1132" s="11">
        <v>4</v>
      </c>
      <c r="G1132" s="10">
        <v>4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0">
        <v>3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2</v>
      </c>
      <c r="AM1132" s="10">
        <v>3</v>
      </c>
      <c r="AN1132" s="29">
        <v>0.64</v>
      </c>
    </row>
    <row r="1133">
      <c r="A1133" s="23">
        <v>16003</v>
      </c>
      <c r="B1133" s="4" t="s">
        <v>1122</v>
      </c>
      <c r="C1133" s="4" t="s">
        <v>141</v>
      </c>
      <c r="D1133" s="4" t="s">
        <v>418</v>
      </c>
      <c r="E1133" s="4" t="s">
        <v>1452</v>
      </c>
      <c r="F1133" s="6">
        <v>1</v>
      </c>
      <c r="G1133" s="7">
        <v>0</v>
      </c>
      <c r="H1133" s="5">
        <v>1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5">
        <v>1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0.22</v>
      </c>
    </row>
    <row r="1134">
      <c r="A1134" s="24">
        <v>16015</v>
      </c>
      <c r="B1134" s="9" t="s">
        <v>1453</v>
      </c>
      <c r="C1134" s="9" t="s">
        <v>663</v>
      </c>
      <c r="D1134" s="9" t="s">
        <v>1448</v>
      </c>
      <c r="E1134" s="9" t="s">
        <v>362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16017</v>
      </c>
      <c r="B1135" s="4" t="s">
        <v>1454</v>
      </c>
      <c r="C1135" s="4" t="s">
        <v>1455</v>
      </c>
      <c r="D1135" s="4" t="s">
        <v>1456</v>
      </c>
      <c r="E1135" s="4" t="s">
        <v>362</v>
      </c>
      <c r="F1135" s="6">
        <v>3</v>
      </c>
      <c r="G1135" s="7">
        <v>0</v>
      </c>
      <c r="H1135" s="5">
        <v>3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3</v>
      </c>
      <c r="V1135" s="7">
        <v>0</v>
      </c>
      <c r="W1135" s="5">
        <v>3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3</v>
      </c>
      <c r="AK1135" s="8">
        <v>3</v>
      </c>
      <c r="AL1135" s="5">
        <v>3</v>
      </c>
      <c r="AM1135" s="5">
        <v>3</v>
      </c>
      <c r="AN1135" s="28">
        <v>0.75</v>
      </c>
    </row>
    <row r="1136">
      <c r="A1136" s="24">
        <v>16029</v>
      </c>
      <c r="B1136" s="9" t="s">
        <v>1457</v>
      </c>
      <c r="C1136" s="9" t="s">
        <v>1123</v>
      </c>
      <c r="D1136" s="9" t="s">
        <v>1458</v>
      </c>
      <c r="E1136" s="9" t="s">
        <v>362</v>
      </c>
      <c r="F1136" s="11">
        <v>2</v>
      </c>
      <c r="G1136" s="12">
        <v>0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2">
        <v>0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29">
        <v>0.52</v>
      </c>
    </row>
    <row r="1137">
      <c r="A1137" s="23">
        <v>16030</v>
      </c>
      <c r="B1137" s="4" t="s">
        <v>1459</v>
      </c>
      <c r="C1137" s="4" t="s">
        <v>63</v>
      </c>
      <c r="D1137" s="4" t="s">
        <v>80</v>
      </c>
      <c r="E1137" s="4" t="s">
        <v>81</v>
      </c>
      <c r="F1137" s="6">
        <v>1</v>
      </c>
      <c r="G1137" s="7">
        <v>0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16032</v>
      </c>
      <c r="B1138" s="9" t="s">
        <v>1460</v>
      </c>
      <c r="C1138" s="9" t="s">
        <v>63</v>
      </c>
      <c r="D1138" s="9" t="s">
        <v>115</v>
      </c>
      <c r="E1138" s="9" t="s">
        <v>116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9">
        <v>0</v>
      </c>
    </row>
    <row r="1139">
      <c r="A1139" s="23">
        <v>16037</v>
      </c>
      <c r="B1139" s="4" t="s">
        <v>1461</v>
      </c>
      <c r="C1139" s="4" t="s">
        <v>241</v>
      </c>
      <c r="D1139" s="4" t="s">
        <v>1462</v>
      </c>
      <c r="E1139" s="4" t="s">
        <v>1463</v>
      </c>
      <c r="F1139" s="6">
        <v>1</v>
      </c>
      <c r="G1139" s="7">
        <v>0</v>
      </c>
      <c r="H1139" s="5">
        <v>1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5">
        <v>1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16060</v>
      </c>
      <c r="B1140" s="9" t="s">
        <v>1464</v>
      </c>
      <c r="C1140" s="9" t="s">
        <v>63</v>
      </c>
      <c r="D1140" s="9" t="s">
        <v>90</v>
      </c>
      <c r="E1140" s="9" t="s">
        <v>538</v>
      </c>
      <c r="F1140" s="11">
        <v>1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0">
        <v>1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0">
        <v>1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0.24</v>
      </c>
    </row>
    <row r="1141">
      <c r="A1141" s="23">
        <v>16086</v>
      </c>
      <c r="B1141" s="4" t="s">
        <v>1465</v>
      </c>
      <c r="C1141" s="4" t="s">
        <v>63</v>
      </c>
      <c r="D1141" s="4" t="s">
        <v>67</v>
      </c>
      <c r="E1141" s="4" t="s">
        <v>71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0.35</v>
      </c>
    </row>
    <row r="1142">
      <c r="A1142" s="24">
        <v>16091</v>
      </c>
      <c r="B1142" s="9" t="s">
        <v>1466</v>
      </c>
      <c r="C1142" s="9" t="s">
        <v>63</v>
      </c>
      <c r="D1142" s="9" t="s">
        <v>90</v>
      </c>
      <c r="E1142" s="9" t="s">
        <v>538</v>
      </c>
      <c r="F1142" s="11">
        <v>3</v>
      </c>
      <c r="G1142" s="10">
        <v>2</v>
      </c>
      <c r="H1142" s="12">
        <v>0</v>
      </c>
      <c r="I1142" s="12">
        <v>0</v>
      </c>
      <c r="J1142" s="12">
        <v>0</v>
      </c>
      <c r="K1142" s="12">
        <v>0</v>
      </c>
      <c r="L1142" s="10">
        <v>1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</v>
      </c>
      <c r="V1142" s="10">
        <v>2</v>
      </c>
      <c r="W1142" s="12">
        <v>0</v>
      </c>
      <c r="X1142" s="12">
        <v>0</v>
      </c>
      <c r="Y1142" s="12">
        <v>0</v>
      </c>
      <c r="Z1142" s="12">
        <v>0</v>
      </c>
      <c r="AA1142" s="10">
        <v>1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1.5</v>
      </c>
      <c r="AL1142" s="10">
        <v>1</v>
      </c>
      <c r="AM1142" s="10">
        <v>2</v>
      </c>
      <c r="AN1142" s="49">
        <v>0</v>
      </c>
    </row>
    <row r="1143">
      <c r="A1143" s="23">
        <v>16092</v>
      </c>
      <c r="B1143" s="4" t="s">
        <v>1467</v>
      </c>
      <c r="C1143" s="4" t="s">
        <v>63</v>
      </c>
      <c r="D1143" s="4" t="s">
        <v>90</v>
      </c>
      <c r="E1143" s="4" t="s">
        <v>538</v>
      </c>
      <c r="F1143" s="6">
        <v>2</v>
      </c>
      <c r="G1143" s="5">
        <v>1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1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16098</v>
      </c>
      <c r="B1144" s="9" t="s">
        <v>1468</v>
      </c>
      <c r="C1144" s="9" t="s">
        <v>63</v>
      </c>
      <c r="D1144" s="9" t="s">
        <v>112</v>
      </c>
      <c r="E1144" s="9" t="s">
        <v>470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16102</v>
      </c>
      <c r="B1145" s="4" t="s">
        <v>1469</v>
      </c>
      <c r="C1145" s="4" t="s">
        <v>63</v>
      </c>
      <c r="D1145" s="4" t="s">
        <v>133</v>
      </c>
      <c r="E1145" s="4" t="s">
        <v>251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16107</v>
      </c>
      <c r="B1146" s="9" t="s">
        <v>1470</v>
      </c>
      <c r="C1146" s="9" t="s">
        <v>63</v>
      </c>
      <c r="D1146" s="9" t="s">
        <v>93</v>
      </c>
      <c r="E1146" s="9" t="s">
        <v>94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9">
        <v>0</v>
      </c>
    </row>
    <row r="1147">
      <c r="A1147" s="23">
        <v>16116</v>
      </c>
      <c r="B1147" s="4" t="s">
        <v>1471</v>
      </c>
      <c r="C1147" s="4" t="s">
        <v>171</v>
      </c>
      <c r="D1147" s="4" t="s">
        <v>189</v>
      </c>
      <c r="E1147" s="4" t="s">
        <v>210</v>
      </c>
      <c r="F1147" s="6">
        <v>2</v>
      </c>
      <c r="G1147" s="7">
        <v>0</v>
      </c>
      <c r="H1147" s="7">
        <v>0</v>
      </c>
      <c r="I1147" s="5">
        <v>1</v>
      </c>
      <c r="J1147" s="7">
        <v>0</v>
      </c>
      <c r="K1147" s="5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7">
        <v>0</v>
      </c>
      <c r="W1147" s="7">
        <v>0</v>
      </c>
      <c r="X1147" s="5">
        <v>1</v>
      </c>
      <c r="Y1147" s="7">
        <v>0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16124</v>
      </c>
      <c r="B1148" s="9" t="s">
        <v>1472</v>
      </c>
      <c r="C1148" s="9" t="s">
        <v>171</v>
      </c>
      <c r="D1148" s="9" t="s">
        <v>194</v>
      </c>
      <c r="E1148" s="9" t="s">
        <v>195</v>
      </c>
      <c r="F1148" s="11">
        <v>2</v>
      </c>
      <c r="G1148" s="10">
        <v>1</v>
      </c>
      <c r="H1148" s="12">
        <v>0</v>
      </c>
      <c r="I1148" s="12">
        <v>0</v>
      </c>
      <c r="J1148" s="12">
        <v>0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0">
        <v>1</v>
      </c>
      <c r="W1148" s="12">
        <v>0</v>
      </c>
      <c r="X1148" s="12">
        <v>0</v>
      </c>
      <c r="Y1148" s="12">
        <v>0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9">
        <v>0</v>
      </c>
    </row>
    <row r="1149">
      <c r="A1149" s="23">
        <v>16129</v>
      </c>
      <c r="B1149" s="4" t="s">
        <v>1473</v>
      </c>
      <c r="C1149" s="4" t="s">
        <v>671</v>
      </c>
      <c r="D1149" s="4" t="s">
        <v>718</v>
      </c>
      <c r="E1149" s="4" t="s">
        <v>362</v>
      </c>
      <c r="F1149" s="6">
        <v>2</v>
      </c>
      <c r="G1149" s="7">
        <v>0</v>
      </c>
      <c r="H1149" s="7">
        <v>0</v>
      </c>
      <c r="I1149" s="5">
        <v>1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7">
        <v>0</v>
      </c>
      <c r="X1149" s="5">
        <v>1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16137</v>
      </c>
      <c r="B1150" s="9" t="s">
        <v>1474</v>
      </c>
      <c r="C1150" s="9" t="s">
        <v>605</v>
      </c>
      <c r="D1150" s="9" t="s">
        <v>653</v>
      </c>
      <c r="E1150" s="9" t="s">
        <v>654</v>
      </c>
      <c r="F1150" s="11">
        <v>2</v>
      </c>
      <c r="G1150" s="12">
        <v>0</v>
      </c>
      <c r="H1150" s="10">
        <v>1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2">
        <v>0</v>
      </c>
      <c r="W1150" s="10">
        <v>1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0.52</v>
      </c>
    </row>
    <row r="1151">
      <c r="A1151" s="23">
        <v>16143</v>
      </c>
      <c r="B1151" s="4" t="s">
        <v>1475</v>
      </c>
      <c r="C1151" s="4" t="s">
        <v>63</v>
      </c>
      <c r="D1151" s="4" t="s">
        <v>93</v>
      </c>
      <c r="E1151" s="4" t="s">
        <v>156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16212</v>
      </c>
      <c r="B1152" s="9" t="s">
        <v>1476</v>
      </c>
      <c r="C1152" s="9" t="s">
        <v>63</v>
      </c>
      <c r="D1152" s="9" t="s">
        <v>76</v>
      </c>
      <c r="E1152" s="9" t="s">
        <v>83</v>
      </c>
      <c r="F1152" s="11">
        <v>1</v>
      </c>
      <c r="G1152" s="12">
        <v>0</v>
      </c>
      <c r="H1152" s="12">
        <v>0</v>
      </c>
      <c r="I1152" s="10">
        <v>1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0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9">
        <v>0</v>
      </c>
    </row>
    <row r="1153">
      <c r="A1153" s="23">
        <v>16240</v>
      </c>
      <c r="B1153" s="4" t="s">
        <v>1477</v>
      </c>
      <c r="C1153" s="4" t="s">
        <v>63</v>
      </c>
      <c r="D1153" s="4" t="s">
        <v>133</v>
      </c>
      <c r="E1153" s="4" t="s">
        <v>134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0.24</v>
      </c>
    </row>
    <row r="1154">
      <c r="A1154" s="24">
        <v>16250</v>
      </c>
      <c r="B1154" s="9" t="s">
        <v>1478</v>
      </c>
      <c r="C1154" s="9" t="s">
        <v>605</v>
      </c>
      <c r="D1154" s="9" t="s">
        <v>653</v>
      </c>
      <c r="E1154" s="9" t="s">
        <v>654</v>
      </c>
      <c r="F1154" s="11">
        <v>4</v>
      </c>
      <c r="G1154" s="12">
        <v>0</v>
      </c>
      <c r="H1154" s="10">
        <v>3</v>
      </c>
      <c r="I1154" s="12">
        <v>0</v>
      </c>
      <c r="J1154" s="12">
        <v>0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4</v>
      </c>
      <c r="V1154" s="12">
        <v>0</v>
      </c>
      <c r="W1154" s="10">
        <v>3</v>
      </c>
      <c r="X1154" s="12">
        <v>0</v>
      </c>
      <c r="Y1154" s="12">
        <v>0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</v>
      </c>
      <c r="AL1154" s="10">
        <v>2</v>
      </c>
      <c r="AM1154" s="10">
        <v>3</v>
      </c>
      <c r="AN1154" s="29">
        <v>0.78</v>
      </c>
    </row>
    <row r="1155">
      <c r="A1155" s="23">
        <v>16256</v>
      </c>
      <c r="B1155" s="4" t="s">
        <v>1479</v>
      </c>
      <c r="C1155" s="4" t="s">
        <v>63</v>
      </c>
      <c r="D1155" s="4" t="s">
        <v>76</v>
      </c>
      <c r="E1155" s="4" t="s">
        <v>77</v>
      </c>
      <c r="F1155" s="6">
        <v>1</v>
      </c>
      <c r="G1155" s="7">
        <v>0</v>
      </c>
      <c r="H1155" s="5">
        <v>1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5">
        <v>1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0.22</v>
      </c>
    </row>
    <row r="1156">
      <c r="A1156" s="24">
        <v>16301</v>
      </c>
      <c r="B1156" s="9" t="s">
        <v>1480</v>
      </c>
      <c r="C1156" s="9" t="s">
        <v>63</v>
      </c>
      <c r="D1156" s="9" t="s">
        <v>133</v>
      </c>
      <c r="E1156" s="9" t="s">
        <v>134</v>
      </c>
      <c r="F1156" s="11">
        <v>100</v>
      </c>
      <c r="G1156" s="12">
        <v>0</v>
      </c>
      <c r="H1156" s="12">
        <v>0</v>
      </c>
      <c r="I1156" s="12">
        <v>0</v>
      </c>
      <c r="J1156" s="10">
        <v>100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92</v>
      </c>
      <c r="V1156" s="12">
        <v>0</v>
      </c>
      <c r="W1156" s="12">
        <v>0</v>
      </c>
      <c r="X1156" s="12">
        <v>0</v>
      </c>
      <c r="Y1156" s="10">
        <v>92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100</v>
      </c>
      <c r="AK1156" s="13">
        <v>100</v>
      </c>
      <c r="AL1156" s="10">
        <v>100</v>
      </c>
      <c r="AM1156" s="10">
        <v>100</v>
      </c>
      <c r="AN1156" s="29">
        <v>23.92</v>
      </c>
    </row>
    <row r="1157">
      <c r="A1157" s="23">
        <v>16345</v>
      </c>
      <c r="B1157" s="4" t="s">
        <v>1481</v>
      </c>
      <c r="C1157" s="4" t="s">
        <v>141</v>
      </c>
      <c r="D1157" s="4" t="s">
        <v>423</v>
      </c>
      <c r="E1157" s="4" t="s">
        <v>982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0.25</v>
      </c>
    </row>
    <row r="1158">
      <c r="A1158" s="24">
        <v>16347</v>
      </c>
      <c r="B1158" s="9" t="s">
        <v>1482</v>
      </c>
      <c r="C1158" s="9" t="s">
        <v>1123</v>
      </c>
      <c r="D1158" s="9" t="s">
        <v>362</v>
      </c>
      <c r="E1158" s="9" t="s">
        <v>362</v>
      </c>
      <c r="F1158" s="11">
        <v>35</v>
      </c>
      <c r="G1158" s="12">
        <v>0</v>
      </c>
      <c r="H1158" s="10">
        <v>1</v>
      </c>
      <c r="I1158" s="12">
        <v>0</v>
      </c>
      <c r="J1158" s="10">
        <v>34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33</v>
      </c>
      <c r="V1158" s="12">
        <v>0</v>
      </c>
      <c r="W1158" s="10">
        <v>1</v>
      </c>
      <c r="X1158" s="12">
        <v>0</v>
      </c>
      <c r="Y1158" s="10">
        <v>32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8.75</v>
      </c>
      <c r="AL1158" s="10">
        <v>1</v>
      </c>
      <c r="AM1158" s="10">
        <v>31</v>
      </c>
      <c r="AN1158" s="29">
        <v>8.58</v>
      </c>
    </row>
    <row r="1159">
      <c r="A1159" s="23">
        <v>16371</v>
      </c>
      <c r="B1159" s="4" t="s">
        <v>1483</v>
      </c>
      <c r="C1159" s="4" t="s">
        <v>141</v>
      </c>
      <c r="D1159" s="4" t="s">
        <v>472</v>
      </c>
      <c r="E1159" s="4" t="s">
        <v>540</v>
      </c>
      <c r="F1159" s="6">
        <v>2</v>
      </c>
      <c r="G1159" s="7">
        <v>0</v>
      </c>
      <c r="H1159" s="7">
        <v>0</v>
      </c>
      <c r="I1159" s="5">
        <v>1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7">
        <v>0</v>
      </c>
      <c r="W1159" s="7">
        <v>0</v>
      </c>
      <c r="X1159" s="5">
        <v>1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0.5</v>
      </c>
    </row>
    <row r="1160">
      <c r="A1160" s="24">
        <v>16383</v>
      </c>
      <c r="B1160" s="9" t="s">
        <v>1484</v>
      </c>
      <c r="C1160" s="9" t="s">
        <v>63</v>
      </c>
      <c r="D1160" s="9" t="s">
        <v>115</v>
      </c>
      <c r="E1160" s="9" t="s">
        <v>118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9">
        <v>0</v>
      </c>
    </row>
    <row r="1161">
      <c r="A1161" s="23">
        <v>16387</v>
      </c>
      <c r="B1161" s="4" t="s">
        <v>1485</v>
      </c>
      <c r="C1161" s="4" t="s">
        <v>63</v>
      </c>
      <c r="D1161" s="4" t="s">
        <v>80</v>
      </c>
      <c r="E1161" s="4" t="s">
        <v>257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16453</v>
      </c>
      <c r="B1162" s="9" t="s">
        <v>1486</v>
      </c>
      <c r="C1162" s="9" t="s">
        <v>63</v>
      </c>
      <c r="D1162" s="9" t="s">
        <v>76</v>
      </c>
      <c r="E1162" s="9" t="s">
        <v>77</v>
      </c>
      <c r="F1162" s="11">
        <v>1</v>
      </c>
      <c r="G1162" s="12">
        <v>0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2">
        <v>0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9">
        <v>0</v>
      </c>
    </row>
    <row r="1163">
      <c r="A1163" s="23">
        <v>16483</v>
      </c>
      <c r="B1163" s="4" t="s">
        <v>1487</v>
      </c>
      <c r="C1163" s="4" t="s">
        <v>671</v>
      </c>
      <c r="D1163" s="4" t="s">
        <v>672</v>
      </c>
      <c r="E1163" s="4" t="s">
        <v>362</v>
      </c>
      <c r="F1163" s="6">
        <v>1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5">
        <v>1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5">
        <v>1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16504</v>
      </c>
      <c r="B1164" s="9" t="s">
        <v>1488</v>
      </c>
      <c r="C1164" s="9" t="s">
        <v>63</v>
      </c>
      <c r="D1164" s="9" t="s">
        <v>80</v>
      </c>
      <c r="E1164" s="9" t="s">
        <v>257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0.26</v>
      </c>
    </row>
    <row r="1165">
      <c r="A1165" s="23">
        <v>16541</v>
      </c>
      <c r="B1165" s="4" t="s">
        <v>1489</v>
      </c>
      <c r="C1165" s="4" t="s">
        <v>63</v>
      </c>
      <c r="D1165" s="4" t="s">
        <v>80</v>
      </c>
      <c r="E1165" s="4" t="s">
        <v>96</v>
      </c>
      <c r="F1165" s="6">
        <v>1</v>
      </c>
      <c r="G1165" s="7">
        <v>0</v>
      </c>
      <c r="H1165" s="5">
        <v>1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5">
        <v>1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0.36</v>
      </c>
    </row>
    <row r="1166">
      <c r="A1166" s="24">
        <v>16604</v>
      </c>
      <c r="B1166" s="9" t="s">
        <v>1490</v>
      </c>
      <c r="C1166" s="9" t="s">
        <v>171</v>
      </c>
      <c r="D1166" s="9" t="s">
        <v>189</v>
      </c>
      <c r="E1166" s="9" t="s">
        <v>1376</v>
      </c>
      <c r="F1166" s="11">
        <v>1</v>
      </c>
      <c r="G1166" s="12">
        <v>0</v>
      </c>
      <c r="H1166" s="12">
        <v>0</v>
      </c>
      <c r="I1166" s="12">
        <v>0</v>
      </c>
      <c r="J1166" s="12">
        <v>0</v>
      </c>
      <c r="K1166" s="10">
        <v>1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2">
        <v>0</v>
      </c>
      <c r="W1166" s="12">
        <v>0</v>
      </c>
      <c r="X1166" s="12">
        <v>0</v>
      </c>
      <c r="Y1166" s="12">
        <v>0</v>
      </c>
      <c r="Z1166" s="10">
        <v>1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9">
        <v>0</v>
      </c>
    </row>
    <row r="1167">
      <c r="A1167" s="23">
        <v>16605</v>
      </c>
      <c r="B1167" s="4" t="s">
        <v>1491</v>
      </c>
      <c r="C1167" s="4" t="s">
        <v>63</v>
      </c>
      <c r="D1167" s="4" t="s">
        <v>133</v>
      </c>
      <c r="E1167" s="4" t="s">
        <v>134</v>
      </c>
      <c r="F1167" s="6">
        <v>1</v>
      </c>
      <c r="G1167" s="7">
        <v>0</v>
      </c>
      <c r="H1167" s="5">
        <v>1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5">
        <v>1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16606</v>
      </c>
      <c r="B1168" s="9" t="s">
        <v>1492</v>
      </c>
      <c r="C1168" s="9" t="s">
        <v>63</v>
      </c>
      <c r="D1168" s="9" t="s">
        <v>80</v>
      </c>
      <c r="E1168" s="9" t="s">
        <v>81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9">
        <v>0</v>
      </c>
    </row>
    <row r="1169">
      <c r="A1169" s="23">
        <v>16622</v>
      </c>
      <c r="B1169" s="4" t="s">
        <v>1493</v>
      </c>
      <c r="C1169" s="4" t="s">
        <v>1494</v>
      </c>
      <c r="D1169" s="4" t="s">
        <v>362</v>
      </c>
      <c r="E1169" s="4" t="s">
        <v>1495</v>
      </c>
      <c r="F1169" s="6">
        <v>1</v>
      </c>
      <c r="G1169" s="7">
        <v>0</v>
      </c>
      <c r="H1169" s="5">
        <v>1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7">
        <v>0</v>
      </c>
      <c r="W1169" s="5">
        <v>1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16627</v>
      </c>
      <c r="B1170" s="9" t="s">
        <v>1496</v>
      </c>
      <c r="C1170" s="9" t="s">
        <v>63</v>
      </c>
      <c r="D1170" s="9" t="s">
        <v>73</v>
      </c>
      <c r="E1170" s="9" t="s">
        <v>74</v>
      </c>
      <c r="F1170" s="11">
        <v>4</v>
      </c>
      <c r="G1170" s="10">
        <v>3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4</v>
      </c>
      <c r="V1170" s="10">
        <v>3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1.33</v>
      </c>
      <c r="AL1170" s="10">
        <v>1</v>
      </c>
      <c r="AM1170" s="10">
        <v>2</v>
      </c>
      <c r="AN1170" s="29">
        <v>0.25</v>
      </c>
    </row>
    <row r="1171">
      <c r="A1171" s="23">
        <v>16633</v>
      </c>
      <c r="B1171" s="4" t="s">
        <v>1497</v>
      </c>
      <c r="C1171" s="4" t="s">
        <v>63</v>
      </c>
      <c r="D1171" s="4" t="s">
        <v>73</v>
      </c>
      <c r="E1171" s="4" t="s">
        <v>74</v>
      </c>
      <c r="F1171" s="6">
        <v>1</v>
      </c>
      <c r="G1171" s="7">
        <v>0</v>
      </c>
      <c r="H1171" s="5">
        <v>1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5">
        <v>1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0.24</v>
      </c>
    </row>
    <row r="1172">
      <c r="A1172" s="24">
        <v>16666</v>
      </c>
      <c r="B1172" s="9" t="s">
        <v>1498</v>
      </c>
      <c r="C1172" s="9" t="s">
        <v>63</v>
      </c>
      <c r="D1172" s="9" t="s">
        <v>85</v>
      </c>
      <c r="E1172" s="9" t="s">
        <v>139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0.26</v>
      </c>
    </row>
    <row r="1173">
      <c r="A1173" s="23">
        <v>16728</v>
      </c>
      <c r="B1173" s="4" t="s">
        <v>1499</v>
      </c>
      <c r="C1173" s="4" t="s">
        <v>360</v>
      </c>
      <c r="D1173" s="4" t="s">
        <v>1034</v>
      </c>
      <c r="E1173" s="4" t="s">
        <v>362</v>
      </c>
      <c r="F1173" s="6">
        <v>3</v>
      </c>
      <c r="G1173" s="7">
        <v>0</v>
      </c>
      <c r="H1173" s="7">
        <v>0</v>
      </c>
      <c r="I1173" s="7">
        <v>0</v>
      </c>
      <c r="J1173" s="5">
        <v>3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3</v>
      </c>
      <c r="V1173" s="7">
        <v>0</v>
      </c>
      <c r="W1173" s="7">
        <v>0</v>
      </c>
      <c r="X1173" s="7">
        <v>0</v>
      </c>
      <c r="Y1173" s="5">
        <v>3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0.26</v>
      </c>
    </row>
    <row r="1174">
      <c r="A1174" s="24">
        <v>16745</v>
      </c>
      <c r="B1174" s="9" t="s">
        <v>1500</v>
      </c>
      <c r="C1174" s="9" t="s">
        <v>141</v>
      </c>
      <c r="D1174" s="9" t="s">
        <v>685</v>
      </c>
      <c r="E1174" s="9" t="s">
        <v>686</v>
      </c>
      <c r="F1174" s="11">
        <v>2</v>
      </c>
      <c r="G1174" s="12">
        <v>0</v>
      </c>
      <c r="H1174" s="12">
        <v>0</v>
      </c>
      <c r="I1174" s="10">
        <v>2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2">
        <v>0</v>
      </c>
      <c r="W1174" s="12">
        <v>0</v>
      </c>
      <c r="X1174" s="10">
        <v>2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49">
        <v>0</v>
      </c>
    </row>
    <row r="1175">
      <c r="A1175" s="23">
        <v>16767</v>
      </c>
      <c r="B1175" s="4" t="s">
        <v>1501</v>
      </c>
      <c r="C1175" s="4" t="s">
        <v>605</v>
      </c>
      <c r="D1175" s="4" t="s">
        <v>1086</v>
      </c>
      <c r="E1175" s="4" t="s">
        <v>1502</v>
      </c>
      <c r="F1175" s="6">
        <v>3</v>
      </c>
      <c r="G1175" s="7">
        <v>0</v>
      </c>
      <c r="H1175" s="7">
        <v>0</v>
      </c>
      <c r="I1175" s="5">
        <v>1</v>
      </c>
      <c r="J1175" s="5">
        <v>1</v>
      </c>
      <c r="K1175" s="7">
        <v>0</v>
      </c>
      <c r="L1175" s="7">
        <v>0</v>
      </c>
      <c r="M1175" s="7">
        <v>0</v>
      </c>
      <c r="N1175" s="5">
        <v>1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3</v>
      </c>
      <c r="V1175" s="7">
        <v>0</v>
      </c>
      <c r="W1175" s="7">
        <v>0</v>
      </c>
      <c r="X1175" s="5">
        <v>1</v>
      </c>
      <c r="Y1175" s="5">
        <v>1</v>
      </c>
      <c r="Z1175" s="7">
        <v>0</v>
      </c>
      <c r="AA1175" s="7">
        <v>0</v>
      </c>
      <c r="AB1175" s="7">
        <v>0</v>
      </c>
      <c r="AC1175" s="5">
        <v>1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0.26</v>
      </c>
    </row>
    <row r="1176">
      <c r="A1176" s="24">
        <v>16800</v>
      </c>
      <c r="B1176" s="9" t="s">
        <v>1503</v>
      </c>
      <c r="C1176" s="9" t="s">
        <v>63</v>
      </c>
      <c r="D1176" s="9" t="s">
        <v>76</v>
      </c>
      <c r="E1176" s="9" t="s">
        <v>306</v>
      </c>
      <c r="F1176" s="11">
        <v>3</v>
      </c>
      <c r="G1176" s="12">
        <v>0</v>
      </c>
      <c r="H1176" s="10">
        <v>2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2">
        <v>0</v>
      </c>
      <c r="W1176" s="10">
        <v>2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1.5</v>
      </c>
      <c r="AL1176" s="10">
        <v>1</v>
      </c>
      <c r="AM1176" s="10">
        <v>2</v>
      </c>
      <c r="AN1176" s="29">
        <v>0.72</v>
      </c>
    </row>
    <row r="1177">
      <c r="A1177" s="23">
        <v>16824</v>
      </c>
      <c r="B1177" s="4" t="s">
        <v>1504</v>
      </c>
      <c r="C1177" s="4" t="s">
        <v>141</v>
      </c>
      <c r="D1177" s="4" t="s">
        <v>455</v>
      </c>
      <c r="E1177" s="4" t="s">
        <v>456</v>
      </c>
      <c r="F1177" s="6">
        <v>2</v>
      </c>
      <c r="G1177" s="5">
        <v>1</v>
      </c>
      <c r="H1177" s="5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5">
        <v>1</v>
      </c>
      <c r="W1177" s="5">
        <v>1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0.48</v>
      </c>
    </row>
    <row r="1178">
      <c r="A1178" s="24">
        <v>16845</v>
      </c>
      <c r="B1178" s="9" t="s">
        <v>1505</v>
      </c>
      <c r="C1178" s="9" t="s">
        <v>63</v>
      </c>
      <c r="D1178" s="9" t="s">
        <v>80</v>
      </c>
      <c r="E1178" s="9" t="s">
        <v>81</v>
      </c>
      <c r="F1178" s="11">
        <v>2</v>
      </c>
      <c r="G1178" s="10">
        <v>1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0">
        <v>1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0.6</v>
      </c>
    </row>
    <row r="1179">
      <c r="A1179" s="23">
        <v>16922</v>
      </c>
      <c r="B1179" s="4" t="s">
        <v>1506</v>
      </c>
      <c r="C1179" s="4" t="s">
        <v>171</v>
      </c>
      <c r="D1179" s="4" t="s">
        <v>189</v>
      </c>
      <c r="E1179" s="4" t="s">
        <v>190</v>
      </c>
      <c r="F1179" s="6">
        <v>5</v>
      </c>
      <c r="G1179" s="5">
        <v>1</v>
      </c>
      <c r="H1179" s="5">
        <v>1</v>
      </c>
      <c r="I1179" s="7">
        <v>0</v>
      </c>
      <c r="J1179" s="7">
        <v>0</v>
      </c>
      <c r="K1179" s="5">
        <v>3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5</v>
      </c>
      <c r="V1179" s="5">
        <v>1</v>
      </c>
      <c r="W1179" s="5">
        <v>1</v>
      </c>
      <c r="X1179" s="7">
        <v>0</v>
      </c>
      <c r="Y1179" s="7">
        <v>0</v>
      </c>
      <c r="Z1179" s="5">
        <v>3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1.67</v>
      </c>
      <c r="AL1179" s="5">
        <v>1</v>
      </c>
      <c r="AM1179" s="5">
        <v>3</v>
      </c>
      <c r="AN1179" s="28">
        <v>0.25</v>
      </c>
    </row>
    <row r="1180">
      <c r="A1180" s="24">
        <v>16952</v>
      </c>
      <c r="B1180" s="9" t="s">
        <v>1507</v>
      </c>
      <c r="C1180" s="9" t="s">
        <v>360</v>
      </c>
      <c r="D1180" s="9" t="s">
        <v>593</v>
      </c>
      <c r="E1180" s="9" t="s">
        <v>362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0.26</v>
      </c>
    </row>
    <row r="1181">
      <c r="A1181" s="23">
        <v>16970</v>
      </c>
      <c r="B1181" s="4" t="s">
        <v>1508</v>
      </c>
      <c r="C1181" s="4" t="s">
        <v>63</v>
      </c>
      <c r="D1181" s="4" t="s">
        <v>85</v>
      </c>
      <c r="E1181" s="4" t="s">
        <v>231</v>
      </c>
      <c r="F1181" s="6">
        <v>3</v>
      </c>
      <c r="G1181" s="7">
        <v>0</v>
      </c>
      <c r="H1181" s="7">
        <v>0</v>
      </c>
      <c r="I1181" s="7">
        <v>0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3</v>
      </c>
      <c r="V1181" s="7">
        <v>0</v>
      </c>
      <c r="W1181" s="7">
        <v>0</v>
      </c>
      <c r="X1181" s="7">
        <v>0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28">
        <v>0.75</v>
      </c>
    </row>
    <row r="1182">
      <c r="A1182" s="24">
        <v>16978</v>
      </c>
      <c r="B1182" s="9" t="s">
        <v>1509</v>
      </c>
      <c r="C1182" s="9" t="s">
        <v>63</v>
      </c>
      <c r="D1182" s="9" t="s">
        <v>90</v>
      </c>
      <c r="E1182" s="9" t="s">
        <v>91</v>
      </c>
      <c r="F1182" s="11">
        <v>3</v>
      </c>
      <c r="G1182" s="10">
        <v>2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0">
        <v>2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29">
        <v>0.75</v>
      </c>
    </row>
    <row r="1183">
      <c r="A1183" s="23">
        <v>16979</v>
      </c>
      <c r="B1183" s="4" t="s">
        <v>1510</v>
      </c>
      <c r="C1183" s="4" t="s">
        <v>63</v>
      </c>
      <c r="D1183" s="4" t="s">
        <v>115</v>
      </c>
      <c r="E1183" s="4" t="s">
        <v>124</v>
      </c>
      <c r="F1183" s="6">
        <v>1</v>
      </c>
      <c r="G1183" s="7">
        <v>0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16992</v>
      </c>
      <c r="B1184" s="9" t="s">
        <v>1511</v>
      </c>
      <c r="C1184" s="9" t="s">
        <v>63</v>
      </c>
      <c r="D1184" s="9" t="s">
        <v>85</v>
      </c>
      <c r="E1184" s="9" t="s">
        <v>86</v>
      </c>
      <c r="F1184" s="11">
        <v>1</v>
      </c>
      <c r="G1184" s="12">
        <v>0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0.26</v>
      </c>
    </row>
    <row r="1185">
      <c r="A1185" s="23">
        <v>17030</v>
      </c>
      <c r="B1185" s="4" t="s">
        <v>1512</v>
      </c>
      <c r="C1185" s="4" t="s">
        <v>63</v>
      </c>
      <c r="D1185" s="4" t="s">
        <v>90</v>
      </c>
      <c r="E1185" s="4" t="s">
        <v>538</v>
      </c>
      <c r="F1185" s="6">
        <v>1</v>
      </c>
      <c r="G1185" s="7">
        <v>0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17036</v>
      </c>
      <c r="B1186" s="9" t="s">
        <v>1513</v>
      </c>
      <c r="C1186" s="9" t="s">
        <v>63</v>
      </c>
      <c r="D1186" s="9" t="s">
        <v>76</v>
      </c>
      <c r="E1186" s="9" t="s">
        <v>83</v>
      </c>
      <c r="F1186" s="11">
        <v>1</v>
      </c>
      <c r="G1186" s="12">
        <v>0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17037</v>
      </c>
      <c r="B1187" s="4" t="s">
        <v>1514</v>
      </c>
      <c r="C1187" s="4" t="s">
        <v>63</v>
      </c>
      <c r="D1187" s="4" t="s">
        <v>76</v>
      </c>
      <c r="E1187" s="4" t="s">
        <v>77</v>
      </c>
      <c r="F1187" s="6">
        <v>1</v>
      </c>
      <c r="G1187" s="7">
        <v>0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17038</v>
      </c>
      <c r="B1188" s="9" t="s">
        <v>1515</v>
      </c>
      <c r="C1188" s="9" t="s">
        <v>63</v>
      </c>
      <c r="D1188" s="9" t="s">
        <v>76</v>
      </c>
      <c r="E1188" s="9" t="s">
        <v>77</v>
      </c>
      <c r="F1188" s="11">
        <v>1</v>
      </c>
      <c r="G1188" s="12">
        <v>0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2">
        <v>0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17064</v>
      </c>
      <c r="B1189" s="4" t="s">
        <v>1516</v>
      </c>
      <c r="C1189" s="4" t="s">
        <v>63</v>
      </c>
      <c r="D1189" s="4" t="s">
        <v>103</v>
      </c>
      <c r="E1189" s="4" t="s">
        <v>131</v>
      </c>
      <c r="F1189" s="6">
        <v>3</v>
      </c>
      <c r="G1189" s="5">
        <v>3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</v>
      </c>
      <c r="V1189" s="5">
        <v>3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3</v>
      </c>
      <c r="AK1189" s="8">
        <v>3</v>
      </c>
      <c r="AL1189" s="5">
        <v>3</v>
      </c>
      <c r="AM1189" s="5">
        <v>3</v>
      </c>
      <c r="AN1189" s="28">
        <v>0.75</v>
      </c>
    </row>
    <row r="1190">
      <c r="A1190" s="24">
        <v>17137</v>
      </c>
      <c r="B1190" s="9" t="s">
        <v>1517</v>
      </c>
      <c r="C1190" s="9" t="s">
        <v>63</v>
      </c>
      <c r="D1190" s="9" t="s">
        <v>90</v>
      </c>
      <c r="E1190" s="9" t="s">
        <v>91</v>
      </c>
      <c r="F1190" s="11">
        <v>5</v>
      </c>
      <c r="G1190" s="10">
        <v>2</v>
      </c>
      <c r="H1190" s="10">
        <v>2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5</v>
      </c>
      <c r="V1190" s="10">
        <v>2</v>
      </c>
      <c r="W1190" s="10">
        <v>2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1.67</v>
      </c>
      <c r="AL1190" s="10">
        <v>2</v>
      </c>
      <c r="AM1190" s="10">
        <v>2</v>
      </c>
      <c r="AN1190" s="29">
        <v>0.24</v>
      </c>
    </row>
    <row r="1191">
      <c r="A1191" s="23">
        <v>17213</v>
      </c>
      <c r="B1191" s="4" t="s">
        <v>1518</v>
      </c>
      <c r="C1191" s="4" t="s">
        <v>63</v>
      </c>
      <c r="D1191" s="4" t="s">
        <v>76</v>
      </c>
      <c r="E1191" s="4" t="s">
        <v>77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17214</v>
      </c>
      <c r="B1192" s="9" t="s">
        <v>1519</v>
      </c>
      <c r="C1192" s="9" t="s">
        <v>63</v>
      </c>
      <c r="D1192" s="9" t="s">
        <v>133</v>
      </c>
      <c r="E1192" s="9" t="s">
        <v>251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9">
        <v>0</v>
      </c>
    </row>
    <row r="1193">
      <c r="A1193" s="23">
        <v>17218</v>
      </c>
      <c r="B1193" s="4" t="s">
        <v>1520</v>
      </c>
      <c r="C1193" s="4" t="s">
        <v>63</v>
      </c>
      <c r="D1193" s="4" t="s">
        <v>115</v>
      </c>
      <c r="E1193" s="4" t="s">
        <v>118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0.26</v>
      </c>
    </row>
    <row r="1194">
      <c r="A1194" s="24">
        <v>17223</v>
      </c>
      <c r="B1194" s="9" t="s">
        <v>1521</v>
      </c>
      <c r="C1194" s="9" t="s">
        <v>63</v>
      </c>
      <c r="D1194" s="9" t="s">
        <v>133</v>
      </c>
      <c r="E1194" s="9" t="s">
        <v>326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9">
        <v>0</v>
      </c>
    </row>
    <row r="1195">
      <c r="A1195" s="23">
        <v>17244</v>
      </c>
      <c r="B1195" s="4" t="s">
        <v>1522</v>
      </c>
      <c r="C1195" s="4" t="s">
        <v>141</v>
      </c>
      <c r="D1195" s="4" t="s">
        <v>668</v>
      </c>
      <c r="E1195" s="4" t="s">
        <v>1523</v>
      </c>
      <c r="F1195" s="6">
        <v>4</v>
      </c>
      <c r="G1195" s="5">
        <v>2</v>
      </c>
      <c r="H1195" s="7">
        <v>0</v>
      </c>
      <c r="I1195" s="5">
        <v>1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4</v>
      </c>
      <c r="V1195" s="5">
        <v>2</v>
      </c>
      <c r="W1195" s="7">
        <v>0</v>
      </c>
      <c r="X1195" s="5">
        <v>1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1.33</v>
      </c>
      <c r="AL1195" s="5">
        <v>1</v>
      </c>
      <c r="AM1195" s="5">
        <v>2</v>
      </c>
      <c r="AN1195" s="28">
        <v>0.25</v>
      </c>
    </row>
    <row r="1196">
      <c r="A1196" s="24">
        <v>17249</v>
      </c>
      <c r="B1196" s="9" t="s">
        <v>1524</v>
      </c>
      <c r="C1196" s="9" t="s">
        <v>141</v>
      </c>
      <c r="D1196" s="9" t="s">
        <v>1525</v>
      </c>
      <c r="E1196" s="9" t="s">
        <v>1526</v>
      </c>
      <c r="F1196" s="11">
        <v>1</v>
      </c>
      <c r="G1196" s="12">
        <v>0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17256</v>
      </c>
      <c r="B1197" s="4" t="s">
        <v>1527</v>
      </c>
      <c r="C1197" s="4" t="s">
        <v>171</v>
      </c>
      <c r="D1197" s="4" t="s">
        <v>172</v>
      </c>
      <c r="E1197" s="4" t="s">
        <v>173</v>
      </c>
      <c r="F1197" s="6">
        <v>3</v>
      </c>
      <c r="G1197" s="5">
        <v>2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</v>
      </c>
      <c r="V1197" s="5">
        <v>2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0.24</v>
      </c>
    </row>
    <row r="1198">
      <c r="A1198" s="24">
        <v>17286</v>
      </c>
      <c r="B1198" s="9" t="s">
        <v>1528</v>
      </c>
      <c r="C1198" s="9" t="s">
        <v>360</v>
      </c>
      <c r="D1198" s="9" t="s">
        <v>361</v>
      </c>
      <c r="E1198" s="9" t="s">
        <v>362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17310</v>
      </c>
      <c r="B1199" s="4" t="s">
        <v>1529</v>
      </c>
      <c r="C1199" s="4" t="s">
        <v>663</v>
      </c>
      <c r="D1199" s="4" t="s">
        <v>1048</v>
      </c>
      <c r="E1199" s="4" t="s">
        <v>362</v>
      </c>
      <c r="F1199" s="6">
        <v>1</v>
      </c>
      <c r="G1199" s="7">
        <v>0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17315</v>
      </c>
      <c r="B1200" s="9" t="s">
        <v>1530</v>
      </c>
      <c r="C1200" s="9" t="s">
        <v>63</v>
      </c>
      <c r="D1200" s="9" t="s">
        <v>93</v>
      </c>
      <c r="E1200" s="9" t="s">
        <v>94</v>
      </c>
      <c r="F1200" s="11">
        <v>2</v>
      </c>
      <c r="G1200" s="10">
        <v>2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0">
        <v>2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49">
        <v>0</v>
      </c>
    </row>
    <row r="1201">
      <c r="A1201" s="23">
        <v>17347</v>
      </c>
      <c r="B1201" s="4" t="s">
        <v>1531</v>
      </c>
      <c r="C1201" s="4" t="s">
        <v>63</v>
      </c>
      <c r="D1201" s="4" t="s">
        <v>80</v>
      </c>
      <c r="E1201" s="4" t="s">
        <v>350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17359</v>
      </c>
      <c r="B1202" s="9" t="s">
        <v>1532</v>
      </c>
      <c r="C1202" s="9" t="s">
        <v>63</v>
      </c>
      <c r="D1202" s="9" t="s">
        <v>115</v>
      </c>
      <c r="E1202" s="9" t="s">
        <v>124</v>
      </c>
      <c r="F1202" s="11">
        <v>5</v>
      </c>
      <c r="G1202" s="12">
        <v>0</v>
      </c>
      <c r="H1202" s="12">
        <v>0</v>
      </c>
      <c r="I1202" s="12">
        <v>0</v>
      </c>
      <c r="J1202" s="10">
        <v>5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2">
        <v>0</v>
      </c>
      <c r="W1202" s="12">
        <v>0</v>
      </c>
      <c r="X1202" s="12">
        <v>0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5</v>
      </c>
      <c r="AK1202" s="13">
        <v>5</v>
      </c>
      <c r="AL1202" s="10">
        <v>5</v>
      </c>
      <c r="AM1202" s="10">
        <v>5</v>
      </c>
      <c r="AN1202" s="29">
        <v>0.44</v>
      </c>
    </row>
    <row r="1203">
      <c r="A1203" s="23">
        <v>17365</v>
      </c>
      <c r="B1203" s="4" t="s">
        <v>1533</v>
      </c>
      <c r="C1203" s="4" t="s">
        <v>63</v>
      </c>
      <c r="D1203" s="4" t="s">
        <v>76</v>
      </c>
      <c r="E1203" s="4" t="s">
        <v>83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17412</v>
      </c>
      <c r="B1204" s="9" t="s">
        <v>1534</v>
      </c>
      <c r="C1204" s="9" t="s">
        <v>141</v>
      </c>
      <c r="D1204" s="9" t="s">
        <v>1525</v>
      </c>
      <c r="E1204" s="9" t="s">
        <v>1535</v>
      </c>
      <c r="F1204" s="11">
        <v>2</v>
      </c>
      <c r="G1204" s="12">
        <v>0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0">
        <v>2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2">
        <v>0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0">
        <v>2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49">
        <v>0</v>
      </c>
    </row>
    <row r="1205">
      <c r="A1205" s="23">
        <v>17464</v>
      </c>
      <c r="B1205" s="4" t="s">
        <v>1536</v>
      </c>
      <c r="C1205" s="4" t="s">
        <v>63</v>
      </c>
      <c r="D1205" s="4" t="s">
        <v>76</v>
      </c>
      <c r="E1205" s="4" t="s">
        <v>163</v>
      </c>
      <c r="F1205" s="6">
        <v>2</v>
      </c>
      <c r="G1205" s="7">
        <v>0</v>
      </c>
      <c r="H1205" s="5">
        <v>2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7">
        <v>0</v>
      </c>
      <c r="W1205" s="5">
        <v>2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30">
        <v>0</v>
      </c>
    </row>
    <row r="1206">
      <c r="A1206" s="24">
        <v>17469</v>
      </c>
      <c r="B1206" s="9" t="s">
        <v>1537</v>
      </c>
      <c r="C1206" s="9" t="s">
        <v>141</v>
      </c>
      <c r="D1206" s="9" t="s">
        <v>356</v>
      </c>
      <c r="E1206" s="9" t="s">
        <v>1538</v>
      </c>
      <c r="F1206" s="11">
        <v>4</v>
      </c>
      <c r="G1206" s="12">
        <v>0</v>
      </c>
      <c r="H1206" s="12">
        <v>0</v>
      </c>
      <c r="I1206" s="10">
        <v>1</v>
      </c>
      <c r="J1206" s="10">
        <v>3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4</v>
      </c>
      <c r="V1206" s="12">
        <v>0</v>
      </c>
      <c r="W1206" s="12">
        <v>0</v>
      </c>
      <c r="X1206" s="10">
        <v>1</v>
      </c>
      <c r="Y1206" s="10">
        <v>3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2</v>
      </c>
      <c r="AM1206" s="10">
        <v>3</v>
      </c>
      <c r="AN1206" s="29">
        <v>1.04</v>
      </c>
    </row>
    <row r="1207">
      <c r="A1207" s="23">
        <v>17491</v>
      </c>
      <c r="B1207" s="4" t="s">
        <v>1539</v>
      </c>
      <c r="C1207" s="4" t="s">
        <v>171</v>
      </c>
      <c r="D1207" s="4" t="s">
        <v>172</v>
      </c>
      <c r="E1207" s="4" t="s">
        <v>184</v>
      </c>
      <c r="F1207" s="6">
        <v>2</v>
      </c>
      <c r="G1207" s="7">
        <v>0</v>
      </c>
      <c r="H1207" s="7">
        <v>0</v>
      </c>
      <c r="I1207" s="5">
        <v>1</v>
      </c>
      <c r="J1207" s="7">
        <v>0</v>
      </c>
      <c r="K1207" s="5">
        <v>1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5">
        <v>1</v>
      </c>
      <c r="Y1207" s="7">
        <v>0</v>
      </c>
      <c r="Z1207" s="5">
        <v>1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0.24</v>
      </c>
    </row>
    <row r="1208">
      <c r="A1208" s="24">
        <v>17492</v>
      </c>
      <c r="B1208" s="9" t="s">
        <v>1540</v>
      </c>
      <c r="C1208" s="9" t="s">
        <v>171</v>
      </c>
      <c r="D1208" s="9" t="s">
        <v>172</v>
      </c>
      <c r="E1208" s="9" t="s">
        <v>173</v>
      </c>
      <c r="F1208" s="11">
        <v>3</v>
      </c>
      <c r="G1208" s="10">
        <v>1</v>
      </c>
      <c r="H1208" s="12">
        <v>0</v>
      </c>
      <c r="I1208" s="12">
        <v>0</v>
      </c>
      <c r="J1208" s="10">
        <v>1</v>
      </c>
      <c r="K1208" s="12">
        <v>0</v>
      </c>
      <c r="L1208" s="10">
        <v>1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0">
        <v>1</v>
      </c>
      <c r="W1208" s="12">
        <v>0</v>
      </c>
      <c r="X1208" s="12">
        <v>0</v>
      </c>
      <c r="Y1208" s="10">
        <v>1</v>
      </c>
      <c r="Z1208" s="12">
        <v>0</v>
      </c>
      <c r="AA1208" s="10">
        <v>1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9">
        <v>0</v>
      </c>
    </row>
    <row r="1209">
      <c r="A1209" s="23">
        <v>17571</v>
      </c>
      <c r="B1209" s="4" t="s">
        <v>1541</v>
      </c>
      <c r="C1209" s="4" t="s">
        <v>171</v>
      </c>
      <c r="D1209" s="4" t="s">
        <v>172</v>
      </c>
      <c r="E1209" s="4" t="s">
        <v>173</v>
      </c>
      <c r="F1209" s="6">
        <v>5</v>
      </c>
      <c r="G1209" s="5">
        <v>2</v>
      </c>
      <c r="H1209" s="7">
        <v>0</v>
      </c>
      <c r="I1209" s="7">
        <v>0</v>
      </c>
      <c r="J1209" s="5">
        <v>1</v>
      </c>
      <c r="K1209" s="5">
        <v>1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5</v>
      </c>
      <c r="V1209" s="5">
        <v>2</v>
      </c>
      <c r="W1209" s="7">
        <v>0</v>
      </c>
      <c r="X1209" s="7">
        <v>0</v>
      </c>
      <c r="Y1209" s="5">
        <v>1</v>
      </c>
      <c r="Z1209" s="5">
        <v>1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1.25</v>
      </c>
      <c r="AL1209" s="5">
        <v>1</v>
      </c>
      <c r="AM1209" s="5">
        <v>2</v>
      </c>
      <c r="AN1209" s="28">
        <v>0.25</v>
      </c>
    </row>
    <row r="1210">
      <c r="A1210" s="24">
        <v>17572</v>
      </c>
      <c r="B1210" s="9" t="s">
        <v>1542</v>
      </c>
      <c r="C1210" s="9" t="s">
        <v>171</v>
      </c>
      <c r="D1210" s="9" t="s">
        <v>172</v>
      </c>
      <c r="E1210" s="9" t="s">
        <v>173</v>
      </c>
      <c r="F1210" s="11">
        <v>2</v>
      </c>
      <c r="G1210" s="12">
        <v>0</v>
      </c>
      <c r="H1210" s="12">
        <v>0</v>
      </c>
      <c r="I1210" s="10">
        <v>1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2">
        <v>0</v>
      </c>
      <c r="W1210" s="12">
        <v>0</v>
      </c>
      <c r="X1210" s="10">
        <v>1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17573</v>
      </c>
      <c r="B1211" s="4" t="s">
        <v>1543</v>
      </c>
      <c r="C1211" s="4" t="s">
        <v>171</v>
      </c>
      <c r="D1211" s="4" t="s">
        <v>189</v>
      </c>
      <c r="E1211" s="4" t="s">
        <v>210</v>
      </c>
      <c r="F1211" s="6">
        <v>9</v>
      </c>
      <c r="G1211" s="5">
        <v>1</v>
      </c>
      <c r="H1211" s="5">
        <v>1</v>
      </c>
      <c r="I1211" s="5">
        <v>4</v>
      </c>
      <c r="J1211" s="7">
        <v>0</v>
      </c>
      <c r="K1211" s="5">
        <v>3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9</v>
      </c>
      <c r="V1211" s="5">
        <v>1</v>
      </c>
      <c r="W1211" s="5">
        <v>1</v>
      </c>
      <c r="X1211" s="5">
        <v>4</v>
      </c>
      <c r="Y1211" s="7">
        <v>0</v>
      </c>
      <c r="Z1211" s="5">
        <v>3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2.25</v>
      </c>
      <c r="AL1211" s="5">
        <v>2</v>
      </c>
      <c r="AM1211" s="5">
        <v>4</v>
      </c>
      <c r="AN1211" s="28">
        <v>0.24</v>
      </c>
    </row>
    <row r="1212">
      <c r="A1212" s="24">
        <v>17575</v>
      </c>
      <c r="B1212" s="9" t="s">
        <v>1544</v>
      </c>
      <c r="C1212" s="9" t="s">
        <v>360</v>
      </c>
      <c r="D1212" s="9" t="s">
        <v>613</v>
      </c>
      <c r="E1212" s="9" t="s">
        <v>362</v>
      </c>
      <c r="F1212" s="11">
        <v>1</v>
      </c>
      <c r="G1212" s="12">
        <v>0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0.26</v>
      </c>
    </row>
    <row r="1213">
      <c r="A1213" s="23">
        <v>17580</v>
      </c>
      <c r="B1213" s="4" t="s">
        <v>1545</v>
      </c>
      <c r="C1213" s="4" t="s">
        <v>63</v>
      </c>
      <c r="D1213" s="4" t="s">
        <v>76</v>
      </c>
      <c r="E1213" s="4" t="s">
        <v>77</v>
      </c>
      <c r="F1213" s="6">
        <v>2</v>
      </c>
      <c r="G1213" s="7">
        <v>0</v>
      </c>
      <c r="H1213" s="7">
        <v>0</v>
      </c>
      <c r="I1213" s="5">
        <v>2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30">
        <v>0</v>
      </c>
    </row>
    <row r="1214">
      <c r="A1214" s="24">
        <v>17651</v>
      </c>
      <c r="B1214" s="9" t="s">
        <v>1546</v>
      </c>
      <c r="C1214" s="9" t="s">
        <v>63</v>
      </c>
      <c r="D1214" s="9" t="s">
        <v>90</v>
      </c>
      <c r="E1214" s="9" t="s">
        <v>538</v>
      </c>
      <c r="F1214" s="11">
        <v>6</v>
      </c>
      <c r="G1214" s="10">
        <v>1</v>
      </c>
      <c r="H1214" s="12">
        <v>0</v>
      </c>
      <c r="I1214" s="10">
        <v>4</v>
      </c>
      <c r="J1214" s="12">
        <v>0</v>
      </c>
      <c r="K1214" s="12">
        <v>0</v>
      </c>
      <c r="L1214" s="10">
        <v>1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3</v>
      </c>
      <c r="V1214" s="10">
        <v>1</v>
      </c>
      <c r="W1214" s="12">
        <v>0</v>
      </c>
      <c r="X1214" s="10">
        <v>1</v>
      </c>
      <c r="Y1214" s="12">
        <v>0</v>
      </c>
      <c r="Z1214" s="12">
        <v>0</v>
      </c>
      <c r="AA1214" s="10">
        <v>1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</v>
      </c>
      <c r="AL1214" s="10">
        <v>1</v>
      </c>
      <c r="AM1214" s="10">
        <v>4</v>
      </c>
      <c r="AN1214" s="49">
        <v>0</v>
      </c>
    </row>
    <row r="1215">
      <c r="A1215" s="23">
        <v>17697</v>
      </c>
      <c r="B1215" s="4" t="s">
        <v>1547</v>
      </c>
      <c r="C1215" s="4" t="s">
        <v>63</v>
      </c>
      <c r="D1215" s="4" t="s">
        <v>85</v>
      </c>
      <c r="E1215" s="4" t="s">
        <v>231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17705</v>
      </c>
      <c r="B1216" s="9" t="s">
        <v>1548</v>
      </c>
      <c r="C1216" s="9" t="s">
        <v>63</v>
      </c>
      <c r="D1216" s="9" t="s">
        <v>115</v>
      </c>
      <c r="E1216" s="9" t="s">
        <v>124</v>
      </c>
      <c r="F1216" s="11">
        <v>3</v>
      </c>
      <c r="G1216" s="10">
        <v>1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0">
        <v>1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1.5</v>
      </c>
      <c r="AL1216" s="10">
        <v>1</v>
      </c>
      <c r="AM1216" s="10">
        <v>2</v>
      </c>
      <c r="AN1216" s="29">
        <v>0.5</v>
      </c>
    </row>
    <row r="1217">
      <c r="A1217" s="23">
        <v>17706</v>
      </c>
      <c r="B1217" s="4" t="s">
        <v>1549</v>
      </c>
      <c r="C1217" s="4" t="s">
        <v>63</v>
      </c>
      <c r="D1217" s="4" t="s">
        <v>80</v>
      </c>
      <c r="E1217" s="4" t="s">
        <v>81</v>
      </c>
      <c r="F1217" s="6">
        <v>5</v>
      </c>
      <c r="G1217" s="5">
        <v>2</v>
      </c>
      <c r="H1217" s="5">
        <v>3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5</v>
      </c>
      <c r="V1217" s="5">
        <v>2</v>
      </c>
      <c r="W1217" s="5">
        <v>3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2.5</v>
      </c>
      <c r="AL1217" s="5">
        <v>2</v>
      </c>
      <c r="AM1217" s="5">
        <v>3</v>
      </c>
      <c r="AN1217" s="28">
        <v>1.25</v>
      </c>
    </row>
    <row r="1218">
      <c r="A1218" s="24">
        <v>17712</v>
      </c>
      <c r="B1218" s="9" t="s">
        <v>1550</v>
      </c>
      <c r="C1218" s="9" t="s">
        <v>63</v>
      </c>
      <c r="D1218" s="9" t="s">
        <v>73</v>
      </c>
      <c r="E1218" s="9" t="s">
        <v>445</v>
      </c>
      <c r="F1218" s="11">
        <v>1</v>
      </c>
      <c r="G1218" s="12">
        <v>0</v>
      </c>
      <c r="H1218" s="12">
        <v>0</v>
      </c>
      <c r="I1218" s="10">
        <v>1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0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17736</v>
      </c>
      <c r="B1219" s="4" t="s">
        <v>1551</v>
      </c>
      <c r="C1219" s="4" t="s">
        <v>595</v>
      </c>
      <c r="D1219" s="4" t="s">
        <v>362</v>
      </c>
      <c r="E1219" s="4" t="s">
        <v>855</v>
      </c>
      <c r="F1219" s="6">
        <v>2</v>
      </c>
      <c r="G1219" s="5">
        <v>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2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30">
        <v>0</v>
      </c>
    </row>
    <row r="1220">
      <c r="A1220" s="24">
        <v>17737</v>
      </c>
      <c r="B1220" s="9" t="s">
        <v>1552</v>
      </c>
      <c r="C1220" s="9" t="s">
        <v>63</v>
      </c>
      <c r="D1220" s="9" t="s">
        <v>90</v>
      </c>
      <c r="E1220" s="9" t="s">
        <v>538</v>
      </c>
      <c r="F1220" s="11">
        <v>6</v>
      </c>
      <c r="G1220" s="10">
        <v>2</v>
      </c>
      <c r="H1220" s="12">
        <v>0</v>
      </c>
      <c r="I1220" s="10">
        <v>1</v>
      </c>
      <c r="J1220" s="10">
        <v>2</v>
      </c>
      <c r="K1220" s="12">
        <v>0</v>
      </c>
      <c r="L1220" s="10">
        <v>1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6</v>
      </c>
      <c r="V1220" s="10">
        <v>2</v>
      </c>
      <c r="W1220" s="12">
        <v>0</v>
      </c>
      <c r="X1220" s="10">
        <v>1</v>
      </c>
      <c r="Y1220" s="10">
        <v>2</v>
      </c>
      <c r="Z1220" s="12">
        <v>0</v>
      </c>
      <c r="AA1220" s="10">
        <v>1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1.2</v>
      </c>
      <c r="AL1220" s="10">
        <v>1</v>
      </c>
      <c r="AM1220" s="10">
        <v>2</v>
      </c>
      <c r="AN1220" s="29">
        <v>0.5</v>
      </c>
    </row>
    <row r="1221">
      <c r="A1221" s="23">
        <v>17744</v>
      </c>
      <c r="B1221" s="4" t="s">
        <v>1553</v>
      </c>
      <c r="C1221" s="4" t="s">
        <v>63</v>
      </c>
      <c r="D1221" s="4" t="s">
        <v>76</v>
      </c>
      <c r="E1221" s="4" t="s">
        <v>234</v>
      </c>
      <c r="F1221" s="6">
        <v>1</v>
      </c>
      <c r="G1221" s="7">
        <v>0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0.24</v>
      </c>
    </row>
    <row r="1222">
      <c r="A1222" s="24">
        <v>17749</v>
      </c>
      <c r="B1222" s="9" t="s">
        <v>1554</v>
      </c>
      <c r="C1222" s="9" t="s">
        <v>360</v>
      </c>
      <c r="D1222" s="9" t="s">
        <v>1555</v>
      </c>
      <c r="E1222" s="9" t="s">
        <v>362</v>
      </c>
      <c r="F1222" s="11">
        <v>1</v>
      </c>
      <c r="G1222" s="12">
        <v>0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0.25</v>
      </c>
    </row>
    <row r="1223">
      <c r="A1223" s="23">
        <v>17753</v>
      </c>
      <c r="B1223" s="4" t="s">
        <v>1556</v>
      </c>
      <c r="C1223" s="4" t="s">
        <v>63</v>
      </c>
      <c r="D1223" s="4" t="s">
        <v>80</v>
      </c>
      <c r="E1223" s="4" t="s">
        <v>81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17767</v>
      </c>
      <c r="B1224" s="9" t="s">
        <v>1557</v>
      </c>
      <c r="C1224" s="9" t="s">
        <v>171</v>
      </c>
      <c r="D1224" s="9" t="s">
        <v>189</v>
      </c>
      <c r="E1224" s="9" t="s">
        <v>190</v>
      </c>
      <c r="F1224" s="11">
        <v>2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0">
        <v>1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2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0">
        <v>1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9">
        <v>0</v>
      </c>
    </row>
    <row r="1225">
      <c r="A1225" s="23">
        <v>17768</v>
      </c>
      <c r="B1225" s="4" t="s">
        <v>1558</v>
      </c>
      <c r="C1225" s="4" t="s">
        <v>63</v>
      </c>
      <c r="D1225" s="4" t="s">
        <v>93</v>
      </c>
      <c r="E1225" s="4" t="s">
        <v>759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0.24</v>
      </c>
    </row>
    <row r="1226">
      <c r="A1226" s="24">
        <v>17785</v>
      </c>
      <c r="B1226" s="9" t="s">
        <v>1559</v>
      </c>
      <c r="C1226" s="9" t="s">
        <v>360</v>
      </c>
      <c r="D1226" s="9" t="s">
        <v>821</v>
      </c>
      <c r="E1226" s="9" t="s">
        <v>362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0.25</v>
      </c>
    </row>
    <row r="1227">
      <c r="A1227" s="23">
        <v>17788</v>
      </c>
      <c r="B1227" s="4" t="s">
        <v>1560</v>
      </c>
      <c r="C1227" s="4" t="s">
        <v>63</v>
      </c>
      <c r="D1227" s="4" t="s">
        <v>73</v>
      </c>
      <c r="E1227" s="4" t="s">
        <v>445</v>
      </c>
      <c r="F1227" s="6">
        <v>2</v>
      </c>
      <c r="G1227" s="5">
        <v>1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5">
        <v>1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0.26</v>
      </c>
    </row>
    <row r="1228">
      <c r="A1228" s="24">
        <v>17804</v>
      </c>
      <c r="B1228" s="9" t="s">
        <v>1561</v>
      </c>
      <c r="C1228" s="9" t="s">
        <v>663</v>
      </c>
      <c r="D1228" s="9" t="s">
        <v>688</v>
      </c>
      <c r="E1228" s="9" t="s">
        <v>362</v>
      </c>
      <c r="F1228" s="11">
        <v>1</v>
      </c>
      <c r="G1228" s="12">
        <v>0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49">
        <v>0</v>
      </c>
    </row>
    <row r="1229">
      <c r="A1229" s="23">
        <v>17839</v>
      </c>
      <c r="B1229" s="4" t="s">
        <v>1562</v>
      </c>
      <c r="C1229" s="4" t="s">
        <v>605</v>
      </c>
      <c r="D1229" s="4" t="s">
        <v>1077</v>
      </c>
      <c r="E1229" s="4" t="s">
        <v>1563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30">
        <v>0</v>
      </c>
    </row>
    <row r="1230">
      <c r="A1230" s="24">
        <v>17845</v>
      </c>
      <c r="B1230" s="9" t="s">
        <v>1564</v>
      </c>
      <c r="C1230" s="9" t="s">
        <v>63</v>
      </c>
      <c r="D1230" s="9" t="s">
        <v>90</v>
      </c>
      <c r="E1230" s="9" t="s">
        <v>91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0.26</v>
      </c>
    </row>
    <row r="1231">
      <c r="A1231" s="23">
        <v>17876</v>
      </c>
      <c r="B1231" s="4" t="s">
        <v>1565</v>
      </c>
      <c r="C1231" s="4" t="s">
        <v>63</v>
      </c>
      <c r="D1231" s="4" t="s">
        <v>133</v>
      </c>
      <c r="E1231" s="4" t="s">
        <v>134</v>
      </c>
      <c r="F1231" s="6">
        <v>1</v>
      </c>
      <c r="G1231" s="7">
        <v>0</v>
      </c>
      <c r="H1231" s="7">
        <v>0</v>
      </c>
      <c r="I1231" s="7">
        <v>0</v>
      </c>
      <c r="J1231" s="7">
        <v>0</v>
      </c>
      <c r="K1231" s="5">
        <v>1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7">
        <v>0</v>
      </c>
      <c r="Y1231" s="7">
        <v>0</v>
      </c>
      <c r="Z1231" s="5">
        <v>1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17932</v>
      </c>
      <c r="B1232" s="9" t="s">
        <v>1566</v>
      </c>
      <c r="C1232" s="9" t="s">
        <v>171</v>
      </c>
      <c r="D1232" s="9" t="s">
        <v>439</v>
      </c>
      <c r="E1232" s="9" t="s">
        <v>1567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17933</v>
      </c>
      <c r="B1233" s="4" t="s">
        <v>1568</v>
      </c>
      <c r="C1233" s="4" t="s">
        <v>63</v>
      </c>
      <c r="D1233" s="4" t="s">
        <v>133</v>
      </c>
      <c r="E1233" s="4" t="s">
        <v>326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17954</v>
      </c>
      <c r="B1234" s="9" t="s">
        <v>1569</v>
      </c>
      <c r="C1234" s="9" t="s">
        <v>63</v>
      </c>
      <c r="D1234" s="9" t="s">
        <v>112</v>
      </c>
      <c r="E1234" s="9" t="s">
        <v>470</v>
      </c>
      <c r="F1234" s="11">
        <v>1</v>
      </c>
      <c r="G1234" s="12">
        <v>0</v>
      </c>
      <c r="H1234" s="10">
        <v>1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2">
        <v>0</v>
      </c>
      <c r="W1234" s="10">
        <v>1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0.37</v>
      </c>
    </row>
    <row r="1235">
      <c r="A1235" s="23">
        <v>17970</v>
      </c>
      <c r="B1235" s="4" t="s">
        <v>1570</v>
      </c>
      <c r="C1235" s="4" t="s">
        <v>63</v>
      </c>
      <c r="D1235" s="4" t="s">
        <v>133</v>
      </c>
      <c r="E1235" s="4" t="s">
        <v>134</v>
      </c>
      <c r="F1235" s="6">
        <v>3</v>
      </c>
      <c r="G1235" s="5">
        <v>1</v>
      </c>
      <c r="H1235" s="7">
        <v>0</v>
      </c>
      <c r="I1235" s="5">
        <v>2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1</v>
      </c>
      <c r="W1235" s="7">
        <v>0</v>
      </c>
      <c r="X1235" s="5">
        <v>1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30">
        <v>0</v>
      </c>
    </row>
    <row r="1236">
      <c r="A1236" s="24">
        <v>17998</v>
      </c>
      <c r="B1236" s="9" t="s">
        <v>1571</v>
      </c>
      <c r="C1236" s="9" t="s">
        <v>63</v>
      </c>
      <c r="D1236" s="9" t="s">
        <v>133</v>
      </c>
      <c r="E1236" s="9" t="s">
        <v>251</v>
      </c>
      <c r="F1236" s="11">
        <v>2</v>
      </c>
      <c r="G1236" s="10">
        <v>2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49">
        <v>0</v>
      </c>
    </row>
    <row r="1237">
      <c r="A1237" s="23">
        <v>18014</v>
      </c>
      <c r="B1237" s="4" t="s">
        <v>1572</v>
      </c>
      <c r="C1237" s="4" t="s">
        <v>63</v>
      </c>
      <c r="D1237" s="4" t="s">
        <v>67</v>
      </c>
      <c r="E1237" s="4" t="s">
        <v>71</v>
      </c>
      <c r="F1237" s="6">
        <v>1</v>
      </c>
      <c r="G1237" s="7">
        <v>0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0.22</v>
      </c>
    </row>
    <row r="1238">
      <c r="A1238" s="24">
        <v>18050</v>
      </c>
      <c r="B1238" s="9" t="s">
        <v>1573</v>
      </c>
      <c r="C1238" s="9" t="s">
        <v>63</v>
      </c>
      <c r="D1238" s="9" t="s">
        <v>76</v>
      </c>
      <c r="E1238" s="9" t="s">
        <v>163</v>
      </c>
      <c r="F1238" s="11">
        <v>1</v>
      </c>
      <c r="G1238" s="12">
        <v>0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18079</v>
      </c>
      <c r="B1239" s="4" t="s">
        <v>1574</v>
      </c>
      <c r="C1239" s="4" t="s">
        <v>171</v>
      </c>
      <c r="D1239" s="4" t="s">
        <v>189</v>
      </c>
      <c r="E1239" s="4" t="s">
        <v>190</v>
      </c>
      <c r="F1239" s="6">
        <v>3</v>
      </c>
      <c r="G1239" s="7">
        <v>0</v>
      </c>
      <c r="H1239" s="7">
        <v>0</v>
      </c>
      <c r="I1239" s="7">
        <v>0</v>
      </c>
      <c r="J1239" s="7">
        <v>0</v>
      </c>
      <c r="K1239" s="5">
        <v>3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7">
        <v>0</v>
      </c>
      <c r="W1239" s="7">
        <v>0</v>
      </c>
      <c r="X1239" s="7">
        <v>0</v>
      </c>
      <c r="Y1239" s="7">
        <v>0</v>
      </c>
      <c r="Z1239" s="5">
        <v>2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3</v>
      </c>
      <c r="AK1239" s="8">
        <v>3</v>
      </c>
      <c r="AL1239" s="5">
        <v>3</v>
      </c>
      <c r="AM1239" s="5">
        <v>3</v>
      </c>
      <c r="AN1239" s="30">
        <v>0</v>
      </c>
    </row>
    <row r="1240">
      <c r="A1240" s="24">
        <v>18090</v>
      </c>
      <c r="B1240" s="9" t="s">
        <v>1575</v>
      </c>
      <c r="C1240" s="9" t="s">
        <v>171</v>
      </c>
      <c r="D1240" s="9" t="s">
        <v>172</v>
      </c>
      <c r="E1240" s="9" t="s">
        <v>173</v>
      </c>
      <c r="F1240" s="11">
        <v>1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0">
        <v>1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0">
        <v>1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9">
        <v>0</v>
      </c>
    </row>
    <row r="1241">
      <c r="A1241" s="23">
        <v>18150</v>
      </c>
      <c r="B1241" s="4" t="s">
        <v>1576</v>
      </c>
      <c r="C1241" s="4" t="s">
        <v>141</v>
      </c>
      <c r="D1241" s="4" t="s">
        <v>253</v>
      </c>
      <c r="E1241" s="4" t="s">
        <v>254</v>
      </c>
      <c r="F1241" s="6">
        <v>3</v>
      </c>
      <c r="G1241" s="7">
        <v>0</v>
      </c>
      <c r="H1241" s="5">
        <v>1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</v>
      </c>
      <c r="V1241" s="7">
        <v>0</v>
      </c>
      <c r="W1241" s="5">
        <v>1</v>
      </c>
      <c r="X1241" s="7">
        <v>0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0.5</v>
      </c>
    </row>
    <row r="1242">
      <c r="A1242" s="24">
        <v>18232</v>
      </c>
      <c r="B1242" s="9" t="s">
        <v>1577</v>
      </c>
      <c r="C1242" s="9" t="s">
        <v>63</v>
      </c>
      <c r="D1242" s="9" t="s">
        <v>76</v>
      </c>
      <c r="E1242" s="9" t="s">
        <v>127</v>
      </c>
      <c r="F1242" s="11">
        <v>6</v>
      </c>
      <c r="G1242" s="12">
        <v>0</v>
      </c>
      <c r="H1242" s="10">
        <v>2</v>
      </c>
      <c r="I1242" s="10">
        <v>4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6</v>
      </c>
      <c r="V1242" s="12">
        <v>0</v>
      </c>
      <c r="W1242" s="10">
        <v>2</v>
      </c>
      <c r="X1242" s="10">
        <v>4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3</v>
      </c>
      <c r="AL1242" s="10">
        <v>3</v>
      </c>
      <c r="AM1242" s="10">
        <v>4</v>
      </c>
      <c r="AN1242" s="29">
        <v>1.44</v>
      </c>
    </row>
    <row r="1243">
      <c r="A1243" s="23">
        <v>18252</v>
      </c>
      <c r="B1243" s="4" t="s">
        <v>1578</v>
      </c>
      <c r="C1243" s="4" t="s">
        <v>63</v>
      </c>
      <c r="D1243" s="4" t="s">
        <v>85</v>
      </c>
      <c r="E1243" s="4" t="s">
        <v>147</v>
      </c>
      <c r="F1243" s="6">
        <v>16</v>
      </c>
      <c r="G1243" s="5">
        <v>3</v>
      </c>
      <c r="H1243" s="7">
        <v>0</v>
      </c>
      <c r="I1243" s="5">
        <v>3</v>
      </c>
      <c r="J1243" s="5">
        <v>10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13</v>
      </c>
      <c r="V1243" s="5">
        <v>3</v>
      </c>
      <c r="W1243" s="7">
        <v>0</v>
      </c>
      <c r="X1243" s="5">
        <v>1</v>
      </c>
      <c r="Y1243" s="5">
        <v>9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3.2</v>
      </c>
      <c r="AL1243" s="5">
        <v>2</v>
      </c>
      <c r="AM1243" s="5">
        <v>9</v>
      </c>
      <c r="AN1243" s="28">
        <v>2.5</v>
      </c>
    </row>
    <row r="1244">
      <c r="A1244" s="24">
        <v>18273</v>
      </c>
      <c r="B1244" s="9" t="s">
        <v>1579</v>
      </c>
      <c r="C1244" s="9" t="s">
        <v>63</v>
      </c>
      <c r="D1244" s="9" t="s">
        <v>115</v>
      </c>
      <c r="E1244" s="9" t="s">
        <v>116</v>
      </c>
      <c r="F1244" s="11">
        <v>1</v>
      </c>
      <c r="G1244" s="12">
        <v>0</v>
      </c>
      <c r="H1244" s="10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0">
        <v>1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18276</v>
      </c>
      <c r="B1245" s="4" t="s">
        <v>1580</v>
      </c>
      <c r="C1245" s="4" t="s">
        <v>663</v>
      </c>
      <c r="D1245" s="4" t="s">
        <v>676</v>
      </c>
      <c r="E1245" s="4" t="s">
        <v>362</v>
      </c>
      <c r="F1245" s="6">
        <v>1</v>
      </c>
      <c r="G1245" s="7">
        <v>0</v>
      </c>
      <c r="H1245" s="7">
        <v>0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18342</v>
      </c>
      <c r="B1246" s="9" t="s">
        <v>1581</v>
      </c>
      <c r="C1246" s="9" t="s">
        <v>141</v>
      </c>
      <c r="D1246" s="9" t="s">
        <v>797</v>
      </c>
      <c r="E1246" s="9" t="s">
        <v>362</v>
      </c>
      <c r="F1246" s="11">
        <v>3</v>
      </c>
      <c r="G1246" s="12">
        <v>0</v>
      </c>
      <c r="H1246" s="12">
        <v>0</v>
      </c>
      <c r="I1246" s="10">
        <v>3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2">
        <v>0</v>
      </c>
      <c r="W1246" s="12">
        <v>0</v>
      </c>
      <c r="X1246" s="10">
        <v>3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3</v>
      </c>
      <c r="AL1246" s="10">
        <v>3</v>
      </c>
      <c r="AM1246" s="10">
        <v>3</v>
      </c>
      <c r="AN1246" s="49">
        <v>0</v>
      </c>
    </row>
    <row r="1247">
      <c r="A1247" s="23">
        <v>18343</v>
      </c>
      <c r="B1247" s="4" t="s">
        <v>1582</v>
      </c>
      <c r="C1247" s="4" t="s">
        <v>141</v>
      </c>
      <c r="D1247" s="4" t="s">
        <v>371</v>
      </c>
      <c r="E1247" s="4" t="s">
        <v>372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18348</v>
      </c>
      <c r="B1248" s="9" t="s">
        <v>1583</v>
      </c>
      <c r="C1248" s="9" t="s">
        <v>141</v>
      </c>
      <c r="D1248" s="9" t="s">
        <v>142</v>
      </c>
      <c r="E1248" s="9" t="s">
        <v>458</v>
      </c>
      <c r="F1248" s="11">
        <v>2</v>
      </c>
      <c r="G1248" s="10">
        <v>2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0">
        <v>2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49">
        <v>0</v>
      </c>
    </row>
    <row r="1249">
      <c r="A1249" s="23">
        <v>18354</v>
      </c>
      <c r="B1249" s="4" t="s">
        <v>1584</v>
      </c>
      <c r="C1249" s="4" t="s">
        <v>141</v>
      </c>
      <c r="D1249" s="4" t="s">
        <v>1525</v>
      </c>
      <c r="E1249" s="4" t="s">
        <v>1535</v>
      </c>
      <c r="F1249" s="6">
        <v>1</v>
      </c>
      <c r="G1249" s="7">
        <v>0</v>
      </c>
      <c r="H1249" s="5">
        <v>1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5">
        <v>1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0.24</v>
      </c>
    </row>
    <row r="1250">
      <c r="A1250" s="24">
        <v>18425</v>
      </c>
      <c r="B1250" s="9" t="s">
        <v>1585</v>
      </c>
      <c r="C1250" s="9" t="s">
        <v>663</v>
      </c>
      <c r="D1250" s="9" t="s">
        <v>1048</v>
      </c>
      <c r="E1250" s="9" t="s">
        <v>362</v>
      </c>
      <c r="F1250" s="11">
        <v>4</v>
      </c>
      <c r="G1250" s="12">
        <v>0</v>
      </c>
      <c r="H1250" s="12">
        <v>0</v>
      </c>
      <c r="I1250" s="10">
        <v>1</v>
      </c>
      <c r="J1250" s="10">
        <v>3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3</v>
      </c>
      <c r="V1250" s="12">
        <v>0</v>
      </c>
      <c r="W1250" s="12">
        <v>0</v>
      </c>
      <c r="X1250" s="10">
        <v>1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</v>
      </c>
      <c r="AL1250" s="10">
        <v>2</v>
      </c>
      <c r="AM1250" s="10">
        <v>3</v>
      </c>
      <c r="AN1250" s="29">
        <v>0.52</v>
      </c>
    </row>
    <row r="1251">
      <c r="A1251" s="23">
        <v>18434</v>
      </c>
      <c r="B1251" s="4" t="s">
        <v>1586</v>
      </c>
      <c r="C1251" s="4" t="s">
        <v>171</v>
      </c>
      <c r="D1251" s="4" t="s">
        <v>172</v>
      </c>
      <c r="E1251" s="4" t="s">
        <v>761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18459</v>
      </c>
      <c r="B1252" s="9" t="s">
        <v>1587</v>
      </c>
      <c r="C1252" s="9" t="s">
        <v>171</v>
      </c>
      <c r="D1252" s="9" t="s">
        <v>189</v>
      </c>
      <c r="E1252" s="9" t="s">
        <v>1376</v>
      </c>
      <c r="F1252" s="11">
        <v>1</v>
      </c>
      <c r="G1252" s="12">
        <v>0</v>
      </c>
      <c r="H1252" s="12">
        <v>0</v>
      </c>
      <c r="I1252" s="12">
        <v>0</v>
      </c>
      <c r="J1252" s="12">
        <v>0</v>
      </c>
      <c r="K1252" s="10">
        <v>1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2">
        <v>0</v>
      </c>
      <c r="Y1252" s="12">
        <v>0</v>
      </c>
      <c r="Z1252" s="10">
        <v>1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9">
        <v>0</v>
      </c>
    </row>
    <row r="1253">
      <c r="A1253" s="23">
        <v>18460</v>
      </c>
      <c r="B1253" s="4" t="s">
        <v>1588</v>
      </c>
      <c r="C1253" s="4" t="s">
        <v>171</v>
      </c>
      <c r="D1253" s="4" t="s">
        <v>189</v>
      </c>
      <c r="E1253" s="4" t="s">
        <v>190</v>
      </c>
      <c r="F1253" s="6">
        <v>3</v>
      </c>
      <c r="G1253" s="7">
        <v>0</v>
      </c>
      <c r="H1253" s="7">
        <v>0</v>
      </c>
      <c r="I1253" s="5">
        <v>1</v>
      </c>
      <c r="J1253" s="7">
        <v>0</v>
      </c>
      <c r="K1253" s="5">
        <v>2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3</v>
      </c>
      <c r="V1253" s="7">
        <v>0</v>
      </c>
      <c r="W1253" s="7">
        <v>0</v>
      </c>
      <c r="X1253" s="5">
        <v>1</v>
      </c>
      <c r="Y1253" s="7">
        <v>0</v>
      </c>
      <c r="Z1253" s="5">
        <v>2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1.5</v>
      </c>
      <c r="AL1253" s="5">
        <v>1</v>
      </c>
      <c r="AM1253" s="5">
        <v>2</v>
      </c>
      <c r="AN1253" s="30">
        <v>0</v>
      </c>
    </row>
    <row r="1254">
      <c r="A1254" s="24">
        <v>18487</v>
      </c>
      <c r="B1254" s="9" t="s">
        <v>1589</v>
      </c>
      <c r="C1254" s="9" t="s">
        <v>171</v>
      </c>
      <c r="D1254" s="9" t="s">
        <v>189</v>
      </c>
      <c r="E1254" s="9" t="s">
        <v>200</v>
      </c>
      <c r="F1254" s="11">
        <v>6</v>
      </c>
      <c r="G1254" s="10">
        <v>2</v>
      </c>
      <c r="H1254" s="12">
        <v>0</v>
      </c>
      <c r="I1254" s="10">
        <v>1</v>
      </c>
      <c r="J1254" s="12">
        <v>0</v>
      </c>
      <c r="K1254" s="10">
        <v>3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5</v>
      </c>
      <c r="V1254" s="10">
        <v>2</v>
      </c>
      <c r="W1254" s="12">
        <v>0</v>
      </c>
      <c r="X1254" s="10">
        <v>1</v>
      </c>
      <c r="Y1254" s="12">
        <v>0</v>
      </c>
      <c r="Z1254" s="10">
        <v>2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</v>
      </c>
      <c r="AL1254" s="10">
        <v>2</v>
      </c>
      <c r="AM1254" s="10">
        <v>3</v>
      </c>
      <c r="AN1254" s="49">
        <v>0</v>
      </c>
    </row>
    <row r="1255">
      <c r="A1255" s="23">
        <v>18489</v>
      </c>
      <c r="B1255" s="4" t="s">
        <v>1590</v>
      </c>
      <c r="C1255" s="4" t="s">
        <v>141</v>
      </c>
      <c r="D1255" s="4" t="s">
        <v>356</v>
      </c>
      <c r="E1255" s="4" t="s">
        <v>1591</v>
      </c>
      <c r="F1255" s="6">
        <v>2</v>
      </c>
      <c r="G1255" s="7">
        <v>0</v>
      </c>
      <c r="H1255" s="5">
        <v>2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5">
        <v>2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28">
        <v>0.5</v>
      </c>
    </row>
    <row r="1256">
      <c r="A1256" s="24">
        <v>18510</v>
      </c>
      <c r="B1256" s="9" t="s">
        <v>1592</v>
      </c>
      <c r="C1256" s="9" t="s">
        <v>63</v>
      </c>
      <c r="D1256" s="9" t="s">
        <v>133</v>
      </c>
      <c r="E1256" s="9" t="s">
        <v>134</v>
      </c>
      <c r="F1256" s="11">
        <v>1</v>
      </c>
      <c r="G1256" s="12">
        <v>0</v>
      </c>
      <c r="H1256" s="10">
        <v>1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0">
        <v>1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0.36</v>
      </c>
    </row>
    <row r="1257">
      <c r="A1257" s="23">
        <v>18542</v>
      </c>
      <c r="B1257" s="4" t="s">
        <v>1593</v>
      </c>
      <c r="C1257" s="4" t="s">
        <v>63</v>
      </c>
      <c r="D1257" s="4" t="s">
        <v>115</v>
      </c>
      <c r="E1257" s="4" t="s">
        <v>222</v>
      </c>
      <c r="F1257" s="6">
        <v>3</v>
      </c>
      <c r="G1257" s="5">
        <v>1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5">
        <v>1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1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5">
        <v>1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0.75</v>
      </c>
    </row>
    <row r="1258">
      <c r="A1258" s="24">
        <v>18561</v>
      </c>
      <c r="B1258" s="9" t="s">
        <v>1594</v>
      </c>
      <c r="C1258" s="9" t="s">
        <v>63</v>
      </c>
      <c r="D1258" s="9" t="s">
        <v>93</v>
      </c>
      <c r="E1258" s="9" t="s">
        <v>94</v>
      </c>
      <c r="F1258" s="11">
        <v>4</v>
      </c>
      <c r="G1258" s="10">
        <v>3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0">
        <v>2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</v>
      </c>
      <c r="AL1258" s="10">
        <v>2</v>
      </c>
      <c r="AM1258" s="10">
        <v>3</v>
      </c>
      <c r="AN1258" s="29">
        <v>0.25</v>
      </c>
    </row>
    <row r="1259">
      <c r="A1259" s="23">
        <v>18597</v>
      </c>
      <c r="B1259" s="4" t="s">
        <v>1595</v>
      </c>
      <c r="C1259" s="4" t="s">
        <v>63</v>
      </c>
      <c r="D1259" s="4" t="s">
        <v>115</v>
      </c>
      <c r="E1259" s="4" t="s">
        <v>116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30">
        <v>0</v>
      </c>
    </row>
    <row r="1260">
      <c r="A1260" s="24">
        <v>18845</v>
      </c>
      <c r="B1260" s="9" t="s">
        <v>1596</v>
      </c>
      <c r="C1260" s="9" t="s">
        <v>63</v>
      </c>
      <c r="D1260" s="9" t="s">
        <v>67</v>
      </c>
      <c r="E1260" s="9" t="s">
        <v>71</v>
      </c>
      <c r="F1260" s="11">
        <v>1</v>
      </c>
      <c r="G1260" s="12">
        <v>0</v>
      </c>
      <c r="H1260" s="10">
        <v>1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0">
        <v>1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18850</v>
      </c>
      <c r="B1261" s="4" t="s">
        <v>1597</v>
      </c>
      <c r="C1261" s="4" t="s">
        <v>663</v>
      </c>
      <c r="D1261" s="4" t="s">
        <v>830</v>
      </c>
      <c r="E1261" s="4" t="s">
        <v>362</v>
      </c>
      <c r="F1261" s="6">
        <v>4</v>
      </c>
      <c r="G1261" s="7">
        <v>0</v>
      </c>
      <c r="H1261" s="5">
        <v>3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</v>
      </c>
      <c r="V1261" s="7">
        <v>0</v>
      </c>
      <c r="W1261" s="5">
        <v>3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</v>
      </c>
      <c r="AL1261" s="5">
        <v>2</v>
      </c>
      <c r="AM1261" s="5">
        <v>3</v>
      </c>
      <c r="AN1261" s="28">
        <v>1</v>
      </c>
    </row>
    <row r="1262">
      <c r="A1262" s="24">
        <v>18878</v>
      </c>
      <c r="B1262" s="9" t="s">
        <v>1598</v>
      </c>
      <c r="C1262" s="9" t="s">
        <v>141</v>
      </c>
      <c r="D1262" s="9" t="s">
        <v>371</v>
      </c>
      <c r="E1262" s="9" t="s">
        <v>382</v>
      </c>
      <c r="F1262" s="11">
        <v>10</v>
      </c>
      <c r="G1262" s="12">
        <v>0</v>
      </c>
      <c r="H1262" s="12">
        <v>0</v>
      </c>
      <c r="I1262" s="10">
        <v>2</v>
      </c>
      <c r="J1262" s="10">
        <v>8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4</v>
      </c>
      <c r="V1262" s="12">
        <v>0</v>
      </c>
      <c r="W1262" s="12">
        <v>0</v>
      </c>
      <c r="X1262" s="10">
        <v>2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2.5</v>
      </c>
      <c r="AL1262" s="10">
        <v>1</v>
      </c>
      <c r="AM1262" s="10">
        <v>7</v>
      </c>
      <c r="AN1262" s="29">
        <v>0.75</v>
      </c>
    </row>
    <row r="1263">
      <c r="A1263" s="23">
        <v>19034</v>
      </c>
      <c r="B1263" s="4" t="s">
        <v>1599</v>
      </c>
      <c r="C1263" s="4" t="s">
        <v>663</v>
      </c>
      <c r="D1263" s="4" t="s">
        <v>830</v>
      </c>
      <c r="E1263" s="4" t="s">
        <v>362</v>
      </c>
      <c r="F1263" s="6">
        <v>1</v>
      </c>
      <c r="G1263" s="7">
        <v>0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30">
        <v>0</v>
      </c>
    </row>
    <row r="1264">
      <c r="A1264" s="24">
        <v>19122</v>
      </c>
      <c r="B1264" s="9" t="s">
        <v>1600</v>
      </c>
      <c r="C1264" s="9" t="s">
        <v>63</v>
      </c>
      <c r="D1264" s="9" t="s">
        <v>76</v>
      </c>
      <c r="E1264" s="9" t="s">
        <v>127</v>
      </c>
      <c r="F1264" s="11">
        <v>1</v>
      </c>
      <c r="G1264" s="12">
        <v>0</v>
      </c>
      <c r="H1264" s="12">
        <v>0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0.25</v>
      </c>
    </row>
    <row r="1265">
      <c r="A1265" s="23">
        <v>19124</v>
      </c>
      <c r="B1265" s="4" t="s">
        <v>1601</v>
      </c>
      <c r="C1265" s="4" t="s">
        <v>63</v>
      </c>
      <c r="D1265" s="4" t="s">
        <v>76</v>
      </c>
      <c r="E1265" s="4" t="s">
        <v>83</v>
      </c>
      <c r="F1265" s="6">
        <v>1</v>
      </c>
      <c r="G1265" s="7">
        <v>0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7">
        <v>0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0.25</v>
      </c>
    </row>
    <row r="1266">
      <c r="A1266" s="24">
        <v>19125</v>
      </c>
      <c r="B1266" s="9" t="s">
        <v>1602</v>
      </c>
      <c r="C1266" s="9" t="s">
        <v>63</v>
      </c>
      <c r="D1266" s="9" t="s">
        <v>76</v>
      </c>
      <c r="E1266" s="9" t="s">
        <v>83</v>
      </c>
      <c r="F1266" s="11">
        <v>1</v>
      </c>
      <c r="G1266" s="12">
        <v>0</v>
      </c>
      <c r="H1266" s="12">
        <v>0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19128</v>
      </c>
      <c r="B1267" s="4" t="s">
        <v>1603</v>
      </c>
      <c r="C1267" s="4" t="s">
        <v>63</v>
      </c>
      <c r="D1267" s="4" t="s">
        <v>76</v>
      </c>
      <c r="E1267" s="4" t="s">
        <v>83</v>
      </c>
      <c r="F1267" s="6">
        <v>1</v>
      </c>
      <c r="G1267" s="7">
        <v>0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19131</v>
      </c>
      <c r="B1268" s="9" t="s">
        <v>1604</v>
      </c>
      <c r="C1268" s="9" t="s">
        <v>63</v>
      </c>
      <c r="D1268" s="9" t="s">
        <v>76</v>
      </c>
      <c r="E1268" s="9" t="s">
        <v>163</v>
      </c>
      <c r="F1268" s="11">
        <v>1</v>
      </c>
      <c r="G1268" s="12">
        <v>0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19192</v>
      </c>
      <c r="B1269" s="4" t="s">
        <v>1605</v>
      </c>
      <c r="C1269" s="4" t="s">
        <v>141</v>
      </c>
      <c r="D1269" s="4" t="s">
        <v>668</v>
      </c>
      <c r="E1269" s="4" t="s">
        <v>669</v>
      </c>
      <c r="F1269" s="6">
        <v>2</v>
      </c>
      <c r="G1269" s="7">
        <v>0</v>
      </c>
      <c r="H1269" s="7">
        <v>0</v>
      </c>
      <c r="I1269" s="5">
        <v>2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7">
        <v>0</v>
      </c>
      <c r="W1269" s="7">
        <v>0</v>
      </c>
      <c r="X1269" s="5">
        <v>2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0.48</v>
      </c>
    </row>
    <row r="1270">
      <c r="A1270" s="24">
        <v>19204</v>
      </c>
      <c r="B1270" s="9" t="s">
        <v>1606</v>
      </c>
      <c r="C1270" s="9" t="s">
        <v>63</v>
      </c>
      <c r="D1270" s="9" t="s">
        <v>90</v>
      </c>
      <c r="E1270" s="9" t="s">
        <v>91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19226</v>
      </c>
      <c r="B1271" s="4" t="s">
        <v>1607</v>
      </c>
      <c r="C1271" s="4" t="s">
        <v>63</v>
      </c>
      <c r="D1271" s="4" t="s">
        <v>67</v>
      </c>
      <c r="E1271" s="4" t="s">
        <v>71</v>
      </c>
      <c r="F1271" s="6">
        <v>1</v>
      </c>
      <c r="G1271" s="7">
        <v>0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19283</v>
      </c>
      <c r="B1272" s="9" t="s">
        <v>1608</v>
      </c>
      <c r="C1272" s="9" t="s">
        <v>595</v>
      </c>
      <c r="D1272" s="9" t="s">
        <v>596</v>
      </c>
      <c r="E1272" s="9" t="s">
        <v>1609</v>
      </c>
      <c r="F1272" s="11">
        <v>2</v>
      </c>
      <c r="G1272" s="12">
        <v>0</v>
      </c>
      <c r="H1272" s="12">
        <v>0</v>
      </c>
      <c r="I1272" s="10">
        <v>2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2</v>
      </c>
      <c r="V1272" s="12">
        <v>0</v>
      </c>
      <c r="W1272" s="12">
        <v>0</v>
      </c>
      <c r="X1272" s="10">
        <v>2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49">
        <v>0</v>
      </c>
    </row>
    <row r="1273">
      <c r="A1273" s="23">
        <v>19308</v>
      </c>
      <c r="B1273" s="4" t="s">
        <v>1610</v>
      </c>
      <c r="C1273" s="4" t="s">
        <v>63</v>
      </c>
      <c r="D1273" s="4" t="s">
        <v>115</v>
      </c>
      <c r="E1273" s="4" t="s">
        <v>116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0">
        <v>0</v>
      </c>
    </row>
    <row r="1274">
      <c r="A1274" s="24">
        <v>19376</v>
      </c>
      <c r="B1274" s="9" t="s">
        <v>1611</v>
      </c>
      <c r="C1274" s="9" t="s">
        <v>63</v>
      </c>
      <c r="D1274" s="9" t="s">
        <v>115</v>
      </c>
      <c r="E1274" s="9" t="s">
        <v>118</v>
      </c>
      <c r="F1274" s="11">
        <v>2</v>
      </c>
      <c r="G1274" s="12">
        <v>0</v>
      </c>
      <c r="H1274" s="10">
        <v>2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0">
        <v>2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29">
        <v>0.5</v>
      </c>
    </row>
    <row r="1275">
      <c r="A1275" s="23">
        <v>19418</v>
      </c>
      <c r="B1275" s="4" t="s">
        <v>1612</v>
      </c>
      <c r="C1275" s="4" t="s">
        <v>63</v>
      </c>
      <c r="D1275" s="4" t="s">
        <v>115</v>
      </c>
      <c r="E1275" s="4" t="s">
        <v>149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19422</v>
      </c>
      <c r="B1276" s="9" t="s">
        <v>1613</v>
      </c>
      <c r="C1276" s="9" t="s">
        <v>63</v>
      </c>
      <c r="D1276" s="9" t="s">
        <v>103</v>
      </c>
      <c r="E1276" s="9" t="s">
        <v>1003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19424</v>
      </c>
      <c r="B1277" s="4" t="s">
        <v>1614</v>
      </c>
      <c r="C1277" s="4" t="s">
        <v>63</v>
      </c>
      <c r="D1277" s="4" t="s">
        <v>103</v>
      </c>
      <c r="E1277" s="4" t="s">
        <v>1003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48">
        <v>19427</v>
      </c>
      <c r="B1278" s="42" t="s">
        <v>1615</v>
      </c>
      <c r="C1278" s="42" t="s">
        <v>63</v>
      </c>
      <c r="D1278" s="42" t="s">
        <v>93</v>
      </c>
      <c r="E1278" s="42" t="s">
        <v>94</v>
      </c>
      <c r="F1278" s="43">
        <v>1</v>
      </c>
      <c r="G1278" s="44">
        <v>0</v>
      </c>
      <c r="H1278" s="44">
        <v>0</v>
      </c>
      <c r="I1278" s="44">
        <v>0</v>
      </c>
      <c r="J1278" s="45">
        <v>1</v>
      </c>
      <c r="K1278" s="44">
        <v>0</v>
      </c>
      <c r="L1278" s="44">
        <v>0</v>
      </c>
      <c r="M1278" s="44">
        <v>0</v>
      </c>
      <c r="N1278" s="44">
        <v>0</v>
      </c>
      <c r="O1278" s="44">
        <v>0</v>
      </c>
      <c r="P1278" s="44">
        <v>0</v>
      </c>
      <c r="Q1278" s="44">
        <v>0</v>
      </c>
      <c r="R1278" s="44">
        <v>0</v>
      </c>
      <c r="S1278" s="44">
        <v>0</v>
      </c>
      <c r="T1278" s="51">
        <v>0</v>
      </c>
      <c r="U1278" s="43">
        <v>1</v>
      </c>
      <c r="V1278" s="44">
        <v>0</v>
      </c>
      <c r="W1278" s="44">
        <v>0</v>
      </c>
      <c r="X1278" s="44">
        <v>0</v>
      </c>
      <c r="Y1278" s="45">
        <v>1</v>
      </c>
      <c r="Z1278" s="44">
        <v>0</v>
      </c>
      <c r="AA1278" s="44">
        <v>0</v>
      </c>
      <c r="AB1278" s="44">
        <v>0</v>
      </c>
      <c r="AC1278" s="44">
        <v>0</v>
      </c>
      <c r="AD1278" s="44">
        <v>0</v>
      </c>
      <c r="AE1278" s="44">
        <v>0</v>
      </c>
      <c r="AF1278" s="44">
        <v>0</v>
      </c>
      <c r="AG1278" s="44">
        <v>0</v>
      </c>
      <c r="AH1278" s="44">
        <v>0</v>
      </c>
      <c r="AI1278" s="44">
        <v>0</v>
      </c>
      <c r="AJ1278" s="45">
        <v>1</v>
      </c>
      <c r="AK1278" s="46">
        <v>1</v>
      </c>
      <c r="AL1278" s="45">
        <v>1</v>
      </c>
      <c r="AM1278" s="45">
        <v>1</v>
      </c>
      <c r="AN1278" s="50">
        <v>0.25</v>
      </c>
    </row>
    <row r="1280">
      <c r="A1280" s="52" t="s">
        <v>0</v>
      </c>
      <c r="B1280" s="52" t="s">
        <v>0</v>
      </c>
      <c r="C1280" s="52" t="s">
        <v>0</v>
      </c>
      <c r="D1280" s="52" t="s">
        <v>0</v>
      </c>
      <c r="E1280" s="53" t="s">
        <v>56</v>
      </c>
      <c r="F1280" s="39">
        <f>SUM(F3:F1278)</f>
      </c>
      <c r="G1280" s="38">
        <f>SUM(G3:G1278)</f>
      </c>
      <c r="H1280" s="38">
        <f>SUM(H3:H1278)</f>
      </c>
      <c r="I1280" s="38">
        <f>SUM(I3:I1278)</f>
      </c>
      <c r="J1280" s="38">
        <f>SUM(J3:J1278)</f>
      </c>
      <c r="K1280" s="38">
        <f>SUM(K3:K1278)</f>
      </c>
      <c r="L1280" s="38">
        <f>SUM(L3:L1278)</f>
      </c>
      <c r="M1280" s="38">
        <f>SUM(M3:M1278)</f>
      </c>
      <c r="N1280" s="38">
        <f>SUM(N3:N1278)</f>
      </c>
      <c r="O1280" s="38">
        <f>SUM(O3:O1278)</f>
      </c>
      <c r="P1280" s="38">
        <f>SUM(P3:P1278)</f>
      </c>
      <c r="Q1280" s="38">
        <f>SUM(Q3:Q1278)</f>
      </c>
      <c r="R1280" s="38">
        <f>SUM(R3:R1278)</f>
      </c>
      <c r="S1280" s="38">
        <f>SUM(S3:S1278)</f>
      </c>
      <c r="T1280" s="38">
        <f>SUM(T3:T1278)</f>
      </c>
      <c r="U1280" s="39">
        <f>SUM(U3:U1278)</f>
      </c>
      <c r="V1280" s="38">
        <f>SUM(V3:V1278)</f>
      </c>
      <c r="W1280" s="38">
        <f>SUM(W3:W1278)</f>
      </c>
      <c r="X1280" s="38">
        <f>SUM(X3:X1278)</f>
      </c>
      <c r="Y1280" s="38">
        <f>SUM(Y3:Y1278)</f>
      </c>
      <c r="Z1280" s="38">
        <f>SUM(Z3:Z1278)</f>
      </c>
      <c r="AA1280" s="38">
        <f>SUM(AA3:AA1278)</f>
      </c>
      <c r="AB1280" s="38">
        <f>SUM(AB3:AB1278)</f>
      </c>
      <c r="AC1280" s="38">
        <f>SUM(AC3:AC1278)</f>
      </c>
      <c r="AD1280" s="38">
        <f>SUM(AD3:AD1278)</f>
      </c>
      <c r="AE1280" s="38">
        <f>SUM(AE3:AE1278)</f>
      </c>
      <c r="AF1280" s="38">
        <f>SUM(AF3:AF1278)</f>
      </c>
      <c r="AG1280" s="38">
        <f>SUM(AG3:AG1278)</f>
      </c>
      <c r="AH1280" s="38">
        <f>SUM(AH3:AH1278)</f>
      </c>
      <c r="AI1280" s="38">
        <f>SUM(AI3:AI1278)</f>
      </c>
      <c r="AJ1280" s="38">
        <f>MIN(AJ3:AJ1278)</f>
      </c>
      <c r="AK1280" s="38">
        <f>AVERAGE(AK3:AK1278)</f>
      </c>
      <c r="AL1280" s="38">
        <f>MEDIAN(AL3:AL1278)</f>
      </c>
      <c r="AM1280" s="38">
        <f>Max(AM3:AM1278)</f>
      </c>
      <c r="AN1280" s="40">
        <f>SUM(AN3:AN1278)</f>
      </c>
    </row>
  </sheetData>
  <autoFilter ref="A2:AN1278"/>
  <mergeCells>
    <mergeCell ref="A1:E1"/>
    <mergeCell ref="F1:T1"/>
    <mergeCell ref="U1:AI1"/>
    <mergeCell ref="AJ1:AN1"/>
    <mergeCell ref="A1280:D128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1616</v>
      </c>
      <c r="B1" s="55" t="s">
        <v>1617</v>
      </c>
    </row>
    <row r="2">
      <c r="A2" s="54" t="s">
        <v>1618</v>
      </c>
      <c r="B2" s="55" t="s">
        <v>1619</v>
      </c>
    </row>
    <row r="3">
      <c r="A3" s="1"/>
      <c r="B3" s="1"/>
    </row>
    <row r="4">
      <c r="A4" s="54" t="s">
        <v>1620</v>
      </c>
      <c r="B4" s="55" t="s">
        <v>1621</v>
      </c>
    </row>
    <row r="5">
      <c r="A5" s="54" t="s">
        <v>1622</v>
      </c>
      <c r="B5" s="55" t="s">
        <v>1623</v>
      </c>
    </row>
    <row r="6">
      <c r="A6" s="54" t="s">
        <v>1624</v>
      </c>
      <c r="B6" s="55"/>
    </row>
    <row r="7">
      <c r="A7" s="54" t="s">
        <v>1625</v>
      </c>
      <c r="B7" s="55"/>
    </row>
    <row r="8">
      <c r="A8" s="54" t="s">
        <v>1626</v>
      </c>
      <c r="B8" s="55" t="s">
        <v>1627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1628</v>
      </c>
      <c r="B12" s="55" t="s">
        <v>1629</v>
      </c>
    </row>
    <row r="13">
      <c r="A13" s="54" t="s">
        <v>1630</v>
      </c>
      <c r="B13" s="55" t="s">
        <v>1631</v>
      </c>
    </row>
    <row r="14">
      <c r="A14" s="54" t="s">
        <v>1632</v>
      </c>
      <c r="B14" s="55" t="s">
        <v>1633</v>
      </c>
    </row>
    <row r="15">
      <c r="A15" s="54" t="s">
        <v>1634</v>
      </c>
      <c r="B15" s="55" t="s">
        <v>1635</v>
      </c>
    </row>
    <row r="16">
      <c r="A16" s="54" t="s">
        <v>1636</v>
      </c>
      <c r="B16" s="55" t="s">
        <v>1637</v>
      </c>
    </row>
  </sheetData>
  <headerFooter/>
</worksheet>
</file>