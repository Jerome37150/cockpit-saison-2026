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Establishment!$A$2:$AN$1083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<sst xmlns="http://schemas.openxmlformats.org/spreadsheetml/2006/main" count="1436" uniqueCount="1436">
  <si>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</si>
  <si>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</si>
  <si>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</si>
  <si>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</si>
  <si>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</si>
  <si>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</si>
  <si>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</si>
  <si>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</si>
  <si>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</si>
  <si>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</si>
  <si>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</si>
  <si>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</si>
  <si>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</si>
  <si>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</si>
  <si>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</si>
  <si>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</si>
  <si>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</si>
  <si>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</si>
  <si>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</si>
  <si>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</si>
  <si>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</si>
  <si>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</si>
  <si>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</si>
  <si>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</si>
  <si>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</si>
  <si>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</si>
  <si>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</si>
  <si>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</si>
  <si>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</si>
  <si>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</si>
  <si>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</si>
  <si>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</si>
  <si>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</si>
  <si>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</si>
  <si>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</si>
  <si>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</si>
  <si>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</si>
  <si>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</si>
  <si>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</si>
  <si>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</si>
  <si>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</si>
  <si>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</si>
  <si>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</si>
  <si>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</si>
  <si>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</si>
  <si>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</si>
  <si>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</si>
  <si>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</si>
  <si>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</si>
  <si>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</si>
  <si>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</si>
  <si>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</si>
  <si>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</si>
  <si>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</si>
  <si>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</si>
  <si>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</si>
  <si>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</si>
  <si>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</si>
  <si>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PPC CampPilot - StayFree-Vanlife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</si>
  <si>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</si>
  <si>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</si>
  <si>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</si>
  <si>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</si>
  <si>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</si>
  <si>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</si>
  <si>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</si>
  <si>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</si>
  <si>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</si>
  <si>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</si>
  <si>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</si>
  <si>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</si>
  <si>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</si>
  <si>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</si>
  <si>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</si>
  <si>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</si>
  <si>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</si>
  <si>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</si>
  <si>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</si>
  <si>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Camping Sunêlia Ma Prairie</t>
  </si>
  <si>
    <t>Pyrénées-Orientales</t>
  </si>
  <si>
    <t>Camping L'Ardéchois</t>
  </si>
  <si>
    <t>Auvergne-Rhône-Alpes</t>
  </si>
  <si>
    <t>Ardèche</t>
  </si>
  <si>
    <t>Sites et Paysages Les Pinèdes</t>
  </si>
  <si>
    <t>Provence-Alpes-Côte d'Azur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</si>
  <si>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</si>
  <si>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</si>
  <si>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</si>
  <si>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</si>
  <si>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</si>
  <si>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</si>
  <si>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</si>
  <si>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</si>
  <si>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</si>
  <si>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</si>
  <si>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</si>
  <si>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</si>
  <si>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Club Tikayan Les Cigales</t>
  </si>
  <si>
    <t>Var</t>
  </si>
  <si>
    <t>Camping Les Lanchettes</t>
  </si>
  <si>
    <t>Savoie</t>
  </si>
  <si>
    <t>Sites et Paysages de Penboch</t>
  </si>
  <si>
    <t>Bretagne</t>
  </si>
  <si>
    <t>Morbihan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</si>
  <si>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</si>
  <si>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</si>
  <si>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</si>
  <si>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</si>
  <si>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</si>
  <si>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</si>
  <si>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</si>
  <si>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</si>
  <si>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</si>
  <si>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</si>
  <si>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</si>
  <si>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</si>
  <si>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</si>
  <si>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</si>
  <si>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</si>
  <si>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</si>
  <si>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</si>
  <si>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</si>
  <si>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</si>
  <si>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</si>
  <si>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</si>
  <si>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</si>
  <si>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</si>
  <si>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</si>
  <si>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</si>
  <si>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</si>
  <si>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</si>
  <si>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</si>
  <si>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</si>
  <si>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</si>
  <si>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</si>
  <si>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</si>
  <si>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</si>
  <si>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</si>
  <si>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</si>
  <si>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</si>
  <si>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</si>
  <si>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</si>
  <si>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Bourgogne-Franche-Comté</t>
  </si>
  <si>
    <t>Jura</t>
  </si>
  <si>
    <t>La Colombière</t>
  </si>
  <si>
    <t>Haute-Savoie</t>
  </si>
  <si>
    <t>Domaine résidentiel naturiste La Jenny</t>
  </si>
  <si>
    <t>Gironde</t>
  </si>
  <si>
    <t>Camping Club Tikayan Les Palmiers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</si>
  <si>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</si>
  <si>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</si>
  <si>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</si>
  <si>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</si>
  <si>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</si>
  <si>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</si>
  <si>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</si>
  <si>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</si>
  <si>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</si>
  <si>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</si>
  <si>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</si>
  <si>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Île-de-France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</si>
  <si>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</si>
  <si>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</si>
  <si>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</si>
  <si>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</si>
  <si>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</si>
  <si>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</si>
  <si>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</si>
  <si>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Camping Amfora</t>
  </si>
  <si>
    <t>Catalogne</t>
  </si>
  <si>
    <t>Gérone</t>
  </si>
  <si>
    <t>Camping Sandaya L'Etoile d'Argens</t>
  </si>
  <si>
    <t>Castel Camping Château de Lez-Eaux</t>
  </si>
  <si>
    <t>Camping Les Mouettes</t>
  </si>
  <si>
    <t>Camping La Gallouette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</si>
  <si>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</si>
  <si>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</si>
  <si>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</si>
  <si>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</si>
  <si>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</si>
  <si>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</si>
  <si>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</si>
  <si>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</si>
  <si>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</si>
  <si>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La Rueda</t>
  </si>
  <si>
    <t>Barcelone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</si>
  <si>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</si>
  <si>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</si>
  <si>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</si>
  <si>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</si>
  <si>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</si>
  <si>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</si>
  <si>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</si>
  <si>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</si>
  <si>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</si>
  <si>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</si>
  <si>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</si>
  <si>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</si>
  <si>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</si>
  <si>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Le Vieux Port Resort &amp; Spa</t>
  </si>
  <si>
    <t>Camping Homair - Le Ried</t>
  </si>
  <si>
    <t>Bas-Rhin</t>
  </si>
  <si>
    <t>Camping Le Caussanel</t>
  </si>
  <si>
    <t>Camping Sunêlia L'Hippocampe</t>
  </si>
  <si>
    <t>Camping Les Gorges du Chambon</t>
  </si>
  <si>
    <t>Charente</t>
  </si>
  <si>
    <t>Camping La Venise Verte</t>
  </si>
  <si>
    <t>Deux-Sèvres</t>
  </si>
  <si>
    <t>Camping L'Hirondelle France *****</t>
  </si>
  <si>
    <t>Drôme</t>
  </si>
  <si>
    <t>Camping Cros de Mouton</t>
  </si>
  <si>
    <t>Camping Le Paradis</t>
  </si>
  <si>
    <t>Camping Sunêlia Le Séquoia</t>
  </si>
  <si>
    <t>Lot</t>
  </si>
  <si>
    <t>SARL Camping le Neptune</t>
  </si>
  <si>
    <t>Côtes-d'Armor</t>
  </si>
  <si>
    <t>YELLOH! VILLAGE - LE LAVEDAN</t>
  </si>
  <si>
    <t>Hautes-Pyrénées</t>
  </si>
  <si>
    <t>Camping LA PRESQU'ILE DE GIENS</t>
  </si>
  <si>
    <t>Clico Chic - La Baie de Douarnenez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</si>
  <si>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</si>
  <si>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</si>
  <si>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</si>
  <si>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</si>
  <si>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</si>
  <si>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</si>
  <si>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Urbasa Bioitza</t>
  </si>
  <si>
    <t>Camping le Futuriste</t>
  </si>
  <si>
    <t>Vienne</t>
  </si>
  <si>
    <t>Esterel Caravaning</t>
  </si>
  <si>
    <t>Domaine de la Bergerie</t>
  </si>
  <si>
    <t>Ludo Camping</t>
  </si>
  <si>
    <t>Camping Catinaccio Rosengarten</t>
  </si>
  <si>
    <t>Trentin-Haut-Adige</t>
  </si>
  <si>
    <t>Provincia di Trento</t>
  </si>
  <si>
    <t>Camping Au Port Punay</t>
  </si>
  <si>
    <t>Siblu – Le Bois Dormant</t>
  </si>
  <si>
    <t>Siblu – Les Charmettes</t>
  </si>
  <si>
    <t>Siblu – La Pignade</t>
  </si>
  <si>
    <t>Siblu – La Réserve</t>
  </si>
  <si>
    <t>Camping Parc Bellevue</t>
  </si>
  <si>
    <t>Le Camp de Florence</t>
  </si>
  <si>
    <t>Gers</t>
  </si>
  <si>
    <t>Camping du Lac</t>
  </si>
  <si>
    <t>Flower Camping Le Haut Dick</t>
  </si>
  <si>
    <t>Flower Camping La Guichardière</t>
  </si>
  <si>
    <t>Camping de Mindin - Camping Qualité</t>
  </si>
  <si>
    <t>Camping L'Eden</t>
  </si>
  <si>
    <t>Airotel Camping La Roseraie</t>
  </si>
  <si>
    <t>Chadotel Les Ecureuils</t>
  </si>
  <si>
    <t>Camping Homair - Domaine de la Brèche</t>
  </si>
  <si>
    <t>Camping Village de La Guyonnière</t>
  </si>
  <si>
    <t>Camping Les Charmes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</si>
  <si>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</si>
  <si>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</si>
  <si>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</si>
  <si>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</si>
  <si>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</si>
  <si>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Flower Camping Saint Lambert</t>
  </si>
  <si>
    <t>Camping Les Bords du Tarn</t>
  </si>
  <si>
    <t>Camping LA MUSE</t>
  </si>
  <si>
    <t>Camping LES PRADES</t>
  </si>
  <si>
    <t>Camping Canoë Gorges Du Tarn</t>
  </si>
  <si>
    <t>Flower Camping PEYRELADE</t>
  </si>
  <si>
    <t>Camping Beau-Rivage</t>
  </si>
  <si>
    <t xml:space="preserve">Camping Domaine de  La SERRE</t>
  </si>
  <si>
    <t>Ariège</t>
  </si>
  <si>
    <t>Camping LE CASTELLA</t>
  </si>
  <si>
    <t>Camping Les 4 Saisons</t>
  </si>
  <si>
    <t>Flower Camping LA BEXANELLE</t>
  </si>
  <si>
    <t>Camping Naturiste du Lac de Lislebonne</t>
  </si>
  <si>
    <t>Domaine du Lac de Neguenou</t>
  </si>
  <si>
    <t>Camping la Prade</t>
  </si>
  <si>
    <t>Tarn</t>
  </si>
  <si>
    <t>Camping la Provençale</t>
  </si>
  <si>
    <t>Camping Le Plan d'Eau Saint Charles</t>
  </si>
  <si>
    <t>Camping Les Pommiers SAS BEBECHE</t>
  </si>
  <si>
    <t>Camping écovillage SOLEIL DU PIBESTE</t>
  </si>
  <si>
    <t>Camping LE MONLOO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</si>
  <si>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</si>
  <si>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</si>
  <si>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</si>
  <si>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</si>
  <si>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</si>
  <si>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</si>
  <si>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Les Cascades</t>
  </si>
  <si>
    <t>Sites et Paysages Pyrénévasion</t>
  </si>
  <si>
    <t>Camping PRE FIXE</t>
  </si>
  <si>
    <t>Haute-Garonne</t>
  </si>
  <si>
    <t>Camping Pradelongue</t>
  </si>
  <si>
    <t>Camping En Salvan</t>
  </si>
  <si>
    <t>Camping RIVIERE DE CABESSUT</t>
  </si>
  <si>
    <t>Flower Camping l'Escale du Perthuis</t>
  </si>
  <si>
    <t>Camping LES CHALETS SUR LA DORDOGNE</t>
  </si>
  <si>
    <t>Camping LA RIVIERE</t>
  </si>
  <si>
    <t>CAMPING LE CLOS BOUYSSAC</t>
  </si>
  <si>
    <t>Village Camping LES VIGNES</t>
  </si>
  <si>
    <t>Camping Le Relais du Campeur</t>
  </si>
  <si>
    <t>Camping Les Rochers des Parcs</t>
  </si>
  <si>
    <t>Calvados</t>
  </si>
  <si>
    <t>Camping Jardins de Kergal</t>
  </si>
  <si>
    <t>Camping La Pineda de Salou</t>
  </si>
  <si>
    <t>Camping Port'Land</t>
  </si>
  <si>
    <t>Camping Sandaya Les Vagues</t>
  </si>
  <si>
    <t>Camping Sandaya L'Escale Saint Gilles</t>
  </si>
  <si>
    <t>Camping Homair - Les Menhirs</t>
  </si>
  <si>
    <t>Camping DOMAINE D'INLY</t>
  </si>
  <si>
    <t>Flower Camping Le Vieux Moulin</t>
  </si>
  <si>
    <t>RCN Port L'Epine</t>
  </si>
  <si>
    <t>ROMANEE Kervilor</t>
  </si>
  <si>
    <t>Chadotel Les Iles</t>
  </si>
  <si>
    <t>Glamping Sainte-Suzanne</t>
  </si>
  <si>
    <t>Mayenne</t>
  </si>
  <si>
    <t>Camping Site de Gorge Vent</t>
  </si>
  <si>
    <t>Camping LIZOE</t>
  </si>
  <si>
    <t>Camping Rodas</t>
  </si>
  <si>
    <t>Camping Lloret Blau</t>
  </si>
  <si>
    <t>Auberge &amp; Camping Sabatoux</t>
  </si>
  <si>
    <t>Haute-Loire</t>
  </si>
  <si>
    <t>Chadotel Les Jardins Catalans</t>
  </si>
  <si>
    <t>Camping du Bel Air</t>
  </si>
  <si>
    <t>Camping Lacasa</t>
  </si>
  <si>
    <t>Corse-du-Sud</t>
  </si>
  <si>
    <t>Camping de la Corsive</t>
  </si>
  <si>
    <t>Camping Le Verger</t>
  </si>
  <si>
    <t>Camping de la Plage</t>
  </si>
  <si>
    <t>Camping Paradis Family des Issoux</t>
  </si>
  <si>
    <t>Le Clos de Banes</t>
  </si>
  <si>
    <t>LES FLOTS-ATLANTIQUE ** Village 2</t>
  </si>
  <si>
    <t>Camping Le Maine</t>
  </si>
  <si>
    <t>Camping Seasonova Sous le Moulin</t>
  </si>
  <si>
    <t>Camping Clair Matin</t>
  </si>
  <si>
    <t>Camping Le Colporteur</t>
  </si>
  <si>
    <t>Camping Le Château de Rochetaillée</t>
  </si>
  <si>
    <t>Camping Harrobia</t>
  </si>
  <si>
    <t>Pyrénées-Atlantiques</t>
  </si>
  <si>
    <t>Camping Belvédère de l'Obiou</t>
  </si>
  <si>
    <t>Camping Duna Munguy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</si>
  <si>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</si>
  <si>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</si>
  <si>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</si>
  <si>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</si>
  <si>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</si>
  <si>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</si>
  <si>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</si>
  <si>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</si>
  <si>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</si>
  <si>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</si>
  <si>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</si>
  <si>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</si>
  <si>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</si>
  <si>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</si>
  <si>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</si>
  <si>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</si>
  <si>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Sunêlia Villaggio dei Fiori</t>
  </si>
  <si>
    <t>Le Village de la MER</t>
  </si>
  <si>
    <t>Camping Sandaya L'Orée du Bois</t>
  </si>
  <si>
    <t>Sites et Paysages Domaine de l'Ecluse</t>
  </si>
  <si>
    <t>Castel Camping Les Ormes, Domaine &amp; Resort</t>
  </si>
  <si>
    <t>Ille-et-Vilaine</t>
  </si>
  <si>
    <t>Camping Homair - Le Napoléon</t>
  </si>
  <si>
    <t>Le Saint Martin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</si>
  <si>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</si>
  <si>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</si>
  <si>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</si>
  <si>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</si>
  <si>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</si>
  <si>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</si>
  <si>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</si>
  <si>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Slow Village | Anduze</t>
  </si>
  <si>
    <t>Gard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</si>
  <si>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</si>
  <si>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</si>
  <si>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</si>
  <si>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</si>
  <si>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</si>
  <si>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</si>
  <si>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Airotel Camping Le Soleil</t>
  </si>
  <si>
    <t>Camping Le Domaine de Champé</t>
  </si>
  <si>
    <t>Camping Catalan</t>
  </si>
  <si>
    <t>Camping Europe</t>
  </si>
  <si>
    <t>Camping Les Marsouins - Ciela Village</t>
  </si>
  <si>
    <t>Camping La Sirène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</si>
  <si>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</si>
  <si>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</si>
  <si>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</si>
  <si>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</si>
  <si>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</si>
  <si>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</si>
  <si>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Le Port Chéri</t>
  </si>
  <si>
    <t>International Camping</t>
  </si>
  <si>
    <t>CAMPING LA SOURCE</t>
  </si>
  <si>
    <t>Yukadi Village Le Moteno</t>
  </si>
  <si>
    <t>Camping de La Besse</t>
  </si>
  <si>
    <t>Toscana Holiday Village</t>
  </si>
  <si>
    <t>Toscane</t>
  </si>
  <si>
    <t>Pisa</t>
  </si>
  <si>
    <t>INTERNATIONAL GLAMPING LAGO DI BRACCIANO</t>
  </si>
  <si>
    <t>Latium</t>
  </si>
  <si>
    <t>Roma Capitale</t>
  </si>
  <si>
    <t>CAMPING DES CYGNES</t>
  </si>
  <si>
    <t>Camping Le Ruou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</si>
  <si>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</si>
  <si>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</si>
  <si>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</si>
  <si>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</si>
  <si>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</si>
  <si>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</si>
  <si>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</si>
  <si>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</si>
  <si>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</si>
  <si>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</si>
  <si>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</si>
  <si>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</si>
  <si>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Camping Sunêlia L'Orangerie de Lanniron</t>
  </si>
  <si>
    <t>Camping Ile de la Comtesse</t>
  </si>
  <si>
    <t>Ain</t>
  </si>
  <si>
    <t>Camping Les Bords de Loue</t>
  </si>
  <si>
    <t>Camping Village Cerquestra</t>
  </si>
  <si>
    <t>Ombrie</t>
  </si>
  <si>
    <t>Perugia</t>
  </si>
  <si>
    <t>Miramare Camping Village</t>
  </si>
  <si>
    <t>Venise</t>
  </si>
  <si>
    <t>CAMPING LA PIERRE VERTE</t>
  </si>
  <si>
    <t>Camping L'Atlantys</t>
  </si>
  <si>
    <t>Florenz - Open Air Resort</t>
  </si>
  <si>
    <t>Émilie-Romagne</t>
  </si>
  <si>
    <t>Ferrara</t>
  </si>
  <si>
    <t>Camping Resort la Forêt</t>
  </si>
  <si>
    <t>YELLOH! VILLAGE - LE FAYOLAN</t>
  </si>
  <si>
    <t>Château Camping La Grange Fort</t>
  </si>
  <si>
    <t>Camping Le Jardin des Cévennes</t>
  </si>
  <si>
    <t>Lozère</t>
  </si>
  <si>
    <t>Camping Village Le Diomedee</t>
  </si>
  <si>
    <t>Pouilles</t>
  </si>
  <si>
    <t>Foggia</t>
  </si>
  <si>
    <t>Domaine des Chênes</t>
  </si>
  <si>
    <t>Camping Les Coudoulets</t>
  </si>
  <si>
    <t>Flower Camping Vitamin</t>
  </si>
  <si>
    <t>Seine-Maritime</t>
  </si>
  <si>
    <t>Camping Le Pequelet</t>
  </si>
  <si>
    <t>Camping Merko Lacarra</t>
  </si>
  <si>
    <t>Camping Mas Nou</t>
  </si>
  <si>
    <t>TAIGA Costa Calida</t>
  </si>
  <si>
    <t>Région de Murcie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</si>
  <si>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</si>
  <si>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</si>
  <si>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</si>
  <si>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</si>
  <si>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</si>
  <si>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</si>
  <si>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Du Vieux Château</t>
  </si>
  <si>
    <t>Camping Les Routes de Provence</t>
  </si>
  <si>
    <t>Camping del Mar</t>
  </si>
  <si>
    <t>SAS Camping de Valsaintes</t>
  </si>
  <si>
    <t>Domaine de la Plage</t>
  </si>
  <si>
    <t>GERVANNE CAMPING</t>
  </si>
  <si>
    <t>Camping CHAMP LA CHEVRE</t>
  </si>
  <si>
    <t>Camping de L'Etang du Merle</t>
  </si>
  <si>
    <t>Nièvre</t>
  </si>
  <si>
    <t>Camping Rubina Resort</t>
  </si>
  <si>
    <t>Camping Bravoplaya</t>
  </si>
  <si>
    <t>Camping du Domaine de Senaud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</si>
  <si>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</si>
  <si>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</si>
  <si>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</si>
  <si>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</si>
  <si>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</si>
  <si>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</si>
  <si>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</si>
  <si>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</si>
  <si>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Ushuaïa Villages - Camping la Colombière ***</t>
  </si>
  <si>
    <t>Camping Club Plage Sud - MS Vacances</t>
  </si>
  <si>
    <t>Camping Village Lago Levico****</t>
  </si>
  <si>
    <t>Pirates World Village Club Les Sables d'Or</t>
  </si>
  <si>
    <t>Camping LA GARENNE</t>
  </si>
  <si>
    <t>Camping Les Sous Bois du Lac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</si>
  <si>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</si>
  <si>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</si>
  <si>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</si>
  <si>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</si>
  <si>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</si>
  <si>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</si>
  <si>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Campasun Camping Du Soleil</t>
  </si>
  <si>
    <t>Camping Le Moulin</t>
  </si>
  <si>
    <t>Flower Camping La Rivière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</si>
  <si>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</si>
  <si>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</si>
  <si>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</si>
  <si>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</si>
  <si>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</si>
  <si>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</si>
  <si>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Couleurs d'Aunis</t>
  </si>
  <si>
    <t>Yukadi Village Le Logis</t>
  </si>
  <si>
    <t>Camping Californie Plage</t>
  </si>
  <si>
    <t>Camping de la Base Nautique</t>
  </si>
  <si>
    <t xml:space="preserve">Camping de Belle Hutte </t>
  </si>
  <si>
    <t>Camping Le Rancho</t>
  </si>
  <si>
    <t>Camping Au Cœur de Vendôme</t>
  </si>
  <si>
    <t>Chadotel Le Domaine de Beaulieu</t>
  </si>
  <si>
    <t>Camping Rioclar</t>
  </si>
  <si>
    <t>Camping de Graniers</t>
  </si>
  <si>
    <t>CAMPING BELLEVUE MER</t>
  </si>
  <si>
    <t>Camping Mirabel La Crique</t>
  </si>
  <si>
    <t>Camping Kerlaz</t>
  </si>
  <si>
    <t>Flower Camping Domaine de Pendruc</t>
  </si>
  <si>
    <t>Camping La Chapelle Saint Claude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</si>
  <si>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</si>
  <si>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</si>
  <si>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</si>
  <si>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</si>
  <si>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</si>
  <si>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Sardaigne</t>
  </si>
  <si>
    <t>Oristano</t>
  </si>
  <si>
    <t>Camping La Cascade</t>
  </si>
  <si>
    <t>Papillon Country Resort</t>
  </si>
  <si>
    <t>Pays-Bas</t>
  </si>
  <si>
    <t>Overijssel</t>
  </si>
  <si>
    <t>UNKNOWN</t>
  </si>
  <si>
    <t xml:space="preserve">Camping Emmen </t>
  </si>
  <si>
    <t>Drenthe</t>
  </si>
  <si>
    <t>Flower Camping Le Pont du Tarn</t>
  </si>
  <si>
    <t>Les Méditerranées - Camping Beach Garden</t>
  </si>
  <si>
    <t>Camping La Blaquière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</si>
  <si>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</si>
  <si>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</si>
  <si>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</si>
  <si>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</si>
  <si>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</si>
  <si>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</si>
  <si>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</si>
  <si>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Ferienparadies Natterer See</t>
  </si>
  <si>
    <t>Autriche</t>
  </si>
  <si>
    <t>Tyrol</t>
  </si>
  <si>
    <t>Bezirk Innsbruck-Land</t>
  </si>
  <si>
    <t>Camping*** Le Repos du Baladin</t>
  </si>
  <si>
    <t>Camping Solaire du Petit Buech</t>
  </si>
  <si>
    <t>Camping Naturiste Les Manoques</t>
  </si>
  <si>
    <t>Tarn-et-Garonne</t>
  </si>
  <si>
    <t>Camping Beauregard</t>
  </si>
  <si>
    <t>YELLOH! VILLAGE - Camping Plage du Dramont</t>
  </si>
  <si>
    <t>Fontaine d'Annibal</t>
  </si>
  <si>
    <t>Camping de Tournus</t>
  </si>
  <si>
    <t>Saône-et-Loire</t>
  </si>
  <si>
    <t>Flower Camping Le Bel Air</t>
  </si>
  <si>
    <t>Flower Camping Le Mas de Mourgues</t>
  </si>
  <si>
    <t>Camping Le BeauVezé ****</t>
  </si>
  <si>
    <t>Camping Sierra de Albarracín "Las Corralizas 1.727m"</t>
  </si>
  <si>
    <t>Teruel</t>
  </si>
  <si>
    <t>Flower Camping Le Jardin de Sully</t>
  </si>
  <si>
    <t>Loiret</t>
  </si>
  <si>
    <t>Chadotel L'Océano d'Or</t>
  </si>
  <si>
    <t>De Schatberg</t>
  </si>
  <si>
    <t>Limbourg</t>
  </si>
  <si>
    <t>Camping Le Haut Salat</t>
  </si>
  <si>
    <t>Camping Beau Rivage</t>
  </si>
  <si>
    <t>Alannia ELS PRATS</t>
  </si>
  <si>
    <t>Camping Algámitas Aventura</t>
  </si>
  <si>
    <t>Séville</t>
  </si>
  <si>
    <t>International Village Sport &amp; Spa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</si>
  <si>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</si>
  <si>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</si>
  <si>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</si>
  <si>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</si>
  <si>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</si>
  <si>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</si>
  <si>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</si>
  <si>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</si>
  <si>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</si>
  <si>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Mirabel Les Prairies de la Mer</t>
  </si>
  <si>
    <t>Camping de la Plage Bénodet</t>
  </si>
  <si>
    <t>CAMPING LES DRUIDES</t>
  </si>
  <si>
    <t>Camping Le Cernie</t>
  </si>
  <si>
    <t>Nuoro</t>
  </si>
  <si>
    <t>Camping Mirabel La Baie de Cayola</t>
  </si>
  <si>
    <t>Camping am Waldbad</t>
  </si>
  <si>
    <t>Carinthie</t>
  </si>
  <si>
    <t>Bezirk Spittal an der Drau</t>
  </si>
  <si>
    <t>Camping Les Pins de la Coubre</t>
  </si>
  <si>
    <t>RCN le Moulin de la Pique</t>
  </si>
  <si>
    <t>RCN Domaine de la Noguière</t>
  </si>
  <si>
    <t>Campingplatz Schwarzwaldhorn</t>
  </si>
  <si>
    <t>Allemagne</t>
  </si>
  <si>
    <t>Bade-Wurtemberg</t>
  </si>
  <si>
    <t>Baia Holiday Mare Pineta</t>
  </si>
  <si>
    <t>Frioul-Vénétie julienne</t>
  </si>
  <si>
    <t>Baia Holiday Baia Blu la Tortuga</t>
  </si>
  <si>
    <t>Sassari</t>
  </si>
  <si>
    <t>Baia Holiday Piccola Gardiola</t>
  </si>
  <si>
    <t>Baia Holiday Poljana</t>
  </si>
  <si>
    <t>Croatie</t>
  </si>
  <si>
    <t>Comitat de Primorje-Gorski Kotar</t>
  </si>
  <si>
    <t>Camping Sous Doriat</t>
  </si>
  <si>
    <t>Camping Le Val d'Amour</t>
  </si>
  <si>
    <t>Camping Le Champ de Mars</t>
  </si>
  <si>
    <t>Campingplatz am Grossen Pälitzsee</t>
  </si>
  <si>
    <t>Mecklembourg-Poméranie-Occidentale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</si>
  <si>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</si>
  <si>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</si>
  <si>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</si>
  <si>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</si>
  <si>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</si>
  <si>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</si>
  <si>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</si>
  <si>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</si>
  <si>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</si>
  <si>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</si>
  <si>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</si>
  <si>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</si>
  <si>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</si>
  <si>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</si>
  <si>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</si>
  <si>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</si>
  <si>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Complejo Turístico Puente de las Herrerías</t>
  </si>
  <si>
    <t>Jaén</t>
  </si>
  <si>
    <t>Camping-Village Domaine d'Anghione</t>
  </si>
  <si>
    <t>Aktiv Camp Purgstall Camping- &amp; Ferienpark</t>
  </si>
  <si>
    <t>Basse-Autriche</t>
  </si>
  <si>
    <t>Bezirk Scheibbs</t>
  </si>
  <si>
    <t>Camping Les 2 Lacs</t>
  </si>
  <si>
    <t>Camping Les Arches</t>
  </si>
  <si>
    <t>Camping les Peupliers</t>
  </si>
  <si>
    <t>Camping Le Moulin de Gournier</t>
  </si>
  <si>
    <t>CAMPING LE VIEUX VALLON</t>
  </si>
  <si>
    <t>Ushuaïa Villages - Camping Le Viaduc ***</t>
  </si>
  <si>
    <t>Camping Arc en Ciel</t>
  </si>
  <si>
    <t>Camping Le Barutel</t>
  </si>
  <si>
    <t>Camping Troisvierges</t>
  </si>
  <si>
    <t>Canton Clervaux</t>
  </si>
  <si>
    <t>Camping Il Rospo</t>
  </si>
  <si>
    <t>Gênes</t>
  </si>
  <si>
    <t>Camping Cevedale</t>
  </si>
  <si>
    <t>Camping Le Lauradiol</t>
  </si>
  <si>
    <t>Camping La Grand'Terre</t>
  </si>
  <si>
    <t>Komfortcamp KlüthseeCamp und Naturcamp Seeblick</t>
  </si>
  <si>
    <t>Schleswig-Holstein</t>
  </si>
  <si>
    <t>Camping Les Cerisiers du Jaur</t>
  </si>
  <si>
    <t>Camping Park Soline</t>
  </si>
  <si>
    <t>Comitat de Zadar</t>
  </si>
  <si>
    <t>Camping du Grand Fay</t>
  </si>
  <si>
    <t>Camping dei Fiori</t>
  </si>
  <si>
    <t>Baia Holiday Isuledda</t>
  </si>
  <si>
    <t>Castelwood</t>
  </si>
  <si>
    <t>Camping LES 2 VALLÉES</t>
  </si>
  <si>
    <t>Les Hameaux des Lacs - Terres de France</t>
  </si>
  <si>
    <t>Les Hameaux des Marines - Terres de France</t>
  </si>
  <si>
    <t>Village Vacances de Combelles</t>
  </si>
  <si>
    <t>Siblu - Les Oyats</t>
  </si>
  <si>
    <t>Camping Club Navarrosse Plage - MS Vacances</t>
  </si>
  <si>
    <t>Camping Kost-Ar-Moor</t>
  </si>
  <si>
    <t>Camping Le Village De L'Armorique</t>
  </si>
  <si>
    <t>SAGONE RESORT</t>
  </si>
  <si>
    <t>Camping La Liccia</t>
  </si>
  <si>
    <t>Camping Club Les Tourterelles - MS Vacances</t>
  </si>
  <si>
    <t>Camping Pertamina Village U Farniente</t>
  </si>
  <si>
    <t>Camping Surchauffant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</si>
  <si>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</si>
  <si>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</si>
  <si>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</si>
  <si>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</si>
  <si>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</si>
  <si>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</si>
  <si>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</si>
  <si>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</si>
  <si>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Flower Camping Les Paillotes en Ardèche (Adults Only 16+)</t>
  </si>
  <si>
    <t>Camping du Buisson</t>
  </si>
  <si>
    <t>Haute-Marne</t>
  </si>
  <si>
    <t>Camping Champ Tillet</t>
  </si>
  <si>
    <t>Camping Chadeyron</t>
  </si>
  <si>
    <t>Camping Montagne des Vosges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</si>
  <si>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</si>
  <si>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</si>
  <si>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</si>
  <si>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</si>
  <si>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</si>
  <si>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</si>
  <si>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</si>
  <si>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Leï Suves</t>
  </si>
  <si>
    <t>Au Bois de Calais</t>
  </si>
  <si>
    <t>Corrèze</t>
  </si>
  <si>
    <t>Camp du Domaine</t>
  </si>
  <si>
    <t>Camping les Cinq Châteaux</t>
  </si>
  <si>
    <t>Camping Le Daguet</t>
  </si>
  <si>
    <t>Camping Brin d'Amour</t>
  </si>
  <si>
    <t>Camping le Pigeonnier</t>
  </si>
  <si>
    <t>Camping La Rivière</t>
  </si>
  <si>
    <t>Slow Village | Séveilles</t>
  </si>
  <si>
    <t>La Ferme de Villeneuve</t>
  </si>
  <si>
    <t>Camping Le Port de Limeuil</t>
  </si>
  <si>
    <t xml:space="preserve">Camping Les Jardins du Morbihan </t>
  </si>
  <si>
    <t xml:space="preserve">Sites et Paysages Domaine de  La Grande Veyière</t>
  </si>
  <si>
    <t>Domaine de Loisirs Le Montant</t>
  </si>
  <si>
    <t>Camping La Nouvelle Croze</t>
  </si>
  <si>
    <t>Camping La Butte</t>
  </si>
  <si>
    <t>Camping la Ferme de Perdigat</t>
  </si>
  <si>
    <t>Camping Le Domaine du Bois Coquet</t>
  </si>
  <si>
    <t>Camping Sandaya Le Grand Dague</t>
  </si>
  <si>
    <t>Camping Lestaubière</t>
  </si>
  <si>
    <t>Camping Sunêlia La Presqu'île****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</si>
  <si>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</si>
  <si>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</si>
  <si>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</si>
  <si>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</si>
  <si>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Linda</t>
  </si>
  <si>
    <t>Zélande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</si>
  <si>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</si>
  <si>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</si>
  <si>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</si>
  <si>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</si>
  <si>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</si>
  <si>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</si>
  <si>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Domaine de Corneuil</t>
  </si>
  <si>
    <t>Baia Holiday Laguna Blu</t>
  </si>
  <si>
    <t>Camping les 3 Sablières</t>
  </si>
  <si>
    <t>Camping Les Dunes</t>
  </si>
  <si>
    <t>Camping Le Parc</t>
  </si>
  <si>
    <t>Camping Tikayan Domaine du Golfe de Saint Tropez</t>
  </si>
  <si>
    <t>Flower Camping Orly d'Azur</t>
  </si>
  <si>
    <t>Camping Santa Maria di Leuca</t>
  </si>
  <si>
    <t>Camping Les Playes</t>
  </si>
  <si>
    <t>Flower Camping La Vidaresse</t>
  </si>
  <si>
    <t>Camping Liesbos</t>
  </si>
  <si>
    <t>Brabant-Septentrional</t>
  </si>
  <si>
    <t>Camping de Zeehoeve</t>
  </si>
  <si>
    <t>Frise</t>
  </si>
  <si>
    <t>Recreatiecentrum Heumens Bos</t>
  </si>
  <si>
    <t>Gueldre</t>
  </si>
  <si>
    <t>Camping les Rives du Lac</t>
  </si>
  <si>
    <t>Camping du Col</t>
  </si>
  <si>
    <t>Camping Covelo</t>
  </si>
  <si>
    <t>Camping Les Plans</t>
  </si>
  <si>
    <t>Camping Le Relais du Léman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</si>
  <si>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</si>
  <si>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</si>
  <si>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</si>
  <si>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</si>
  <si>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</si>
  <si>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</si>
  <si>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</si>
  <si>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Chadotel Le Roussillon</t>
  </si>
  <si>
    <t>Camping Edy</t>
  </si>
  <si>
    <t>Il Villaggio di Giuele - Eurocamping Calvisio</t>
  </si>
  <si>
    <t>Camping Siena Colleverde</t>
  </si>
  <si>
    <t>Siena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</si>
  <si>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</si>
  <si>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</si>
  <si>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</si>
  <si>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</si>
  <si>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</si>
  <si>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</si>
  <si>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Sarthe</t>
  </si>
  <si>
    <t>Camping La Farigoulette</t>
  </si>
  <si>
    <t>St. Michael Camping Village iNTERNATiONAL</t>
  </si>
  <si>
    <t>Campeggio Smeraldo</t>
  </si>
  <si>
    <t>Camping Village Baia Azzurra</t>
  </si>
  <si>
    <t>Grosseto</t>
  </si>
  <si>
    <t>Camping des Gorges</t>
  </si>
  <si>
    <t>Camping Tunnel International</t>
  </si>
  <si>
    <t>Vallée d'Aoste</t>
  </si>
  <si>
    <t>Camping Le Fun</t>
  </si>
  <si>
    <t>Camping Clair de Lune</t>
  </si>
  <si>
    <t>Txoko les 2 Jumeaux</t>
  </si>
  <si>
    <t>Camping 't Weergors</t>
  </si>
  <si>
    <t>Hollande-Méridionale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</si>
  <si>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</si>
  <si>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</si>
  <si>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</si>
  <si>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</si>
  <si>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</si>
  <si>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</si>
  <si>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RCN Vakantiepark Zeewolde</t>
  </si>
  <si>
    <t>Flevoland</t>
  </si>
  <si>
    <t>Fornella Camping &amp; Wellness Family Resort</t>
  </si>
  <si>
    <t>Centro Vacanze San Marino</t>
  </si>
  <si>
    <t>Saint-Marin</t>
  </si>
  <si>
    <t>Camping Playa de Poniente</t>
  </si>
  <si>
    <t>Camping L'Escapade</t>
  </si>
  <si>
    <t>RCN Vakantiepark de Jagerstee</t>
  </si>
  <si>
    <t>Camping Eden Villages Le Domaine de Bréhadour</t>
  </si>
  <si>
    <t>RCN Vakantiepark de Schotsman</t>
  </si>
  <si>
    <t>Domaine La Roche D'Ully ****</t>
  </si>
  <si>
    <t>Doubs</t>
  </si>
  <si>
    <t>CAMPING LES FOULONS</t>
  </si>
  <si>
    <t>Camping les Castors ***</t>
  </si>
  <si>
    <t>Flower Camping des Lacs</t>
  </si>
  <si>
    <t>Camping Domein de Schuur</t>
  </si>
  <si>
    <t>Flandre</t>
  </si>
  <si>
    <t>Anvers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</si>
  <si>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</si>
  <si>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</si>
  <si>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</si>
  <si>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</si>
  <si>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</si>
  <si>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</si>
  <si>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</si>
  <si>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</si>
  <si>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</si>
  <si>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</si>
  <si>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</si>
  <si>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</si>
  <si>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</si>
  <si>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Camping Le Garrigon</t>
  </si>
  <si>
    <t>Vaucluse</t>
  </si>
  <si>
    <t>Val de Landrouet</t>
  </si>
  <si>
    <t xml:space="preserve">Camping Le Luberon </t>
  </si>
  <si>
    <t>Camping Reine Mathilde</t>
  </si>
  <si>
    <t>Castel Domaine de Sévenier &amp; Spa</t>
  </si>
  <si>
    <t>Flower Camping Le Clos Auroy</t>
  </si>
  <si>
    <t>Camping du Viaduc</t>
  </si>
  <si>
    <t>Flower Camping La Rochelambert</t>
  </si>
  <si>
    <t>Camping LA SAFRIERE</t>
  </si>
  <si>
    <t>Camping Homair - La Croix du Vieux Pont</t>
  </si>
  <si>
    <t>Camping Le Robinson</t>
  </si>
  <si>
    <t>Camping Municipal Les Iles de Silon</t>
  </si>
  <si>
    <t>Camping Les Ephélides</t>
  </si>
  <si>
    <t>Camping La Frétille</t>
  </si>
  <si>
    <t>Huttopia Arcachon</t>
  </si>
  <si>
    <t>Camping La Camassade</t>
  </si>
  <si>
    <t>Camping Castell Montgrí</t>
  </si>
  <si>
    <t>Camping Saint Gabriel</t>
  </si>
  <si>
    <t>Camping de Ceyreste</t>
  </si>
  <si>
    <t>Castel Camping Le Brévedent</t>
  </si>
  <si>
    <t>Camping Au Petit Port de l'Houmeau</t>
  </si>
  <si>
    <t>Camping LE CABELLOU PLAGE*****</t>
  </si>
  <si>
    <t>Domaine des Chênes Blancs</t>
  </si>
  <si>
    <t>Camping La Brande</t>
  </si>
  <si>
    <t>Camping La Paoute</t>
  </si>
  <si>
    <t>Camping Baie de Saint Pol</t>
  </si>
  <si>
    <t>Camping des Chaumières</t>
  </si>
  <si>
    <t>Camping de la Pelouse</t>
  </si>
  <si>
    <t>Meurthe-et-Moselle</t>
  </si>
  <si>
    <t>Camping La Ferme de Lann Hoedic</t>
  </si>
  <si>
    <t>Le Petit Trianon</t>
  </si>
  <si>
    <t>La Dune de Jade - Camping Qualité</t>
  </si>
  <si>
    <t>Camping Le Clos du Blavet</t>
  </si>
  <si>
    <t>Camping Bois Soleil</t>
  </si>
  <si>
    <t>Camping Les Roches</t>
  </si>
  <si>
    <t>Camping de Kervoen</t>
  </si>
  <si>
    <t>Camping de l'Allée</t>
  </si>
  <si>
    <t>Camping Les Terrasses de Bertheaume</t>
  </si>
  <si>
    <t>Camping LA CHAPOULIÈRE</t>
  </si>
  <si>
    <t>Flower Camping l'Ile des Trois Rois</t>
  </si>
  <si>
    <t>Eure</t>
  </si>
  <si>
    <t>Camping Le Paradis - Sea Green by Sunêlia</t>
  </si>
  <si>
    <t>Camping Le Village du Port</t>
  </si>
  <si>
    <t>Camping Ile de Boulancourt</t>
  </si>
  <si>
    <t>Flower Camping le Kergariou</t>
  </si>
  <si>
    <t>Camping Le Pommier</t>
  </si>
  <si>
    <t>Camping Seasonova Etang de la Vallée</t>
  </si>
  <si>
    <t>Camping de Thoissey - Val de Saône</t>
  </si>
  <si>
    <t>Camping de la Baie de Somme</t>
  </si>
  <si>
    <t>Camping Le Parc de Vaux</t>
  </si>
  <si>
    <t>Camping Yelloh! Village Saint Pabu Plage</t>
  </si>
  <si>
    <t>Camping La Tour des Prises Ile de Ré</t>
  </si>
  <si>
    <t>CAMPING LES TRUFFIERES***</t>
  </si>
  <si>
    <t>Camping du Vieux Verger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</si>
  <si>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</si>
  <si>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</si>
  <si>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</si>
  <si>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</si>
  <si>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</si>
  <si>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</si>
  <si>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Camping des 2 Plages</t>
  </si>
  <si>
    <t>Flower Camping La Chênaie</t>
  </si>
  <si>
    <t>Camping Le Hameau des Champs</t>
  </si>
  <si>
    <t>Isis En Cévennes</t>
  </si>
  <si>
    <t>Camping Lou Paradou</t>
  </si>
  <si>
    <t>Camping La Rouillère</t>
  </si>
  <si>
    <t>Camping Les Castors</t>
  </si>
  <si>
    <t>Camping Sunêlia La Clémentine</t>
  </si>
  <si>
    <t xml:space="preserve">Camping Le Panoramique </t>
  </si>
  <si>
    <t>Chadotel La Dune des Sables</t>
  </si>
  <si>
    <t>Camping La Ferme de Bouzencourt</t>
  </si>
  <si>
    <t>Camping Bois de Gravière</t>
  </si>
  <si>
    <t>Camping du Mettey****</t>
  </si>
  <si>
    <t>MIRAMARE Village - Apartments - Camping</t>
  </si>
  <si>
    <t>Livorno</t>
  </si>
  <si>
    <t>Camping La Ferme</t>
  </si>
  <si>
    <t>Campasun Camping Le Clos du Pin</t>
  </si>
  <si>
    <t>Camping Neptune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</si>
  <si>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</si>
  <si>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</si>
  <si>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</si>
  <si>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</si>
  <si>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</si>
  <si>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de L'Ile Verte</t>
  </si>
  <si>
    <t>Parc Saint Sauvayre</t>
  </si>
  <si>
    <t>Domaine des BLACHAS</t>
  </si>
  <si>
    <t>Camping Lou Rouchetou</t>
  </si>
  <si>
    <t>Camping L'Ombrage</t>
  </si>
  <si>
    <t>Camping Le Diamant</t>
  </si>
  <si>
    <t>Flower Camping Les Bouleaux</t>
  </si>
  <si>
    <t>Haut-Rhin</t>
  </si>
  <si>
    <t>Camping de Locouarn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</si>
  <si>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</si>
  <si>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</si>
  <si>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</si>
  <si>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</si>
  <si>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</si>
  <si>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</si>
  <si>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Homair - La Grainetière</t>
  </si>
  <si>
    <t>Camping Le Floride</t>
  </si>
  <si>
    <t>Tiliguerta Glamping &amp; Camping Village</t>
  </si>
  <si>
    <t>Sud Sardegna</t>
  </si>
  <si>
    <t>Camping Les Eychecadous</t>
  </si>
  <si>
    <t>CAMPING DE LA ROUVRE</t>
  </si>
  <si>
    <t>Orne</t>
  </si>
  <si>
    <t>Camping Delle Rose</t>
  </si>
  <si>
    <t>CAMPING DE LA CLAIRETTE</t>
  </si>
  <si>
    <t>Camping Le Renom</t>
  </si>
  <si>
    <t>Camping les Joncs du Roch</t>
  </si>
  <si>
    <t>Baia Holiday Capo d’Orso</t>
  </si>
  <si>
    <t>Camping Valkenburg - Maastricht</t>
  </si>
  <si>
    <t>Camping De Kleine Wolf</t>
  </si>
  <si>
    <t>Siblu – Camping De Oase</t>
  </si>
  <si>
    <t>Siblu - Camping Meerwijck</t>
  </si>
  <si>
    <t>Groningue</t>
  </si>
  <si>
    <t>Siblu De Tol</t>
  </si>
  <si>
    <t>Camping Hitjesvijver</t>
  </si>
  <si>
    <t>Recreatiepark De Paalberg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</si>
  <si>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</si>
  <si>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</si>
  <si>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</si>
  <si>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</si>
  <si>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</si>
  <si>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</si>
  <si>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</si>
  <si>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</si>
  <si>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Prümtal-Camping Oberweis</t>
  </si>
  <si>
    <t>Clico Chic - Camping Longchamp</t>
  </si>
  <si>
    <t>Flower Camping Le Vorlen</t>
  </si>
  <si>
    <t>Camping L'Arbre d'Or</t>
  </si>
  <si>
    <t>Camping Moulin de Chaules</t>
  </si>
  <si>
    <t>Camping Seiser Alm</t>
  </si>
  <si>
    <t>Haut-Adige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</si>
  <si>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</si>
  <si>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</si>
  <si>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</si>
  <si>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</si>
  <si>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</si>
  <si>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</si>
  <si>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</si>
  <si>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Camping Le Val d'Hérault</t>
  </si>
  <si>
    <t>Camping de L'Arche</t>
  </si>
  <si>
    <t>Camping Bellsol</t>
  </si>
  <si>
    <t>Camping Roca Grossa</t>
  </si>
  <si>
    <t>Yelloh! Village Parc Sainte Brigitte</t>
  </si>
  <si>
    <t>Camping Mas de la Cam</t>
  </si>
  <si>
    <t>CAMP MondSeeLand</t>
  </si>
  <si>
    <t>Haute-Autriche</t>
  </si>
  <si>
    <t>Vöcklabruck</t>
  </si>
  <si>
    <t>ROMANEE Les Dunes</t>
  </si>
  <si>
    <t>Campasun Camping Les Hautes Prairies</t>
  </si>
  <si>
    <t>Wecamp Pirineos</t>
  </si>
  <si>
    <t>Campasun Camping Les Lauriers Roses</t>
  </si>
  <si>
    <t>Campofelice Camping Village</t>
  </si>
  <si>
    <t>Suisse</t>
  </si>
  <si>
    <t>Tessin</t>
  </si>
  <si>
    <t>District de Locarno</t>
  </si>
  <si>
    <t>Camping Olympia</t>
  </si>
  <si>
    <t>International Camping Olympia</t>
  </si>
  <si>
    <t>Belluno</t>
  </si>
  <si>
    <t>Camping Sass Dlacia</t>
  </si>
  <si>
    <t>Camping Fraiteux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</si>
  <si>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</si>
  <si>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</si>
  <si>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</si>
  <si>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</si>
  <si>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</si>
  <si>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</si>
  <si>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</si>
  <si>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</si>
  <si>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</si>
  <si>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</si>
  <si>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</si>
  <si>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</si>
  <si>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</si>
  <si>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The Quiet Site</t>
  </si>
  <si>
    <t>Angleterre</t>
  </si>
  <si>
    <t>Cumbria</t>
  </si>
  <si>
    <t>Camping**** et Base de Loisirs La Plaine Tonique</t>
  </si>
  <si>
    <t>Les Ilots d'Or</t>
  </si>
  <si>
    <t>Centro Vacanze Villaggio San Francesco</t>
  </si>
  <si>
    <t>Centro Vacanze Pra' delle Torri</t>
  </si>
  <si>
    <t>Camping Capo Vieste</t>
  </si>
  <si>
    <t>Vedersø Strand Camping</t>
  </si>
  <si>
    <t>Danemark</t>
  </si>
  <si>
    <t>Jutland central</t>
  </si>
  <si>
    <t>Holstebro Kommune</t>
  </si>
  <si>
    <t>Langstone Manor Holiday Park</t>
  </si>
  <si>
    <t>Devon</t>
  </si>
  <si>
    <t xml:space="preserve">Camping Le Bois Joli Vendée lagon  **** Maeva Escapades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</si>
  <si>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</si>
  <si>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</si>
  <si>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</si>
  <si>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</si>
  <si>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</si>
  <si>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</si>
  <si>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</si>
  <si>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Basse-Saxe</t>
  </si>
  <si>
    <t>Stover Strand Camping</t>
  </si>
  <si>
    <t>Camping Orchidea</t>
  </si>
  <si>
    <t>Piémont</t>
  </si>
  <si>
    <t>Verbano-Cusio-Ossola</t>
  </si>
  <si>
    <t>Camping des Dunes</t>
  </si>
  <si>
    <t>Camping Sabbiadoro</t>
  </si>
  <si>
    <t>Sandaya Europa Village</t>
  </si>
  <si>
    <t>Camping Les Bruyères</t>
  </si>
  <si>
    <t>Camping Les Acacias</t>
  </si>
  <si>
    <t>Camping Des 2 Rives</t>
  </si>
  <si>
    <t>Camping Les Mancellières</t>
  </si>
  <si>
    <t>Camping Le Transat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</si>
  <si>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</si>
  <si>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</si>
  <si>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</si>
  <si>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</si>
  <si>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</si>
  <si>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</si>
  <si>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</si>
  <si>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</si>
  <si>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</si>
  <si>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Vestbirk Camping</t>
  </si>
  <si>
    <t>Horsens Kommune</t>
  </si>
  <si>
    <t>Nysted Camping</t>
  </si>
  <si>
    <t>Region Sjælland</t>
  </si>
  <si>
    <t>Guldborgsund Kommune</t>
  </si>
  <si>
    <t>Camping L'Esplanade</t>
  </si>
  <si>
    <t>Camping Simplonblick</t>
  </si>
  <si>
    <t>Valais</t>
  </si>
  <si>
    <t>Rarogne occidental</t>
  </si>
  <si>
    <t>Camping Goolderheide</t>
  </si>
  <si>
    <t>Camping Merendella</t>
  </si>
  <si>
    <t>Camping &amp; Bungalows Platja Brava</t>
  </si>
  <si>
    <t>Domaine de Pradines</t>
  </si>
  <si>
    <t>Villenpark Sanghen</t>
  </si>
  <si>
    <t>Flower Camping La Grande Plage</t>
  </si>
  <si>
    <t>Camping La Touesse</t>
  </si>
  <si>
    <t>Camping Playa de Oyambre</t>
  </si>
  <si>
    <t>Camping L'orée des Caps</t>
  </si>
  <si>
    <t>Camping des Bastides</t>
  </si>
  <si>
    <t>Camping L'Entre-Deux</t>
  </si>
  <si>
    <t>Camping Ettelbruck</t>
  </si>
  <si>
    <t>Canton Diekirch</t>
  </si>
  <si>
    <t>Camping Les Chemins Du Mont St Michel</t>
  </si>
  <si>
    <t>Camping La Vallée de l'Indre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</si>
  <si>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</si>
  <si>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</si>
  <si>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</si>
  <si>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</si>
  <si>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</si>
  <si>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</si>
  <si>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</si>
  <si>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Rhône</t>
  </si>
  <si>
    <t>Camping Le Schlossberg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</si>
  <si>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</si>
  <si>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</si>
  <si>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</si>
  <si>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</si>
  <si>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</si>
  <si>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</si>
  <si>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Helnæs Camping</t>
  </si>
  <si>
    <t>Assens Kommune</t>
  </si>
  <si>
    <t>Camping Les Rivières</t>
  </si>
  <si>
    <t>Wecamp Cudillero</t>
  </si>
  <si>
    <t>Asturies</t>
  </si>
  <si>
    <t>Camping La Clairière</t>
  </si>
  <si>
    <t>Camping La Ferme du Bord de Mer</t>
  </si>
  <si>
    <t>Camping LANDES AZUR</t>
  </si>
  <si>
    <t>Camping Nature Le Valenty</t>
  </si>
  <si>
    <t>Camping Au Bois Dormant</t>
  </si>
  <si>
    <t>Camping Le Frêche à l'Âne</t>
  </si>
  <si>
    <t>Camping Au Paradis des Campeurs</t>
  </si>
  <si>
    <t>Zicksee Camping</t>
  </si>
  <si>
    <t>Burgenland</t>
  </si>
  <si>
    <t>Bezirk Neusiedl am See</t>
  </si>
  <si>
    <t>Faaborg Camping</t>
  </si>
  <si>
    <t>Camping Porte des Vosges</t>
  </si>
  <si>
    <t>Camping Le Repaire</t>
  </si>
  <si>
    <t>Camping Le Picard</t>
  </si>
  <si>
    <t>Camping Les Tilleuls</t>
  </si>
  <si>
    <t>Camping Panorama del Chianti</t>
  </si>
  <si>
    <t>Camping Qualité l'Eden de la Vanoise</t>
  </si>
  <si>
    <t>Camping Le Plô Aveyron</t>
  </si>
  <si>
    <t>TAIGA Almeria Playa</t>
  </si>
  <si>
    <t>Alméria</t>
  </si>
  <si>
    <t>Drau Camping Sachsenburg</t>
  </si>
  <si>
    <t>Camping Punta Lunga</t>
  </si>
  <si>
    <t>Camping Órgiva</t>
  </si>
  <si>
    <t>Camping Au Mica</t>
  </si>
  <si>
    <t>Camping Le Ragis</t>
  </si>
  <si>
    <t>Camping Atlantica</t>
  </si>
  <si>
    <t>Camping de l'Aber</t>
  </si>
  <si>
    <t>Aminess Sirena Campsite</t>
  </si>
  <si>
    <t>Camping Du Colombier</t>
  </si>
  <si>
    <t>RCN Camping Laacher See</t>
  </si>
  <si>
    <t>Camping Geelenhoof</t>
  </si>
  <si>
    <t>Camping Pueblo Blanco</t>
  </si>
  <si>
    <t>Cadix</t>
  </si>
  <si>
    <t>Erlebniscamping Lausitz</t>
  </si>
  <si>
    <t>Brandebourg</t>
  </si>
  <si>
    <t>Camping du Brec</t>
  </si>
  <si>
    <t>CAMPING L'ALBATROS</t>
  </si>
  <si>
    <t>YELLOH! VILLAGE - LES BALEARES SON BOU</t>
  </si>
  <si>
    <t>Îles Baléares</t>
  </si>
  <si>
    <t>Camping Lentemaheerd</t>
  </si>
  <si>
    <t>Camping de la Bucherie</t>
  </si>
  <si>
    <t>Camping à la ferme les Pierres Chaudes</t>
  </si>
  <si>
    <t>Camping Laspaúles</t>
  </si>
  <si>
    <t>Camping Joncar Mar</t>
  </si>
  <si>
    <t>Camping Le Vallon aux Merlettes</t>
  </si>
  <si>
    <t>Flower Camping La Beaume</t>
  </si>
  <si>
    <t>Camping ABC am Großensee/Hamburg</t>
  </si>
  <si>
    <t>Flower Camping Le Bois d'Amour</t>
  </si>
  <si>
    <t>Camping Fargogne</t>
  </si>
  <si>
    <t>Camping Terme 3000</t>
  </si>
  <si>
    <t>Camping Plitvice</t>
  </si>
  <si>
    <t>Comitat de Lika-Senj</t>
  </si>
  <si>
    <t>Flower Camping Le Rochelongue</t>
  </si>
  <si>
    <t>Country Park Crécy La Chapelle</t>
  </si>
  <si>
    <t>Camping Begur</t>
  </si>
  <si>
    <t>Camping **La Clé des Champs</t>
  </si>
  <si>
    <t>Camping Surabaja-La Playa</t>
  </si>
  <si>
    <t>Camping L'Ultima Spiaggia</t>
  </si>
  <si>
    <t>Wecamp Jávea</t>
  </si>
  <si>
    <t>Camping de la Mottelette</t>
  </si>
  <si>
    <t>Campingpark Gartow</t>
  </si>
  <si>
    <t>Camping de la Forêt</t>
  </si>
  <si>
    <t>Camping La Grande Vallée</t>
  </si>
  <si>
    <t>Camping Les Chapelains</t>
  </si>
  <si>
    <t>Camping De Grienduil</t>
  </si>
  <si>
    <t>Utrecht</t>
  </si>
  <si>
    <t>Domaine du Trappeur</t>
  </si>
  <si>
    <t>Camping Au Bois Du Cé, PUY DU FOU ®</t>
  </si>
  <si>
    <t>Camping Le Domaine des Jonquilles</t>
  </si>
  <si>
    <t>Alannia Costa Blanca</t>
  </si>
  <si>
    <t xml:space="preserve">Flower Camping  Village Platin-Redoute</t>
  </si>
  <si>
    <t>Camping Homair - Atlantic Club Montalivet</t>
  </si>
  <si>
    <t>Camping Sunêlia Le Tropicana</t>
  </si>
  <si>
    <t>Camping Le Rey</t>
  </si>
  <si>
    <t>Campo di Liccia</t>
  </si>
  <si>
    <t>Camping Homair - Le Soleil de la Méditerranée</t>
  </si>
  <si>
    <t>CAMPING LE NID DU PARC</t>
  </si>
  <si>
    <t>Camping du Roz</t>
  </si>
  <si>
    <t>Camping Les Terrasses</t>
  </si>
  <si>
    <t>Ushuaïa Villages - Camping du Sabot ***</t>
  </si>
  <si>
    <t>LES HAUTS D'ALBAS</t>
  </si>
  <si>
    <t>Camping Amélia</t>
  </si>
  <si>
    <t>Camping Le Pastory</t>
  </si>
  <si>
    <t>CAMPING LES ECRINS</t>
  </si>
  <si>
    <t>Camping de KERGO</t>
  </si>
  <si>
    <t>La Forêt Stella-Plage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</si>
  <si>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</si>
  <si>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</si>
  <si>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</si>
  <si>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</si>
  <si>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</si>
  <si>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Domaine de la Palme</t>
  </si>
  <si>
    <t>Siblu - Les Embruns</t>
  </si>
  <si>
    <t>Camping Marvilla Parks - Paris Est</t>
  </si>
  <si>
    <t>Val-de-Marne</t>
  </si>
  <si>
    <t>Camping &amp; Bungalows Estanyet</t>
  </si>
  <si>
    <t>Camping Royal</t>
  </si>
  <si>
    <t>Novare</t>
  </si>
  <si>
    <t>Camping Paradies Franken</t>
  </si>
  <si>
    <t>Campingplatz Hof Biggen</t>
  </si>
  <si>
    <t>Rhénanie-du-Nord-Westphalie</t>
  </si>
  <si>
    <t>Regierungsbezirk Arnsberg</t>
  </si>
  <si>
    <t>Chianti Glamping Resort</t>
  </si>
  <si>
    <t>Arezzo</t>
  </si>
  <si>
    <t>Vital CAMP Bayerbach</t>
  </si>
  <si>
    <t>Butterfly Camping Village</t>
  </si>
  <si>
    <t>TAIGA Lake Caspe</t>
  </si>
  <si>
    <t>Saragosse</t>
  </si>
  <si>
    <t>Freizeitpark Am Emsdeich</t>
  </si>
  <si>
    <t>Camping Bor</t>
  </si>
  <si>
    <t>Agricamper Torre Sabea</t>
  </si>
  <si>
    <t>Camping Stein am Simssee</t>
  </si>
  <si>
    <t>Camping Rialto Village</t>
  </si>
  <si>
    <t>Eurocamping Vessem</t>
  </si>
  <si>
    <t>ROMANEE Belle Henriette</t>
  </si>
  <si>
    <t xml:space="preserve">Henne Strand Resort </t>
  </si>
  <si>
    <t>Henne Strand</t>
  </si>
  <si>
    <t>Domaine des Pins</t>
  </si>
  <si>
    <t>Camping La Pépinière</t>
  </si>
  <si>
    <t>Nicoll's Camp/Pins</t>
  </si>
  <si>
    <t>CAMPING TORRACCIA</t>
  </si>
  <si>
    <t>Bi Village</t>
  </si>
  <si>
    <t>Camping l'Océan</t>
  </si>
  <si>
    <t>Camping - Base de Loisirs La Tuilerie</t>
  </si>
  <si>
    <t>Camping Homair - Le Petit Mousse</t>
  </si>
  <si>
    <t>Camping Homair - Le Saint Louis</t>
  </si>
  <si>
    <t xml:space="preserve">Camping Homair -  Le Palavas</t>
  </si>
  <si>
    <t xml:space="preserve">Camping CAP LEUCATE  MSS</t>
  </si>
  <si>
    <t>Camping Abri de Camargue</t>
  </si>
  <si>
    <t>LieuDieu, Domaine de Campagne</t>
  </si>
  <si>
    <t>Camping des Barolles</t>
  </si>
  <si>
    <t>Huttopia Pays de Condrieu</t>
  </si>
  <si>
    <t>Camping Seasonova Etennemare</t>
  </si>
  <si>
    <t>Camping Le California</t>
  </si>
  <si>
    <t>Camping LE VARLEN</t>
  </si>
  <si>
    <t>Flower Camping La Grande Lande</t>
  </si>
  <si>
    <t>WEST CAMPING</t>
  </si>
  <si>
    <t>Camping Homair - Le Soleil de Saint Sieu</t>
  </si>
  <si>
    <t>Camping Gouelet Ker</t>
  </si>
  <si>
    <t>Camping Le Dolmen</t>
  </si>
  <si>
    <t>Camping Les Gorges de l'Hérault</t>
  </si>
  <si>
    <t>Camping les Cigognes</t>
  </si>
  <si>
    <t>Camping La Promenade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</si>
  <si>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</si>
  <si>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</si>
  <si>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</si>
  <si>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</si>
  <si>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</si>
  <si>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</si>
  <si>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Campilo</t>
  </si>
  <si>
    <t>Flower Camping Le Pré des Sables</t>
  </si>
  <si>
    <t>Camping du Perche Bellemois</t>
  </si>
  <si>
    <t>Camping du Vignal</t>
  </si>
  <si>
    <t>CAMPING TERRE D'ENTENTE</t>
  </si>
  <si>
    <t>Camping La Mouette Rieuse</t>
  </si>
  <si>
    <t>Siblu - Mimizan Le Lac</t>
  </si>
  <si>
    <t>Camping de la Colline</t>
  </si>
  <si>
    <t>Flower Camping Provence Vallée</t>
  </si>
  <si>
    <t>Camping le Damier</t>
  </si>
  <si>
    <t>ROMANEE L'Evasion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</si>
  <si>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</si>
  <si>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</si>
  <si>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</si>
  <si>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</si>
  <si>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</si>
  <si>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L'Hippocampe</t>
  </si>
  <si>
    <t>Camping Le Médiéval</t>
  </si>
  <si>
    <t>Horsens City camping ApS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</si>
  <si>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</si>
  <si>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</si>
  <si>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</si>
  <si>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</si>
  <si>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</si>
  <si>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&amp; Bungalows Zumaia</t>
  </si>
  <si>
    <t>Pays basque autonome</t>
  </si>
  <si>
    <t>Guipuscoa</t>
  </si>
  <si>
    <t>Camping le Picardy</t>
  </si>
  <si>
    <t>Flower Camping LES BERGES DE LA DORDOGNE</t>
  </si>
  <si>
    <t>Camping Laguna Village</t>
  </si>
  <si>
    <t>Camping Campo dei Fiori</t>
  </si>
  <si>
    <t>Camping Seasonova Les 7 Iles</t>
  </si>
  <si>
    <t>Tigullio Camping Resort</t>
  </si>
  <si>
    <t>Rosenvold Strand Camping</t>
  </si>
  <si>
    <t>Hedensted Kommune</t>
  </si>
  <si>
    <t>Resort de Otterberg</t>
  </si>
  <si>
    <t>Campingplatz Platzermühle</t>
  </si>
  <si>
    <t>Camping les Ramiers</t>
  </si>
  <si>
    <t>Lilybeo Village Camping &amp; Residence</t>
  </si>
  <si>
    <t>Sicile</t>
  </si>
  <si>
    <t>Trapani</t>
  </si>
  <si>
    <t>Camping les Floralies</t>
  </si>
  <si>
    <t>Camping de l'Ile</t>
  </si>
  <si>
    <t>Camping du Vieux Château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</si>
  <si>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</si>
  <si>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</si>
  <si>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</si>
  <si>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</si>
  <si>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</si>
  <si>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Park Mara</t>
  </si>
  <si>
    <t>Camping Domaine Sainte Veziane</t>
  </si>
  <si>
    <t>Camping Pinar de San José</t>
  </si>
  <si>
    <t>Domaine de Blangy</t>
  </si>
  <si>
    <t>Village Insolite</t>
  </si>
  <si>
    <t>Camping La Pause Atypi'k</t>
  </si>
  <si>
    <t>I Platani Area Camper</t>
  </si>
  <si>
    <t>Camping Vittoria</t>
  </si>
  <si>
    <t>Rovigo</t>
  </si>
  <si>
    <t>Camping Bleu Mer</t>
  </si>
  <si>
    <t>Ushuaïa Villages - Camping Le Parc de la Grève</t>
  </si>
  <si>
    <t>Calapineta Villaggio Camping</t>
  </si>
  <si>
    <t>Flower Camping les Tomasses</t>
  </si>
  <si>
    <t>Camping Le Pavillon Bleu</t>
  </si>
  <si>
    <t>LES FLOTS-ATLANTIQUE ** Village 1</t>
  </si>
  <si>
    <t>Domaine de la Forge - Sea Green by Sunêlia</t>
  </si>
  <si>
    <t>Paradies-Camp</t>
  </si>
  <si>
    <t>Batuca Village &amp; Camping</t>
  </si>
  <si>
    <t>Messine</t>
  </si>
  <si>
    <t>Camping Park Baita Dolomiti Village</t>
  </si>
  <si>
    <t>Clico Chic - Camping Chancia</t>
  </si>
  <si>
    <t>Camping de Regenboog</t>
  </si>
  <si>
    <t>Tchéquie</t>
  </si>
  <si>
    <t>Ústecký kraj</t>
  </si>
  <si>
    <t>Camping la Ferme des 4 Chênes</t>
  </si>
  <si>
    <t>Amfibie Treks</t>
  </si>
  <si>
    <t>Camping Röse</t>
  </si>
  <si>
    <t>Appart'Hotel la Roche-Posay - Terres de France</t>
  </si>
  <si>
    <t>Camping Du Lac Terre d'Auge, Pont-L'Evêque</t>
  </si>
  <si>
    <t>Camping Abijune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</si>
  <si>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</si>
  <si>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</si>
  <si>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</si>
  <si>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</si>
  <si>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</si>
  <si>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</si>
  <si>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</si>
  <si>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</si>
  <si>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>Camping Milella</t>
  </si>
  <si>
    <t>Camping Les Patis</t>
  </si>
  <si>
    <t>Ushuaïa Villages - Camping Domaine du Blanc Pignon **</t>
  </si>
  <si>
    <t>Camping Ugljan Resort</t>
  </si>
  <si>
    <t>Campingplatz HOCHoben</t>
  </si>
  <si>
    <t>Camping de L'Eden</t>
  </si>
  <si>
    <t>Camping Les Portes du Canigou</t>
  </si>
  <si>
    <t>Slow Village | Breizh Légendes</t>
  </si>
  <si>
    <t>Seecamping Kleblach-Lind</t>
  </si>
  <si>
    <t>Camping Ar Roc'h</t>
  </si>
  <si>
    <t>River Camping Bled</t>
  </si>
  <si>
    <t>Camping l'Ile d'Amour</t>
  </si>
  <si>
    <t>Yonne</t>
  </si>
  <si>
    <t>Agriturismo Malapezza</t>
  </si>
  <si>
    <t>Campasun Camping de l’Etang de La Bonde</t>
  </si>
  <si>
    <t>Lago Idro Glamping Boutique</t>
  </si>
  <si>
    <t>Camper Park Playas de Luz</t>
  </si>
  <si>
    <t>Huelva</t>
  </si>
  <si>
    <t>Camping Miremer</t>
  </si>
  <si>
    <t>MCM Beach &amp; Camping</t>
  </si>
  <si>
    <t>Monténégro</t>
  </si>
  <si>
    <t>Ulcinj</t>
  </si>
  <si>
    <t>Flower Camping InNature</t>
  </si>
  <si>
    <t>Rouilleres</t>
  </si>
  <si>
    <t>Village Seasonova Bassin d'Arcachon</t>
  </si>
  <si>
    <t>Hoeve Linnerveld</t>
  </si>
  <si>
    <t>Camping de la Prairie</t>
  </si>
  <si>
    <t>Pielachtal Camping</t>
  </si>
  <si>
    <t>Bezirk St. Pölten</t>
  </si>
  <si>
    <t>TAIGA Conil</t>
  </si>
  <si>
    <t>Camping de Meeuw</t>
  </si>
  <si>
    <t xml:space="preserve">Village Vacances Sandaya Cap Sud </t>
  </si>
  <si>
    <t>Camping Landrezac Plage</t>
  </si>
  <si>
    <t>Camping du Phare de l'Ile Vierge</t>
  </si>
  <si>
    <t>Camping Homair - Le Val de Durance</t>
  </si>
  <si>
    <t>Camping Homair - Les Rives du Luberon</t>
  </si>
  <si>
    <t>Camping-Village Kallisté</t>
  </si>
  <si>
    <t>Camping Homair - La Palmeraie</t>
  </si>
  <si>
    <t>Camping Homair - Le Domaine de la Yole</t>
  </si>
  <si>
    <t>Camping Homair - Les Sablines</t>
  </si>
  <si>
    <t>Huttopia Forêt des Vosges</t>
  </si>
  <si>
    <t>Agricampeggio La Stadera</t>
  </si>
  <si>
    <t>Forlì-Cesena</t>
  </si>
  <si>
    <t>Camping la'bel balagne</t>
  </si>
  <si>
    <t>Domaine de la Grenatière</t>
  </si>
  <si>
    <t>Domaine de l'Orée d'Arzal</t>
  </si>
  <si>
    <t xml:space="preserve">Le Village Perrosien </t>
  </si>
  <si>
    <t>Camping Montorfano</t>
  </si>
  <si>
    <t>Macugnaga Natural Camping</t>
  </si>
  <si>
    <t>Camping Cala Pola</t>
  </si>
  <si>
    <t>Camping Manu</t>
  </si>
  <si>
    <t xml:space="preserve"> Domaine Saint-Amand </t>
  </si>
  <si>
    <t xml:space="preserve">Papafigo Glamping &amp; Camping Resort </t>
  </si>
  <si>
    <t>camping Le Petit Canada</t>
  </si>
  <si>
    <t>Agricampeggio Abbruzzetti</t>
  </si>
  <si>
    <t>Fermo</t>
  </si>
  <si>
    <t>Camping le Héron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</si>
  <si>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</si>
  <si>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</si>
  <si>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</si>
  <si>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</si>
  <si>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</si>
  <si>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Camping Homair - Green Park</t>
  </si>
  <si>
    <t>U Pinarellu</t>
  </si>
  <si>
    <t>Glyngøre Camping</t>
  </si>
  <si>
    <t>MeerReise Camping</t>
  </si>
  <si>
    <t xml:space="preserve"> Camping Le Clos de Savoye </t>
  </si>
  <si>
    <t>Domaine Amaïa</t>
  </si>
  <si>
    <t>Camping La Vallée</t>
  </si>
  <si>
    <t xml:space="preserve"> Camping les Voiles </t>
  </si>
  <si>
    <t>Domaine Seasonova Saâne et Mer</t>
  </si>
  <si>
    <t>Résidence les Hauts du Maquis - Terres de France</t>
  </si>
  <si>
    <t>Papillon Kinrooi</t>
  </si>
  <si>
    <t>Clico Chic - Camping Les Chevaliers</t>
  </si>
  <si>
    <t>Flower Camping Du Canal</t>
  </si>
  <si>
    <t>Camping Du Grand Pré</t>
  </si>
  <si>
    <t>Camping Homair - Le Domaine de Massereau</t>
  </si>
  <si>
    <t>Wecamp Cádiz</t>
  </si>
  <si>
    <t xml:space="preserve">Camping Peñíscola </t>
  </si>
  <si>
    <t xml:space="preserve">Alannia El Pinar 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</si>
  <si>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</si>
  <si>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</si>
  <si>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</si>
  <si>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</si>
  <si>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 xml:space="preserve">Dune Agriturismo </t>
  </si>
  <si>
    <t>Solcio Village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</si>
  <si>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</si>
  <si>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</si>
  <si>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</si>
  <si>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</si>
  <si>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Les Manades</t>
  </si>
  <si>
    <t>Camping Le Petit Dauphin</t>
  </si>
  <si>
    <t>Campingresort Hinterstoder</t>
  </si>
  <si>
    <t>Bezirk Kirchdorf</t>
  </si>
  <si>
    <t>Campings Liberté - Lacanau</t>
  </si>
  <si>
    <t>Campings Liberté - Verdon</t>
  </si>
  <si>
    <t>Camping Ermosa</t>
  </si>
  <si>
    <t>Camping Mar Estang By Vacool</t>
  </si>
  <si>
    <t>Agricamping La Pietra e l'Ulivo</t>
  </si>
  <si>
    <t>Camping Lubea</t>
  </si>
  <si>
    <t>Les chalets de Booz</t>
  </si>
  <si>
    <t>Camping Homair - La Marine</t>
  </si>
  <si>
    <t>Baia Holiday La Gallura</t>
  </si>
  <si>
    <t>Camping Homair - Le Domaine du Clarys</t>
  </si>
  <si>
    <t>HolaCamp La Franca</t>
  </si>
  <si>
    <t>La Forêt Paloma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</si>
  <si>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</si>
  <si>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</si>
  <si>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</si>
  <si>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</si>
  <si>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</si>
  <si>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</si>
  <si>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</si>
  <si>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</si>
  <si>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</si>
  <si>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</si>
  <si>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30/10/2026 12:06:29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</si>
  <si>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</si>
  <si>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</si>
  <si>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</si>
  <si>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</si>
  <si>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</si>
  <si>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</si>
  <si>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</si>
  <si>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29/10/2026 00h00 - 29/10/2026 23h59</t>
  </si>
  <si>
    <t>Database PsLineIn</t>
  </si>
  <si>
    <t>2364</t>
  </si>
  <si>
    <t>Database PsLineOut</t>
  </si>
  <si>
    <t>1491</t>
  </si>
  <si>
    <t>Database Extraction Duration</t>
  </si>
  <si>
    <t>1,203 seconds</t>
  </si>
  <si>
    <t>C# Calcul Duration</t>
  </si>
  <si>
    <t>0,03 seconds</t>
  </si>
  <si>
    <t>C# ExcelFormating Duration</t>
  </si>
  <si>
    <t>1,734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</si>
</sst>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557</v>
      </c>
      <c r="D3" s="5">
        <v>58</v>
      </c>
      <c r="E3" s="6">
        <v>932</v>
      </c>
      <c r="F3" s="5">
        <v>596</v>
      </c>
      <c r="G3" s="5">
        <v>36</v>
      </c>
      <c r="H3" s="5">
        <v>178</v>
      </c>
      <c r="I3" s="5">
        <v>66</v>
      </c>
      <c r="J3" s="5">
        <v>34</v>
      </c>
      <c r="K3" s="5">
        <v>22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874</v>
      </c>
      <c r="U3" s="5">
        <v>562</v>
      </c>
      <c r="V3" s="5">
        <v>32</v>
      </c>
      <c r="W3" s="5">
        <v>166</v>
      </c>
      <c r="X3" s="5">
        <v>63</v>
      </c>
      <c r="Y3" s="5">
        <v>30</v>
      </c>
      <c r="Z3" s="5">
        <v>21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9</v>
      </c>
      <c r="AM3" s="28">
        <v>21.65</v>
      </c>
    </row>
    <row r="4">
      <c r="A4" s="24">
        <v>850</v>
      </c>
      <c r="B4" s="9" t="s">
        <v>28</v>
      </c>
      <c r="C4" s="10">
        <v>7</v>
      </c>
      <c r="D4" s="10">
        <v>5</v>
      </c>
      <c r="E4" s="11">
        <v>7</v>
      </c>
      <c r="F4" s="10">
        <v>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7</v>
      </c>
      <c r="U4" s="10">
        <v>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</v>
      </c>
      <c r="AK4" s="10">
        <v>1</v>
      </c>
      <c r="AL4" s="10">
        <v>1</v>
      </c>
      <c r="AM4" s="29">
        <v>1.82</v>
      </c>
    </row>
    <row r="5">
      <c r="A5" s="23">
        <v>892</v>
      </c>
      <c r="B5" s="4" t="s">
        <v>29</v>
      </c>
      <c r="C5" s="5">
        <v>39</v>
      </c>
      <c r="D5" s="5">
        <v>38</v>
      </c>
      <c r="E5" s="6">
        <v>44</v>
      </c>
      <c r="F5" s="5">
        <v>44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42</v>
      </c>
      <c r="U5" s="5">
        <v>42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1.13</v>
      </c>
      <c r="AK5" s="5">
        <v>1</v>
      </c>
      <c r="AL5" s="5">
        <v>2</v>
      </c>
      <c r="AM5" s="28">
        <v>11.54</v>
      </c>
    </row>
    <row r="6">
      <c r="A6" s="24">
        <v>976</v>
      </c>
      <c r="B6" s="9" t="s">
        <v>30</v>
      </c>
      <c r="C6" s="10">
        <v>20</v>
      </c>
      <c r="D6" s="10">
        <v>17</v>
      </c>
      <c r="E6" s="11">
        <v>25</v>
      </c>
      <c r="F6" s="10">
        <v>25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22</v>
      </c>
      <c r="U6" s="10">
        <v>22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1.25</v>
      </c>
      <c r="AK6" s="10">
        <v>1</v>
      </c>
      <c r="AL6" s="10">
        <v>3</v>
      </c>
      <c r="AM6" s="29">
        <v>4.82</v>
      </c>
    </row>
    <row r="7">
      <c r="A7" s="23">
        <v>1104</v>
      </c>
      <c r="B7" s="4" t="s">
        <v>31</v>
      </c>
      <c r="C7" s="5">
        <v>20</v>
      </c>
      <c r="D7" s="7">
        <v>0</v>
      </c>
      <c r="E7" s="6">
        <v>21</v>
      </c>
      <c r="F7" s="5">
        <v>19</v>
      </c>
      <c r="G7" s="7">
        <v>0</v>
      </c>
      <c r="H7" s="5">
        <v>1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21</v>
      </c>
      <c r="U7" s="5">
        <v>19</v>
      </c>
      <c r="V7" s="7">
        <v>0</v>
      </c>
      <c r="W7" s="5">
        <v>1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1.05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38</v>
      </c>
      <c r="D8" s="10">
        <v>37</v>
      </c>
      <c r="E8" s="11">
        <v>40</v>
      </c>
      <c r="F8" s="12">
        <v>0</v>
      </c>
      <c r="G8" s="12">
        <v>0</v>
      </c>
      <c r="H8" s="12">
        <v>0</v>
      </c>
      <c r="I8" s="10">
        <v>40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40</v>
      </c>
      <c r="U8" s="12">
        <v>0</v>
      </c>
      <c r="V8" s="12">
        <v>0</v>
      </c>
      <c r="W8" s="12">
        <v>0</v>
      </c>
      <c r="X8" s="10">
        <v>40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1.05</v>
      </c>
      <c r="AK8" s="10">
        <v>1</v>
      </c>
      <c r="AL8" s="10">
        <v>2</v>
      </c>
      <c r="AM8" s="29">
        <v>9.64</v>
      </c>
    </row>
    <row r="9">
      <c r="A9" s="23">
        <v>1172</v>
      </c>
      <c r="B9" s="4" t="s">
        <v>33</v>
      </c>
      <c r="C9" s="5">
        <v>27</v>
      </c>
      <c r="D9" s="5">
        <v>1</v>
      </c>
      <c r="E9" s="6">
        <v>30</v>
      </c>
      <c r="F9" s="5">
        <v>26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28</v>
      </c>
      <c r="U9" s="5">
        <v>24</v>
      </c>
      <c r="V9" s="7">
        <v>0</v>
      </c>
      <c r="W9" s="7">
        <v>0</v>
      </c>
      <c r="X9" s="5">
        <v>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1.11</v>
      </c>
      <c r="AK9" s="5">
        <v>1</v>
      </c>
      <c r="AL9" s="5">
        <v>2</v>
      </c>
      <c r="AM9" s="28">
        <v>0.25</v>
      </c>
    </row>
    <row r="10">
      <c r="A10" s="24">
        <v>1199</v>
      </c>
      <c r="B10" s="9" t="s">
        <v>34</v>
      </c>
      <c r="C10" s="10">
        <v>110</v>
      </c>
      <c r="D10" s="10">
        <v>109</v>
      </c>
      <c r="E10" s="11">
        <v>136</v>
      </c>
      <c r="F10" s="12">
        <v>0</v>
      </c>
      <c r="G10" s="12">
        <v>0</v>
      </c>
      <c r="H10" s="10">
        <v>136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136</v>
      </c>
      <c r="U10" s="12">
        <v>0</v>
      </c>
      <c r="V10" s="12">
        <v>0</v>
      </c>
      <c r="W10" s="10">
        <v>136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1.24</v>
      </c>
      <c r="AK10" s="10">
        <v>1</v>
      </c>
      <c r="AL10" s="10">
        <v>3</v>
      </c>
      <c r="AM10" s="29">
        <v>32.98</v>
      </c>
    </row>
    <row r="11">
      <c r="A11" s="23">
        <v>1213</v>
      </c>
      <c r="B11" s="4" t="s">
        <v>35</v>
      </c>
      <c r="C11" s="5">
        <v>125</v>
      </c>
      <c r="D11" s="5">
        <v>121</v>
      </c>
      <c r="E11" s="6">
        <v>288</v>
      </c>
      <c r="F11" s="7">
        <v>0</v>
      </c>
      <c r="G11" s="7">
        <v>0</v>
      </c>
      <c r="H11" s="7">
        <v>0</v>
      </c>
      <c r="I11" s="5">
        <v>288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251</v>
      </c>
      <c r="U11" s="7">
        <v>0</v>
      </c>
      <c r="V11" s="7">
        <v>0</v>
      </c>
      <c r="W11" s="7">
        <v>0</v>
      </c>
      <c r="X11" s="5">
        <v>251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</v>
      </c>
      <c r="AK11" s="5">
        <v>1</v>
      </c>
      <c r="AL11" s="5">
        <v>80</v>
      </c>
      <c r="AM11" s="28">
        <v>62.26</v>
      </c>
    </row>
    <row r="12">
      <c r="A12" s="24">
        <v>1221</v>
      </c>
      <c r="B12" s="9" t="s">
        <v>36</v>
      </c>
      <c r="C12" s="10">
        <v>29</v>
      </c>
      <c r="D12" s="10">
        <v>29</v>
      </c>
      <c r="E12" s="11">
        <v>35</v>
      </c>
      <c r="F12" s="12">
        <v>0</v>
      </c>
      <c r="G12" s="10">
        <v>5</v>
      </c>
      <c r="H12" s="10">
        <v>4</v>
      </c>
      <c r="I12" s="10">
        <v>26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31</v>
      </c>
      <c r="U12" s="12">
        <v>0</v>
      </c>
      <c r="V12" s="10">
        <v>4</v>
      </c>
      <c r="W12" s="10">
        <v>4</v>
      </c>
      <c r="X12" s="10">
        <v>23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1.21</v>
      </c>
      <c r="AK12" s="10">
        <v>1</v>
      </c>
      <c r="AL12" s="10">
        <v>3</v>
      </c>
      <c r="AM12" s="29">
        <v>7.72</v>
      </c>
    </row>
    <row r="13">
      <c r="A13" s="23">
        <v>1222</v>
      </c>
      <c r="B13" s="4" t="s">
        <v>37</v>
      </c>
      <c r="C13" s="5">
        <v>6</v>
      </c>
      <c r="D13" s="5">
        <v>6</v>
      </c>
      <c r="E13" s="6">
        <v>7</v>
      </c>
      <c r="F13" s="5">
        <v>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7</v>
      </c>
      <c r="U13" s="5">
        <v>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2</v>
      </c>
      <c r="AM13" s="28">
        <v>2.58</v>
      </c>
    </row>
    <row r="14">
      <c r="A14" s="24">
        <v>1254</v>
      </c>
      <c r="B14" s="9" t="s">
        <v>38</v>
      </c>
      <c r="C14" s="10">
        <v>11</v>
      </c>
      <c r="D14" s="10">
        <v>11</v>
      </c>
      <c r="E14" s="11">
        <v>15</v>
      </c>
      <c r="F14" s="12">
        <v>0</v>
      </c>
      <c r="G14" s="12">
        <v>0</v>
      </c>
      <c r="H14" s="12">
        <v>0</v>
      </c>
      <c r="I14" s="10">
        <v>15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15</v>
      </c>
      <c r="U14" s="12">
        <v>0</v>
      </c>
      <c r="V14" s="12">
        <v>0</v>
      </c>
      <c r="W14" s="12">
        <v>0</v>
      </c>
      <c r="X14" s="10">
        <v>15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1.36</v>
      </c>
      <c r="AK14" s="10">
        <v>1</v>
      </c>
      <c r="AL14" s="10">
        <v>3</v>
      </c>
      <c r="AM14" s="29">
        <v>3.58</v>
      </c>
    </row>
    <row r="15">
      <c r="A15" s="23">
        <v>1293</v>
      </c>
      <c r="B15" s="4" t="s">
        <v>39</v>
      </c>
      <c r="C15" s="5">
        <v>3</v>
      </c>
      <c r="D15" s="5">
        <v>3</v>
      </c>
      <c r="E15" s="6">
        <v>3</v>
      </c>
      <c r="F15" s="7">
        <v>0</v>
      </c>
      <c r="G15" s="7">
        <v>0</v>
      </c>
      <c r="H15" s="7">
        <v>0</v>
      </c>
      <c r="I15" s="5">
        <v>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3</v>
      </c>
      <c r="U15" s="7">
        <v>0</v>
      </c>
      <c r="V15" s="7">
        <v>0</v>
      </c>
      <c r="W15" s="7">
        <v>0</v>
      </c>
      <c r="X15" s="5">
        <v>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0.73</v>
      </c>
    </row>
    <row r="16">
      <c r="A16" s="24">
        <v>1379</v>
      </c>
      <c r="B16" s="9" t="s">
        <v>40</v>
      </c>
      <c r="C16" s="10">
        <v>115</v>
      </c>
      <c r="D16" s="10">
        <v>114</v>
      </c>
      <c r="E16" s="11">
        <v>181</v>
      </c>
      <c r="F16" s="12">
        <v>0</v>
      </c>
      <c r="G16" s="12">
        <v>0</v>
      </c>
      <c r="H16" s="12">
        <v>0</v>
      </c>
      <c r="I16" s="10">
        <v>181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173</v>
      </c>
      <c r="U16" s="12">
        <v>0</v>
      </c>
      <c r="V16" s="12">
        <v>0</v>
      </c>
      <c r="W16" s="12">
        <v>0</v>
      </c>
      <c r="X16" s="10">
        <v>173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1.57</v>
      </c>
      <c r="AK16" s="10">
        <v>1</v>
      </c>
      <c r="AL16" s="10">
        <v>27</v>
      </c>
      <c r="AM16" s="29">
        <v>43.56</v>
      </c>
    </row>
    <row r="17">
      <c r="A17" s="23">
        <v>1423</v>
      </c>
      <c r="B17" s="4" t="s">
        <v>41</v>
      </c>
      <c r="C17" s="5">
        <v>21</v>
      </c>
      <c r="D17" s="5">
        <v>21</v>
      </c>
      <c r="E17" s="6">
        <v>37</v>
      </c>
      <c r="F17" s="7">
        <v>0</v>
      </c>
      <c r="G17" s="7">
        <v>0</v>
      </c>
      <c r="H17" s="7">
        <v>0</v>
      </c>
      <c r="I17" s="5">
        <v>37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34</v>
      </c>
      <c r="U17" s="7">
        <v>0</v>
      </c>
      <c r="V17" s="7">
        <v>0</v>
      </c>
      <c r="W17" s="7">
        <v>0</v>
      </c>
      <c r="X17" s="5">
        <v>34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1.76</v>
      </c>
      <c r="AK17" s="5">
        <v>1</v>
      </c>
      <c r="AL17" s="5">
        <v>16</v>
      </c>
      <c r="AM17" s="28">
        <v>8.43</v>
      </c>
    </row>
    <row r="18">
      <c r="A18" s="24">
        <v>1445</v>
      </c>
      <c r="B18" s="9" t="s">
        <v>42</v>
      </c>
      <c r="C18" s="10">
        <v>5</v>
      </c>
      <c r="D18" s="12">
        <v>0</v>
      </c>
      <c r="E18" s="11">
        <v>7</v>
      </c>
      <c r="F18" s="10">
        <v>1</v>
      </c>
      <c r="G18" s="12">
        <v>0</v>
      </c>
      <c r="H18" s="12">
        <v>0</v>
      </c>
      <c r="I18" s="12">
        <v>0</v>
      </c>
      <c r="J18" s="10">
        <v>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6</v>
      </c>
      <c r="U18" s="10">
        <v>1</v>
      </c>
      <c r="V18" s="12">
        <v>0</v>
      </c>
      <c r="W18" s="12">
        <v>0</v>
      </c>
      <c r="X18" s="12">
        <v>0</v>
      </c>
      <c r="Y18" s="10">
        <v>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</v>
      </c>
      <c r="AK18" s="10">
        <v>1</v>
      </c>
      <c r="AL18" s="10">
        <v>2</v>
      </c>
      <c r="AM18" s="31">
        <v>0</v>
      </c>
    </row>
    <row r="19">
      <c r="A19" s="23">
        <v>1538</v>
      </c>
      <c r="B19" s="4" t="s">
        <v>43</v>
      </c>
      <c r="C19" s="5">
        <v>37</v>
      </c>
      <c r="D19" s="5">
        <v>36</v>
      </c>
      <c r="E19" s="6">
        <v>164</v>
      </c>
      <c r="F19" s="7">
        <v>0</v>
      </c>
      <c r="G19" s="7">
        <v>0</v>
      </c>
      <c r="H19" s="7">
        <v>0</v>
      </c>
      <c r="I19" s="5">
        <v>164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155</v>
      </c>
      <c r="U19" s="7">
        <v>0</v>
      </c>
      <c r="V19" s="7">
        <v>0</v>
      </c>
      <c r="W19" s="7">
        <v>0</v>
      </c>
      <c r="X19" s="5">
        <v>155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4.43</v>
      </c>
      <c r="AK19" s="5">
        <v>1</v>
      </c>
      <c r="AL19" s="5">
        <v>70</v>
      </c>
      <c r="AM19" s="28">
        <v>38.74</v>
      </c>
    </row>
    <row r="20">
      <c r="A20" s="24">
        <v>1539</v>
      </c>
      <c r="B20" s="9" t="s">
        <v>44</v>
      </c>
      <c r="C20" s="10">
        <v>2</v>
      </c>
      <c r="D20" s="10">
        <v>1</v>
      </c>
      <c r="E20" s="11">
        <v>2</v>
      </c>
      <c r="F20" s="12">
        <v>0</v>
      </c>
      <c r="G20" s="12">
        <v>0</v>
      </c>
      <c r="H20" s="10">
        <v>2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</v>
      </c>
      <c r="U20" s="12">
        <v>0</v>
      </c>
      <c r="V20" s="12">
        <v>0</v>
      </c>
      <c r="W20" s="10">
        <v>2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1552</v>
      </c>
      <c r="B21" s="4" t="s">
        <v>45</v>
      </c>
      <c r="C21" s="5">
        <v>16</v>
      </c>
      <c r="D21" s="5">
        <v>3</v>
      </c>
      <c r="E21" s="6">
        <v>19</v>
      </c>
      <c r="F21" s="5">
        <v>1</v>
      </c>
      <c r="G21" s="7">
        <v>0</v>
      </c>
      <c r="H21" s="5">
        <v>18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18</v>
      </c>
      <c r="U21" s="5">
        <v>1</v>
      </c>
      <c r="V21" s="7">
        <v>0</v>
      </c>
      <c r="W21" s="5">
        <v>17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1.19</v>
      </c>
      <c r="AK21" s="5">
        <v>1</v>
      </c>
      <c r="AL21" s="5">
        <v>4</v>
      </c>
      <c r="AM21" s="28">
        <v>0.86</v>
      </c>
    </row>
    <row r="22">
      <c r="A22" s="24">
        <v>1559</v>
      </c>
      <c r="B22" s="9" t="s">
        <v>46</v>
      </c>
      <c r="C22" s="10">
        <v>32</v>
      </c>
      <c r="D22" s="10">
        <v>31</v>
      </c>
      <c r="E22" s="11">
        <v>63</v>
      </c>
      <c r="F22" s="12">
        <v>0</v>
      </c>
      <c r="G22" s="12">
        <v>0</v>
      </c>
      <c r="H22" s="12">
        <v>0</v>
      </c>
      <c r="I22" s="10">
        <v>63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60</v>
      </c>
      <c r="U22" s="12">
        <v>0</v>
      </c>
      <c r="V22" s="12">
        <v>0</v>
      </c>
      <c r="W22" s="12">
        <v>0</v>
      </c>
      <c r="X22" s="10">
        <v>60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1.97</v>
      </c>
      <c r="AK22" s="10">
        <v>1</v>
      </c>
      <c r="AL22" s="10">
        <v>15</v>
      </c>
      <c r="AM22" s="29">
        <v>12.31</v>
      </c>
    </row>
    <row r="23">
      <c r="A23" s="23">
        <v>1603</v>
      </c>
      <c r="B23" s="4" t="s">
        <v>47</v>
      </c>
      <c r="C23" s="5">
        <v>1</v>
      </c>
      <c r="D23" s="7">
        <v>0</v>
      </c>
      <c r="E23" s="6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30">
        <v>0</v>
      </c>
    </row>
    <row r="24">
      <c r="A24" s="24">
        <v>1750</v>
      </c>
      <c r="B24" s="9" t="s">
        <v>48</v>
      </c>
      <c r="C24" s="10">
        <v>1</v>
      </c>
      <c r="D24" s="10">
        <v>1</v>
      </c>
      <c r="E24" s="11">
        <v>1</v>
      </c>
      <c r="F24" s="12">
        <v>0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</v>
      </c>
      <c r="U24" s="12">
        <v>0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0.25</v>
      </c>
    </row>
    <row r="25">
      <c r="A25" s="23">
        <v>1761</v>
      </c>
      <c r="B25" s="4" t="s">
        <v>49</v>
      </c>
      <c r="C25" s="5">
        <v>5</v>
      </c>
      <c r="D25" s="5">
        <v>5</v>
      </c>
      <c r="E25" s="6">
        <v>6</v>
      </c>
      <c r="F25" s="7">
        <v>0</v>
      </c>
      <c r="G25" s="5">
        <v>1</v>
      </c>
      <c r="H25" s="7">
        <v>0</v>
      </c>
      <c r="I25" s="5">
        <v>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6</v>
      </c>
      <c r="U25" s="7">
        <v>0</v>
      </c>
      <c r="V25" s="5">
        <v>1</v>
      </c>
      <c r="W25" s="7">
        <v>0</v>
      </c>
      <c r="X25" s="5">
        <v>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</v>
      </c>
      <c r="AK25" s="5">
        <v>1</v>
      </c>
      <c r="AL25" s="5">
        <v>2</v>
      </c>
      <c r="AM25" s="28">
        <v>1.61</v>
      </c>
    </row>
    <row r="26">
      <c r="A26" s="24">
        <v>1779</v>
      </c>
      <c r="B26" s="9" t="s">
        <v>50</v>
      </c>
      <c r="C26" s="10">
        <v>22</v>
      </c>
      <c r="D26" s="10">
        <v>22</v>
      </c>
      <c r="E26" s="11">
        <v>93</v>
      </c>
      <c r="F26" s="12">
        <v>0</v>
      </c>
      <c r="G26" s="12">
        <v>0</v>
      </c>
      <c r="H26" s="12">
        <v>0</v>
      </c>
      <c r="I26" s="10">
        <v>93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80</v>
      </c>
      <c r="U26" s="12">
        <v>0</v>
      </c>
      <c r="V26" s="12">
        <v>0</v>
      </c>
      <c r="W26" s="12">
        <v>0</v>
      </c>
      <c r="X26" s="10">
        <v>80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4.23</v>
      </c>
      <c r="AK26" s="10">
        <v>1</v>
      </c>
      <c r="AL26" s="10">
        <v>35</v>
      </c>
      <c r="AM26" s="29">
        <v>20.11</v>
      </c>
    </row>
    <row r="27">
      <c r="A27" s="23">
        <v>1937</v>
      </c>
      <c r="B27" s="4" t="s">
        <v>51</v>
      </c>
      <c r="C27" s="5">
        <v>6</v>
      </c>
      <c r="D27" s="5">
        <v>4</v>
      </c>
      <c r="E27" s="6">
        <v>7</v>
      </c>
      <c r="F27" s="5">
        <v>7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6</v>
      </c>
      <c r="U27" s="5">
        <v>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1.17</v>
      </c>
      <c r="AK27" s="5">
        <v>1</v>
      </c>
      <c r="AL27" s="5">
        <v>2</v>
      </c>
      <c r="AM27" s="28">
        <v>0.97</v>
      </c>
    </row>
    <row r="28">
      <c r="A28" s="24">
        <v>1938</v>
      </c>
      <c r="B28" s="9" t="s">
        <v>52</v>
      </c>
      <c r="C28" s="10">
        <v>3</v>
      </c>
      <c r="D28" s="10">
        <v>3</v>
      </c>
      <c r="E28" s="11">
        <v>3</v>
      </c>
      <c r="F28" s="12">
        <v>0</v>
      </c>
      <c r="G28" s="10">
        <v>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3</v>
      </c>
      <c r="U28" s="12">
        <v>0</v>
      </c>
      <c r="V28" s="10">
        <v>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0.75</v>
      </c>
    </row>
    <row r="29">
      <c r="A29" s="23">
        <v>1939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</v>
      </c>
      <c r="U29" s="7">
        <v>0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0.25</v>
      </c>
    </row>
    <row r="30">
      <c r="A30" s="24">
        <v>1985</v>
      </c>
      <c r="B30" s="9" t="s">
        <v>54</v>
      </c>
      <c r="C30" s="10">
        <v>13</v>
      </c>
      <c r="D30" s="10">
        <v>9</v>
      </c>
      <c r="E30" s="11">
        <v>14</v>
      </c>
      <c r="F30" s="10">
        <v>14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13</v>
      </c>
      <c r="U30" s="10">
        <v>13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1.08</v>
      </c>
      <c r="AK30" s="10">
        <v>1</v>
      </c>
      <c r="AL30" s="10">
        <v>2</v>
      </c>
      <c r="AM30" s="29">
        <v>2.2</v>
      </c>
    </row>
    <row r="31">
      <c r="A31" s="23">
        <v>1988</v>
      </c>
      <c r="B31" s="4" t="s">
        <v>55</v>
      </c>
      <c r="C31" s="5">
        <v>30</v>
      </c>
      <c r="D31" s="5">
        <v>25</v>
      </c>
      <c r="E31" s="6">
        <v>31</v>
      </c>
      <c r="F31" s="7">
        <v>0</v>
      </c>
      <c r="G31" s="5">
        <v>31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30</v>
      </c>
      <c r="U31" s="7">
        <v>0</v>
      </c>
      <c r="V31" s="5">
        <v>30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1.03</v>
      </c>
      <c r="AK31" s="5">
        <v>1</v>
      </c>
      <c r="AL31" s="5">
        <v>2</v>
      </c>
      <c r="AM31" s="28">
        <v>6.56</v>
      </c>
    </row>
    <row r="32">
      <c r="A32" s="24">
        <v>2063</v>
      </c>
      <c r="B32" s="9" t="s">
        <v>56</v>
      </c>
      <c r="C32" s="10">
        <v>3</v>
      </c>
      <c r="D32" s="10">
        <v>2</v>
      </c>
      <c r="E32" s="11">
        <v>6</v>
      </c>
      <c r="F32" s="12">
        <v>0</v>
      </c>
      <c r="G32" s="12">
        <v>0</v>
      </c>
      <c r="H32" s="12">
        <v>0</v>
      </c>
      <c r="I32" s="10">
        <v>6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6</v>
      </c>
      <c r="U32" s="12">
        <v>0</v>
      </c>
      <c r="V32" s="12">
        <v>0</v>
      </c>
      <c r="W32" s="12">
        <v>0</v>
      </c>
      <c r="X32" s="10">
        <v>6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2</v>
      </c>
      <c r="AL32" s="10">
        <v>3</v>
      </c>
      <c r="AM32" s="29">
        <v>1.04</v>
      </c>
    </row>
    <row r="33">
      <c r="A33" s="23">
        <v>2072</v>
      </c>
      <c r="B33" s="4" t="s">
        <v>57</v>
      </c>
      <c r="C33" s="5">
        <v>82</v>
      </c>
      <c r="D33" s="5">
        <v>81</v>
      </c>
      <c r="E33" s="6">
        <v>139</v>
      </c>
      <c r="F33" s="7">
        <v>0</v>
      </c>
      <c r="G33" s="5">
        <v>139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138</v>
      </c>
      <c r="U33" s="7">
        <v>0</v>
      </c>
      <c r="V33" s="5">
        <v>138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</v>
      </c>
      <c r="AK33" s="5">
        <v>1</v>
      </c>
      <c r="AL33" s="5">
        <v>3</v>
      </c>
      <c r="AM33" s="28">
        <v>33.21</v>
      </c>
    </row>
    <row r="34">
      <c r="A34" s="25">
        <v>2193</v>
      </c>
      <c r="B34" s="16" t="s">
        <v>58</v>
      </c>
      <c r="C34" s="17">
        <v>6</v>
      </c>
      <c r="D34" s="17">
        <v>6</v>
      </c>
      <c r="E34" s="18">
        <v>6</v>
      </c>
      <c r="F34" s="17">
        <v>6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6</v>
      </c>
      <c r="U34" s="17">
        <v>6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</v>
      </c>
      <c r="AK34" s="17">
        <v>1</v>
      </c>
      <c r="AL34" s="17">
        <v>1</v>
      </c>
      <c r="AM34" s="32">
        <v>1.45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08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2435073852539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</v>
      </c>
      <c r="G3" s="5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5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0">
        <v>0</v>
      </c>
    </row>
    <row r="4">
      <c r="A4" s="24">
        <v>57</v>
      </c>
      <c r="B4" s="9" t="s">
        <v>69</v>
      </c>
      <c r="C4" s="9" t="s">
        <v>66</v>
      </c>
      <c r="D4" s="9" t="s">
        <v>67</v>
      </c>
      <c r="E4" s="9" t="s">
        <v>70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29">
        <v>0.72</v>
      </c>
    </row>
    <row r="5">
      <c r="A5" s="23">
        <v>58</v>
      </c>
      <c r="B5" s="4" t="s">
        <v>71</v>
      </c>
      <c r="C5" s="4" t="s">
        <v>66</v>
      </c>
      <c r="D5" s="4" t="s">
        <v>72</v>
      </c>
      <c r="E5" s="4" t="s">
        <v>73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3</v>
      </c>
      <c r="G6" s="12">
        <v>0</v>
      </c>
      <c r="H6" s="10">
        <v>1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2">
        <v>0</v>
      </c>
      <c r="W6" s="10">
        <v>1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0.5</v>
      </c>
    </row>
    <row r="7">
      <c r="A7" s="23">
        <v>112</v>
      </c>
      <c r="B7" s="4" t="s">
        <v>77</v>
      </c>
      <c r="C7" s="4" t="s">
        <v>66</v>
      </c>
      <c r="D7" s="4" t="s">
        <v>75</v>
      </c>
      <c r="E7" s="4" t="s">
        <v>76</v>
      </c>
      <c r="F7" s="6">
        <v>2</v>
      </c>
      <c r="G7" s="5">
        <v>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30">
        <v>0</v>
      </c>
    </row>
    <row r="8">
      <c r="A8" s="24">
        <v>140</v>
      </c>
      <c r="B8" s="9" t="s">
        <v>78</v>
      </c>
      <c r="C8" s="9" t="s">
        <v>66</v>
      </c>
      <c r="D8" s="9" t="s">
        <v>75</v>
      </c>
      <c r="E8" s="9" t="s">
        <v>79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1">
        <v>0</v>
      </c>
    </row>
    <row r="9">
      <c r="A9" s="23">
        <v>152</v>
      </c>
      <c r="B9" s="4" t="s">
        <v>80</v>
      </c>
      <c r="C9" s="4" t="s">
        <v>66</v>
      </c>
      <c r="D9" s="4" t="s">
        <v>81</v>
      </c>
      <c r="E9" s="4" t="s">
        <v>82</v>
      </c>
      <c r="F9" s="6">
        <v>6</v>
      </c>
      <c r="G9" s="7">
        <v>0</v>
      </c>
      <c r="H9" s="7">
        <v>0</v>
      </c>
      <c r="I9" s="5">
        <v>1</v>
      </c>
      <c r="J9" s="5">
        <v>5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6</v>
      </c>
      <c r="V9" s="7">
        <v>0</v>
      </c>
      <c r="W9" s="7">
        <v>0</v>
      </c>
      <c r="X9" s="5">
        <v>1</v>
      </c>
      <c r="Y9" s="5">
        <v>5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3</v>
      </c>
      <c r="AN9" s="28">
        <v>1.25</v>
      </c>
    </row>
    <row r="10">
      <c r="A10" s="24">
        <v>154</v>
      </c>
      <c r="B10" s="9" t="s">
        <v>83</v>
      </c>
      <c r="C10" s="9" t="s">
        <v>66</v>
      </c>
      <c r="D10" s="9" t="s">
        <v>84</v>
      </c>
      <c r="E10" s="9" t="s">
        <v>85</v>
      </c>
      <c r="F10" s="11">
        <v>1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0.24</v>
      </c>
    </row>
    <row r="11">
      <c r="A11" s="23">
        <v>159</v>
      </c>
      <c r="B11" s="4" t="s">
        <v>86</v>
      </c>
      <c r="C11" s="4" t="s">
        <v>66</v>
      </c>
      <c r="D11" s="4" t="s">
        <v>87</v>
      </c>
      <c r="E11" s="4" t="s">
        <v>88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161</v>
      </c>
      <c r="B12" s="9" t="s">
        <v>89</v>
      </c>
      <c r="C12" s="9" t="s">
        <v>66</v>
      </c>
      <c r="D12" s="9" t="s">
        <v>84</v>
      </c>
      <c r="E12" s="9" t="s">
        <v>90</v>
      </c>
      <c r="F12" s="11">
        <v>1</v>
      </c>
      <c r="G12" s="12">
        <v>0</v>
      </c>
      <c r="H12" s="10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0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164</v>
      </c>
      <c r="B13" s="4" t="s">
        <v>91</v>
      </c>
      <c r="C13" s="4" t="s">
        <v>66</v>
      </c>
      <c r="D13" s="4" t="s">
        <v>81</v>
      </c>
      <c r="E13" s="4" t="s">
        <v>92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168</v>
      </c>
      <c r="B14" s="9" t="s">
        <v>93</v>
      </c>
      <c r="C14" s="9" t="s">
        <v>66</v>
      </c>
      <c r="D14" s="9" t="s">
        <v>81</v>
      </c>
      <c r="E14" s="9" t="s">
        <v>92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175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178</v>
      </c>
      <c r="B16" s="9" t="s">
        <v>97</v>
      </c>
      <c r="C16" s="9" t="s">
        <v>66</v>
      </c>
      <c r="D16" s="9" t="s">
        <v>84</v>
      </c>
      <c r="E16" s="9" t="s">
        <v>98</v>
      </c>
      <c r="F16" s="11">
        <v>2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179</v>
      </c>
      <c r="B17" s="4" t="s">
        <v>99</v>
      </c>
      <c r="C17" s="4" t="s">
        <v>66</v>
      </c>
      <c r="D17" s="4" t="s">
        <v>81</v>
      </c>
      <c r="E17" s="4" t="s">
        <v>100</v>
      </c>
      <c r="F17" s="6">
        <v>2</v>
      </c>
      <c r="G17" s="7">
        <v>0</v>
      </c>
      <c r="H17" s="7">
        <v>0</v>
      </c>
      <c r="I17" s="5">
        <v>1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7">
        <v>0</v>
      </c>
      <c r="W17" s="7">
        <v>0</v>
      </c>
      <c r="X17" s="5">
        <v>1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0.26</v>
      </c>
    </row>
    <row r="18">
      <c r="A18" s="24">
        <v>187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1">
        <v>0</v>
      </c>
    </row>
    <row r="19">
      <c r="A19" s="23">
        <v>190</v>
      </c>
      <c r="B19" s="4" t="s">
        <v>104</v>
      </c>
      <c r="C19" s="4" t="s">
        <v>66</v>
      </c>
      <c r="D19" s="4" t="s">
        <v>105</v>
      </c>
      <c r="E19" s="4" t="s">
        <v>106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191</v>
      </c>
      <c r="B20" s="9" t="s">
        <v>107</v>
      </c>
      <c r="C20" s="9" t="s">
        <v>66</v>
      </c>
      <c r="D20" s="9" t="s">
        <v>105</v>
      </c>
      <c r="E20" s="9" t="s">
        <v>108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192</v>
      </c>
      <c r="B21" s="4" t="s">
        <v>109</v>
      </c>
      <c r="C21" s="4" t="s">
        <v>66</v>
      </c>
      <c r="D21" s="4" t="s">
        <v>110</v>
      </c>
      <c r="E21" s="4" t="s">
        <v>111</v>
      </c>
      <c r="F21" s="6">
        <v>1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193</v>
      </c>
      <c r="B22" s="9" t="s">
        <v>112</v>
      </c>
      <c r="C22" s="9" t="s">
        <v>66</v>
      </c>
      <c r="D22" s="9" t="s">
        <v>110</v>
      </c>
      <c r="E22" s="9" t="s">
        <v>113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200</v>
      </c>
      <c r="B23" s="4" t="s">
        <v>114</v>
      </c>
      <c r="C23" s="4" t="s">
        <v>66</v>
      </c>
      <c r="D23" s="4" t="s">
        <v>105</v>
      </c>
      <c r="E23" s="4" t="s">
        <v>106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202</v>
      </c>
      <c r="B24" s="9" t="s">
        <v>115</v>
      </c>
      <c r="C24" s="9" t="s">
        <v>66</v>
      </c>
      <c r="D24" s="9" t="s">
        <v>84</v>
      </c>
      <c r="E24" s="9" t="s">
        <v>90</v>
      </c>
      <c r="F24" s="11">
        <v>2</v>
      </c>
      <c r="G24" s="12">
        <v>0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2">
        <v>0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29">
        <v>0.52</v>
      </c>
    </row>
    <row r="25">
      <c r="A25" s="23">
        <v>203</v>
      </c>
      <c r="B25" s="4" t="s">
        <v>116</v>
      </c>
      <c r="C25" s="4" t="s">
        <v>66</v>
      </c>
      <c r="D25" s="4" t="s">
        <v>75</v>
      </c>
      <c r="E25" s="4" t="s">
        <v>117</v>
      </c>
      <c r="F25" s="6">
        <v>4</v>
      </c>
      <c r="G25" s="5">
        <v>1</v>
      </c>
      <c r="H25" s="7">
        <v>0</v>
      </c>
      <c r="I25" s="5">
        <v>2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4</v>
      </c>
      <c r="V25" s="5">
        <v>1</v>
      </c>
      <c r="W25" s="7">
        <v>0</v>
      </c>
      <c r="X25" s="5">
        <v>2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0.75</v>
      </c>
    </row>
    <row r="26">
      <c r="A26" s="24">
        <v>207</v>
      </c>
      <c r="B26" s="9" t="s">
        <v>118</v>
      </c>
      <c r="C26" s="9" t="s">
        <v>66</v>
      </c>
      <c r="D26" s="9" t="s">
        <v>67</v>
      </c>
      <c r="E26" s="9" t="s">
        <v>70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0.22</v>
      </c>
    </row>
    <row r="27">
      <c r="A27" s="23">
        <v>208</v>
      </c>
      <c r="B27" s="4" t="s">
        <v>119</v>
      </c>
      <c r="C27" s="4" t="s">
        <v>66</v>
      </c>
      <c r="D27" s="4" t="s">
        <v>110</v>
      </c>
      <c r="E27" s="4" t="s">
        <v>113</v>
      </c>
      <c r="F27" s="6">
        <v>7</v>
      </c>
      <c r="G27" s="5">
        <v>5</v>
      </c>
      <c r="H27" s="5">
        <v>1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6</v>
      </c>
      <c r="V27" s="5">
        <v>4</v>
      </c>
      <c r="W27" s="5">
        <v>1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1.4</v>
      </c>
      <c r="AL27" s="5">
        <v>1</v>
      </c>
      <c r="AM27" s="5">
        <v>2</v>
      </c>
      <c r="AN27" s="28">
        <v>0.5</v>
      </c>
    </row>
    <row r="28">
      <c r="A28" s="24">
        <v>217</v>
      </c>
      <c r="B28" s="9" t="s">
        <v>120</v>
      </c>
      <c r="C28" s="9" t="s">
        <v>66</v>
      </c>
      <c r="D28" s="9" t="s">
        <v>110</v>
      </c>
      <c r="E28" s="9" t="s">
        <v>121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218</v>
      </c>
      <c r="B29" s="4" t="s">
        <v>122</v>
      </c>
      <c r="C29" s="4" t="s">
        <v>66</v>
      </c>
      <c r="D29" s="4" t="s">
        <v>84</v>
      </c>
      <c r="E29" s="4" t="s">
        <v>90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221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6</v>
      </c>
      <c r="G30" s="10">
        <v>2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5</v>
      </c>
      <c r="V30" s="10">
        <v>2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3</v>
      </c>
      <c r="AL30" s="10">
        <v>3</v>
      </c>
      <c r="AM30" s="10">
        <v>4</v>
      </c>
      <c r="AN30" s="29">
        <v>0.75</v>
      </c>
    </row>
    <row r="31">
      <c r="A31" s="23">
        <v>222</v>
      </c>
      <c r="B31" s="4" t="s">
        <v>126</v>
      </c>
      <c r="C31" s="4" t="s">
        <v>66</v>
      </c>
      <c r="D31" s="4" t="s">
        <v>75</v>
      </c>
      <c r="E31" s="4" t="s">
        <v>127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227</v>
      </c>
      <c r="B32" s="9" t="s">
        <v>128</v>
      </c>
      <c r="C32" s="9" t="s">
        <v>66</v>
      </c>
      <c r="D32" s="9" t="s">
        <v>95</v>
      </c>
      <c r="E32" s="9" t="s">
        <v>129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5</v>
      </c>
      <c r="V32" s="10">
        <v>4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1</v>
      </c>
      <c r="AM32" s="10">
        <v>3</v>
      </c>
      <c r="AN32" s="29">
        <v>0.25</v>
      </c>
    </row>
    <row r="33">
      <c r="A33" s="23">
        <v>228</v>
      </c>
      <c r="B33" s="4" t="s">
        <v>130</v>
      </c>
      <c r="C33" s="4" t="s">
        <v>66</v>
      </c>
      <c r="D33" s="4" t="s">
        <v>102</v>
      </c>
      <c r="E33" s="4" t="s">
        <v>131</v>
      </c>
      <c r="F33" s="6">
        <v>1</v>
      </c>
      <c r="G33" s="7">
        <v>0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230</v>
      </c>
      <c r="B34" s="9" t="s">
        <v>132</v>
      </c>
      <c r="C34" s="9" t="s">
        <v>66</v>
      </c>
      <c r="D34" s="9" t="s">
        <v>84</v>
      </c>
      <c r="E34" s="9" t="s">
        <v>98</v>
      </c>
      <c r="F34" s="11">
        <v>3</v>
      </c>
      <c r="G34" s="10">
        <v>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3</v>
      </c>
      <c r="V34" s="10">
        <v>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</v>
      </c>
      <c r="AL34" s="10">
        <v>3</v>
      </c>
      <c r="AM34" s="10">
        <v>3</v>
      </c>
      <c r="AN34" s="31">
        <v>0</v>
      </c>
    </row>
    <row r="35">
      <c r="A35" s="23">
        <v>236</v>
      </c>
      <c r="B35" s="4" t="s">
        <v>133</v>
      </c>
      <c r="C35" s="4" t="s">
        <v>66</v>
      </c>
      <c r="D35" s="4" t="s">
        <v>81</v>
      </c>
      <c r="E35" s="4" t="s">
        <v>134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30">
        <v>0</v>
      </c>
    </row>
    <row r="36">
      <c r="A36" s="24">
        <v>240</v>
      </c>
      <c r="B36" s="9" t="s">
        <v>135</v>
      </c>
      <c r="C36" s="9" t="s">
        <v>66</v>
      </c>
      <c r="D36" s="9" t="s">
        <v>81</v>
      </c>
      <c r="E36" s="9" t="s">
        <v>136</v>
      </c>
      <c r="F36" s="11">
        <v>1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245</v>
      </c>
      <c r="B37" s="4" t="s">
        <v>137</v>
      </c>
      <c r="C37" s="4" t="s">
        <v>138</v>
      </c>
      <c r="D37" s="4" t="s">
        <v>139</v>
      </c>
      <c r="E37" s="4" t="s">
        <v>140</v>
      </c>
      <c r="F37" s="6">
        <v>1</v>
      </c>
      <c r="G37" s="7">
        <v>0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0.24</v>
      </c>
    </row>
    <row r="38">
      <c r="A38" s="24">
        <v>249</v>
      </c>
      <c r="B38" s="9" t="s">
        <v>141</v>
      </c>
      <c r="C38" s="9" t="s">
        <v>66</v>
      </c>
      <c r="D38" s="9" t="s">
        <v>142</v>
      </c>
      <c r="E38" s="9" t="s">
        <v>143</v>
      </c>
      <c r="F38" s="11">
        <v>2</v>
      </c>
      <c r="G38" s="12">
        <v>0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2">
        <v>0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29">
        <v>0.52</v>
      </c>
    </row>
    <row r="39">
      <c r="A39" s="23">
        <v>250</v>
      </c>
      <c r="B39" s="4" t="s">
        <v>144</v>
      </c>
      <c r="C39" s="4" t="s">
        <v>66</v>
      </c>
      <c r="D39" s="4" t="s">
        <v>81</v>
      </c>
      <c r="E39" s="4" t="s">
        <v>145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253</v>
      </c>
      <c r="B40" s="9" t="s">
        <v>146</v>
      </c>
      <c r="C40" s="9" t="s">
        <v>66</v>
      </c>
      <c r="D40" s="9" t="s">
        <v>110</v>
      </c>
      <c r="E40" s="9" t="s">
        <v>147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257</v>
      </c>
      <c r="B41" s="4" t="s">
        <v>148</v>
      </c>
      <c r="C41" s="4" t="s">
        <v>66</v>
      </c>
      <c r="D41" s="4" t="s">
        <v>84</v>
      </c>
      <c r="E41" s="4" t="s">
        <v>98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30">
        <v>0</v>
      </c>
    </row>
    <row r="42">
      <c r="A42" s="24">
        <v>264</v>
      </c>
      <c r="B42" s="9" t="s">
        <v>149</v>
      </c>
      <c r="C42" s="9" t="s">
        <v>66</v>
      </c>
      <c r="D42" s="9" t="s">
        <v>142</v>
      </c>
      <c r="E42" s="9" t="s">
        <v>143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1">
        <v>0</v>
      </c>
    </row>
    <row r="43">
      <c r="A43" s="23">
        <v>265</v>
      </c>
      <c r="B43" s="4" t="s">
        <v>150</v>
      </c>
      <c r="C43" s="4" t="s">
        <v>66</v>
      </c>
      <c r="D43" s="4" t="s">
        <v>81</v>
      </c>
      <c r="E43" s="4" t="s">
        <v>145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266</v>
      </c>
      <c r="B44" s="9" t="s">
        <v>151</v>
      </c>
      <c r="C44" s="9" t="s">
        <v>152</v>
      </c>
      <c r="D44" s="9" t="s">
        <v>153</v>
      </c>
      <c r="E44" s="9" t="s">
        <v>154</v>
      </c>
      <c r="F44" s="11">
        <v>2</v>
      </c>
      <c r="G44" s="10">
        <v>1</v>
      </c>
      <c r="H44" s="12">
        <v>0</v>
      </c>
      <c r="I44" s="12">
        <v>0</v>
      </c>
      <c r="J44" s="12">
        <v>0</v>
      </c>
      <c r="K44" s="10">
        <v>1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0">
        <v>1</v>
      </c>
      <c r="W44" s="12">
        <v>0</v>
      </c>
      <c r="X44" s="12">
        <v>0</v>
      </c>
      <c r="Y44" s="12">
        <v>0</v>
      </c>
      <c r="Z44" s="10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267</v>
      </c>
      <c r="B45" s="4" t="s">
        <v>155</v>
      </c>
      <c r="C45" s="4" t="s">
        <v>66</v>
      </c>
      <c r="D45" s="4" t="s">
        <v>87</v>
      </c>
      <c r="E45" s="4" t="s">
        <v>156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30">
        <v>0</v>
      </c>
    </row>
    <row r="46">
      <c r="A46" s="24">
        <v>268</v>
      </c>
      <c r="B46" s="9" t="s">
        <v>157</v>
      </c>
      <c r="C46" s="9" t="s">
        <v>66</v>
      </c>
      <c r="D46" s="9" t="s">
        <v>87</v>
      </c>
      <c r="E46" s="9" t="s">
        <v>156</v>
      </c>
      <c r="F46" s="11">
        <v>5</v>
      </c>
      <c r="G46" s="10">
        <v>5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5</v>
      </c>
      <c r="V46" s="10">
        <v>5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5</v>
      </c>
      <c r="AK46" s="13">
        <v>5</v>
      </c>
      <c r="AL46" s="10">
        <v>5</v>
      </c>
      <c r="AM46" s="10">
        <v>5</v>
      </c>
      <c r="AN46" s="31">
        <v>0</v>
      </c>
    </row>
    <row r="47">
      <c r="A47" s="23">
        <v>269</v>
      </c>
      <c r="B47" s="4" t="s">
        <v>158</v>
      </c>
      <c r="C47" s="4" t="s">
        <v>66</v>
      </c>
      <c r="D47" s="4" t="s">
        <v>124</v>
      </c>
      <c r="E47" s="4" t="s">
        <v>125</v>
      </c>
      <c r="F47" s="6">
        <v>1</v>
      </c>
      <c r="G47" s="7">
        <v>0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272</v>
      </c>
      <c r="B48" s="9" t="s">
        <v>159</v>
      </c>
      <c r="C48" s="9" t="s">
        <v>66</v>
      </c>
      <c r="D48" s="9" t="s">
        <v>160</v>
      </c>
      <c r="E48" s="9" t="s">
        <v>161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1">
        <v>0</v>
      </c>
    </row>
    <row r="49">
      <c r="A49" s="23">
        <v>274</v>
      </c>
      <c r="B49" s="4" t="s">
        <v>162</v>
      </c>
      <c r="C49" s="4" t="s">
        <v>66</v>
      </c>
      <c r="D49" s="4" t="s">
        <v>110</v>
      </c>
      <c r="E49" s="4" t="s">
        <v>147</v>
      </c>
      <c r="F49" s="6">
        <v>2</v>
      </c>
      <c r="G49" s="5">
        <v>1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1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0.5</v>
      </c>
    </row>
    <row r="50">
      <c r="A50" s="24">
        <v>278</v>
      </c>
      <c r="B50" s="9" t="s">
        <v>163</v>
      </c>
      <c r="C50" s="9" t="s">
        <v>66</v>
      </c>
      <c r="D50" s="9" t="s">
        <v>81</v>
      </c>
      <c r="E50" s="9" t="s">
        <v>82</v>
      </c>
      <c r="F50" s="11">
        <v>1</v>
      </c>
      <c r="G50" s="12">
        <v>0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282</v>
      </c>
      <c r="B51" s="4" t="s">
        <v>164</v>
      </c>
      <c r="C51" s="4" t="s">
        <v>66</v>
      </c>
      <c r="D51" s="4" t="s">
        <v>110</v>
      </c>
      <c r="E51" s="4" t="s">
        <v>111</v>
      </c>
      <c r="F51" s="6">
        <v>1</v>
      </c>
      <c r="G51" s="7">
        <v>0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0.22</v>
      </c>
    </row>
    <row r="52">
      <c r="A52" s="24">
        <v>286</v>
      </c>
      <c r="B52" s="9" t="s">
        <v>165</v>
      </c>
      <c r="C52" s="9" t="s">
        <v>66</v>
      </c>
      <c r="D52" s="9" t="s">
        <v>67</v>
      </c>
      <c r="E52" s="9" t="s">
        <v>166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0.22</v>
      </c>
    </row>
    <row r="53">
      <c r="A53" s="23">
        <v>288</v>
      </c>
      <c r="B53" s="4" t="s">
        <v>167</v>
      </c>
      <c r="C53" s="4" t="s">
        <v>66</v>
      </c>
      <c r="D53" s="4" t="s">
        <v>110</v>
      </c>
      <c r="E53" s="4" t="s">
        <v>147</v>
      </c>
      <c r="F53" s="6">
        <v>4</v>
      </c>
      <c r="G53" s="7">
        <v>0</v>
      </c>
      <c r="H53" s="7">
        <v>0</v>
      </c>
      <c r="I53" s="5">
        <v>1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7">
        <v>0</v>
      </c>
      <c r="W53" s="7">
        <v>0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1.33</v>
      </c>
      <c r="AL53" s="5">
        <v>1</v>
      </c>
      <c r="AM53" s="5">
        <v>2</v>
      </c>
      <c r="AN53" s="28">
        <v>0.5</v>
      </c>
    </row>
    <row r="54">
      <c r="A54" s="24">
        <v>309</v>
      </c>
      <c r="B54" s="9" t="s">
        <v>168</v>
      </c>
      <c r="C54" s="9" t="s">
        <v>152</v>
      </c>
      <c r="D54" s="9" t="s">
        <v>169</v>
      </c>
      <c r="E54" s="9" t="s">
        <v>170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0.22</v>
      </c>
    </row>
    <row r="55">
      <c r="A55" s="23">
        <v>312</v>
      </c>
      <c r="B55" s="4" t="s">
        <v>171</v>
      </c>
      <c r="C55" s="4" t="s">
        <v>66</v>
      </c>
      <c r="D55" s="4" t="s">
        <v>84</v>
      </c>
      <c r="E55" s="4" t="s">
        <v>98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321</v>
      </c>
      <c r="B56" s="9" t="s">
        <v>172</v>
      </c>
      <c r="C56" s="9" t="s">
        <v>66</v>
      </c>
      <c r="D56" s="9" t="s">
        <v>72</v>
      </c>
      <c r="E56" s="9" t="s">
        <v>73</v>
      </c>
      <c r="F56" s="11">
        <v>1</v>
      </c>
      <c r="G56" s="12">
        <v>0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2">
        <v>0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1">
        <v>0</v>
      </c>
    </row>
    <row r="57">
      <c r="A57" s="23">
        <v>322</v>
      </c>
      <c r="B57" s="4" t="s">
        <v>173</v>
      </c>
      <c r="C57" s="4" t="s">
        <v>66</v>
      </c>
      <c r="D57" s="4" t="s">
        <v>72</v>
      </c>
      <c r="E57" s="4" t="s">
        <v>73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325</v>
      </c>
      <c r="B58" s="9" t="s">
        <v>174</v>
      </c>
      <c r="C58" s="9" t="s">
        <v>66</v>
      </c>
      <c r="D58" s="9" t="s">
        <v>72</v>
      </c>
      <c r="E58" s="9" t="s">
        <v>73</v>
      </c>
      <c r="F58" s="11">
        <v>3</v>
      </c>
      <c r="G58" s="10">
        <v>1</v>
      </c>
      <c r="H58" s="12">
        <v>0</v>
      </c>
      <c r="I58" s="10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0">
        <v>1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31">
        <v>0</v>
      </c>
    </row>
    <row r="59">
      <c r="A59" s="23">
        <v>329</v>
      </c>
      <c r="B59" s="4" t="s">
        <v>175</v>
      </c>
      <c r="C59" s="4" t="s">
        <v>152</v>
      </c>
      <c r="D59" s="4" t="s">
        <v>169</v>
      </c>
      <c r="E59" s="4" t="s">
        <v>176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331</v>
      </c>
      <c r="B60" s="9" t="s">
        <v>177</v>
      </c>
      <c r="C60" s="9" t="s">
        <v>152</v>
      </c>
      <c r="D60" s="9" t="s">
        <v>178</v>
      </c>
      <c r="E60" s="9" t="s">
        <v>179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1">
        <v>0</v>
      </c>
    </row>
    <row r="61">
      <c r="A61" s="23">
        <v>333</v>
      </c>
      <c r="B61" s="4" t="s">
        <v>180</v>
      </c>
      <c r="C61" s="4" t="s">
        <v>152</v>
      </c>
      <c r="D61" s="4" t="s">
        <v>181</v>
      </c>
      <c r="E61" s="4" t="s">
        <v>182</v>
      </c>
      <c r="F61" s="6">
        <v>1</v>
      </c>
      <c r="G61" s="7">
        <v>0</v>
      </c>
      <c r="H61" s="7">
        <v>0</v>
      </c>
      <c r="I61" s="7">
        <v>0</v>
      </c>
      <c r="J61" s="7">
        <v>0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7">
        <v>0</v>
      </c>
      <c r="Y61" s="7">
        <v>0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334</v>
      </c>
      <c r="B62" s="9" t="s">
        <v>183</v>
      </c>
      <c r="C62" s="9" t="s">
        <v>152</v>
      </c>
      <c r="D62" s="9" t="s">
        <v>169</v>
      </c>
      <c r="E62" s="9" t="s">
        <v>170</v>
      </c>
      <c r="F62" s="11">
        <v>3</v>
      </c>
      <c r="G62" s="10">
        <v>2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0">
        <v>2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0.75</v>
      </c>
    </row>
    <row r="63">
      <c r="A63" s="23">
        <v>337</v>
      </c>
      <c r="B63" s="4" t="s">
        <v>184</v>
      </c>
      <c r="C63" s="4" t="s">
        <v>152</v>
      </c>
      <c r="D63" s="4" t="s">
        <v>169</v>
      </c>
      <c r="E63" s="4" t="s">
        <v>185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339</v>
      </c>
      <c r="B64" s="9" t="s">
        <v>186</v>
      </c>
      <c r="C64" s="9" t="s">
        <v>152</v>
      </c>
      <c r="D64" s="9" t="s">
        <v>187</v>
      </c>
      <c r="E64" s="9" t="s">
        <v>188</v>
      </c>
      <c r="F64" s="11">
        <v>1</v>
      </c>
      <c r="G64" s="12">
        <v>0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1">
        <v>0</v>
      </c>
    </row>
    <row r="65">
      <c r="A65" s="23">
        <v>344</v>
      </c>
      <c r="B65" s="4" t="s">
        <v>189</v>
      </c>
      <c r="C65" s="4" t="s">
        <v>152</v>
      </c>
      <c r="D65" s="4" t="s">
        <v>181</v>
      </c>
      <c r="E65" s="4" t="s">
        <v>190</v>
      </c>
      <c r="F65" s="6">
        <v>1</v>
      </c>
      <c r="G65" s="7">
        <v>0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347</v>
      </c>
      <c r="B66" s="9" t="s">
        <v>191</v>
      </c>
      <c r="C66" s="9" t="s">
        <v>152</v>
      </c>
      <c r="D66" s="9" t="s">
        <v>192</v>
      </c>
      <c r="E66" s="9" t="s">
        <v>193</v>
      </c>
      <c r="F66" s="11">
        <v>4</v>
      </c>
      <c r="G66" s="12">
        <v>0</v>
      </c>
      <c r="H66" s="10">
        <v>2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3</v>
      </c>
      <c r="V66" s="12">
        <v>0</v>
      </c>
      <c r="W66" s="10">
        <v>1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29">
        <v>0.72</v>
      </c>
    </row>
    <row r="67">
      <c r="A67" s="23">
        <v>351</v>
      </c>
      <c r="B67" s="4" t="s">
        <v>194</v>
      </c>
      <c r="C67" s="4" t="s">
        <v>66</v>
      </c>
      <c r="D67" s="4" t="s">
        <v>84</v>
      </c>
      <c r="E67" s="4" t="s">
        <v>195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355</v>
      </c>
      <c r="B68" s="9" t="s">
        <v>196</v>
      </c>
      <c r="C68" s="9" t="s">
        <v>152</v>
      </c>
      <c r="D68" s="9" t="s">
        <v>181</v>
      </c>
      <c r="E68" s="9" t="s">
        <v>190</v>
      </c>
      <c r="F68" s="11">
        <v>3</v>
      </c>
      <c r="G68" s="10">
        <v>1</v>
      </c>
      <c r="H68" s="12">
        <v>0</v>
      </c>
      <c r="I68" s="10">
        <v>1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3</v>
      </c>
      <c r="V68" s="10">
        <v>1</v>
      </c>
      <c r="W68" s="12">
        <v>0</v>
      </c>
      <c r="X68" s="10">
        <v>1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1">
        <v>0</v>
      </c>
    </row>
    <row r="69">
      <c r="A69" s="23">
        <v>358</v>
      </c>
      <c r="B69" s="4" t="s">
        <v>197</v>
      </c>
      <c r="C69" s="4" t="s">
        <v>152</v>
      </c>
      <c r="D69" s="4" t="s">
        <v>169</v>
      </c>
      <c r="E69" s="4" t="s">
        <v>170</v>
      </c>
      <c r="F69" s="6">
        <v>2</v>
      </c>
      <c r="G69" s="5">
        <v>1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2</v>
      </c>
      <c r="V69" s="5">
        <v>1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359</v>
      </c>
      <c r="B70" s="9" t="s">
        <v>198</v>
      </c>
      <c r="C70" s="9" t="s">
        <v>152</v>
      </c>
      <c r="D70" s="9" t="s">
        <v>181</v>
      </c>
      <c r="E70" s="9" t="s">
        <v>182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1">
        <v>0</v>
      </c>
    </row>
    <row r="71">
      <c r="A71" s="23">
        <v>367</v>
      </c>
      <c r="B71" s="4" t="s">
        <v>199</v>
      </c>
      <c r="C71" s="4" t="s">
        <v>66</v>
      </c>
      <c r="D71" s="4" t="s">
        <v>110</v>
      </c>
      <c r="E71" s="4" t="s">
        <v>113</v>
      </c>
      <c r="F71" s="6">
        <v>5</v>
      </c>
      <c r="G71" s="5">
        <v>2</v>
      </c>
      <c r="H71" s="7">
        <v>0</v>
      </c>
      <c r="I71" s="7">
        <v>0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</v>
      </c>
      <c r="V71" s="5">
        <v>2</v>
      </c>
      <c r="W71" s="7">
        <v>0</v>
      </c>
      <c r="X71" s="7">
        <v>0</v>
      </c>
      <c r="Y71" s="5">
        <v>3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1.25</v>
      </c>
      <c r="AL71" s="5">
        <v>1</v>
      </c>
      <c r="AM71" s="5">
        <v>2</v>
      </c>
      <c r="AN71" s="28">
        <v>1.35</v>
      </c>
    </row>
    <row r="72">
      <c r="A72" s="24">
        <v>397</v>
      </c>
      <c r="B72" s="9" t="s">
        <v>200</v>
      </c>
      <c r="C72" s="9" t="s">
        <v>66</v>
      </c>
      <c r="D72" s="9" t="s">
        <v>95</v>
      </c>
      <c r="E72" s="9" t="s">
        <v>201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405</v>
      </c>
      <c r="B73" s="4" t="s">
        <v>202</v>
      </c>
      <c r="C73" s="4" t="s">
        <v>66</v>
      </c>
      <c r="D73" s="4" t="s">
        <v>75</v>
      </c>
      <c r="E73" s="4" t="s">
        <v>117</v>
      </c>
      <c r="F73" s="6">
        <v>80</v>
      </c>
      <c r="G73" s="7">
        <v>0</v>
      </c>
      <c r="H73" s="7">
        <v>0</v>
      </c>
      <c r="I73" s="7">
        <v>0</v>
      </c>
      <c r="J73" s="5">
        <v>80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69</v>
      </c>
      <c r="V73" s="7">
        <v>0</v>
      </c>
      <c r="W73" s="7">
        <v>0</v>
      </c>
      <c r="X73" s="7">
        <v>0</v>
      </c>
      <c r="Y73" s="5">
        <v>69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80</v>
      </c>
      <c r="AK73" s="8">
        <v>80</v>
      </c>
      <c r="AL73" s="5">
        <v>80</v>
      </c>
      <c r="AM73" s="5">
        <v>80</v>
      </c>
      <c r="AN73" s="28">
        <v>17.94</v>
      </c>
    </row>
    <row r="74">
      <c r="A74" s="24">
        <v>407</v>
      </c>
      <c r="B74" s="9" t="s">
        <v>203</v>
      </c>
      <c r="C74" s="9" t="s">
        <v>66</v>
      </c>
      <c r="D74" s="9" t="s">
        <v>84</v>
      </c>
      <c r="E74" s="9" t="s">
        <v>90</v>
      </c>
      <c r="F74" s="11">
        <v>7</v>
      </c>
      <c r="G74" s="10">
        <v>1</v>
      </c>
      <c r="H74" s="10">
        <v>1</v>
      </c>
      <c r="I74" s="12">
        <v>0</v>
      </c>
      <c r="J74" s="10">
        <v>5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5</v>
      </c>
      <c r="V74" s="10">
        <v>1</v>
      </c>
      <c r="W74" s="10">
        <v>1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1.75</v>
      </c>
      <c r="AL74" s="10">
        <v>1</v>
      </c>
      <c r="AM74" s="10">
        <v>3</v>
      </c>
      <c r="AN74" s="29">
        <v>0.44</v>
      </c>
    </row>
    <row r="75">
      <c r="A75" s="23">
        <v>420</v>
      </c>
      <c r="B75" s="4" t="s">
        <v>204</v>
      </c>
      <c r="C75" s="4" t="s">
        <v>66</v>
      </c>
      <c r="D75" s="4" t="s">
        <v>110</v>
      </c>
      <c r="E75" s="4" t="s">
        <v>205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0.26</v>
      </c>
    </row>
    <row r="76">
      <c r="A76" s="24">
        <v>425</v>
      </c>
      <c r="B76" s="9" t="s">
        <v>206</v>
      </c>
      <c r="C76" s="9" t="s">
        <v>66</v>
      </c>
      <c r="D76" s="9" t="s">
        <v>110</v>
      </c>
      <c r="E76" s="9" t="s">
        <v>207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428</v>
      </c>
      <c r="B77" s="4" t="s">
        <v>208</v>
      </c>
      <c r="C77" s="4" t="s">
        <v>66</v>
      </c>
      <c r="D77" s="4" t="s">
        <v>81</v>
      </c>
      <c r="E77" s="4" t="s">
        <v>209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0.52</v>
      </c>
    </row>
    <row r="78">
      <c r="A78" s="24">
        <v>430</v>
      </c>
      <c r="B78" s="9" t="s">
        <v>210</v>
      </c>
      <c r="C78" s="9" t="s">
        <v>66</v>
      </c>
      <c r="D78" s="9" t="s">
        <v>84</v>
      </c>
      <c r="E78" s="9" t="s">
        <v>98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31">
        <v>0</v>
      </c>
    </row>
    <row r="79">
      <c r="A79" s="23">
        <v>435</v>
      </c>
      <c r="B79" s="4" t="s">
        <v>211</v>
      </c>
      <c r="C79" s="4" t="s">
        <v>66</v>
      </c>
      <c r="D79" s="4" t="s">
        <v>110</v>
      </c>
      <c r="E79" s="4" t="s">
        <v>121</v>
      </c>
      <c r="F79" s="6">
        <v>5</v>
      </c>
      <c r="G79" s="5">
        <v>2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5">
        <v>2</v>
      </c>
      <c r="W79" s="7">
        <v>0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0.52</v>
      </c>
    </row>
    <row r="80">
      <c r="A80" s="24">
        <v>437</v>
      </c>
      <c r="B80" s="9" t="s">
        <v>212</v>
      </c>
      <c r="C80" s="9" t="s">
        <v>66</v>
      </c>
      <c r="D80" s="9" t="s">
        <v>75</v>
      </c>
      <c r="E80" s="9" t="s">
        <v>213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441</v>
      </c>
      <c r="B81" s="4" t="s">
        <v>214</v>
      </c>
      <c r="C81" s="4" t="s">
        <v>66</v>
      </c>
      <c r="D81" s="4" t="s">
        <v>102</v>
      </c>
      <c r="E81" s="4" t="s">
        <v>215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0.22</v>
      </c>
    </row>
    <row r="82">
      <c r="A82" s="24">
        <v>443</v>
      </c>
      <c r="B82" s="9" t="s">
        <v>216</v>
      </c>
      <c r="C82" s="9" t="s">
        <v>66</v>
      </c>
      <c r="D82" s="9" t="s">
        <v>75</v>
      </c>
      <c r="E82" s="9" t="s">
        <v>217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1">
        <v>0</v>
      </c>
    </row>
    <row r="83">
      <c r="A83" s="23">
        <v>445</v>
      </c>
      <c r="B83" s="4" t="s">
        <v>218</v>
      </c>
      <c r="C83" s="4" t="s">
        <v>66</v>
      </c>
      <c r="D83" s="4" t="s">
        <v>84</v>
      </c>
      <c r="E83" s="4" t="s">
        <v>98</v>
      </c>
      <c r="F83" s="6">
        <v>3</v>
      </c>
      <c r="G83" s="5">
        <v>2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2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0.25</v>
      </c>
    </row>
    <row r="84">
      <c r="A84" s="24">
        <v>446</v>
      </c>
      <c r="B84" s="9" t="s">
        <v>219</v>
      </c>
      <c r="C84" s="9" t="s">
        <v>66</v>
      </c>
      <c r="D84" s="9" t="s">
        <v>102</v>
      </c>
      <c r="E84" s="9" t="s">
        <v>131</v>
      </c>
      <c r="F84" s="11">
        <v>2</v>
      </c>
      <c r="G84" s="12">
        <v>0</v>
      </c>
      <c r="H84" s="12">
        <v>0</v>
      </c>
      <c r="I84" s="10">
        <v>1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2">
        <v>0</v>
      </c>
      <c r="W84" s="12">
        <v>0</v>
      </c>
      <c r="X84" s="10">
        <v>1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0.44</v>
      </c>
    </row>
    <row r="85">
      <c r="A85" s="23">
        <v>450</v>
      </c>
      <c r="B85" s="4" t="s">
        <v>220</v>
      </c>
      <c r="C85" s="4" t="s">
        <v>66</v>
      </c>
      <c r="D85" s="4" t="s">
        <v>84</v>
      </c>
      <c r="E85" s="4" t="s">
        <v>98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452</v>
      </c>
      <c r="B86" s="9" t="s">
        <v>221</v>
      </c>
      <c r="C86" s="9" t="s">
        <v>66</v>
      </c>
      <c r="D86" s="9" t="s">
        <v>75</v>
      </c>
      <c r="E86" s="9" t="s">
        <v>117</v>
      </c>
      <c r="F86" s="11">
        <v>3</v>
      </c>
      <c r="G86" s="12">
        <v>0</v>
      </c>
      <c r="H86" s="10">
        <v>3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3</v>
      </c>
      <c r="V86" s="12">
        <v>0</v>
      </c>
      <c r="W86" s="10">
        <v>3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29">
        <v>0.75</v>
      </c>
    </row>
    <row r="87">
      <c r="A87" s="23">
        <v>458</v>
      </c>
      <c r="B87" s="4" t="s">
        <v>222</v>
      </c>
      <c r="C87" s="4" t="s">
        <v>66</v>
      </c>
      <c r="D87" s="4" t="s">
        <v>110</v>
      </c>
      <c r="E87" s="4" t="s">
        <v>147</v>
      </c>
      <c r="F87" s="6">
        <v>2</v>
      </c>
      <c r="G87" s="5">
        <v>1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5">
        <v>1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</v>
      </c>
    </row>
    <row r="88">
      <c r="A88" s="24">
        <v>462</v>
      </c>
      <c r="B88" s="9" t="s">
        <v>223</v>
      </c>
      <c r="C88" s="9" t="s">
        <v>66</v>
      </c>
      <c r="D88" s="9" t="s">
        <v>142</v>
      </c>
      <c r="E88" s="9" t="s">
        <v>143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465</v>
      </c>
      <c r="B89" s="4" t="s">
        <v>224</v>
      </c>
      <c r="C89" s="4" t="s">
        <v>66</v>
      </c>
      <c r="D89" s="4" t="s">
        <v>84</v>
      </c>
      <c r="E89" s="4" t="s">
        <v>225</v>
      </c>
      <c r="F89" s="6">
        <v>1</v>
      </c>
      <c r="G89" s="7">
        <v>0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473</v>
      </c>
      <c r="B90" s="9" t="s">
        <v>226</v>
      </c>
      <c r="C90" s="9" t="s">
        <v>152</v>
      </c>
      <c r="D90" s="9" t="s">
        <v>192</v>
      </c>
      <c r="E90" s="9" t="s">
        <v>193</v>
      </c>
      <c r="F90" s="11">
        <v>1</v>
      </c>
      <c r="G90" s="12">
        <v>0</v>
      </c>
      <c r="H90" s="12">
        <v>0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1">
        <v>0</v>
      </c>
    </row>
    <row r="91">
      <c r="A91" s="23">
        <v>482</v>
      </c>
      <c r="B91" s="4" t="s">
        <v>227</v>
      </c>
      <c r="C91" s="4" t="s">
        <v>66</v>
      </c>
      <c r="D91" s="4" t="s">
        <v>110</v>
      </c>
      <c r="E91" s="4" t="s">
        <v>228</v>
      </c>
      <c r="F91" s="6">
        <v>2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486</v>
      </c>
      <c r="B92" s="9" t="s">
        <v>229</v>
      </c>
      <c r="C92" s="9" t="s">
        <v>66</v>
      </c>
      <c r="D92" s="9" t="s">
        <v>84</v>
      </c>
      <c r="E92" s="9" t="s">
        <v>98</v>
      </c>
      <c r="F92" s="11">
        <v>2</v>
      </c>
      <c r="G92" s="10">
        <v>1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1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0.25</v>
      </c>
    </row>
    <row r="93">
      <c r="A93" s="23">
        <v>490</v>
      </c>
      <c r="B93" s="4" t="s">
        <v>230</v>
      </c>
      <c r="C93" s="4" t="s">
        <v>66</v>
      </c>
      <c r="D93" s="4" t="s">
        <v>84</v>
      </c>
      <c r="E93" s="4" t="s">
        <v>98</v>
      </c>
      <c r="F93" s="6">
        <v>44</v>
      </c>
      <c r="G93" s="5">
        <v>2</v>
      </c>
      <c r="H93" s="5">
        <v>3</v>
      </c>
      <c r="I93" s="7">
        <v>0</v>
      </c>
      <c r="J93" s="5">
        <v>39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40</v>
      </c>
      <c r="V93" s="5">
        <v>2</v>
      </c>
      <c r="W93" s="5">
        <v>3</v>
      </c>
      <c r="X93" s="7">
        <v>0</v>
      </c>
      <c r="Y93" s="5">
        <v>35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8.8</v>
      </c>
      <c r="AL93" s="5">
        <v>2</v>
      </c>
      <c r="AM93" s="5">
        <v>35</v>
      </c>
      <c r="AN93" s="28">
        <v>9.88</v>
      </c>
    </row>
    <row r="94">
      <c r="A94" s="24">
        <v>495</v>
      </c>
      <c r="B94" s="9" t="s">
        <v>231</v>
      </c>
      <c r="C94" s="9" t="s">
        <v>66</v>
      </c>
      <c r="D94" s="9" t="s">
        <v>81</v>
      </c>
      <c r="E94" s="9" t="s">
        <v>82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0.26</v>
      </c>
    </row>
    <row r="95">
      <c r="A95" s="23">
        <v>500</v>
      </c>
      <c r="B95" s="4" t="s">
        <v>232</v>
      </c>
      <c r="C95" s="4" t="s">
        <v>138</v>
      </c>
      <c r="D95" s="4" t="s">
        <v>233</v>
      </c>
      <c r="E95" s="4" t="s">
        <v>234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0.26</v>
      </c>
    </row>
    <row r="96">
      <c r="A96" s="24">
        <v>512</v>
      </c>
      <c r="B96" s="9" t="s">
        <v>235</v>
      </c>
      <c r="C96" s="9" t="s">
        <v>66</v>
      </c>
      <c r="D96" s="9" t="s">
        <v>110</v>
      </c>
      <c r="E96" s="9" t="s">
        <v>111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1">
        <v>0</v>
      </c>
    </row>
    <row r="97">
      <c r="A97" s="23">
        <v>521</v>
      </c>
      <c r="B97" s="4" t="s">
        <v>236</v>
      </c>
      <c r="C97" s="4" t="s">
        <v>66</v>
      </c>
      <c r="D97" s="4" t="s">
        <v>67</v>
      </c>
      <c r="E97" s="4" t="s">
        <v>70</v>
      </c>
      <c r="F97" s="6">
        <v>2</v>
      </c>
      <c r="G97" s="5">
        <v>1</v>
      </c>
      <c r="H97" s="5">
        <v>1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2</v>
      </c>
      <c r="V97" s="5">
        <v>1</v>
      </c>
      <c r="W97" s="5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0.52</v>
      </c>
    </row>
    <row r="98">
      <c r="A98" s="24">
        <v>522</v>
      </c>
      <c r="B98" s="9" t="s">
        <v>237</v>
      </c>
      <c r="C98" s="9" t="s">
        <v>66</v>
      </c>
      <c r="D98" s="9" t="s">
        <v>110</v>
      </c>
      <c r="E98" s="9" t="s">
        <v>111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0.26</v>
      </c>
    </row>
    <row r="99">
      <c r="A99" s="23">
        <v>523</v>
      </c>
      <c r="B99" s="4" t="s">
        <v>238</v>
      </c>
      <c r="C99" s="4" t="s">
        <v>66</v>
      </c>
      <c r="D99" s="4" t="s">
        <v>110</v>
      </c>
      <c r="E99" s="4" t="s">
        <v>111</v>
      </c>
      <c r="F99" s="6">
        <v>1</v>
      </c>
      <c r="G99" s="7">
        <v>0</v>
      </c>
      <c r="H99" s="7">
        <v>0</v>
      </c>
      <c r="I99" s="7">
        <v>0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524</v>
      </c>
      <c r="B100" s="9" t="s">
        <v>239</v>
      </c>
      <c r="C100" s="9" t="s">
        <v>66</v>
      </c>
      <c r="D100" s="9" t="s">
        <v>110</v>
      </c>
      <c r="E100" s="9" t="s">
        <v>113</v>
      </c>
      <c r="F100" s="11">
        <v>2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2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0.52</v>
      </c>
    </row>
    <row r="101">
      <c r="A101" s="23">
        <v>529</v>
      </c>
      <c r="B101" s="4" t="s">
        <v>240</v>
      </c>
      <c r="C101" s="4" t="s">
        <v>66</v>
      </c>
      <c r="D101" s="4" t="s">
        <v>84</v>
      </c>
      <c r="E101" s="4" t="s">
        <v>85</v>
      </c>
      <c r="F101" s="6">
        <v>2</v>
      </c>
      <c r="G101" s="5">
        <v>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</v>
      </c>
      <c r="V101" s="5">
        <v>2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30">
        <v>0</v>
      </c>
    </row>
    <row r="102">
      <c r="A102" s="24">
        <v>543</v>
      </c>
      <c r="B102" s="9" t="s">
        <v>241</v>
      </c>
      <c r="C102" s="9" t="s">
        <v>66</v>
      </c>
      <c r="D102" s="9" t="s">
        <v>75</v>
      </c>
      <c r="E102" s="9" t="s">
        <v>242</v>
      </c>
      <c r="F102" s="11">
        <v>1</v>
      </c>
      <c r="G102" s="12">
        <v>0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2">
        <v>0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545</v>
      </c>
      <c r="B103" s="4" t="s">
        <v>243</v>
      </c>
      <c r="C103" s="4" t="s">
        <v>66</v>
      </c>
      <c r="D103" s="4" t="s">
        <v>75</v>
      </c>
      <c r="E103" s="4" t="s">
        <v>242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0.22</v>
      </c>
    </row>
    <row r="104">
      <c r="A104" s="24">
        <v>559</v>
      </c>
      <c r="B104" s="9" t="s">
        <v>244</v>
      </c>
      <c r="C104" s="9" t="s">
        <v>66</v>
      </c>
      <c r="D104" s="9" t="s">
        <v>72</v>
      </c>
      <c r="E104" s="9" t="s">
        <v>73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565</v>
      </c>
      <c r="B105" s="4" t="s">
        <v>245</v>
      </c>
      <c r="C105" s="4" t="s">
        <v>66</v>
      </c>
      <c r="D105" s="4" t="s">
        <v>67</v>
      </c>
      <c r="E105" s="4" t="s">
        <v>166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567</v>
      </c>
      <c r="B106" s="9" t="s">
        <v>246</v>
      </c>
      <c r="C106" s="9" t="s">
        <v>66</v>
      </c>
      <c r="D106" s="9" t="s">
        <v>67</v>
      </c>
      <c r="E106" s="9" t="s">
        <v>166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0.26</v>
      </c>
    </row>
    <row r="107">
      <c r="A107" s="23">
        <v>576</v>
      </c>
      <c r="B107" s="4" t="s">
        <v>247</v>
      </c>
      <c r="C107" s="4" t="s">
        <v>66</v>
      </c>
      <c r="D107" s="4" t="s">
        <v>67</v>
      </c>
      <c r="E107" s="4" t="s">
        <v>166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578</v>
      </c>
      <c r="B108" s="9" t="s">
        <v>248</v>
      </c>
      <c r="C108" s="9" t="s">
        <v>66</v>
      </c>
      <c r="D108" s="9" t="s">
        <v>67</v>
      </c>
      <c r="E108" s="9" t="s">
        <v>166</v>
      </c>
      <c r="F108" s="11">
        <v>2</v>
      </c>
      <c r="G108" s="10">
        <v>2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0">
        <v>2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31">
        <v>0</v>
      </c>
    </row>
    <row r="109">
      <c r="A109" s="23">
        <v>579</v>
      </c>
      <c r="B109" s="4" t="s">
        <v>249</v>
      </c>
      <c r="C109" s="4" t="s">
        <v>66</v>
      </c>
      <c r="D109" s="4" t="s">
        <v>67</v>
      </c>
      <c r="E109" s="4" t="s">
        <v>166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587</v>
      </c>
      <c r="B110" s="9" t="s">
        <v>250</v>
      </c>
      <c r="C110" s="9" t="s">
        <v>66</v>
      </c>
      <c r="D110" s="9" t="s">
        <v>67</v>
      </c>
      <c r="E110" s="9" t="s">
        <v>68</v>
      </c>
      <c r="F110" s="11">
        <v>1</v>
      </c>
      <c r="G110" s="12">
        <v>0</v>
      </c>
      <c r="H110" s="10">
        <v>1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0">
        <v>1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591</v>
      </c>
      <c r="B111" s="4" t="s">
        <v>251</v>
      </c>
      <c r="C111" s="4" t="s">
        <v>66</v>
      </c>
      <c r="D111" s="4" t="s">
        <v>67</v>
      </c>
      <c r="E111" s="4" t="s">
        <v>70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599</v>
      </c>
      <c r="B112" s="9" t="s">
        <v>252</v>
      </c>
      <c r="C112" s="9" t="s">
        <v>66</v>
      </c>
      <c r="D112" s="9" t="s">
        <v>67</v>
      </c>
      <c r="E112" s="9" t="s">
        <v>70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1">
        <v>0</v>
      </c>
    </row>
    <row r="113">
      <c r="A113" s="23">
        <v>604</v>
      </c>
      <c r="B113" s="4" t="s">
        <v>253</v>
      </c>
      <c r="C113" s="4" t="s">
        <v>66</v>
      </c>
      <c r="D113" s="4" t="s">
        <v>67</v>
      </c>
      <c r="E113" s="4" t="s">
        <v>70</v>
      </c>
      <c r="F113" s="6">
        <v>1</v>
      </c>
      <c r="G113" s="7">
        <v>0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5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611</v>
      </c>
      <c r="B114" s="9" t="s">
        <v>254</v>
      </c>
      <c r="C114" s="9" t="s">
        <v>66</v>
      </c>
      <c r="D114" s="9" t="s">
        <v>67</v>
      </c>
      <c r="E114" s="9" t="s">
        <v>70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31">
        <v>0</v>
      </c>
    </row>
    <row r="115">
      <c r="A115" s="23">
        <v>613</v>
      </c>
      <c r="B115" s="4" t="s">
        <v>255</v>
      </c>
      <c r="C115" s="4" t="s">
        <v>66</v>
      </c>
      <c r="D115" s="4" t="s">
        <v>67</v>
      </c>
      <c r="E115" s="4" t="s">
        <v>70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618</v>
      </c>
      <c r="B116" s="9" t="s">
        <v>256</v>
      </c>
      <c r="C116" s="9" t="s">
        <v>66</v>
      </c>
      <c r="D116" s="9" t="s">
        <v>110</v>
      </c>
      <c r="E116" s="9" t="s">
        <v>257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674</v>
      </c>
      <c r="B117" s="4" t="s">
        <v>258</v>
      </c>
      <c r="C117" s="4" t="s">
        <v>66</v>
      </c>
      <c r="D117" s="4" t="s">
        <v>75</v>
      </c>
      <c r="E117" s="4" t="s">
        <v>117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28">
        <v>0.25</v>
      </c>
    </row>
    <row r="118">
      <c r="A118" s="24">
        <v>676</v>
      </c>
      <c r="B118" s="9" t="s">
        <v>259</v>
      </c>
      <c r="C118" s="9" t="s">
        <v>66</v>
      </c>
      <c r="D118" s="9" t="s">
        <v>75</v>
      </c>
      <c r="E118" s="9" t="s">
        <v>117</v>
      </c>
      <c r="F118" s="11">
        <v>3</v>
      </c>
      <c r="G118" s="10">
        <v>1</v>
      </c>
      <c r="H118" s="12">
        <v>0</v>
      </c>
      <c r="I118" s="10">
        <v>1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3</v>
      </c>
      <c r="V118" s="10">
        <v>1</v>
      </c>
      <c r="W118" s="12">
        <v>0</v>
      </c>
      <c r="X118" s="10">
        <v>1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678</v>
      </c>
      <c r="B119" s="4" t="s">
        <v>260</v>
      </c>
      <c r="C119" s="4" t="s">
        <v>66</v>
      </c>
      <c r="D119" s="4" t="s">
        <v>75</v>
      </c>
      <c r="E119" s="4" t="s">
        <v>117</v>
      </c>
      <c r="F119" s="6">
        <v>15</v>
      </c>
      <c r="G119" s="7">
        <v>0</v>
      </c>
      <c r="H119" s="7">
        <v>0</v>
      </c>
      <c r="I119" s="7">
        <v>0</v>
      </c>
      <c r="J119" s="5">
        <v>15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15</v>
      </c>
      <c r="V119" s="7">
        <v>0</v>
      </c>
      <c r="W119" s="7">
        <v>0</v>
      </c>
      <c r="X119" s="7">
        <v>0</v>
      </c>
      <c r="Y119" s="5">
        <v>15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15</v>
      </c>
      <c r="AK119" s="8">
        <v>15</v>
      </c>
      <c r="AL119" s="5">
        <v>15</v>
      </c>
      <c r="AM119" s="5">
        <v>15</v>
      </c>
      <c r="AN119" s="28">
        <v>3.75</v>
      </c>
    </row>
    <row r="120">
      <c r="A120" s="24">
        <v>681</v>
      </c>
      <c r="B120" s="9" t="s">
        <v>261</v>
      </c>
      <c r="C120" s="9" t="s">
        <v>66</v>
      </c>
      <c r="D120" s="9" t="s">
        <v>75</v>
      </c>
      <c r="E120" s="9" t="s">
        <v>117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688</v>
      </c>
      <c r="B121" s="4" t="s">
        <v>262</v>
      </c>
      <c r="C121" s="4" t="s">
        <v>66</v>
      </c>
      <c r="D121" s="4" t="s">
        <v>75</v>
      </c>
      <c r="E121" s="4" t="s">
        <v>117</v>
      </c>
      <c r="F121" s="6">
        <v>5</v>
      </c>
      <c r="G121" s="7">
        <v>0</v>
      </c>
      <c r="H121" s="5">
        <v>3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5</v>
      </c>
      <c r="V121" s="7">
        <v>0</v>
      </c>
      <c r="W121" s="5">
        <v>3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1.67</v>
      </c>
      <c r="AL121" s="5">
        <v>2</v>
      </c>
      <c r="AM121" s="5">
        <v>2</v>
      </c>
      <c r="AN121" s="28">
        <v>1.3</v>
      </c>
    </row>
    <row r="122">
      <c r="A122" s="24">
        <v>689</v>
      </c>
      <c r="B122" s="9" t="s">
        <v>263</v>
      </c>
      <c r="C122" s="9" t="s">
        <v>66</v>
      </c>
      <c r="D122" s="9" t="s">
        <v>75</v>
      </c>
      <c r="E122" s="9" t="s">
        <v>117</v>
      </c>
      <c r="F122" s="11">
        <v>2</v>
      </c>
      <c r="G122" s="12">
        <v>0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2</v>
      </c>
      <c r="V122" s="12">
        <v>0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690</v>
      </c>
      <c r="B123" s="4" t="s">
        <v>264</v>
      </c>
      <c r="C123" s="4" t="s">
        <v>66</v>
      </c>
      <c r="D123" s="4" t="s">
        <v>75</v>
      </c>
      <c r="E123" s="4" t="s">
        <v>117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707</v>
      </c>
      <c r="B124" s="9" t="s">
        <v>265</v>
      </c>
      <c r="C124" s="9" t="s">
        <v>66</v>
      </c>
      <c r="D124" s="9" t="s">
        <v>75</v>
      </c>
      <c r="E124" s="9" t="s">
        <v>266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723</v>
      </c>
      <c r="B125" s="4" t="s">
        <v>267</v>
      </c>
      <c r="C125" s="4" t="s">
        <v>66</v>
      </c>
      <c r="D125" s="4" t="s">
        <v>75</v>
      </c>
      <c r="E125" s="4" t="s">
        <v>266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0.24</v>
      </c>
    </row>
    <row r="126">
      <c r="A126" s="24">
        <v>727</v>
      </c>
      <c r="B126" s="9" t="s">
        <v>268</v>
      </c>
      <c r="C126" s="9" t="s">
        <v>66</v>
      </c>
      <c r="D126" s="9" t="s">
        <v>75</v>
      </c>
      <c r="E126" s="9" t="s">
        <v>266</v>
      </c>
      <c r="F126" s="11">
        <v>2</v>
      </c>
      <c r="G126" s="12">
        <v>0</v>
      </c>
      <c r="H126" s="10">
        <v>2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2">
        <v>0</v>
      </c>
      <c r="W126" s="10">
        <v>2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0.44</v>
      </c>
    </row>
    <row r="127">
      <c r="A127" s="23">
        <v>738</v>
      </c>
      <c r="B127" s="4" t="s">
        <v>269</v>
      </c>
      <c r="C127" s="4" t="s">
        <v>66</v>
      </c>
      <c r="D127" s="4" t="s">
        <v>75</v>
      </c>
      <c r="E127" s="4" t="s">
        <v>266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743</v>
      </c>
      <c r="B128" s="9" t="s">
        <v>270</v>
      </c>
      <c r="C128" s="9" t="s">
        <v>66</v>
      </c>
      <c r="D128" s="9" t="s">
        <v>110</v>
      </c>
      <c r="E128" s="9" t="s">
        <v>257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747</v>
      </c>
      <c r="B129" s="4" t="s">
        <v>271</v>
      </c>
      <c r="C129" s="4" t="s">
        <v>66</v>
      </c>
      <c r="D129" s="4" t="s">
        <v>110</v>
      </c>
      <c r="E129" s="4" t="s">
        <v>257</v>
      </c>
      <c r="F129" s="6">
        <v>3</v>
      </c>
      <c r="G129" s="7">
        <v>0</v>
      </c>
      <c r="H129" s="7">
        <v>0</v>
      </c>
      <c r="I129" s="5">
        <v>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3</v>
      </c>
      <c r="V129" s="7">
        <v>0</v>
      </c>
      <c r="W129" s="7">
        <v>0</v>
      </c>
      <c r="X129" s="5">
        <v>3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28">
        <v>0.75</v>
      </c>
    </row>
    <row r="130">
      <c r="A130" s="24">
        <v>763</v>
      </c>
      <c r="B130" s="9" t="s">
        <v>272</v>
      </c>
      <c r="C130" s="9" t="s">
        <v>66</v>
      </c>
      <c r="D130" s="9" t="s">
        <v>75</v>
      </c>
      <c r="E130" s="9" t="s">
        <v>273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766</v>
      </c>
      <c r="B131" s="4" t="s">
        <v>274</v>
      </c>
      <c r="C131" s="4" t="s">
        <v>66</v>
      </c>
      <c r="D131" s="4" t="s">
        <v>84</v>
      </c>
      <c r="E131" s="4" t="s">
        <v>85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782</v>
      </c>
      <c r="B132" s="9" t="s">
        <v>275</v>
      </c>
      <c r="C132" s="9" t="s">
        <v>66</v>
      </c>
      <c r="D132" s="9" t="s">
        <v>75</v>
      </c>
      <c r="E132" s="9" t="s">
        <v>273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1">
        <v>0</v>
      </c>
    </row>
    <row r="133">
      <c r="A133" s="23">
        <v>799</v>
      </c>
      <c r="B133" s="4" t="s">
        <v>276</v>
      </c>
      <c r="C133" s="4" t="s">
        <v>66</v>
      </c>
      <c r="D133" s="4" t="s">
        <v>75</v>
      </c>
      <c r="E133" s="4" t="s">
        <v>273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30">
        <v>0</v>
      </c>
    </row>
    <row r="134">
      <c r="A134" s="24">
        <v>832</v>
      </c>
      <c r="B134" s="9" t="s">
        <v>277</v>
      </c>
      <c r="C134" s="9" t="s">
        <v>66</v>
      </c>
      <c r="D134" s="9" t="s">
        <v>75</v>
      </c>
      <c r="E134" s="9" t="s">
        <v>217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31">
        <v>0</v>
      </c>
    </row>
    <row r="135">
      <c r="A135" s="23">
        <v>854</v>
      </c>
      <c r="B135" s="4" t="s">
        <v>278</v>
      </c>
      <c r="C135" s="4" t="s">
        <v>66</v>
      </c>
      <c r="D135" s="4" t="s">
        <v>75</v>
      </c>
      <c r="E135" s="4" t="s">
        <v>217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867</v>
      </c>
      <c r="B136" s="9" t="s">
        <v>279</v>
      </c>
      <c r="C136" s="9" t="s">
        <v>66</v>
      </c>
      <c r="D136" s="9" t="s">
        <v>75</v>
      </c>
      <c r="E136" s="9" t="s">
        <v>217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0.24</v>
      </c>
    </row>
    <row r="137">
      <c r="A137" s="23">
        <v>886</v>
      </c>
      <c r="B137" s="4" t="s">
        <v>280</v>
      </c>
      <c r="C137" s="4" t="s">
        <v>66</v>
      </c>
      <c r="D137" s="4" t="s">
        <v>75</v>
      </c>
      <c r="E137" s="4" t="s">
        <v>217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0.5</v>
      </c>
    </row>
    <row r="138">
      <c r="A138" s="24">
        <v>889</v>
      </c>
      <c r="B138" s="9" t="s">
        <v>281</v>
      </c>
      <c r="C138" s="9" t="s">
        <v>66</v>
      </c>
      <c r="D138" s="9" t="s">
        <v>75</v>
      </c>
      <c r="E138" s="9" t="s">
        <v>217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1">
        <v>0</v>
      </c>
    </row>
    <row r="139">
      <c r="A139" s="23">
        <v>892</v>
      </c>
      <c r="B139" s="4" t="s">
        <v>282</v>
      </c>
      <c r="C139" s="4" t="s">
        <v>66</v>
      </c>
      <c r="D139" s="4" t="s">
        <v>75</v>
      </c>
      <c r="E139" s="4" t="s">
        <v>217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896</v>
      </c>
      <c r="B140" s="9" t="s">
        <v>283</v>
      </c>
      <c r="C140" s="9" t="s">
        <v>66</v>
      </c>
      <c r="D140" s="9" t="s">
        <v>75</v>
      </c>
      <c r="E140" s="9" t="s">
        <v>217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0.22</v>
      </c>
    </row>
    <row r="141">
      <c r="A141" s="23">
        <v>904</v>
      </c>
      <c r="B141" s="4" t="s">
        <v>284</v>
      </c>
      <c r="C141" s="4" t="s">
        <v>66</v>
      </c>
      <c r="D141" s="4" t="s">
        <v>75</v>
      </c>
      <c r="E141" s="4" t="s">
        <v>217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913</v>
      </c>
      <c r="B142" s="9" t="s">
        <v>285</v>
      </c>
      <c r="C142" s="9" t="s">
        <v>66</v>
      </c>
      <c r="D142" s="9" t="s">
        <v>75</v>
      </c>
      <c r="E142" s="9" t="s">
        <v>217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31">
        <v>0</v>
      </c>
    </row>
    <row r="143">
      <c r="A143" s="23">
        <v>928</v>
      </c>
      <c r="B143" s="4" t="s">
        <v>286</v>
      </c>
      <c r="C143" s="4" t="s">
        <v>66</v>
      </c>
      <c r="D143" s="4" t="s">
        <v>75</v>
      </c>
      <c r="E143" s="4" t="s">
        <v>217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30">
        <v>0</v>
      </c>
    </row>
    <row r="144">
      <c r="A144" s="24">
        <v>936</v>
      </c>
      <c r="B144" s="9" t="s">
        <v>287</v>
      </c>
      <c r="C144" s="9" t="s">
        <v>66</v>
      </c>
      <c r="D144" s="9" t="s">
        <v>75</v>
      </c>
      <c r="E144" s="9" t="s">
        <v>288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943</v>
      </c>
      <c r="B145" s="4" t="s">
        <v>289</v>
      </c>
      <c r="C145" s="4" t="s">
        <v>66</v>
      </c>
      <c r="D145" s="4" t="s">
        <v>75</v>
      </c>
      <c r="E145" s="4" t="s">
        <v>288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946</v>
      </c>
      <c r="B146" s="9" t="s">
        <v>290</v>
      </c>
      <c r="C146" s="9" t="s">
        <v>66</v>
      </c>
      <c r="D146" s="9" t="s">
        <v>75</v>
      </c>
      <c r="E146" s="9" t="s">
        <v>288</v>
      </c>
      <c r="F146" s="11">
        <v>1</v>
      </c>
      <c r="G146" s="12">
        <v>0</v>
      </c>
      <c r="H146" s="10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0">
        <v>1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960</v>
      </c>
      <c r="B147" s="4" t="s">
        <v>291</v>
      </c>
      <c r="C147" s="4" t="s">
        <v>66</v>
      </c>
      <c r="D147" s="4" t="s">
        <v>75</v>
      </c>
      <c r="E147" s="4" t="s">
        <v>213</v>
      </c>
      <c r="F147" s="6">
        <v>3</v>
      </c>
      <c r="G147" s="7">
        <v>0</v>
      </c>
      <c r="H147" s="5">
        <v>2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5">
        <v>1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2</v>
      </c>
      <c r="AN147" s="28">
        <v>0.25</v>
      </c>
    </row>
    <row r="148">
      <c r="A148" s="24">
        <v>963</v>
      </c>
      <c r="B148" s="9" t="s">
        <v>292</v>
      </c>
      <c r="C148" s="9" t="s">
        <v>66</v>
      </c>
      <c r="D148" s="9" t="s">
        <v>67</v>
      </c>
      <c r="E148" s="9" t="s">
        <v>70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1">
        <v>0</v>
      </c>
    </row>
    <row r="149">
      <c r="A149" s="23">
        <v>973</v>
      </c>
      <c r="B149" s="4" t="s">
        <v>293</v>
      </c>
      <c r="C149" s="4" t="s">
        <v>66</v>
      </c>
      <c r="D149" s="4" t="s">
        <v>75</v>
      </c>
      <c r="E149" s="4" t="s">
        <v>213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979</v>
      </c>
      <c r="B150" s="9" t="s">
        <v>294</v>
      </c>
      <c r="C150" s="9" t="s">
        <v>66</v>
      </c>
      <c r="D150" s="9" t="s">
        <v>75</v>
      </c>
      <c r="E150" s="9" t="s">
        <v>213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0.22</v>
      </c>
    </row>
    <row r="151">
      <c r="A151" s="23">
        <v>986</v>
      </c>
      <c r="B151" s="4" t="s">
        <v>295</v>
      </c>
      <c r="C151" s="4" t="s">
        <v>66</v>
      </c>
      <c r="D151" s="4" t="s">
        <v>75</v>
      </c>
      <c r="E151" s="4" t="s">
        <v>213</v>
      </c>
      <c r="F151" s="6">
        <v>2</v>
      </c>
      <c r="G151" s="7">
        <v>0</v>
      </c>
      <c r="H151" s="5">
        <v>2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5">
        <v>2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0.48</v>
      </c>
    </row>
    <row r="152">
      <c r="A152" s="24">
        <v>994</v>
      </c>
      <c r="B152" s="9" t="s">
        <v>296</v>
      </c>
      <c r="C152" s="9" t="s">
        <v>66</v>
      </c>
      <c r="D152" s="9" t="s">
        <v>75</v>
      </c>
      <c r="E152" s="9" t="s">
        <v>213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1">
        <v>0</v>
      </c>
    </row>
    <row r="153">
      <c r="A153" s="23">
        <v>998</v>
      </c>
      <c r="B153" s="4" t="s">
        <v>297</v>
      </c>
      <c r="C153" s="4" t="s">
        <v>66</v>
      </c>
      <c r="D153" s="4" t="s">
        <v>75</v>
      </c>
      <c r="E153" s="4" t="s">
        <v>213</v>
      </c>
      <c r="F153" s="6">
        <v>2</v>
      </c>
      <c r="G153" s="5">
        <v>1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5">
        <v>1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1013</v>
      </c>
      <c r="B154" s="9" t="s">
        <v>298</v>
      </c>
      <c r="C154" s="9" t="s">
        <v>66</v>
      </c>
      <c r="D154" s="9" t="s">
        <v>72</v>
      </c>
      <c r="E154" s="9" t="s">
        <v>299</v>
      </c>
      <c r="F154" s="11">
        <v>2</v>
      </c>
      <c r="G154" s="10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0">
        <v>2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31">
        <v>0</v>
      </c>
    </row>
    <row r="155">
      <c r="A155" s="23">
        <v>1030</v>
      </c>
      <c r="B155" s="4" t="s">
        <v>300</v>
      </c>
      <c r="C155" s="4" t="s">
        <v>66</v>
      </c>
      <c r="D155" s="4" t="s">
        <v>102</v>
      </c>
      <c r="E155" s="4" t="s">
        <v>103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1045</v>
      </c>
      <c r="B156" s="9" t="s">
        <v>301</v>
      </c>
      <c r="C156" s="9" t="s">
        <v>152</v>
      </c>
      <c r="D156" s="9" t="s">
        <v>169</v>
      </c>
      <c r="E156" s="9" t="s">
        <v>176</v>
      </c>
      <c r="F156" s="11">
        <v>2</v>
      </c>
      <c r="G156" s="12">
        <v>0</v>
      </c>
      <c r="H156" s="12">
        <v>0</v>
      </c>
      <c r="I156" s="10">
        <v>1</v>
      </c>
      <c r="J156" s="12">
        <v>0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0">
        <v>1</v>
      </c>
      <c r="Y156" s="12">
        <v>0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1">
        <v>0</v>
      </c>
    </row>
    <row r="157">
      <c r="A157" s="23">
        <v>1059</v>
      </c>
      <c r="B157" s="4" t="s">
        <v>302</v>
      </c>
      <c r="C157" s="4" t="s">
        <v>66</v>
      </c>
      <c r="D157" s="4" t="s">
        <v>72</v>
      </c>
      <c r="E157" s="4" t="s">
        <v>299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1064</v>
      </c>
      <c r="B158" s="9" t="s">
        <v>303</v>
      </c>
      <c r="C158" s="9" t="s">
        <v>66</v>
      </c>
      <c r="D158" s="9" t="s">
        <v>75</v>
      </c>
      <c r="E158" s="9" t="s">
        <v>76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1">
        <v>0</v>
      </c>
    </row>
    <row r="159">
      <c r="A159" s="23">
        <v>1072</v>
      </c>
      <c r="B159" s="4" t="s">
        <v>304</v>
      </c>
      <c r="C159" s="4" t="s">
        <v>66</v>
      </c>
      <c r="D159" s="4" t="s">
        <v>102</v>
      </c>
      <c r="E159" s="4" t="s">
        <v>131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0.22</v>
      </c>
    </row>
    <row r="160">
      <c r="A160" s="24">
        <v>1075</v>
      </c>
      <c r="B160" s="9" t="s">
        <v>305</v>
      </c>
      <c r="C160" s="9" t="s">
        <v>66</v>
      </c>
      <c r="D160" s="9" t="s">
        <v>102</v>
      </c>
      <c r="E160" s="9" t="s">
        <v>103</v>
      </c>
      <c r="F160" s="11">
        <v>5</v>
      </c>
      <c r="G160" s="10">
        <v>3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4</v>
      </c>
      <c r="V160" s="10">
        <v>2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2.5</v>
      </c>
      <c r="AL160" s="10">
        <v>2</v>
      </c>
      <c r="AM160" s="10">
        <v>3</v>
      </c>
      <c r="AN160" s="29">
        <v>1</v>
      </c>
    </row>
    <row r="161">
      <c r="A161" s="23">
        <v>1078</v>
      </c>
      <c r="B161" s="4" t="s">
        <v>306</v>
      </c>
      <c r="C161" s="4" t="s">
        <v>66</v>
      </c>
      <c r="D161" s="4" t="s">
        <v>102</v>
      </c>
      <c r="E161" s="4" t="s">
        <v>103</v>
      </c>
      <c r="F161" s="6">
        <v>1</v>
      </c>
      <c r="G161" s="7">
        <v>0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0.17</v>
      </c>
    </row>
    <row r="162">
      <c r="A162" s="24">
        <v>1084</v>
      </c>
      <c r="B162" s="9" t="s">
        <v>307</v>
      </c>
      <c r="C162" s="9" t="s">
        <v>66</v>
      </c>
      <c r="D162" s="9" t="s">
        <v>102</v>
      </c>
      <c r="E162" s="9" t="s">
        <v>215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1">
        <v>0</v>
      </c>
    </row>
    <row r="163">
      <c r="A163" s="23">
        <v>1085</v>
      </c>
      <c r="B163" s="4" t="s">
        <v>308</v>
      </c>
      <c r="C163" s="4" t="s">
        <v>66</v>
      </c>
      <c r="D163" s="4" t="s">
        <v>102</v>
      </c>
      <c r="E163" s="4" t="s">
        <v>215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0.26</v>
      </c>
    </row>
    <row r="164">
      <c r="A164" s="24">
        <v>1089</v>
      </c>
      <c r="B164" s="9" t="s">
        <v>309</v>
      </c>
      <c r="C164" s="9" t="s">
        <v>66</v>
      </c>
      <c r="D164" s="9" t="s">
        <v>102</v>
      </c>
      <c r="E164" s="9" t="s">
        <v>103</v>
      </c>
      <c r="F164" s="11">
        <v>2</v>
      </c>
      <c r="G164" s="10">
        <v>1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2</v>
      </c>
      <c r="V164" s="10">
        <v>1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0.58</v>
      </c>
    </row>
    <row r="165">
      <c r="A165" s="23">
        <v>1091</v>
      </c>
      <c r="B165" s="4" t="s">
        <v>310</v>
      </c>
      <c r="C165" s="4" t="s">
        <v>66</v>
      </c>
      <c r="D165" s="4" t="s">
        <v>102</v>
      </c>
      <c r="E165" s="4" t="s">
        <v>103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1105</v>
      </c>
      <c r="B166" s="9" t="s">
        <v>311</v>
      </c>
      <c r="C166" s="9" t="s">
        <v>66</v>
      </c>
      <c r="D166" s="9" t="s">
        <v>67</v>
      </c>
      <c r="E166" s="9" t="s">
        <v>312</v>
      </c>
      <c r="F166" s="11">
        <v>2</v>
      </c>
      <c r="G166" s="10">
        <v>1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0">
        <v>1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1245</v>
      </c>
      <c r="B167" s="4" t="s">
        <v>313</v>
      </c>
      <c r="C167" s="4" t="s">
        <v>66</v>
      </c>
      <c r="D167" s="4" t="s">
        <v>84</v>
      </c>
      <c r="E167" s="4" t="s">
        <v>98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1267</v>
      </c>
      <c r="B168" s="9" t="s">
        <v>314</v>
      </c>
      <c r="C168" s="9" t="s">
        <v>66</v>
      </c>
      <c r="D168" s="9" t="s">
        <v>102</v>
      </c>
      <c r="E168" s="9" t="s">
        <v>131</v>
      </c>
      <c r="F168" s="11">
        <v>1</v>
      </c>
      <c r="G168" s="12">
        <v>0</v>
      </c>
      <c r="H168" s="12">
        <v>0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1274</v>
      </c>
      <c r="B169" s="4" t="s">
        <v>315</v>
      </c>
      <c r="C169" s="4" t="s">
        <v>152</v>
      </c>
      <c r="D169" s="4" t="s">
        <v>169</v>
      </c>
      <c r="E169" s="4" t="s">
        <v>170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1275</v>
      </c>
      <c r="B170" s="9" t="s">
        <v>316</v>
      </c>
      <c r="C170" s="9" t="s">
        <v>152</v>
      </c>
      <c r="D170" s="9" t="s">
        <v>169</v>
      </c>
      <c r="E170" s="9" t="s">
        <v>170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4</v>
      </c>
      <c r="V170" s="10">
        <v>4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4</v>
      </c>
      <c r="AK170" s="13">
        <v>4</v>
      </c>
      <c r="AL170" s="10">
        <v>4</v>
      </c>
      <c r="AM170" s="10">
        <v>4</v>
      </c>
      <c r="AN170" s="31">
        <v>0</v>
      </c>
    </row>
    <row r="171">
      <c r="A171" s="23">
        <v>1331</v>
      </c>
      <c r="B171" s="4" t="s">
        <v>317</v>
      </c>
      <c r="C171" s="4" t="s">
        <v>66</v>
      </c>
      <c r="D171" s="4" t="s">
        <v>81</v>
      </c>
      <c r="E171" s="4" t="s">
        <v>318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0.24</v>
      </c>
    </row>
    <row r="172">
      <c r="A172" s="24">
        <v>1438</v>
      </c>
      <c r="B172" s="9" t="s">
        <v>319</v>
      </c>
      <c r="C172" s="9" t="s">
        <v>66</v>
      </c>
      <c r="D172" s="9" t="s">
        <v>75</v>
      </c>
      <c r="E172" s="9" t="s">
        <v>79</v>
      </c>
      <c r="F172" s="11">
        <v>3</v>
      </c>
      <c r="G172" s="10">
        <v>2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3</v>
      </c>
      <c r="V172" s="10">
        <v>2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0.78</v>
      </c>
    </row>
    <row r="173">
      <c r="A173" s="23">
        <v>1520</v>
      </c>
      <c r="B173" s="4" t="s">
        <v>320</v>
      </c>
      <c r="C173" s="4" t="s">
        <v>66</v>
      </c>
      <c r="D173" s="4" t="s">
        <v>67</v>
      </c>
      <c r="E173" s="4" t="s">
        <v>70</v>
      </c>
      <c r="F173" s="6">
        <v>5</v>
      </c>
      <c r="G173" s="5">
        <v>5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5</v>
      </c>
      <c r="V173" s="5">
        <v>5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5</v>
      </c>
      <c r="AK173" s="8">
        <v>5</v>
      </c>
      <c r="AL173" s="5">
        <v>5</v>
      </c>
      <c r="AM173" s="5">
        <v>5</v>
      </c>
      <c r="AN173" s="30">
        <v>0</v>
      </c>
    </row>
    <row r="174">
      <c r="A174" s="24">
        <v>1561</v>
      </c>
      <c r="B174" s="9" t="s">
        <v>321</v>
      </c>
      <c r="C174" s="9" t="s">
        <v>66</v>
      </c>
      <c r="D174" s="9" t="s">
        <v>124</v>
      </c>
      <c r="E174" s="9" t="s">
        <v>322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31">
        <v>0</v>
      </c>
    </row>
    <row r="175">
      <c r="A175" s="23">
        <v>1591</v>
      </c>
      <c r="B175" s="4" t="s">
        <v>323</v>
      </c>
      <c r="C175" s="4" t="s">
        <v>66</v>
      </c>
      <c r="D175" s="4" t="s">
        <v>67</v>
      </c>
      <c r="E175" s="4" t="s">
        <v>70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1600</v>
      </c>
      <c r="B176" s="9" t="s">
        <v>324</v>
      </c>
      <c r="C176" s="9" t="s">
        <v>66</v>
      </c>
      <c r="D176" s="9" t="s">
        <v>110</v>
      </c>
      <c r="E176" s="9" t="s">
        <v>111</v>
      </c>
      <c r="F176" s="11">
        <v>1</v>
      </c>
      <c r="G176" s="12">
        <v>0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1619</v>
      </c>
      <c r="B177" s="4" t="s">
        <v>325</v>
      </c>
      <c r="C177" s="4" t="s">
        <v>66</v>
      </c>
      <c r="D177" s="4" t="s">
        <v>124</v>
      </c>
      <c r="E177" s="4" t="s">
        <v>125</v>
      </c>
      <c r="F177" s="6">
        <v>3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5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3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5">
        <v>1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30">
        <v>0</v>
      </c>
    </row>
    <row r="178">
      <c r="A178" s="24">
        <v>1635</v>
      </c>
      <c r="B178" s="9" t="s">
        <v>326</v>
      </c>
      <c r="C178" s="9" t="s">
        <v>66</v>
      </c>
      <c r="D178" s="9" t="s">
        <v>81</v>
      </c>
      <c r="E178" s="9" t="s">
        <v>82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1665</v>
      </c>
      <c r="B179" s="4" t="s">
        <v>327</v>
      </c>
      <c r="C179" s="4" t="s">
        <v>66</v>
      </c>
      <c r="D179" s="4" t="s">
        <v>75</v>
      </c>
      <c r="E179" s="4" t="s">
        <v>117</v>
      </c>
      <c r="F179" s="6">
        <v>2</v>
      </c>
      <c r="G179" s="7">
        <v>0</v>
      </c>
      <c r="H179" s="7">
        <v>0</v>
      </c>
      <c r="I179" s="5">
        <v>2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7">
        <v>0</v>
      </c>
      <c r="W179" s="7">
        <v>0</v>
      </c>
      <c r="X179" s="5">
        <v>2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1697</v>
      </c>
      <c r="B180" s="9" t="s">
        <v>328</v>
      </c>
      <c r="C180" s="9" t="s">
        <v>66</v>
      </c>
      <c r="D180" s="9" t="s">
        <v>110</v>
      </c>
      <c r="E180" s="9" t="s">
        <v>111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1">
        <v>0</v>
      </c>
    </row>
    <row r="181">
      <c r="A181" s="23">
        <v>1698</v>
      </c>
      <c r="B181" s="4" t="s">
        <v>329</v>
      </c>
      <c r="C181" s="4" t="s">
        <v>66</v>
      </c>
      <c r="D181" s="4" t="s">
        <v>110</v>
      </c>
      <c r="E181" s="4" t="s">
        <v>111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1711</v>
      </c>
      <c r="B182" s="9" t="s">
        <v>330</v>
      </c>
      <c r="C182" s="9" t="s">
        <v>66</v>
      </c>
      <c r="D182" s="9" t="s">
        <v>142</v>
      </c>
      <c r="E182" s="9" t="s">
        <v>143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1">
        <v>0</v>
      </c>
    </row>
    <row r="183">
      <c r="A183" s="23">
        <v>1715</v>
      </c>
      <c r="B183" s="4" t="s">
        <v>331</v>
      </c>
      <c r="C183" s="4" t="s">
        <v>66</v>
      </c>
      <c r="D183" s="4" t="s">
        <v>81</v>
      </c>
      <c r="E183" s="4" t="s">
        <v>92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1722</v>
      </c>
      <c r="B184" s="9" t="s">
        <v>332</v>
      </c>
      <c r="C184" s="9" t="s">
        <v>66</v>
      </c>
      <c r="D184" s="9" t="s">
        <v>81</v>
      </c>
      <c r="E184" s="9" t="s">
        <v>92</v>
      </c>
      <c r="F184" s="11">
        <v>5</v>
      </c>
      <c r="G184" s="12">
        <v>0</v>
      </c>
      <c r="H184" s="12">
        <v>0</v>
      </c>
      <c r="I184" s="12">
        <v>0</v>
      </c>
      <c r="J184" s="10">
        <v>5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5</v>
      </c>
      <c r="AK184" s="13">
        <v>5</v>
      </c>
      <c r="AL184" s="10">
        <v>5</v>
      </c>
      <c r="AM184" s="10">
        <v>5</v>
      </c>
      <c r="AN184" s="29">
        <v>0.26</v>
      </c>
    </row>
    <row r="185">
      <c r="A185" s="23">
        <v>1723</v>
      </c>
      <c r="B185" s="4" t="s">
        <v>333</v>
      </c>
      <c r="C185" s="4" t="s">
        <v>66</v>
      </c>
      <c r="D185" s="4" t="s">
        <v>81</v>
      </c>
      <c r="E185" s="4" t="s">
        <v>92</v>
      </c>
      <c r="F185" s="6">
        <v>1</v>
      </c>
      <c r="G185" s="7">
        <v>0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7">
        <v>0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1758</v>
      </c>
      <c r="B186" s="9" t="s">
        <v>334</v>
      </c>
      <c r="C186" s="9" t="s">
        <v>66</v>
      </c>
      <c r="D186" s="9" t="s">
        <v>110</v>
      </c>
      <c r="E186" s="9" t="s">
        <v>335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1760</v>
      </c>
      <c r="B187" s="4" t="s">
        <v>336</v>
      </c>
      <c r="C187" s="4" t="s">
        <v>66</v>
      </c>
      <c r="D187" s="4" t="s">
        <v>81</v>
      </c>
      <c r="E187" s="4" t="s">
        <v>92</v>
      </c>
      <c r="F187" s="6">
        <v>12</v>
      </c>
      <c r="G187" s="7">
        <v>0</v>
      </c>
      <c r="H187" s="7">
        <v>0</v>
      </c>
      <c r="I187" s="7">
        <v>0</v>
      </c>
      <c r="J187" s="5">
        <v>12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10</v>
      </c>
      <c r="V187" s="7">
        <v>0</v>
      </c>
      <c r="W187" s="7">
        <v>0</v>
      </c>
      <c r="X187" s="7">
        <v>0</v>
      </c>
      <c r="Y187" s="5">
        <v>10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6</v>
      </c>
      <c r="AL187" s="5">
        <v>6</v>
      </c>
      <c r="AM187" s="5">
        <v>11</v>
      </c>
      <c r="AN187" s="28">
        <v>2.5</v>
      </c>
    </row>
    <row r="188">
      <c r="A188" s="24">
        <v>1762</v>
      </c>
      <c r="B188" s="9" t="s">
        <v>337</v>
      </c>
      <c r="C188" s="9" t="s">
        <v>66</v>
      </c>
      <c r="D188" s="9" t="s">
        <v>110</v>
      </c>
      <c r="E188" s="9" t="s">
        <v>335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1">
        <v>0</v>
      </c>
    </row>
    <row r="189">
      <c r="A189" s="23">
        <v>1769</v>
      </c>
      <c r="B189" s="4" t="s">
        <v>338</v>
      </c>
      <c r="C189" s="4" t="s">
        <v>66</v>
      </c>
      <c r="D189" s="4" t="s">
        <v>81</v>
      </c>
      <c r="E189" s="4" t="s">
        <v>92</v>
      </c>
      <c r="F189" s="6">
        <v>21</v>
      </c>
      <c r="G189" s="7">
        <v>0</v>
      </c>
      <c r="H189" s="7">
        <v>0</v>
      </c>
      <c r="I189" s="7">
        <v>0</v>
      </c>
      <c r="J189" s="5">
        <v>21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21</v>
      </c>
      <c r="V189" s="7">
        <v>0</v>
      </c>
      <c r="W189" s="7">
        <v>0</v>
      </c>
      <c r="X189" s="7">
        <v>0</v>
      </c>
      <c r="Y189" s="5">
        <v>21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7</v>
      </c>
      <c r="AL189" s="5">
        <v>3</v>
      </c>
      <c r="AM189" s="5">
        <v>17</v>
      </c>
      <c r="AN189" s="28">
        <v>5.46</v>
      </c>
    </row>
    <row r="190">
      <c r="A190" s="24">
        <v>1777</v>
      </c>
      <c r="B190" s="9" t="s">
        <v>339</v>
      </c>
      <c r="C190" s="9" t="s">
        <v>152</v>
      </c>
      <c r="D190" s="9" t="s">
        <v>169</v>
      </c>
      <c r="E190" s="9" t="s">
        <v>170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1779</v>
      </c>
      <c r="B191" s="4" t="s">
        <v>340</v>
      </c>
      <c r="C191" s="4" t="s">
        <v>138</v>
      </c>
      <c r="D191" s="4" t="s">
        <v>341</v>
      </c>
      <c r="E191" s="4" t="s">
        <v>342</v>
      </c>
      <c r="F191" s="6">
        <v>4</v>
      </c>
      <c r="G191" s="5">
        <v>2</v>
      </c>
      <c r="H191" s="5">
        <v>2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4</v>
      </c>
      <c r="V191" s="5">
        <v>2</v>
      </c>
      <c r="W191" s="5">
        <v>2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0.5</v>
      </c>
    </row>
    <row r="192">
      <c r="A192" s="24">
        <v>1806</v>
      </c>
      <c r="B192" s="9" t="s">
        <v>343</v>
      </c>
      <c r="C192" s="9" t="s">
        <v>66</v>
      </c>
      <c r="D192" s="9" t="s">
        <v>87</v>
      </c>
      <c r="E192" s="9" t="s">
        <v>156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0.24</v>
      </c>
    </row>
    <row r="193">
      <c r="A193" s="23">
        <v>1808</v>
      </c>
      <c r="B193" s="4" t="s">
        <v>344</v>
      </c>
      <c r="C193" s="4" t="s">
        <v>66</v>
      </c>
      <c r="D193" s="4" t="s">
        <v>81</v>
      </c>
      <c r="E193" s="4" t="s">
        <v>82</v>
      </c>
      <c r="F193" s="6">
        <v>1</v>
      </c>
      <c r="G193" s="7">
        <v>0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1812</v>
      </c>
      <c r="B194" s="9" t="s">
        <v>345</v>
      </c>
      <c r="C194" s="9" t="s">
        <v>66</v>
      </c>
      <c r="D194" s="9" t="s">
        <v>105</v>
      </c>
      <c r="E194" s="9" t="s">
        <v>346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1">
        <v>0</v>
      </c>
    </row>
    <row r="195">
      <c r="A195" s="23">
        <v>1813</v>
      </c>
      <c r="B195" s="4" t="s">
        <v>347</v>
      </c>
      <c r="C195" s="4" t="s">
        <v>66</v>
      </c>
      <c r="D195" s="4" t="s">
        <v>67</v>
      </c>
      <c r="E195" s="4" t="s">
        <v>70</v>
      </c>
      <c r="F195" s="6">
        <v>4</v>
      </c>
      <c r="G195" s="5">
        <v>1</v>
      </c>
      <c r="H195" s="7">
        <v>0</v>
      </c>
      <c r="I195" s="5">
        <v>2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4</v>
      </c>
      <c r="V195" s="5">
        <v>1</v>
      </c>
      <c r="W195" s="7">
        <v>0</v>
      </c>
      <c r="X195" s="5">
        <v>2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0.52</v>
      </c>
    </row>
    <row r="196">
      <c r="A196" s="24">
        <v>1814</v>
      </c>
      <c r="B196" s="9" t="s">
        <v>348</v>
      </c>
      <c r="C196" s="9" t="s">
        <v>66</v>
      </c>
      <c r="D196" s="9" t="s">
        <v>110</v>
      </c>
      <c r="E196" s="9" t="s">
        <v>111</v>
      </c>
      <c r="F196" s="11">
        <v>2</v>
      </c>
      <c r="G196" s="10">
        <v>1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0.5</v>
      </c>
    </row>
    <row r="197">
      <c r="A197" s="23">
        <v>1816</v>
      </c>
      <c r="B197" s="4" t="s">
        <v>349</v>
      </c>
      <c r="C197" s="4" t="s">
        <v>138</v>
      </c>
      <c r="D197" s="4" t="s">
        <v>341</v>
      </c>
      <c r="E197" s="4" t="s">
        <v>350</v>
      </c>
      <c r="F197" s="6">
        <v>5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5">
        <v>2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4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5">
        <v>1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2.5</v>
      </c>
      <c r="AL197" s="5">
        <v>2</v>
      </c>
      <c r="AM197" s="5">
        <v>3</v>
      </c>
      <c r="AN197" s="30">
        <v>0</v>
      </c>
    </row>
    <row r="198">
      <c r="A198" s="24">
        <v>1817</v>
      </c>
      <c r="B198" s="9" t="s">
        <v>351</v>
      </c>
      <c r="C198" s="9" t="s">
        <v>138</v>
      </c>
      <c r="D198" s="9" t="s">
        <v>341</v>
      </c>
      <c r="E198" s="9" t="s">
        <v>352</v>
      </c>
      <c r="F198" s="11">
        <v>3</v>
      </c>
      <c r="G198" s="12">
        <v>0</v>
      </c>
      <c r="H198" s="12">
        <v>0</v>
      </c>
      <c r="I198" s="10">
        <v>1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2">
        <v>0</v>
      </c>
      <c r="W198" s="12">
        <v>0</v>
      </c>
      <c r="X198" s="10">
        <v>1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0.5</v>
      </c>
    </row>
    <row r="199">
      <c r="A199" s="23">
        <v>1820</v>
      </c>
      <c r="B199" s="4" t="s">
        <v>353</v>
      </c>
      <c r="C199" s="4" t="s">
        <v>66</v>
      </c>
      <c r="D199" s="4" t="s">
        <v>142</v>
      </c>
      <c r="E199" s="4" t="s">
        <v>143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1824</v>
      </c>
      <c r="B200" s="9" t="s">
        <v>354</v>
      </c>
      <c r="C200" s="9" t="s">
        <v>138</v>
      </c>
      <c r="D200" s="9" t="s">
        <v>341</v>
      </c>
      <c r="E200" s="9" t="s">
        <v>350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1">
        <v>0</v>
      </c>
    </row>
    <row r="201">
      <c r="A201" s="23">
        <v>1826</v>
      </c>
      <c r="B201" s="4" t="s">
        <v>355</v>
      </c>
      <c r="C201" s="4" t="s">
        <v>66</v>
      </c>
      <c r="D201" s="4" t="s">
        <v>67</v>
      </c>
      <c r="E201" s="4" t="s">
        <v>166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1833</v>
      </c>
      <c r="B202" s="9" t="s">
        <v>356</v>
      </c>
      <c r="C202" s="9" t="s">
        <v>66</v>
      </c>
      <c r="D202" s="9" t="s">
        <v>110</v>
      </c>
      <c r="E202" s="9" t="s">
        <v>111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1">
        <v>0</v>
      </c>
    </row>
    <row r="203">
      <c r="A203" s="23">
        <v>1842</v>
      </c>
      <c r="B203" s="4" t="s">
        <v>357</v>
      </c>
      <c r="C203" s="4" t="s">
        <v>66</v>
      </c>
      <c r="D203" s="4" t="s">
        <v>81</v>
      </c>
      <c r="E203" s="4" t="s">
        <v>209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1844</v>
      </c>
      <c r="B204" s="9" t="s">
        <v>358</v>
      </c>
      <c r="C204" s="9" t="s">
        <v>66</v>
      </c>
      <c r="D204" s="9" t="s">
        <v>102</v>
      </c>
      <c r="E204" s="9" t="s">
        <v>359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1">
        <v>0</v>
      </c>
    </row>
    <row r="205">
      <c r="A205" s="23">
        <v>1851</v>
      </c>
      <c r="B205" s="4" t="s">
        <v>360</v>
      </c>
      <c r="C205" s="4" t="s">
        <v>66</v>
      </c>
      <c r="D205" s="4" t="s">
        <v>75</v>
      </c>
      <c r="E205" s="4" t="s">
        <v>76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1863</v>
      </c>
      <c r="B206" s="9" t="s">
        <v>361</v>
      </c>
      <c r="C206" s="9" t="s">
        <v>66</v>
      </c>
      <c r="D206" s="9" t="s">
        <v>110</v>
      </c>
      <c r="E206" s="9" t="s">
        <v>113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1">
        <v>0</v>
      </c>
    </row>
    <row r="207">
      <c r="A207" s="23">
        <v>1868</v>
      </c>
      <c r="B207" s="4" t="s">
        <v>362</v>
      </c>
      <c r="C207" s="4" t="s">
        <v>66</v>
      </c>
      <c r="D207" s="4" t="s">
        <v>110</v>
      </c>
      <c r="E207" s="4" t="s">
        <v>147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1870</v>
      </c>
      <c r="B208" s="9" t="s">
        <v>363</v>
      </c>
      <c r="C208" s="9" t="s">
        <v>66</v>
      </c>
      <c r="D208" s="9" t="s">
        <v>110</v>
      </c>
      <c r="E208" s="9" t="s">
        <v>111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0.26</v>
      </c>
    </row>
    <row r="209">
      <c r="A209" s="23">
        <v>1874</v>
      </c>
      <c r="B209" s="4" t="s">
        <v>364</v>
      </c>
      <c r="C209" s="4" t="s">
        <v>66</v>
      </c>
      <c r="D209" s="4" t="s">
        <v>110</v>
      </c>
      <c r="E209" s="4" t="s">
        <v>111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28">
        <v>0.4</v>
      </c>
    </row>
    <row r="210">
      <c r="A210" s="24">
        <v>1875</v>
      </c>
      <c r="B210" s="9" t="s">
        <v>365</v>
      </c>
      <c r="C210" s="9" t="s">
        <v>66</v>
      </c>
      <c r="D210" s="9" t="s">
        <v>110</v>
      </c>
      <c r="E210" s="9" t="s">
        <v>111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1">
        <v>0</v>
      </c>
    </row>
    <row r="211">
      <c r="A211" s="23">
        <v>1876</v>
      </c>
      <c r="B211" s="4" t="s">
        <v>366</v>
      </c>
      <c r="C211" s="4" t="s">
        <v>66</v>
      </c>
      <c r="D211" s="4" t="s">
        <v>67</v>
      </c>
      <c r="E211" s="4" t="s">
        <v>70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0.26</v>
      </c>
    </row>
    <row r="212">
      <c r="A212" s="24">
        <v>1880</v>
      </c>
      <c r="B212" s="9" t="s">
        <v>367</v>
      </c>
      <c r="C212" s="9" t="s">
        <v>66</v>
      </c>
      <c r="D212" s="9" t="s">
        <v>102</v>
      </c>
      <c r="E212" s="9" t="s">
        <v>131</v>
      </c>
      <c r="F212" s="11">
        <v>1</v>
      </c>
      <c r="G212" s="12">
        <v>0</v>
      </c>
      <c r="H212" s="12">
        <v>0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0.24</v>
      </c>
    </row>
    <row r="213">
      <c r="A213" s="23">
        <v>1881</v>
      </c>
      <c r="B213" s="4" t="s">
        <v>368</v>
      </c>
      <c r="C213" s="4" t="s">
        <v>66</v>
      </c>
      <c r="D213" s="4" t="s">
        <v>72</v>
      </c>
      <c r="E213" s="4" t="s">
        <v>73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0">
        <v>0</v>
      </c>
    </row>
    <row r="214">
      <c r="A214" s="24">
        <v>1895</v>
      </c>
      <c r="B214" s="9" t="s">
        <v>369</v>
      </c>
      <c r="C214" s="9" t="s">
        <v>66</v>
      </c>
      <c r="D214" s="9" t="s">
        <v>75</v>
      </c>
      <c r="E214" s="9" t="s">
        <v>370</v>
      </c>
      <c r="F214" s="11">
        <v>3</v>
      </c>
      <c r="G214" s="12">
        <v>0</v>
      </c>
      <c r="H214" s="10">
        <v>3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2">
        <v>0</v>
      </c>
      <c r="W214" s="10">
        <v>3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3</v>
      </c>
      <c r="AK214" s="13">
        <v>3</v>
      </c>
      <c r="AL214" s="10">
        <v>3</v>
      </c>
      <c r="AM214" s="10">
        <v>3</v>
      </c>
      <c r="AN214" s="31">
        <v>0</v>
      </c>
    </row>
    <row r="215">
      <c r="A215" s="23">
        <v>1900</v>
      </c>
      <c r="B215" s="4" t="s">
        <v>371</v>
      </c>
      <c r="C215" s="4" t="s">
        <v>138</v>
      </c>
      <c r="D215" s="4" t="s">
        <v>372</v>
      </c>
      <c r="E215" s="4" t="s">
        <v>373</v>
      </c>
      <c r="F215" s="6">
        <v>3</v>
      </c>
      <c r="G215" s="7">
        <v>0</v>
      </c>
      <c r="H215" s="5">
        <v>1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7">
        <v>0</v>
      </c>
      <c r="W215" s="5">
        <v>1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0.49</v>
      </c>
    </row>
    <row r="216">
      <c r="A216" s="24">
        <v>1906</v>
      </c>
      <c r="B216" s="9" t="s">
        <v>374</v>
      </c>
      <c r="C216" s="9" t="s">
        <v>66</v>
      </c>
      <c r="D216" s="9" t="s">
        <v>102</v>
      </c>
      <c r="E216" s="9" t="s">
        <v>131</v>
      </c>
      <c r="F216" s="11">
        <v>10</v>
      </c>
      <c r="G216" s="12">
        <v>0</v>
      </c>
      <c r="H216" s="12">
        <v>0</v>
      </c>
      <c r="I216" s="12">
        <v>0</v>
      </c>
      <c r="J216" s="10">
        <v>10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10</v>
      </c>
      <c r="V216" s="12">
        <v>0</v>
      </c>
      <c r="W216" s="12">
        <v>0</v>
      </c>
      <c r="X216" s="12">
        <v>0</v>
      </c>
      <c r="Y216" s="10">
        <v>10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10</v>
      </c>
      <c r="AK216" s="13">
        <v>10</v>
      </c>
      <c r="AL216" s="10">
        <v>10</v>
      </c>
      <c r="AM216" s="10">
        <v>10</v>
      </c>
      <c r="AN216" s="29">
        <v>2.5</v>
      </c>
    </row>
    <row r="217">
      <c r="A217" s="23">
        <v>1907</v>
      </c>
      <c r="B217" s="4" t="s">
        <v>375</v>
      </c>
      <c r="C217" s="4" t="s">
        <v>66</v>
      </c>
      <c r="D217" s="4" t="s">
        <v>102</v>
      </c>
      <c r="E217" s="4" t="s">
        <v>131</v>
      </c>
      <c r="F217" s="6">
        <v>8</v>
      </c>
      <c r="G217" s="7">
        <v>0</v>
      </c>
      <c r="H217" s="7">
        <v>0</v>
      </c>
      <c r="I217" s="7">
        <v>0</v>
      </c>
      <c r="J217" s="5">
        <v>8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5</v>
      </c>
      <c r="V217" s="7">
        <v>0</v>
      </c>
      <c r="W217" s="7">
        <v>0</v>
      </c>
      <c r="X217" s="7">
        <v>0</v>
      </c>
      <c r="Y217" s="5">
        <v>5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8</v>
      </c>
      <c r="AK217" s="8">
        <v>8</v>
      </c>
      <c r="AL217" s="5">
        <v>8</v>
      </c>
      <c r="AM217" s="5">
        <v>8</v>
      </c>
      <c r="AN217" s="28">
        <v>1.3</v>
      </c>
    </row>
    <row r="218">
      <c r="A218" s="24">
        <v>1912</v>
      </c>
      <c r="B218" s="9" t="s">
        <v>376</v>
      </c>
      <c r="C218" s="9" t="s">
        <v>66</v>
      </c>
      <c r="D218" s="9" t="s">
        <v>75</v>
      </c>
      <c r="E218" s="9" t="s">
        <v>79</v>
      </c>
      <c r="F218" s="11">
        <v>2</v>
      </c>
      <c r="G218" s="10">
        <v>1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0">
        <v>1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1959</v>
      </c>
      <c r="B219" s="4" t="s">
        <v>377</v>
      </c>
      <c r="C219" s="4" t="s">
        <v>66</v>
      </c>
      <c r="D219" s="4" t="s">
        <v>75</v>
      </c>
      <c r="E219" s="4" t="s">
        <v>79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2006</v>
      </c>
      <c r="B220" s="9" t="s">
        <v>378</v>
      </c>
      <c r="C220" s="9" t="s">
        <v>66</v>
      </c>
      <c r="D220" s="9" t="s">
        <v>95</v>
      </c>
      <c r="E220" s="9" t="s">
        <v>129</v>
      </c>
      <c r="F220" s="11">
        <v>10</v>
      </c>
      <c r="G220" s="10">
        <v>10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9</v>
      </c>
      <c r="V220" s="10">
        <v>9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5</v>
      </c>
      <c r="AL220" s="10">
        <v>5</v>
      </c>
      <c r="AM220" s="10">
        <v>9</v>
      </c>
      <c r="AN220" s="31">
        <v>0</v>
      </c>
    </row>
    <row r="221">
      <c r="A221" s="23">
        <v>2080</v>
      </c>
      <c r="B221" s="4" t="s">
        <v>379</v>
      </c>
      <c r="C221" s="4" t="s">
        <v>66</v>
      </c>
      <c r="D221" s="4" t="s">
        <v>75</v>
      </c>
      <c r="E221" s="4" t="s">
        <v>79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2087</v>
      </c>
      <c r="B222" s="9" t="s">
        <v>380</v>
      </c>
      <c r="C222" s="9" t="s">
        <v>66</v>
      </c>
      <c r="D222" s="9" t="s">
        <v>75</v>
      </c>
      <c r="E222" s="9" t="s">
        <v>79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2095</v>
      </c>
      <c r="B223" s="4" t="s">
        <v>381</v>
      </c>
      <c r="C223" s="4" t="s">
        <v>66</v>
      </c>
      <c r="D223" s="4" t="s">
        <v>75</v>
      </c>
      <c r="E223" s="4" t="s">
        <v>79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2108</v>
      </c>
      <c r="B224" s="9" t="s">
        <v>382</v>
      </c>
      <c r="C224" s="9" t="s">
        <v>66</v>
      </c>
      <c r="D224" s="9" t="s">
        <v>75</v>
      </c>
      <c r="E224" s="9" t="s">
        <v>79</v>
      </c>
      <c r="F224" s="11">
        <v>3</v>
      </c>
      <c r="G224" s="12">
        <v>0</v>
      </c>
      <c r="H224" s="12">
        <v>0</v>
      </c>
      <c r="I224" s="10">
        <v>3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</v>
      </c>
      <c r="V224" s="12">
        <v>0</v>
      </c>
      <c r="W224" s="12">
        <v>0</v>
      </c>
      <c r="X224" s="10">
        <v>3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0.78</v>
      </c>
    </row>
    <row r="225">
      <c r="A225" s="23">
        <v>2201</v>
      </c>
      <c r="B225" s="4" t="s">
        <v>383</v>
      </c>
      <c r="C225" s="4" t="s">
        <v>66</v>
      </c>
      <c r="D225" s="4" t="s">
        <v>81</v>
      </c>
      <c r="E225" s="4" t="s">
        <v>82</v>
      </c>
      <c r="F225" s="6">
        <v>1</v>
      </c>
      <c r="G225" s="7">
        <v>0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0.26</v>
      </c>
    </row>
    <row r="226">
      <c r="A226" s="24">
        <v>2212</v>
      </c>
      <c r="B226" s="9" t="s">
        <v>384</v>
      </c>
      <c r="C226" s="9" t="s">
        <v>66</v>
      </c>
      <c r="D226" s="9" t="s">
        <v>160</v>
      </c>
      <c r="E226" s="9" t="s">
        <v>385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1">
        <v>0</v>
      </c>
    </row>
    <row r="227">
      <c r="A227" s="23">
        <v>2213</v>
      </c>
      <c r="B227" s="4" t="s">
        <v>386</v>
      </c>
      <c r="C227" s="4" t="s">
        <v>66</v>
      </c>
      <c r="D227" s="4" t="s">
        <v>84</v>
      </c>
      <c r="E227" s="4" t="s">
        <v>225</v>
      </c>
      <c r="F227" s="6">
        <v>5</v>
      </c>
      <c r="G227" s="7">
        <v>0</v>
      </c>
      <c r="H227" s="7">
        <v>0</v>
      </c>
      <c r="I227" s="5">
        <v>1</v>
      </c>
      <c r="J227" s="5">
        <v>4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5</v>
      </c>
      <c r="V227" s="7">
        <v>0</v>
      </c>
      <c r="W227" s="7">
        <v>0</v>
      </c>
      <c r="X227" s="5">
        <v>1</v>
      </c>
      <c r="Y227" s="5">
        <v>4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1.25</v>
      </c>
      <c r="AL227" s="5">
        <v>1</v>
      </c>
      <c r="AM227" s="5">
        <v>2</v>
      </c>
      <c r="AN227" s="28">
        <v>0.78</v>
      </c>
    </row>
    <row r="228">
      <c r="A228" s="24">
        <v>2224</v>
      </c>
      <c r="B228" s="9" t="s">
        <v>387</v>
      </c>
      <c r="C228" s="9" t="s">
        <v>66</v>
      </c>
      <c r="D228" s="9" t="s">
        <v>75</v>
      </c>
      <c r="E228" s="9" t="s">
        <v>79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1">
        <v>0</v>
      </c>
    </row>
    <row r="229">
      <c r="A229" s="23">
        <v>2225</v>
      </c>
      <c r="B229" s="4" t="s">
        <v>388</v>
      </c>
      <c r="C229" s="4" t="s">
        <v>66</v>
      </c>
      <c r="D229" s="4" t="s">
        <v>102</v>
      </c>
      <c r="E229" s="4" t="s">
        <v>103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2268</v>
      </c>
      <c r="B230" s="9" t="s">
        <v>389</v>
      </c>
      <c r="C230" s="9" t="s">
        <v>66</v>
      </c>
      <c r="D230" s="9" t="s">
        <v>67</v>
      </c>
      <c r="E230" s="9" t="s">
        <v>166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1">
        <v>0</v>
      </c>
    </row>
    <row r="231">
      <c r="A231" s="23">
        <v>2272</v>
      </c>
      <c r="B231" s="4" t="s">
        <v>390</v>
      </c>
      <c r="C231" s="4" t="s">
        <v>66</v>
      </c>
      <c r="D231" s="4" t="s">
        <v>81</v>
      </c>
      <c r="E231" s="4" t="s">
        <v>82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2301</v>
      </c>
      <c r="B232" s="9" t="s">
        <v>391</v>
      </c>
      <c r="C232" s="9" t="s">
        <v>66</v>
      </c>
      <c r="D232" s="9" t="s">
        <v>84</v>
      </c>
      <c r="E232" s="9" t="s">
        <v>225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2306</v>
      </c>
      <c r="B233" s="4" t="s">
        <v>392</v>
      </c>
      <c r="C233" s="4" t="s">
        <v>66</v>
      </c>
      <c r="D233" s="4" t="s">
        <v>102</v>
      </c>
      <c r="E233" s="4" t="s">
        <v>103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2319</v>
      </c>
      <c r="B234" s="9" t="s">
        <v>393</v>
      </c>
      <c r="C234" s="9" t="s">
        <v>66</v>
      </c>
      <c r="D234" s="9" t="s">
        <v>75</v>
      </c>
      <c r="E234" s="9" t="s">
        <v>266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2326</v>
      </c>
      <c r="B235" s="4" t="s">
        <v>394</v>
      </c>
      <c r="C235" s="4" t="s">
        <v>138</v>
      </c>
      <c r="D235" s="4" t="s">
        <v>395</v>
      </c>
      <c r="E235" s="4" t="s">
        <v>396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2332</v>
      </c>
      <c r="B236" s="9" t="s">
        <v>397</v>
      </c>
      <c r="C236" s="9" t="s">
        <v>138</v>
      </c>
      <c r="D236" s="9" t="s">
        <v>398</v>
      </c>
      <c r="E236" s="9" t="s">
        <v>399</v>
      </c>
      <c r="F236" s="11">
        <v>5</v>
      </c>
      <c r="G236" s="10">
        <v>1</v>
      </c>
      <c r="H236" s="10">
        <v>3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5</v>
      </c>
      <c r="V236" s="10">
        <v>1</v>
      </c>
      <c r="W236" s="10">
        <v>3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1</v>
      </c>
      <c r="AM236" s="10">
        <v>3</v>
      </c>
      <c r="AN236" s="29">
        <v>1</v>
      </c>
    </row>
    <row r="237">
      <c r="A237" s="23">
        <v>2334</v>
      </c>
      <c r="B237" s="4" t="s">
        <v>400</v>
      </c>
      <c r="C237" s="4" t="s">
        <v>66</v>
      </c>
      <c r="D237" s="4" t="s">
        <v>87</v>
      </c>
      <c r="E237" s="4" t="s">
        <v>156</v>
      </c>
      <c r="F237" s="6">
        <v>1</v>
      </c>
      <c r="G237" s="7">
        <v>0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2335</v>
      </c>
      <c r="B238" s="9" t="s">
        <v>401</v>
      </c>
      <c r="C238" s="9" t="s">
        <v>66</v>
      </c>
      <c r="D238" s="9" t="s">
        <v>84</v>
      </c>
      <c r="E238" s="9" t="s">
        <v>98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0.37</v>
      </c>
    </row>
    <row r="239">
      <c r="A239" s="23">
        <v>2338</v>
      </c>
      <c r="B239" s="4" t="s">
        <v>402</v>
      </c>
      <c r="C239" s="4" t="s">
        <v>152</v>
      </c>
      <c r="D239" s="4" t="s">
        <v>403</v>
      </c>
      <c r="E239" s="4" t="s">
        <v>404</v>
      </c>
      <c r="F239" s="6">
        <v>4</v>
      </c>
      <c r="G239" s="7">
        <v>0</v>
      </c>
      <c r="H239" s="5">
        <v>3</v>
      </c>
      <c r="I239" s="7">
        <v>0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3</v>
      </c>
      <c r="V239" s="7">
        <v>0</v>
      </c>
      <c r="W239" s="5">
        <v>2</v>
      </c>
      <c r="X239" s="7">
        <v>0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1.33</v>
      </c>
      <c r="AL239" s="5">
        <v>1</v>
      </c>
      <c r="AM239" s="5">
        <v>2</v>
      </c>
      <c r="AN239" s="28">
        <v>0.64</v>
      </c>
    </row>
    <row r="240">
      <c r="A240" s="24">
        <v>2339</v>
      </c>
      <c r="B240" s="9" t="s">
        <v>405</v>
      </c>
      <c r="C240" s="9" t="s">
        <v>66</v>
      </c>
      <c r="D240" s="9" t="s">
        <v>110</v>
      </c>
      <c r="E240" s="9" t="s">
        <v>121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0.17</v>
      </c>
    </row>
    <row r="241">
      <c r="A241" s="23">
        <v>2341</v>
      </c>
      <c r="B241" s="4" t="s">
        <v>406</v>
      </c>
      <c r="C241" s="4" t="s">
        <v>66</v>
      </c>
      <c r="D241" s="4" t="s">
        <v>110</v>
      </c>
      <c r="E241" s="4" t="s">
        <v>335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2347</v>
      </c>
      <c r="B242" s="9" t="s">
        <v>407</v>
      </c>
      <c r="C242" s="9" t="s">
        <v>66</v>
      </c>
      <c r="D242" s="9" t="s">
        <v>110</v>
      </c>
      <c r="E242" s="9" t="s">
        <v>121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31">
        <v>0</v>
      </c>
    </row>
    <row r="243">
      <c r="A243" s="23">
        <v>2350</v>
      </c>
      <c r="B243" s="4" t="s">
        <v>408</v>
      </c>
      <c r="C243" s="4" t="s">
        <v>66</v>
      </c>
      <c r="D243" s="4" t="s">
        <v>75</v>
      </c>
      <c r="E243" s="4" t="s">
        <v>213</v>
      </c>
      <c r="F243" s="6">
        <v>2</v>
      </c>
      <c r="G243" s="5">
        <v>1</v>
      </c>
      <c r="H243" s="5">
        <v>1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5">
        <v>1</v>
      </c>
      <c r="W243" s="5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0.5</v>
      </c>
    </row>
    <row r="244">
      <c r="A244" s="24">
        <v>2353</v>
      </c>
      <c r="B244" s="9" t="s">
        <v>409</v>
      </c>
      <c r="C244" s="9" t="s">
        <v>152</v>
      </c>
      <c r="D244" s="9" t="s">
        <v>403</v>
      </c>
      <c r="E244" s="9" t="s">
        <v>410</v>
      </c>
      <c r="F244" s="11">
        <v>2</v>
      </c>
      <c r="G244" s="12">
        <v>0</v>
      </c>
      <c r="H244" s="12">
        <v>0</v>
      </c>
      <c r="I244" s="10">
        <v>1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2">
        <v>0</v>
      </c>
      <c r="W244" s="12">
        <v>0</v>
      </c>
      <c r="X244" s="10">
        <v>1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2359</v>
      </c>
      <c r="B245" s="4" t="s">
        <v>411</v>
      </c>
      <c r="C245" s="4" t="s">
        <v>138</v>
      </c>
      <c r="D245" s="4" t="s">
        <v>395</v>
      </c>
      <c r="E245" s="4" t="s">
        <v>412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2361</v>
      </c>
      <c r="B246" s="9" t="s">
        <v>413</v>
      </c>
      <c r="C246" s="9" t="s">
        <v>138</v>
      </c>
      <c r="D246" s="9" t="s">
        <v>341</v>
      </c>
      <c r="E246" s="9" t="s">
        <v>342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2366</v>
      </c>
      <c r="B247" s="4" t="s">
        <v>414</v>
      </c>
      <c r="C247" s="4" t="s">
        <v>66</v>
      </c>
      <c r="D247" s="4" t="s">
        <v>102</v>
      </c>
      <c r="E247" s="4" t="s">
        <v>131</v>
      </c>
      <c r="F247" s="6">
        <v>2</v>
      </c>
      <c r="G247" s="5">
        <v>1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1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2367</v>
      </c>
      <c r="B248" s="9" t="s">
        <v>415</v>
      </c>
      <c r="C248" s="9" t="s">
        <v>66</v>
      </c>
      <c r="D248" s="9" t="s">
        <v>81</v>
      </c>
      <c r="E248" s="9" t="s">
        <v>416</v>
      </c>
      <c r="F248" s="11">
        <v>3</v>
      </c>
      <c r="G248" s="10">
        <v>1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3</v>
      </c>
      <c r="V248" s="10">
        <v>1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29">
        <v>0.5</v>
      </c>
    </row>
    <row r="249">
      <c r="A249" s="23">
        <v>2372</v>
      </c>
      <c r="B249" s="4" t="s">
        <v>417</v>
      </c>
      <c r="C249" s="4" t="s">
        <v>66</v>
      </c>
      <c r="D249" s="4" t="s">
        <v>142</v>
      </c>
      <c r="E249" s="4" t="s">
        <v>143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2375</v>
      </c>
      <c r="B250" s="9" t="s">
        <v>418</v>
      </c>
      <c r="C250" s="9" t="s">
        <v>138</v>
      </c>
      <c r="D250" s="9" t="s">
        <v>419</v>
      </c>
      <c r="E250" s="9" t="s">
        <v>420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1">
        <v>0</v>
      </c>
    </row>
    <row r="251">
      <c r="A251" s="23">
        <v>2376</v>
      </c>
      <c r="B251" s="4" t="s">
        <v>421</v>
      </c>
      <c r="C251" s="4" t="s">
        <v>138</v>
      </c>
      <c r="D251" s="4" t="s">
        <v>139</v>
      </c>
      <c r="E251" s="4" t="s">
        <v>422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0.22</v>
      </c>
    </row>
    <row r="252">
      <c r="A252" s="24">
        <v>2389</v>
      </c>
      <c r="B252" s="9" t="s">
        <v>423</v>
      </c>
      <c r="C252" s="9" t="s">
        <v>66</v>
      </c>
      <c r="D252" s="9" t="s">
        <v>84</v>
      </c>
      <c r="E252" s="9" t="s">
        <v>98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1">
        <v>0</v>
      </c>
    </row>
    <row r="253">
      <c r="A253" s="23">
        <v>2390</v>
      </c>
      <c r="B253" s="4" t="s">
        <v>424</v>
      </c>
      <c r="C253" s="4" t="s">
        <v>66</v>
      </c>
      <c r="D253" s="4" t="s">
        <v>102</v>
      </c>
      <c r="E253" s="4" t="s">
        <v>103</v>
      </c>
      <c r="F253" s="6">
        <v>1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0.22</v>
      </c>
    </row>
    <row r="254">
      <c r="A254" s="24">
        <v>2392</v>
      </c>
      <c r="B254" s="9" t="s">
        <v>425</v>
      </c>
      <c r="C254" s="9" t="s">
        <v>138</v>
      </c>
      <c r="D254" s="9" t="s">
        <v>426</v>
      </c>
      <c r="E254" s="9" t="s">
        <v>427</v>
      </c>
      <c r="F254" s="11">
        <v>1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2396</v>
      </c>
      <c r="B255" s="4" t="s">
        <v>428</v>
      </c>
      <c r="C255" s="4" t="s">
        <v>66</v>
      </c>
      <c r="D255" s="4" t="s">
        <v>67</v>
      </c>
      <c r="E255" s="4" t="s">
        <v>70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2401</v>
      </c>
      <c r="B256" s="9" t="s">
        <v>429</v>
      </c>
      <c r="C256" s="9" t="s">
        <v>66</v>
      </c>
      <c r="D256" s="9" t="s">
        <v>142</v>
      </c>
      <c r="E256" s="9" t="s">
        <v>143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1">
        <v>0</v>
      </c>
    </row>
    <row r="257">
      <c r="A257" s="23">
        <v>2413</v>
      </c>
      <c r="B257" s="4" t="s">
        <v>430</v>
      </c>
      <c r="C257" s="4" t="s">
        <v>66</v>
      </c>
      <c r="D257" s="4" t="s">
        <v>81</v>
      </c>
      <c r="E257" s="4" t="s">
        <v>136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2419</v>
      </c>
      <c r="B258" s="9" t="s">
        <v>431</v>
      </c>
      <c r="C258" s="9" t="s">
        <v>66</v>
      </c>
      <c r="D258" s="9" t="s">
        <v>75</v>
      </c>
      <c r="E258" s="9" t="s">
        <v>432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2425</v>
      </c>
      <c r="B259" s="4" t="s">
        <v>433</v>
      </c>
      <c r="C259" s="4" t="s">
        <v>138</v>
      </c>
      <c r="D259" s="4" t="s">
        <v>434</v>
      </c>
      <c r="E259" s="4" t="s">
        <v>435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2431</v>
      </c>
      <c r="B260" s="9" t="s">
        <v>436</v>
      </c>
      <c r="C260" s="9" t="s">
        <v>66</v>
      </c>
      <c r="D260" s="9" t="s">
        <v>81</v>
      </c>
      <c r="E260" s="9" t="s">
        <v>82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2432</v>
      </c>
      <c r="B261" s="4" t="s">
        <v>437</v>
      </c>
      <c r="C261" s="4" t="s">
        <v>66</v>
      </c>
      <c r="D261" s="4" t="s">
        <v>81</v>
      </c>
      <c r="E261" s="4" t="s">
        <v>82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2436</v>
      </c>
      <c r="B262" s="9" t="s">
        <v>438</v>
      </c>
      <c r="C262" s="9" t="s">
        <v>66</v>
      </c>
      <c r="D262" s="9" t="s">
        <v>72</v>
      </c>
      <c r="E262" s="9" t="s">
        <v>439</v>
      </c>
      <c r="F262" s="11">
        <v>5</v>
      </c>
      <c r="G262" s="10">
        <v>5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5</v>
      </c>
      <c r="V262" s="10">
        <v>5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29">
        <v>0.25</v>
      </c>
    </row>
    <row r="263">
      <c r="A263" s="23">
        <v>2440</v>
      </c>
      <c r="B263" s="4" t="s">
        <v>440</v>
      </c>
      <c r="C263" s="4" t="s">
        <v>66</v>
      </c>
      <c r="D263" s="4" t="s">
        <v>81</v>
      </c>
      <c r="E263" s="4" t="s">
        <v>82</v>
      </c>
      <c r="F263" s="6">
        <v>3</v>
      </c>
      <c r="G263" s="7">
        <v>0</v>
      </c>
      <c r="H263" s="7">
        <v>0</v>
      </c>
      <c r="I263" s="7">
        <v>0</v>
      </c>
      <c r="J263" s="5">
        <v>3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28">
        <v>0.5</v>
      </c>
    </row>
    <row r="264">
      <c r="A264" s="24">
        <v>2445</v>
      </c>
      <c r="B264" s="9" t="s">
        <v>441</v>
      </c>
      <c r="C264" s="9" t="s">
        <v>66</v>
      </c>
      <c r="D264" s="9" t="s">
        <v>110</v>
      </c>
      <c r="E264" s="9" t="s">
        <v>335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1">
        <v>0</v>
      </c>
    </row>
    <row r="265">
      <c r="A265" s="23">
        <v>2486</v>
      </c>
      <c r="B265" s="4" t="s">
        <v>442</v>
      </c>
      <c r="C265" s="4" t="s">
        <v>152</v>
      </c>
      <c r="D265" s="4" t="s">
        <v>169</v>
      </c>
      <c r="E265" s="4" t="s">
        <v>170</v>
      </c>
      <c r="F265" s="6">
        <v>1</v>
      </c>
      <c r="G265" s="7">
        <v>0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2489</v>
      </c>
      <c r="B266" s="9" t="s">
        <v>443</v>
      </c>
      <c r="C266" s="9" t="s">
        <v>152</v>
      </c>
      <c r="D266" s="9" t="s">
        <v>444</v>
      </c>
      <c r="E266" s="9" t="s">
        <v>444</v>
      </c>
      <c r="F266" s="11">
        <v>2</v>
      </c>
      <c r="G266" s="10">
        <v>1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1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2495</v>
      </c>
      <c r="B267" s="4" t="s">
        <v>445</v>
      </c>
      <c r="C267" s="4" t="s">
        <v>66</v>
      </c>
      <c r="D267" s="4" t="s">
        <v>81</v>
      </c>
      <c r="E267" s="4" t="s">
        <v>145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2496</v>
      </c>
      <c r="B268" s="9" t="s">
        <v>446</v>
      </c>
      <c r="C268" s="9" t="s">
        <v>138</v>
      </c>
      <c r="D268" s="9" t="s">
        <v>395</v>
      </c>
      <c r="E268" s="9" t="s">
        <v>412</v>
      </c>
      <c r="F268" s="11">
        <v>1</v>
      </c>
      <c r="G268" s="12">
        <v>0</v>
      </c>
      <c r="H268" s="10">
        <v>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0">
        <v>1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0.24</v>
      </c>
    </row>
    <row r="269">
      <c r="A269" s="23">
        <v>2498</v>
      </c>
      <c r="B269" s="4" t="s">
        <v>447</v>
      </c>
      <c r="C269" s="4" t="s">
        <v>138</v>
      </c>
      <c r="D269" s="4" t="s">
        <v>395</v>
      </c>
      <c r="E269" s="4" t="s">
        <v>412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2499</v>
      </c>
      <c r="B270" s="9" t="s">
        <v>448</v>
      </c>
      <c r="C270" s="9" t="s">
        <v>66</v>
      </c>
      <c r="D270" s="9" t="s">
        <v>67</v>
      </c>
      <c r="E270" s="9" t="s">
        <v>70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2501</v>
      </c>
      <c r="B271" s="4" t="s">
        <v>449</v>
      </c>
      <c r="C271" s="4" t="s">
        <v>66</v>
      </c>
      <c r="D271" s="4" t="s">
        <v>87</v>
      </c>
      <c r="E271" s="4" t="s">
        <v>450</v>
      </c>
      <c r="F271" s="6">
        <v>2</v>
      </c>
      <c r="G271" s="5">
        <v>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30">
        <v>0</v>
      </c>
    </row>
    <row r="272">
      <c r="A272" s="24">
        <v>2516</v>
      </c>
      <c r="B272" s="9" t="s">
        <v>451</v>
      </c>
      <c r="C272" s="9" t="s">
        <v>66</v>
      </c>
      <c r="D272" s="9" t="s">
        <v>110</v>
      </c>
      <c r="E272" s="9" t="s">
        <v>147</v>
      </c>
      <c r="F272" s="11">
        <v>2</v>
      </c>
      <c r="G272" s="10">
        <v>1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2524</v>
      </c>
      <c r="B273" s="4" t="s">
        <v>452</v>
      </c>
      <c r="C273" s="4" t="s">
        <v>66</v>
      </c>
      <c r="D273" s="4" t="s">
        <v>84</v>
      </c>
      <c r="E273" s="4" t="s">
        <v>90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2526</v>
      </c>
      <c r="B274" s="9" t="s">
        <v>453</v>
      </c>
      <c r="C274" s="9" t="s">
        <v>152</v>
      </c>
      <c r="D274" s="9" t="s">
        <v>169</v>
      </c>
      <c r="E274" s="9" t="s">
        <v>185</v>
      </c>
      <c r="F274" s="11">
        <v>5</v>
      </c>
      <c r="G274" s="10">
        <v>2</v>
      </c>
      <c r="H274" s="12">
        <v>0</v>
      </c>
      <c r="I274" s="10">
        <v>2</v>
      </c>
      <c r="J274" s="12">
        <v>0</v>
      </c>
      <c r="K274" s="12">
        <v>0</v>
      </c>
      <c r="L274" s="10">
        <v>1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4</v>
      </c>
      <c r="V274" s="10">
        <v>2</v>
      </c>
      <c r="W274" s="12">
        <v>0</v>
      </c>
      <c r="X274" s="10">
        <v>1</v>
      </c>
      <c r="Y274" s="12">
        <v>0</v>
      </c>
      <c r="Z274" s="12">
        <v>0</v>
      </c>
      <c r="AA274" s="10">
        <v>1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2</v>
      </c>
      <c r="AM274" s="10">
        <v>2</v>
      </c>
      <c r="AN274" s="31">
        <v>0</v>
      </c>
    </row>
    <row r="275">
      <c r="A275" s="23">
        <v>2538</v>
      </c>
      <c r="B275" s="4" t="s">
        <v>454</v>
      </c>
      <c r="C275" s="4" t="s">
        <v>66</v>
      </c>
      <c r="D275" s="4" t="s">
        <v>84</v>
      </c>
      <c r="E275" s="4" t="s">
        <v>90</v>
      </c>
      <c r="F275" s="6">
        <v>12</v>
      </c>
      <c r="G275" s="7">
        <v>0</v>
      </c>
      <c r="H275" s="7">
        <v>0</v>
      </c>
      <c r="I275" s="7">
        <v>0</v>
      </c>
      <c r="J275" s="5">
        <v>12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12</v>
      </c>
      <c r="V275" s="7">
        <v>0</v>
      </c>
      <c r="W275" s="7">
        <v>0</v>
      </c>
      <c r="X275" s="7">
        <v>0</v>
      </c>
      <c r="Y275" s="5">
        <v>12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12</v>
      </c>
      <c r="AK275" s="8">
        <v>12</v>
      </c>
      <c r="AL275" s="5">
        <v>12</v>
      </c>
      <c r="AM275" s="5">
        <v>12</v>
      </c>
      <c r="AN275" s="30">
        <v>0</v>
      </c>
    </row>
    <row r="276">
      <c r="A276" s="24">
        <v>2552</v>
      </c>
      <c r="B276" s="9" t="s">
        <v>455</v>
      </c>
      <c r="C276" s="9" t="s">
        <v>66</v>
      </c>
      <c r="D276" s="9" t="s">
        <v>81</v>
      </c>
      <c r="E276" s="9" t="s">
        <v>82</v>
      </c>
      <c r="F276" s="11">
        <v>8</v>
      </c>
      <c r="G276" s="10">
        <v>6</v>
      </c>
      <c r="H276" s="10">
        <v>1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8</v>
      </c>
      <c r="V276" s="10">
        <v>6</v>
      </c>
      <c r="W276" s="10">
        <v>1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1</v>
      </c>
      <c r="AM276" s="10">
        <v>4</v>
      </c>
      <c r="AN276" s="29">
        <v>0.26</v>
      </c>
    </row>
    <row r="277">
      <c r="A277" s="23">
        <v>2557</v>
      </c>
      <c r="B277" s="4" t="s">
        <v>456</v>
      </c>
      <c r="C277" s="4" t="s">
        <v>66</v>
      </c>
      <c r="D277" s="4" t="s">
        <v>81</v>
      </c>
      <c r="E277" s="4" t="s">
        <v>209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2563</v>
      </c>
      <c r="B278" s="9" t="s">
        <v>457</v>
      </c>
      <c r="C278" s="9" t="s">
        <v>66</v>
      </c>
      <c r="D278" s="9" t="s">
        <v>81</v>
      </c>
      <c r="E278" s="9" t="s">
        <v>209</v>
      </c>
      <c r="F278" s="11">
        <v>1</v>
      </c>
      <c r="G278" s="12">
        <v>0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0.25</v>
      </c>
    </row>
    <row r="279">
      <c r="A279" s="23">
        <v>2569</v>
      </c>
      <c r="B279" s="4" t="s">
        <v>458</v>
      </c>
      <c r="C279" s="4" t="s">
        <v>66</v>
      </c>
      <c r="D279" s="4" t="s">
        <v>142</v>
      </c>
      <c r="E279" s="4" t="s">
        <v>459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2583</v>
      </c>
      <c r="B280" s="9" t="s">
        <v>460</v>
      </c>
      <c r="C280" s="9" t="s">
        <v>152</v>
      </c>
      <c r="D280" s="9" t="s">
        <v>169</v>
      </c>
      <c r="E280" s="9" t="s">
        <v>170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31">
        <v>0</v>
      </c>
    </row>
    <row r="281">
      <c r="A281" s="23">
        <v>2586</v>
      </c>
      <c r="B281" s="4" t="s">
        <v>461</v>
      </c>
      <c r="C281" s="4" t="s">
        <v>152</v>
      </c>
      <c r="D281" s="4" t="s">
        <v>403</v>
      </c>
      <c r="E281" s="4" t="s">
        <v>404</v>
      </c>
      <c r="F281" s="6">
        <v>2</v>
      </c>
      <c r="G281" s="7">
        <v>0</v>
      </c>
      <c r="H281" s="7">
        <v>0</v>
      </c>
      <c r="I281" s="7">
        <v>0</v>
      </c>
      <c r="J281" s="7">
        <v>0</v>
      </c>
      <c r="K281" s="5">
        <v>2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7">
        <v>0</v>
      </c>
      <c r="W281" s="7">
        <v>0</v>
      </c>
      <c r="X281" s="7">
        <v>0</v>
      </c>
      <c r="Y281" s="7">
        <v>0</v>
      </c>
      <c r="Z281" s="5">
        <v>2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2587</v>
      </c>
      <c r="B282" s="9" t="s">
        <v>462</v>
      </c>
      <c r="C282" s="9" t="s">
        <v>66</v>
      </c>
      <c r="D282" s="9" t="s">
        <v>81</v>
      </c>
      <c r="E282" s="9" t="s">
        <v>209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2605</v>
      </c>
      <c r="B283" s="4" t="s">
        <v>463</v>
      </c>
      <c r="C283" s="4" t="s">
        <v>66</v>
      </c>
      <c r="D283" s="4" t="s">
        <v>110</v>
      </c>
      <c r="E283" s="4" t="s">
        <v>121</v>
      </c>
      <c r="F283" s="6">
        <v>3</v>
      </c>
      <c r="G283" s="7">
        <v>0</v>
      </c>
      <c r="H283" s="5">
        <v>3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7">
        <v>0</v>
      </c>
      <c r="W283" s="5">
        <v>3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28">
        <v>0.75</v>
      </c>
    </row>
    <row r="284">
      <c r="A284" s="24">
        <v>2611</v>
      </c>
      <c r="B284" s="9" t="s">
        <v>464</v>
      </c>
      <c r="C284" s="9" t="s">
        <v>138</v>
      </c>
      <c r="D284" s="9" t="s">
        <v>233</v>
      </c>
      <c r="E284" s="9" t="s">
        <v>234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2612</v>
      </c>
      <c r="B285" s="4" t="s">
        <v>465</v>
      </c>
      <c r="C285" s="4" t="s">
        <v>152</v>
      </c>
      <c r="D285" s="4" t="s">
        <v>181</v>
      </c>
      <c r="E285" s="4" t="s">
        <v>190</v>
      </c>
      <c r="F285" s="6">
        <v>6</v>
      </c>
      <c r="G285" s="7">
        <v>0</v>
      </c>
      <c r="H285" s="5">
        <v>3</v>
      </c>
      <c r="I285" s="5">
        <v>1</v>
      </c>
      <c r="J285" s="7">
        <v>0</v>
      </c>
      <c r="K285" s="5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5</v>
      </c>
      <c r="V285" s="7">
        <v>0</v>
      </c>
      <c r="W285" s="5">
        <v>3</v>
      </c>
      <c r="X285" s="5">
        <v>1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28">
        <v>0.48</v>
      </c>
    </row>
    <row r="286">
      <c r="A286" s="24">
        <v>2613</v>
      </c>
      <c r="B286" s="9" t="s">
        <v>466</v>
      </c>
      <c r="C286" s="9" t="s">
        <v>152</v>
      </c>
      <c r="D286" s="9" t="s">
        <v>169</v>
      </c>
      <c r="E286" s="9" t="s">
        <v>170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1">
        <v>0</v>
      </c>
    </row>
    <row r="287">
      <c r="A287" s="23">
        <v>2614</v>
      </c>
      <c r="B287" s="4" t="s">
        <v>467</v>
      </c>
      <c r="C287" s="4" t="s">
        <v>152</v>
      </c>
      <c r="D287" s="4" t="s">
        <v>169</v>
      </c>
      <c r="E287" s="4" t="s">
        <v>170</v>
      </c>
      <c r="F287" s="6">
        <v>5</v>
      </c>
      <c r="G287" s="5">
        <v>3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3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2.5</v>
      </c>
      <c r="AL287" s="5">
        <v>2</v>
      </c>
      <c r="AM287" s="5">
        <v>3</v>
      </c>
      <c r="AN287" s="28">
        <v>0.25</v>
      </c>
    </row>
    <row r="288">
      <c r="A288" s="24">
        <v>2615</v>
      </c>
      <c r="B288" s="9" t="s">
        <v>468</v>
      </c>
      <c r="C288" s="9" t="s">
        <v>152</v>
      </c>
      <c r="D288" s="9" t="s">
        <v>169</v>
      </c>
      <c r="E288" s="9" t="s">
        <v>170</v>
      </c>
      <c r="F288" s="11">
        <v>4</v>
      </c>
      <c r="G288" s="10">
        <v>2</v>
      </c>
      <c r="H288" s="12">
        <v>0</v>
      </c>
      <c r="I288" s="10">
        <v>1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4</v>
      </c>
      <c r="V288" s="10">
        <v>2</v>
      </c>
      <c r="W288" s="12">
        <v>0</v>
      </c>
      <c r="X288" s="10">
        <v>1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1.33</v>
      </c>
      <c r="AL288" s="10">
        <v>1</v>
      </c>
      <c r="AM288" s="10">
        <v>2</v>
      </c>
      <c r="AN288" s="31">
        <v>0</v>
      </c>
    </row>
    <row r="289">
      <c r="A289" s="23">
        <v>2619</v>
      </c>
      <c r="B289" s="4" t="s">
        <v>469</v>
      </c>
      <c r="C289" s="4" t="s">
        <v>66</v>
      </c>
      <c r="D289" s="4" t="s">
        <v>102</v>
      </c>
      <c r="E289" s="4" t="s">
        <v>131</v>
      </c>
      <c r="F289" s="6">
        <v>3</v>
      </c>
      <c r="G289" s="5">
        <v>3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3</v>
      </c>
      <c r="AK289" s="8">
        <v>3</v>
      </c>
      <c r="AL289" s="5">
        <v>3</v>
      </c>
      <c r="AM289" s="5">
        <v>3</v>
      </c>
      <c r="AN289" s="30">
        <v>0</v>
      </c>
    </row>
    <row r="290">
      <c r="A290" s="24">
        <v>2620</v>
      </c>
      <c r="B290" s="9" t="s">
        <v>470</v>
      </c>
      <c r="C290" s="9" t="s">
        <v>66</v>
      </c>
      <c r="D290" s="9" t="s">
        <v>110</v>
      </c>
      <c r="E290" s="9" t="s">
        <v>111</v>
      </c>
      <c r="F290" s="11">
        <v>2</v>
      </c>
      <c r="G290" s="12">
        <v>0</v>
      </c>
      <c r="H290" s="12">
        <v>0</v>
      </c>
      <c r="I290" s="10">
        <v>2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2">
        <v>0</v>
      </c>
      <c r="W290" s="12">
        <v>0</v>
      </c>
      <c r="X290" s="10">
        <v>2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2631</v>
      </c>
      <c r="B291" s="4" t="s">
        <v>471</v>
      </c>
      <c r="C291" s="4" t="s">
        <v>66</v>
      </c>
      <c r="D291" s="4" t="s">
        <v>110</v>
      </c>
      <c r="E291" s="4" t="s">
        <v>121</v>
      </c>
      <c r="F291" s="6">
        <v>2</v>
      </c>
      <c r="G291" s="7">
        <v>0</v>
      </c>
      <c r="H291" s="7">
        <v>0</v>
      </c>
      <c r="I291" s="5">
        <v>1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7">
        <v>0</v>
      </c>
      <c r="W291" s="7">
        <v>0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</v>
      </c>
    </row>
    <row r="292">
      <c r="A292" s="24">
        <v>2645</v>
      </c>
      <c r="B292" s="9" t="s">
        <v>472</v>
      </c>
      <c r="C292" s="9" t="s">
        <v>66</v>
      </c>
      <c r="D292" s="9" t="s">
        <v>110</v>
      </c>
      <c r="E292" s="9" t="s">
        <v>113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0.26</v>
      </c>
    </row>
    <row r="293">
      <c r="A293" s="23">
        <v>2654</v>
      </c>
      <c r="B293" s="4" t="s">
        <v>473</v>
      </c>
      <c r="C293" s="4" t="s">
        <v>138</v>
      </c>
      <c r="D293" s="4" t="s">
        <v>233</v>
      </c>
      <c r="E293" s="4" t="s">
        <v>234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2659</v>
      </c>
      <c r="B294" s="9" t="s">
        <v>474</v>
      </c>
      <c r="C294" s="9" t="s">
        <v>66</v>
      </c>
      <c r="D294" s="9" t="s">
        <v>75</v>
      </c>
      <c r="E294" s="9" t="s">
        <v>76</v>
      </c>
      <c r="F294" s="11">
        <v>1</v>
      </c>
      <c r="G294" s="12">
        <v>0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2664</v>
      </c>
      <c r="B295" s="4" t="s">
        <v>475</v>
      </c>
      <c r="C295" s="4" t="s">
        <v>66</v>
      </c>
      <c r="D295" s="4" t="s">
        <v>110</v>
      </c>
      <c r="E295" s="4" t="s">
        <v>121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2671</v>
      </c>
      <c r="B296" s="9" t="s">
        <v>476</v>
      </c>
      <c r="C296" s="9" t="s">
        <v>66</v>
      </c>
      <c r="D296" s="9" t="s">
        <v>75</v>
      </c>
      <c r="E296" s="9" t="s">
        <v>432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2684</v>
      </c>
      <c r="B297" s="4" t="s">
        <v>477</v>
      </c>
      <c r="C297" s="4" t="s">
        <v>138</v>
      </c>
      <c r="D297" s="4" t="s">
        <v>434</v>
      </c>
      <c r="E297" s="4" t="s">
        <v>478</v>
      </c>
      <c r="F297" s="6">
        <v>3</v>
      </c>
      <c r="G297" s="5">
        <v>1</v>
      </c>
      <c r="H297" s="7">
        <v>0</v>
      </c>
      <c r="I297" s="5">
        <v>1</v>
      </c>
      <c r="J297" s="7">
        <v>0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1</v>
      </c>
      <c r="W297" s="7">
        <v>0</v>
      </c>
      <c r="X297" s="5">
        <v>1</v>
      </c>
      <c r="Y297" s="7">
        <v>0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2687</v>
      </c>
      <c r="B298" s="9" t="s">
        <v>479</v>
      </c>
      <c r="C298" s="9" t="s">
        <v>66</v>
      </c>
      <c r="D298" s="9" t="s">
        <v>84</v>
      </c>
      <c r="E298" s="9" t="s">
        <v>90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2688</v>
      </c>
      <c r="B299" s="4" t="s">
        <v>480</v>
      </c>
      <c r="C299" s="4" t="s">
        <v>66</v>
      </c>
      <c r="D299" s="4" t="s">
        <v>84</v>
      </c>
      <c r="E299" s="4" t="s">
        <v>90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2692</v>
      </c>
      <c r="B300" s="9" t="s">
        <v>481</v>
      </c>
      <c r="C300" s="9" t="s">
        <v>66</v>
      </c>
      <c r="D300" s="9" t="s">
        <v>84</v>
      </c>
      <c r="E300" s="9" t="s">
        <v>90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2693</v>
      </c>
      <c r="B301" s="4" t="s">
        <v>482</v>
      </c>
      <c r="C301" s="4" t="s">
        <v>66</v>
      </c>
      <c r="D301" s="4" t="s">
        <v>84</v>
      </c>
      <c r="E301" s="4" t="s">
        <v>90</v>
      </c>
      <c r="F301" s="6">
        <v>4</v>
      </c>
      <c r="G301" s="5">
        <v>1</v>
      </c>
      <c r="H301" s="7">
        <v>0</v>
      </c>
      <c r="I301" s="5">
        <v>3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1</v>
      </c>
      <c r="W301" s="7">
        <v>0</v>
      </c>
      <c r="X301" s="5">
        <v>2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1.33</v>
      </c>
      <c r="AL301" s="5">
        <v>1</v>
      </c>
      <c r="AM301" s="5">
        <v>2</v>
      </c>
      <c r="AN301" s="28">
        <v>0.55</v>
      </c>
    </row>
    <row r="302">
      <c r="A302" s="24">
        <v>2698</v>
      </c>
      <c r="B302" s="9" t="s">
        <v>483</v>
      </c>
      <c r="C302" s="9" t="s">
        <v>66</v>
      </c>
      <c r="D302" s="9" t="s">
        <v>84</v>
      </c>
      <c r="E302" s="9" t="s">
        <v>90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0.26</v>
      </c>
    </row>
    <row r="303">
      <c r="A303" s="23">
        <v>2705</v>
      </c>
      <c r="B303" s="4" t="s">
        <v>484</v>
      </c>
      <c r="C303" s="4" t="s">
        <v>66</v>
      </c>
      <c r="D303" s="4" t="s">
        <v>84</v>
      </c>
      <c r="E303" s="4" t="s">
        <v>90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0.26</v>
      </c>
    </row>
    <row r="304">
      <c r="A304" s="24">
        <v>2715</v>
      </c>
      <c r="B304" s="9" t="s">
        <v>485</v>
      </c>
      <c r="C304" s="9" t="s">
        <v>66</v>
      </c>
      <c r="D304" s="9" t="s">
        <v>84</v>
      </c>
      <c r="E304" s="9" t="s">
        <v>90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0.35</v>
      </c>
    </row>
    <row r="305">
      <c r="A305" s="23">
        <v>2731</v>
      </c>
      <c r="B305" s="4" t="s">
        <v>486</v>
      </c>
      <c r="C305" s="4" t="s">
        <v>66</v>
      </c>
      <c r="D305" s="4" t="s">
        <v>87</v>
      </c>
      <c r="E305" s="4" t="s">
        <v>156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2734</v>
      </c>
      <c r="B306" s="9" t="s">
        <v>487</v>
      </c>
      <c r="C306" s="9" t="s">
        <v>66</v>
      </c>
      <c r="D306" s="9" t="s">
        <v>87</v>
      </c>
      <c r="E306" s="9" t="s">
        <v>450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0.35</v>
      </c>
    </row>
    <row r="307">
      <c r="A307" s="23">
        <v>2740</v>
      </c>
      <c r="B307" s="4" t="s">
        <v>488</v>
      </c>
      <c r="C307" s="4" t="s">
        <v>138</v>
      </c>
      <c r="D307" s="4" t="s">
        <v>489</v>
      </c>
      <c r="E307" s="4" t="s">
        <v>490</v>
      </c>
      <c r="F307" s="6">
        <v>2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2742</v>
      </c>
      <c r="B308" s="9" t="s">
        <v>491</v>
      </c>
      <c r="C308" s="9" t="s">
        <v>66</v>
      </c>
      <c r="D308" s="9" t="s">
        <v>67</v>
      </c>
      <c r="E308" s="9" t="s">
        <v>166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1">
        <v>0</v>
      </c>
    </row>
    <row r="309">
      <c r="A309" s="23">
        <v>2754</v>
      </c>
      <c r="B309" s="4" t="s">
        <v>492</v>
      </c>
      <c r="C309" s="4" t="s">
        <v>66</v>
      </c>
      <c r="D309" s="4" t="s">
        <v>110</v>
      </c>
      <c r="E309" s="4" t="s">
        <v>111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2772</v>
      </c>
      <c r="B310" s="9" t="s">
        <v>493</v>
      </c>
      <c r="C310" s="9" t="s">
        <v>66</v>
      </c>
      <c r="D310" s="9" t="s">
        <v>110</v>
      </c>
      <c r="E310" s="9" t="s">
        <v>111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2777</v>
      </c>
      <c r="B311" s="4" t="s">
        <v>494</v>
      </c>
      <c r="C311" s="4" t="s">
        <v>66</v>
      </c>
      <c r="D311" s="4" t="s">
        <v>75</v>
      </c>
      <c r="E311" s="4" t="s">
        <v>76</v>
      </c>
      <c r="F311" s="6">
        <v>3</v>
      </c>
      <c r="G311" s="5">
        <v>1</v>
      </c>
      <c r="H311" s="5">
        <v>1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1</v>
      </c>
      <c r="W311" s="5">
        <v>1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2780</v>
      </c>
      <c r="B312" s="9" t="s">
        <v>495</v>
      </c>
      <c r="C312" s="9" t="s">
        <v>66</v>
      </c>
      <c r="D312" s="9" t="s">
        <v>75</v>
      </c>
      <c r="E312" s="9" t="s">
        <v>117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1">
        <v>0</v>
      </c>
    </row>
    <row r="313">
      <c r="A313" s="23">
        <v>2792</v>
      </c>
      <c r="B313" s="4" t="s">
        <v>496</v>
      </c>
      <c r="C313" s="4" t="s">
        <v>66</v>
      </c>
      <c r="D313" s="4" t="s">
        <v>95</v>
      </c>
      <c r="E313" s="4" t="s">
        <v>129</v>
      </c>
      <c r="F313" s="6">
        <v>9</v>
      </c>
      <c r="G313" s="5">
        <v>5</v>
      </c>
      <c r="H313" s="7">
        <v>0</v>
      </c>
      <c r="I313" s="7">
        <v>0</v>
      </c>
      <c r="J313" s="5">
        <v>4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8</v>
      </c>
      <c r="V313" s="5">
        <v>5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</v>
      </c>
      <c r="AL313" s="5">
        <v>3</v>
      </c>
      <c r="AM313" s="5">
        <v>5</v>
      </c>
      <c r="AN313" s="28">
        <v>0.75</v>
      </c>
    </row>
    <row r="314">
      <c r="A314" s="24">
        <v>2831</v>
      </c>
      <c r="B314" s="9" t="s">
        <v>497</v>
      </c>
      <c r="C314" s="9" t="s">
        <v>66</v>
      </c>
      <c r="D314" s="9" t="s">
        <v>75</v>
      </c>
      <c r="E314" s="9" t="s">
        <v>79</v>
      </c>
      <c r="F314" s="11">
        <v>3</v>
      </c>
      <c r="G314" s="12">
        <v>0</v>
      </c>
      <c r="H314" s="12">
        <v>0</v>
      </c>
      <c r="I314" s="12">
        <v>0</v>
      </c>
      <c r="J314" s="10">
        <v>3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3</v>
      </c>
      <c r="AK314" s="13">
        <v>3</v>
      </c>
      <c r="AL314" s="10">
        <v>3</v>
      </c>
      <c r="AM314" s="10">
        <v>3</v>
      </c>
      <c r="AN314" s="29">
        <v>0.25</v>
      </c>
    </row>
    <row r="315">
      <c r="A315" s="23">
        <v>2832</v>
      </c>
      <c r="B315" s="4" t="s">
        <v>498</v>
      </c>
      <c r="C315" s="4" t="s">
        <v>66</v>
      </c>
      <c r="D315" s="4" t="s">
        <v>105</v>
      </c>
      <c r="E315" s="4" t="s">
        <v>106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2837</v>
      </c>
      <c r="B316" s="9" t="s">
        <v>499</v>
      </c>
      <c r="C316" s="9" t="s">
        <v>66</v>
      </c>
      <c r="D316" s="9" t="s">
        <v>67</v>
      </c>
      <c r="E316" s="9" t="s">
        <v>70</v>
      </c>
      <c r="F316" s="11">
        <v>2</v>
      </c>
      <c r="G316" s="12">
        <v>0</v>
      </c>
      <c r="H316" s="10">
        <v>2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2">
        <v>0</v>
      </c>
      <c r="W316" s="10">
        <v>2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0.52</v>
      </c>
    </row>
    <row r="317">
      <c r="A317" s="23">
        <v>2839</v>
      </c>
      <c r="B317" s="4" t="s">
        <v>500</v>
      </c>
      <c r="C317" s="4" t="s">
        <v>66</v>
      </c>
      <c r="D317" s="4" t="s">
        <v>84</v>
      </c>
      <c r="E317" s="4" t="s">
        <v>90</v>
      </c>
      <c r="F317" s="6">
        <v>2</v>
      </c>
      <c r="G317" s="7">
        <v>0</v>
      </c>
      <c r="H317" s="7">
        <v>0</v>
      </c>
      <c r="I317" s="7">
        <v>0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7">
        <v>0</v>
      </c>
      <c r="W317" s="7">
        <v>0</v>
      </c>
      <c r="X317" s="7">
        <v>0</v>
      </c>
      <c r="Y317" s="5">
        <v>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0.5</v>
      </c>
    </row>
    <row r="318">
      <c r="A318" s="24">
        <v>2841</v>
      </c>
      <c r="B318" s="9" t="s">
        <v>501</v>
      </c>
      <c r="C318" s="9" t="s">
        <v>66</v>
      </c>
      <c r="D318" s="9" t="s">
        <v>75</v>
      </c>
      <c r="E318" s="9" t="s">
        <v>370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2862</v>
      </c>
      <c r="B319" s="4" t="s">
        <v>502</v>
      </c>
      <c r="C319" s="4" t="s">
        <v>66</v>
      </c>
      <c r="D319" s="4" t="s">
        <v>102</v>
      </c>
      <c r="E319" s="4" t="s">
        <v>215</v>
      </c>
      <c r="F319" s="6">
        <v>3</v>
      </c>
      <c r="G319" s="7">
        <v>0</v>
      </c>
      <c r="H319" s="5">
        <v>3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7">
        <v>0</v>
      </c>
      <c r="W319" s="5">
        <v>3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28">
        <v>0.75</v>
      </c>
    </row>
    <row r="320">
      <c r="A320" s="24">
        <v>2865</v>
      </c>
      <c r="B320" s="9" t="s">
        <v>503</v>
      </c>
      <c r="C320" s="9" t="s">
        <v>66</v>
      </c>
      <c r="D320" s="9" t="s">
        <v>102</v>
      </c>
      <c r="E320" s="9" t="s">
        <v>215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2874</v>
      </c>
      <c r="B321" s="4" t="s">
        <v>504</v>
      </c>
      <c r="C321" s="4" t="s">
        <v>66</v>
      </c>
      <c r="D321" s="4" t="s">
        <v>102</v>
      </c>
      <c r="E321" s="4" t="s">
        <v>131</v>
      </c>
      <c r="F321" s="6">
        <v>1</v>
      </c>
      <c r="G321" s="7">
        <v>0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0.24</v>
      </c>
    </row>
    <row r="322">
      <c r="A322" s="24">
        <v>2876</v>
      </c>
      <c r="B322" s="9" t="s">
        <v>505</v>
      </c>
      <c r="C322" s="9" t="s">
        <v>66</v>
      </c>
      <c r="D322" s="9" t="s">
        <v>102</v>
      </c>
      <c r="E322" s="9" t="s">
        <v>131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1">
        <v>0</v>
      </c>
    </row>
    <row r="323">
      <c r="A323" s="23">
        <v>2883</v>
      </c>
      <c r="B323" s="4" t="s">
        <v>506</v>
      </c>
      <c r="C323" s="4" t="s">
        <v>66</v>
      </c>
      <c r="D323" s="4" t="s">
        <v>81</v>
      </c>
      <c r="E323" s="4" t="s">
        <v>145</v>
      </c>
      <c r="F323" s="6">
        <v>7</v>
      </c>
      <c r="G323" s="5">
        <v>1</v>
      </c>
      <c r="H323" s="7">
        <v>0</v>
      </c>
      <c r="I323" s="5">
        <v>1</v>
      </c>
      <c r="J323" s="5">
        <v>5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7</v>
      </c>
      <c r="V323" s="5">
        <v>1</v>
      </c>
      <c r="W323" s="7">
        <v>0</v>
      </c>
      <c r="X323" s="5">
        <v>1</v>
      </c>
      <c r="Y323" s="5">
        <v>5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1.4</v>
      </c>
      <c r="AL323" s="5">
        <v>1</v>
      </c>
      <c r="AM323" s="5">
        <v>3</v>
      </c>
      <c r="AN323" s="28">
        <v>1.04</v>
      </c>
    </row>
    <row r="324">
      <c r="A324" s="24">
        <v>2888</v>
      </c>
      <c r="B324" s="9" t="s">
        <v>507</v>
      </c>
      <c r="C324" s="9" t="s">
        <v>66</v>
      </c>
      <c r="D324" s="9" t="s">
        <v>75</v>
      </c>
      <c r="E324" s="9" t="s">
        <v>76</v>
      </c>
      <c r="F324" s="11">
        <v>3</v>
      </c>
      <c r="G324" s="10">
        <v>2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2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31">
        <v>0</v>
      </c>
    </row>
    <row r="325">
      <c r="A325" s="23">
        <v>2889</v>
      </c>
      <c r="B325" s="4" t="s">
        <v>508</v>
      </c>
      <c r="C325" s="4" t="s">
        <v>66</v>
      </c>
      <c r="D325" s="4" t="s">
        <v>75</v>
      </c>
      <c r="E325" s="4" t="s">
        <v>370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2902</v>
      </c>
      <c r="B326" s="9" t="s">
        <v>509</v>
      </c>
      <c r="C326" s="9" t="s">
        <v>66</v>
      </c>
      <c r="D326" s="9" t="s">
        <v>75</v>
      </c>
      <c r="E326" s="9" t="s">
        <v>76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0.37</v>
      </c>
    </row>
    <row r="327">
      <c r="A327" s="23">
        <v>2907</v>
      </c>
      <c r="B327" s="4" t="s">
        <v>510</v>
      </c>
      <c r="C327" s="4" t="s">
        <v>66</v>
      </c>
      <c r="D327" s="4" t="s">
        <v>124</v>
      </c>
      <c r="E327" s="4" t="s">
        <v>322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2909</v>
      </c>
      <c r="B328" s="9" t="s">
        <v>511</v>
      </c>
      <c r="C328" s="9" t="s">
        <v>138</v>
      </c>
      <c r="D328" s="9" t="s">
        <v>512</v>
      </c>
      <c r="E328" s="9" t="s">
        <v>513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2910</v>
      </c>
      <c r="B329" s="4" t="s">
        <v>514</v>
      </c>
      <c r="C329" s="4" t="s">
        <v>66</v>
      </c>
      <c r="D329" s="4" t="s">
        <v>75</v>
      </c>
      <c r="E329" s="4" t="s">
        <v>432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2915</v>
      </c>
      <c r="B330" s="9" t="s">
        <v>515</v>
      </c>
      <c r="C330" s="9" t="s">
        <v>516</v>
      </c>
      <c r="D330" s="9" t="s">
        <v>517</v>
      </c>
      <c r="E330" s="9" t="s">
        <v>518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0.24</v>
      </c>
    </row>
    <row r="331">
      <c r="A331" s="23">
        <v>2920</v>
      </c>
      <c r="B331" s="4" t="s">
        <v>519</v>
      </c>
      <c r="C331" s="4" t="s">
        <v>516</v>
      </c>
      <c r="D331" s="4" t="s">
        <v>520</v>
      </c>
      <c r="E331" s="4" t="s">
        <v>518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0.24</v>
      </c>
    </row>
    <row r="332">
      <c r="A332" s="24">
        <v>2922</v>
      </c>
      <c r="B332" s="9" t="s">
        <v>521</v>
      </c>
      <c r="C332" s="9" t="s">
        <v>66</v>
      </c>
      <c r="D332" s="9" t="s">
        <v>75</v>
      </c>
      <c r="E332" s="9" t="s">
        <v>432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2930</v>
      </c>
      <c r="B333" s="4" t="s">
        <v>522</v>
      </c>
      <c r="C333" s="4" t="s">
        <v>66</v>
      </c>
      <c r="D333" s="4" t="s">
        <v>75</v>
      </c>
      <c r="E333" s="4" t="s">
        <v>76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2935</v>
      </c>
      <c r="B334" s="9" t="s">
        <v>523</v>
      </c>
      <c r="C334" s="9" t="s">
        <v>66</v>
      </c>
      <c r="D334" s="9" t="s">
        <v>75</v>
      </c>
      <c r="E334" s="9" t="s">
        <v>432</v>
      </c>
      <c r="F334" s="11">
        <v>5</v>
      </c>
      <c r="G334" s="10">
        <v>1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5</v>
      </c>
      <c r="V334" s="10">
        <v>1</v>
      </c>
      <c r="W334" s="12">
        <v>0</v>
      </c>
      <c r="X334" s="12">
        <v>0</v>
      </c>
      <c r="Y334" s="10">
        <v>4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2.5</v>
      </c>
      <c r="AL334" s="10">
        <v>2</v>
      </c>
      <c r="AM334" s="10">
        <v>4</v>
      </c>
      <c r="AN334" s="29">
        <v>1</v>
      </c>
    </row>
    <row r="335">
      <c r="A335" s="23">
        <v>2948</v>
      </c>
      <c r="B335" s="4" t="s">
        <v>524</v>
      </c>
      <c r="C335" s="4" t="s">
        <v>525</v>
      </c>
      <c r="D335" s="4" t="s">
        <v>526</v>
      </c>
      <c r="E335" s="4" t="s">
        <v>527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2953</v>
      </c>
      <c r="B336" s="9" t="s">
        <v>528</v>
      </c>
      <c r="C336" s="9" t="s">
        <v>66</v>
      </c>
      <c r="D336" s="9" t="s">
        <v>81</v>
      </c>
      <c r="E336" s="9" t="s">
        <v>145</v>
      </c>
      <c r="F336" s="11">
        <v>2</v>
      </c>
      <c r="G336" s="12">
        <v>0</v>
      </c>
      <c r="H336" s="12">
        <v>0</v>
      </c>
      <c r="I336" s="10">
        <v>1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2">
        <v>0</v>
      </c>
      <c r="W336" s="12">
        <v>0</v>
      </c>
      <c r="X336" s="10">
        <v>1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1">
        <v>0</v>
      </c>
    </row>
    <row r="337">
      <c r="A337" s="23">
        <v>2954</v>
      </c>
      <c r="B337" s="4" t="s">
        <v>529</v>
      </c>
      <c r="C337" s="4" t="s">
        <v>525</v>
      </c>
      <c r="D337" s="4" t="s">
        <v>526</v>
      </c>
      <c r="E337" s="4" t="s">
        <v>530</v>
      </c>
      <c r="F337" s="6">
        <v>2</v>
      </c>
      <c r="G337" s="5">
        <v>1</v>
      </c>
      <c r="H337" s="5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</v>
      </c>
      <c r="V337" s="5">
        <v>1</v>
      </c>
      <c r="W337" s="5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0.44</v>
      </c>
    </row>
    <row r="338">
      <c r="A338" s="24">
        <v>2967</v>
      </c>
      <c r="B338" s="9" t="s">
        <v>531</v>
      </c>
      <c r="C338" s="9" t="s">
        <v>532</v>
      </c>
      <c r="D338" s="9" t="s">
        <v>533</v>
      </c>
      <c r="E338" s="9" t="s">
        <v>534</v>
      </c>
      <c r="F338" s="11">
        <v>3</v>
      </c>
      <c r="G338" s="12">
        <v>0</v>
      </c>
      <c r="H338" s="12">
        <v>0</v>
      </c>
      <c r="I338" s="10">
        <v>1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2">
        <v>0</v>
      </c>
      <c r="W338" s="12">
        <v>0</v>
      </c>
      <c r="X338" s="10">
        <v>1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29">
        <v>0.5</v>
      </c>
    </row>
    <row r="339">
      <c r="A339" s="23">
        <v>2983</v>
      </c>
      <c r="B339" s="4" t="s">
        <v>535</v>
      </c>
      <c r="C339" s="4" t="s">
        <v>66</v>
      </c>
      <c r="D339" s="4" t="s">
        <v>81</v>
      </c>
      <c r="E339" s="4" t="s">
        <v>136</v>
      </c>
      <c r="F339" s="6">
        <v>2</v>
      </c>
      <c r="G339" s="5">
        <v>1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5">
        <v>1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0.24</v>
      </c>
    </row>
    <row r="340">
      <c r="A340" s="24">
        <v>2996</v>
      </c>
      <c r="B340" s="9" t="s">
        <v>536</v>
      </c>
      <c r="C340" s="9" t="s">
        <v>66</v>
      </c>
      <c r="D340" s="9" t="s">
        <v>84</v>
      </c>
      <c r="E340" s="9" t="s">
        <v>195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2998</v>
      </c>
      <c r="B341" s="4" t="s">
        <v>537</v>
      </c>
      <c r="C341" s="4" t="s">
        <v>66</v>
      </c>
      <c r="D341" s="4" t="s">
        <v>75</v>
      </c>
      <c r="E341" s="4" t="s">
        <v>538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3004</v>
      </c>
      <c r="B342" s="9" t="s">
        <v>539</v>
      </c>
      <c r="C342" s="9" t="s">
        <v>66</v>
      </c>
      <c r="D342" s="9" t="s">
        <v>142</v>
      </c>
      <c r="E342" s="9" t="s">
        <v>143</v>
      </c>
      <c r="F342" s="11">
        <v>4</v>
      </c>
      <c r="G342" s="10">
        <v>3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0">
        <v>3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31">
        <v>0</v>
      </c>
    </row>
    <row r="343">
      <c r="A343" s="23">
        <v>3012</v>
      </c>
      <c r="B343" s="4" t="s">
        <v>540</v>
      </c>
      <c r="C343" s="4" t="s">
        <v>66</v>
      </c>
      <c r="D343" s="4" t="s">
        <v>84</v>
      </c>
      <c r="E343" s="4" t="s">
        <v>98</v>
      </c>
      <c r="F343" s="6">
        <v>8</v>
      </c>
      <c r="G343" s="7">
        <v>0</v>
      </c>
      <c r="H343" s="7">
        <v>0</v>
      </c>
      <c r="I343" s="7">
        <v>0</v>
      </c>
      <c r="J343" s="5">
        <v>8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6</v>
      </c>
      <c r="V343" s="7">
        <v>0</v>
      </c>
      <c r="W343" s="7">
        <v>0</v>
      </c>
      <c r="X343" s="7">
        <v>0</v>
      </c>
      <c r="Y343" s="5">
        <v>6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</v>
      </c>
      <c r="AL343" s="5">
        <v>4</v>
      </c>
      <c r="AM343" s="5">
        <v>7</v>
      </c>
      <c r="AN343" s="28">
        <v>1.2</v>
      </c>
    </row>
    <row r="344">
      <c r="A344" s="24">
        <v>3036</v>
      </c>
      <c r="B344" s="9" t="s">
        <v>541</v>
      </c>
      <c r="C344" s="9" t="s">
        <v>66</v>
      </c>
      <c r="D344" s="9" t="s">
        <v>81</v>
      </c>
      <c r="E344" s="9" t="s">
        <v>209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3050</v>
      </c>
      <c r="B345" s="4" t="s">
        <v>542</v>
      </c>
      <c r="C345" s="4" t="s">
        <v>66</v>
      </c>
      <c r="D345" s="4" t="s">
        <v>142</v>
      </c>
      <c r="E345" s="4" t="s">
        <v>543</v>
      </c>
      <c r="F345" s="6">
        <v>3</v>
      </c>
      <c r="G345" s="7">
        <v>0</v>
      </c>
      <c r="H345" s="7">
        <v>0</v>
      </c>
      <c r="I345" s="5">
        <v>3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7">
        <v>0</v>
      </c>
      <c r="W345" s="7">
        <v>0</v>
      </c>
      <c r="X345" s="5">
        <v>2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0.25</v>
      </c>
    </row>
    <row r="346">
      <c r="A346" s="24">
        <v>3054</v>
      </c>
      <c r="B346" s="9" t="s">
        <v>544</v>
      </c>
      <c r="C346" s="9" t="s">
        <v>66</v>
      </c>
      <c r="D346" s="9" t="s">
        <v>110</v>
      </c>
      <c r="E346" s="9" t="s">
        <v>111</v>
      </c>
      <c r="F346" s="11">
        <v>2</v>
      </c>
      <c r="G346" s="12">
        <v>0</v>
      </c>
      <c r="H346" s="12">
        <v>0</v>
      </c>
      <c r="I346" s="10">
        <v>1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0.5</v>
      </c>
    </row>
    <row r="347">
      <c r="A347" s="23">
        <v>3067</v>
      </c>
      <c r="B347" s="4" t="s">
        <v>173</v>
      </c>
      <c r="C347" s="4" t="s">
        <v>66</v>
      </c>
      <c r="D347" s="4" t="s">
        <v>84</v>
      </c>
      <c r="E347" s="4" t="s">
        <v>225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3080</v>
      </c>
      <c r="B348" s="9" t="s">
        <v>545</v>
      </c>
      <c r="C348" s="9" t="s">
        <v>66</v>
      </c>
      <c r="D348" s="9" t="s">
        <v>75</v>
      </c>
      <c r="E348" s="9" t="s">
        <v>370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1">
        <v>0</v>
      </c>
    </row>
    <row r="349">
      <c r="A349" s="23">
        <v>3081</v>
      </c>
      <c r="B349" s="4" t="s">
        <v>546</v>
      </c>
      <c r="C349" s="4" t="s">
        <v>66</v>
      </c>
      <c r="D349" s="4" t="s">
        <v>84</v>
      </c>
      <c r="E349" s="4" t="s">
        <v>98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0.26</v>
      </c>
    </row>
    <row r="350">
      <c r="A350" s="24">
        <v>3089</v>
      </c>
      <c r="B350" s="9" t="s">
        <v>547</v>
      </c>
      <c r="C350" s="9" t="s">
        <v>152</v>
      </c>
      <c r="D350" s="9" t="s">
        <v>153</v>
      </c>
      <c r="E350" s="9" t="s">
        <v>548</v>
      </c>
      <c r="F350" s="11">
        <v>1</v>
      </c>
      <c r="G350" s="12">
        <v>0</v>
      </c>
      <c r="H350" s="12">
        <v>0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2">
        <v>0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1">
        <v>0</v>
      </c>
    </row>
    <row r="351">
      <c r="A351" s="23">
        <v>3090</v>
      </c>
      <c r="B351" s="4" t="s">
        <v>549</v>
      </c>
      <c r="C351" s="4" t="s">
        <v>66</v>
      </c>
      <c r="D351" s="4" t="s">
        <v>105</v>
      </c>
      <c r="E351" s="4" t="s">
        <v>550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3092</v>
      </c>
      <c r="B352" s="9" t="s">
        <v>551</v>
      </c>
      <c r="C352" s="9" t="s">
        <v>66</v>
      </c>
      <c r="D352" s="9" t="s">
        <v>67</v>
      </c>
      <c r="E352" s="9" t="s">
        <v>70</v>
      </c>
      <c r="F352" s="11">
        <v>1</v>
      </c>
      <c r="G352" s="12">
        <v>0</v>
      </c>
      <c r="H352" s="10">
        <v>1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0">
        <v>1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3100</v>
      </c>
      <c r="B353" s="4" t="s">
        <v>552</v>
      </c>
      <c r="C353" s="4" t="s">
        <v>516</v>
      </c>
      <c r="D353" s="4" t="s">
        <v>553</v>
      </c>
      <c r="E353" s="4" t="s">
        <v>518</v>
      </c>
      <c r="F353" s="6">
        <v>1</v>
      </c>
      <c r="G353" s="7">
        <v>0</v>
      </c>
      <c r="H353" s="7">
        <v>0</v>
      </c>
      <c r="I353" s="5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5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3112</v>
      </c>
      <c r="B354" s="9" t="s">
        <v>554</v>
      </c>
      <c r="C354" s="9" t="s">
        <v>66</v>
      </c>
      <c r="D354" s="9" t="s">
        <v>75</v>
      </c>
      <c r="E354" s="9" t="s">
        <v>266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0.44</v>
      </c>
    </row>
    <row r="355">
      <c r="A355" s="23">
        <v>3127</v>
      </c>
      <c r="B355" s="4" t="s">
        <v>555</v>
      </c>
      <c r="C355" s="4" t="s">
        <v>66</v>
      </c>
      <c r="D355" s="4" t="s">
        <v>75</v>
      </c>
      <c r="E355" s="4" t="s">
        <v>76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3134</v>
      </c>
      <c r="B356" s="9" t="s">
        <v>556</v>
      </c>
      <c r="C356" s="9" t="s">
        <v>152</v>
      </c>
      <c r="D356" s="9" t="s">
        <v>169</v>
      </c>
      <c r="E356" s="9" t="s">
        <v>176</v>
      </c>
      <c r="F356" s="11">
        <v>1</v>
      </c>
      <c r="G356" s="12">
        <v>0</v>
      </c>
      <c r="H356" s="12">
        <v>0</v>
      </c>
      <c r="I356" s="12">
        <v>0</v>
      </c>
      <c r="J356" s="12">
        <v>0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2">
        <v>0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1">
        <v>0</v>
      </c>
    </row>
    <row r="357">
      <c r="A357" s="23">
        <v>3135</v>
      </c>
      <c r="B357" s="4" t="s">
        <v>557</v>
      </c>
      <c r="C357" s="4" t="s">
        <v>152</v>
      </c>
      <c r="D357" s="4" t="s">
        <v>181</v>
      </c>
      <c r="E357" s="4" t="s">
        <v>558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3142</v>
      </c>
      <c r="B358" s="9" t="s">
        <v>559</v>
      </c>
      <c r="C358" s="9" t="s">
        <v>66</v>
      </c>
      <c r="D358" s="9" t="s">
        <v>84</v>
      </c>
      <c r="E358" s="9" t="s">
        <v>98</v>
      </c>
      <c r="F358" s="11">
        <v>8</v>
      </c>
      <c r="G358" s="10">
        <v>4</v>
      </c>
      <c r="H358" s="10">
        <v>1</v>
      </c>
      <c r="I358" s="10">
        <v>3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6</v>
      </c>
      <c r="V358" s="10">
        <v>3</v>
      </c>
      <c r="W358" s="10">
        <v>1</v>
      </c>
      <c r="X358" s="10">
        <v>2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2</v>
      </c>
      <c r="AM358" s="10">
        <v>3</v>
      </c>
      <c r="AN358" s="29">
        <v>0.22</v>
      </c>
    </row>
    <row r="359">
      <c r="A359" s="23">
        <v>3187</v>
      </c>
      <c r="B359" s="4" t="s">
        <v>560</v>
      </c>
      <c r="C359" s="4" t="s">
        <v>66</v>
      </c>
      <c r="D359" s="4" t="s">
        <v>75</v>
      </c>
      <c r="E359" s="4" t="s">
        <v>370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3188</v>
      </c>
      <c r="B360" s="9" t="s">
        <v>561</v>
      </c>
      <c r="C360" s="9" t="s">
        <v>66</v>
      </c>
      <c r="D360" s="9" t="s">
        <v>95</v>
      </c>
      <c r="E360" s="9" t="s">
        <v>129</v>
      </c>
      <c r="F360" s="11">
        <v>6</v>
      </c>
      <c r="G360" s="12">
        <v>0</v>
      </c>
      <c r="H360" s="12">
        <v>0</v>
      </c>
      <c r="I360" s="12">
        <v>0</v>
      </c>
      <c r="J360" s="10">
        <v>6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2">
        <v>0</v>
      </c>
      <c r="W360" s="12">
        <v>0</v>
      </c>
      <c r="X360" s="12">
        <v>0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6</v>
      </c>
      <c r="AK360" s="13">
        <v>6</v>
      </c>
      <c r="AL360" s="10">
        <v>6</v>
      </c>
      <c r="AM360" s="10">
        <v>6</v>
      </c>
      <c r="AN360" s="29">
        <v>0.75</v>
      </c>
    </row>
    <row r="361">
      <c r="A361" s="23">
        <v>3189</v>
      </c>
      <c r="B361" s="4" t="s">
        <v>562</v>
      </c>
      <c r="C361" s="4" t="s">
        <v>66</v>
      </c>
      <c r="D361" s="4" t="s">
        <v>102</v>
      </c>
      <c r="E361" s="4" t="s">
        <v>215</v>
      </c>
      <c r="F361" s="6">
        <v>3</v>
      </c>
      <c r="G361" s="7">
        <v>0</v>
      </c>
      <c r="H361" s="7">
        <v>0</v>
      </c>
      <c r="I361" s="7">
        <v>0</v>
      </c>
      <c r="J361" s="5">
        <v>3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3</v>
      </c>
      <c r="V361" s="7">
        <v>0</v>
      </c>
      <c r="W361" s="7">
        <v>0</v>
      </c>
      <c r="X361" s="7">
        <v>0</v>
      </c>
      <c r="Y361" s="5">
        <v>3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28">
        <v>0.75</v>
      </c>
    </row>
    <row r="362">
      <c r="A362" s="24">
        <v>3190</v>
      </c>
      <c r="B362" s="9" t="s">
        <v>563</v>
      </c>
      <c r="C362" s="9" t="s">
        <v>66</v>
      </c>
      <c r="D362" s="9" t="s">
        <v>102</v>
      </c>
      <c r="E362" s="9" t="s">
        <v>131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31">
        <v>0</v>
      </c>
    </row>
    <row r="363">
      <c r="A363" s="23">
        <v>3191</v>
      </c>
      <c r="B363" s="4" t="s">
        <v>564</v>
      </c>
      <c r="C363" s="4" t="s">
        <v>66</v>
      </c>
      <c r="D363" s="4" t="s">
        <v>110</v>
      </c>
      <c r="E363" s="4" t="s">
        <v>121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3192</v>
      </c>
      <c r="B364" s="9" t="s">
        <v>565</v>
      </c>
      <c r="C364" s="9" t="s">
        <v>66</v>
      </c>
      <c r="D364" s="9" t="s">
        <v>95</v>
      </c>
      <c r="E364" s="9" t="s">
        <v>129</v>
      </c>
      <c r="F364" s="11">
        <v>7</v>
      </c>
      <c r="G364" s="10">
        <v>6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6</v>
      </c>
      <c r="V364" s="10">
        <v>5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3.5</v>
      </c>
      <c r="AL364" s="10">
        <v>3</v>
      </c>
      <c r="AM364" s="10">
        <v>6</v>
      </c>
      <c r="AN364" s="31">
        <v>0</v>
      </c>
    </row>
    <row r="365">
      <c r="A365" s="23">
        <v>3194</v>
      </c>
      <c r="B365" s="4" t="s">
        <v>566</v>
      </c>
      <c r="C365" s="4" t="s">
        <v>66</v>
      </c>
      <c r="D365" s="4" t="s">
        <v>102</v>
      </c>
      <c r="E365" s="4" t="s">
        <v>131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3196</v>
      </c>
      <c r="B366" s="9" t="s">
        <v>567</v>
      </c>
      <c r="C366" s="9" t="s">
        <v>66</v>
      </c>
      <c r="D366" s="9" t="s">
        <v>84</v>
      </c>
      <c r="E366" s="9" t="s">
        <v>90</v>
      </c>
      <c r="F366" s="11">
        <v>2</v>
      </c>
      <c r="G366" s="12">
        <v>0</v>
      </c>
      <c r="H366" s="10">
        <v>1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0">
        <v>1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0.5</v>
      </c>
    </row>
    <row r="367">
      <c r="A367" s="23">
        <v>3198</v>
      </c>
      <c r="B367" s="4" t="s">
        <v>568</v>
      </c>
      <c r="C367" s="4" t="s">
        <v>66</v>
      </c>
      <c r="D367" s="4" t="s">
        <v>110</v>
      </c>
      <c r="E367" s="4" t="s">
        <v>121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3216</v>
      </c>
      <c r="B368" s="9" t="s">
        <v>569</v>
      </c>
      <c r="C368" s="9" t="s">
        <v>66</v>
      </c>
      <c r="D368" s="9" t="s">
        <v>72</v>
      </c>
      <c r="E368" s="9" t="s">
        <v>299</v>
      </c>
      <c r="F368" s="11">
        <v>3</v>
      </c>
      <c r="G368" s="10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</v>
      </c>
      <c r="V368" s="10">
        <v>3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3</v>
      </c>
      <c r="AL368" s="10">
        <v>3</v>
      </c>
      <c r="AM368" s="10">
        <v>3</v>
      </c>
      <c r="AN368" s="31">
        <v>0</v>
      </c>
    </row>
    <row r="369">
      <c r="A369" s="23">
        <v>3223</v>
      </c>
      <c r="B369" s="4" t="s">
        <v>570</v>
      </c>
      <c r="C369" s="4" t="s">
        <v>66</v>
      </c>
      <c r="D369" s="4" t="s">
        <v>102</v>
      </c>
      <c r="E369" s="4" t="s">
        <v>131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3231</v>
      </c>
      <c r="B370" s="9" t="s">
        <v>571</v>
      </c>
      <c r="C370" s="9" t="s">
        <v>66</v>
      </c>
      <c r="D370" s="9" t="s">
        <v>102</v>
      </c>
      <c r="E370" s="9" t="s">
        <v>103</v>
      </c>
      <c r="F370" s="11">
        <v>3</v>
      </c>
      <c r="G370" s="10">
        <v>3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1.5</v>
      </c>
      <c r="AL370" s="10">
        <v>1</v>
      </c>
      <c r="AM370" s="10">
        <v>2</v>
      </c>
      <c r="AN370" s="31">
        <v>0</v>
      </c>
    </row>
    <row r="371">
      <c r="A371" s="23">
        <v>3276</v>
      </c>
      <c r="B371" s="4" t="s">
        <v>572</v>
      </c>
      <c r="C371" s="4" t="s">
        <v>138</v>
      </c>
      <c r="D371" s="4" t="s">
        <v>512</v>
      </c>
      <c r="E371" s="4" t="s">
        <v>573</v>
      </c>
      <c r="F371" s="6">
        <v>1</v>
      </c>
      <c r="G371" s="7">
        <v>0</v>
      </c>
      <c r="H371" s="7">
        <v>0</v>
      </c>
      <c r="I371" s="5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5">
        <v>1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3287</v>
      </c>
      <c r="B372" s="9" t="s">
        <v>574</v>
      </c>
      <c r="C372" s="9" t="s">
        <v>66</v>
      </c>
      <c r="D372" s="9" t="s">
        <v>67</v>
      </c>
      <c r="E372" s="9" t="s">
        <v>70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1">
        <v>0</v>
      </c>
    </row>
    <row r="373">
      <c r="A373" s="23">
        <v>3297</v>
      </c>
      <c r="B373" s="4" t="s">
        <v>575</v>
      </c>
      <c r="C373" s="4" t="s">
        <v>532</v>
      </c>
      <c r="D373" s="4" t="s">
        <v>576</v>
      </c>
      <c r="E373" s="4" t="s">
        <v>577</v>
      </c>
      <c r="F373" s="6">
        <v>2</v>
      </c>
      <c r="G373" s="7">
        <v>0</v>
      </c>
      <c r="H373" s="5">
        <v>1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</v>
      </c>
      <c r="V373" s="7">
        <v>0</v>
      </c>
      <c r="W373" s="5">
        <v>1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3298</v>
      </c>
      <c r="B374" s="9" t="s">
        <v>578</v>
      </c>
      <c r="C374" s="9" t="s">
        <v>66</v>
      </c>
      <c r="D374" s="9" t="s">
        <v>110</v>
      </c>
      <c r="E374" s="9" t="s">
        <v>111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1">
        <v>0</v>
      </c>
    </row>
    <row r="375">
      <c r="A375" s="23">
        <v>3308</v>
      </c>
      <c r="B375" s="4" t="s">
        <v>579</v>
      </c>
      <c r="C375" s="4" t="s">
        <v>66</v>
      </c>
      <c r="D375" s="4" t="s">
        <v>110</v>
      </c>
      <c r="E375" s="4" t="s">
        <v>121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3309</v>
      </c>
      <c r="B376" s="9" t="s">
        <v>580</v>
      </c>
      <c r="C376" s="9" t="s">
        <v>66</v>
      </c>
      <c r="D376" s="9" t="s">
        <v>84</v>
      </c>
      <c r="E376" s="9" t="s">
        <v>98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0.52</v>
      </c>
    </row>
    <row r="377">
      <c r="A377" s="23">
        <v>3318</v>
      </c>
      <c r="B377" s="4" t="s">
        <v>581</v>
      </c>
      <c r="C377" s="4" t="s">
        <v>582</v>
      </c>
      <c r="D377" s="4" t="s">
        <v>583</v>
      </c>
      <c r="E377" s="4" t="s">
        <v>518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3328</v>
      </c>
      <c r="B378" s="9" t="s">
        <v>584</v>
      </c>
      <c r="C378" s="9" t="s">
        <v>138</v>
      </c>
      <c r="D378" s="9" t="s">
        <v>585</v>
      </c>
      <c r="E378" s="9" t="s">
        <v>518</v>
      </c>
      <c r="F378" s="11">
        <v>3</v>
      </c>
      <c r="G378" s="12">
        <v>0</v>
      </c>
      <c r="H378" s="12">
        <v>0</v>
      </c>
      <c r="I378" s="10">
        <v>3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2">
        <v>0</v>
      </c>
      <c r="W378" s="12">
        <v>0</v>
      </c>
      <c r="X378" s="10">
        <v>3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3</v>
      </c>
      <c r="AK378" s="13">
        <v>3</v>
      </c>
      <c r="AL378" s="10">
        <v>3</v>
      </c>
      <c r="AM378" s="10">
        <v>3</v>
      </c>
      <c r="AN378" s="29">
        <v>0.72</v>
      </c>
    </row>
    <row r="379">
      <c r="A379" s="23">
        <v>3329</v>
      </c>
      <c r="B379" s="4" t="s">
        <v>586</v>
      </c>
      <c r="C379" s="4" t="s">
        <v>138</v>
      </c>
      <c r="D379" s="4" t="s">
        <v>512</v>
      </c>
      <c r="E379" s="4" t="s">
        <v>587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0.48</v>
      </c>
    </row>
    <row r="380">
      <c r="A380" s="24">
        <v>3330</v>
      </c>
      <c r="B380" s="9" t="s">
        <v>588</v>
      </c>
      <c r="C380" s="9" t="s">
        <v>138</v>
      </c>
      <c r="D380" s="9" t="s">
        <v>372</v>
      </c>
      <c r="E380" s="9" t="s">
        <v>373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0.24</v>
      </c>
    </row>
    <row r="381">
      <c r="A381" s="23">
        <v>3331</v>
      </c>
      <c r="B381" s="4" t="s">
        <v>589</v>
      </c>
      <c r="C381" s="4" t="s">
        <v>590</v>
      </c>
      <c r="D381" s="4" t="s">
        <v>591</v>
      </c>
      <c r="E381" s="4" t="s">
        <v>518</v>
      </c>
      <c r="F381" s="6">
        <v>2</v>
      </c>
      <c r="G381" s="7">
        <v>0</v>
      </c>
      <c r="H381" s="5">
        <v>1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7">
        <v>0</v>
      </c>
      <c r="W381" s="5">
        <v>1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0.58</v>
      </c>
    </row>
    <row r="382">
      <c r="A382" s="24">
        <v>3338</v>
      </c>
      <c r="B382" s="9" t="s">
        <v>592</v>
      </c>
      <c r="C382" s="9" t="s">
        <v>66</v>
      </c>
      <c r="D382" s="9" t="s">
        <v>142</v>
      </c>
      <c r="E382" s="9" t="s">
        <v>143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1">
        <v>0</v>
      </c>
    </row>
    <row r="383">
      <c r="A383" s="23">
        <v>3339</v>
      </c>
      <c r="B383" s="4" t="s">
        <v>593</v>
      </c>
      <c r="C383" s="4" t="s">
        <v>66</v>
      </c>
      <c r="D383" s="4" t="s">
        <v>142</v>
      </c>
      <c r="E383" s="4" t="s">
        <v>143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30">
        <v>0</v>
      </c>
    </row>
    <row r="384">
      <c r="A384" s="24">
        <v>3342</v>
      </c>
      <c r="B384" s="9" t="s">
        <v>594</v>
      </c>
      <c r="C384" s="9" t="s">
        <v>66</v>
      </c>
      <c r="D384" s="9" t="s">
        <v>142</v>
      </c>
      <c r="E384" s="9" t="s">
        <v>143</v>
      </c>
      <c r="F384" s="11">
        <v>7</v>
      </c>
      <c r="G384" s="12">
        <v>0</v>
      </c>
      <c r="H384" s="12">
        <v>0</v>
      </c>
      <c r="I384" s="10">
        <v>1</v>
      </c>
      <c r="J384" s="10">
        <v>6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5</v>
      </c>
      <c r="V384" s="12">
        <v>0</v>
      </c>
      <c r="W384" s="12">
        <v>0</v>
      </c>
      <c r="X384" s="10">
        <v>1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3.5</v>
      </c>
      <c r="AL384" s="10">
        <v>3</v>
      </c>
      <c r="AM384" s="10">
        <v>6</v>
      </c>
      <c r="AN384" s="29">
        <v>1</v>
      </c>
    </row>
    <row r="385">
      <c r="A385" s="23">
        <v>3354</v>
      </c>
      <c r="B385" s="4" t="s">
        <v>595</v>
      </c>
      <c r="C385" s="4" t="s">
        <v>582</v>
      </c>
      <c r="D385" s="4" t="s">
        <v>596</v>
      </c>
      <c r="E385" s="4" t="s">
        <v>518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0.26</v>
      </c>
    </row>
    <row r="386">
      <c r="A386" s="24">
        <v>3356</v>
      </c>
      <c r="B386" s="9" t="s">
        <v>597</v>
      </c>
      <c r="C386" s="9" t="s">
        <v>582</v>
      </c>
      <c r="D386" s="9" t="s">
        <v>596</v>
      </c>
      <c r="E386" s="9" t="s">
        <v>518</v>
      </c>
      <c r="F386" s="11">
        <v>2</v>
      </c>
      <c r="G386" s="12">
        <v>0</v>
      </c>
      <c r="H386" s="12">
        <v>0</v>
      </c>
      <c r="I386" s="10">
        <v>2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0">
        <v>2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0.52</v>
      </c>
    </row>
    <row r="387">
      <c r="A387" s="23">
        <v>3357</v>
      </c>
      <c r="B387" s="4" t="s">
        <v>598</v>
      </c>
      <c r="C387" s="4" t="s">
        <v>582</v>
      </c>
      <c r="D387" s="4" t="s">
        <v>596</v>
      </c>
      <c r="E387" s="4" t="s">
        <v>518</v>
      </c>
      <c r="F387" s="6">
        <v>1</v>
      </c>
      <c r="G387" s="7">
        <v>0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0.26</v>
      </c>
    </row>
    <row r="388">
      <c r="A388" s="24">
        <v>3358</v>
      </c>
      <c r="B388" s="9" t="s">
        <v>599</v>
      </c>
      <c r="C388" s="9" t="s">
        <v>582</v>
      </c>
      <c r="D388" s="9" t="s">
        <v>596</v>
      </c>
      <c r="E388" s="9" t="s">
        <v>518</v>
      </c>
      <c r="F388" s="11">
        <v>2</v>
      </c>
      <c r="G388" s="12">
        <v>0</v>
      </c>
      <c r="H388" s="12">
        <v>0</v>
      </c>
      <c r="I388" s="10">
        <v>2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2">
        <v>0</v>
      </c>
      <c r="W388" s="12">
        <v>0</v>
      </c>
      <c r="X388" s="10">
        <v>2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0.52</v>
      </c>
    </row>
    <row r="389">
      <c r="A389" s="23">
        <v>3360</v>
      </c>
      <c r="B389" s="4" t="s">
        <v>600</v>
      </c>
      <c r="C389" s="4" t="s">
        <v>582</v>
      </c>
      <c r="D389" s="4" t="s">
        <v>596</v>
      </c>
      <c r="E389" s="4" t="s">
        <v>518</v>
      </c>
      <c r="F389" s="6">
        <v>2</v>
      </c>
      <c r="G389" s="7">
        <v>0</v>
      </c>
      <c r="H389" s="7">
        <v>0</v>
      </c>
      <c r="I389" s="5">
        <v>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0.26</v>
      </c>
    </row>
    <row r="390">
      <c r="A390" s="24">
        <v>3365</v>
      </c>
      <c r="B390" s="9" t="s">
        <v>601</v>
      </c>
      <c r="C390" s="9" t="s">
        <v>66</v>
      </c>
      <c r="D390" s="9" t="s">
        <v>95</v>
      </c>
      <c r="E390" s="9" t="s">
        <v>602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3379</v>
      </c>
      <c r="B391" s="4" t="s">
        <v>603</v>
      </c>
      <c r="C391" s="4" t="s">
        <v>138</v>
      </c>
      <c r="D391" s="4" t="s">
        <v>604</v>
      </c>
      <c r="E391" s="4" t="s">
        <v>605</v>
      </c>
      <c r="F391" s="6">
        <v>1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3384</v>
      </c>
      <c r="B392" s="9" t="s">
        <v>606</v>
      </c>
      <c r="C392" s="9" t="s">
        <v>138</v>
      </c>
      <c r="D392" s="9" t="s">
        <v>372</v>
      </c>
      <c r="E392" s="9" t="s">
        <v>373</v>
      </c>
      <c r="F392" s="11">
        <v>2</v>
      </c>
      <c r="G392" s="12">
        <v>0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0.22</v>
      </c>
    </row>
    <row r="393">
      <c r="A393" s="23">
        <v>3385</v>
      </c>
      <c r="B393" s="4" t="s">
        <v>607</v>
      </c>
      <c r="C393" s="4" t="s">
        <v>582</v>
      </c>
      <c r="D393" s="4" t="s">
        <v>608</v>
      </c>
      <c r="E393" s="4" t="s">
        <v>609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0.26</v>
      </c>
    </row>
    <row r="394">
      <c r="A394" s="24">
        <v>3388</v>
      </c>
      <c r="B394" s="9" t="s">
        <v>610</v>
      </c>
      <c r="C394" s="9" t="s">
        <v>66</v>
      </c>
      <c r="D394" s="9" t="s">
        <v>110</v>
      </c>
      <c r="E394" s="9" t="s">
        <v>111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0.36</v>
      </c>
    </row>
    <row r="395">
      <c r="A395" s="23">
        <v>3396</v>
      </c>
      <c r="B395" s="4" t="s">
        <v>611</v>
      </c>
      <c r="C395" s="4" t="s">
        <v>532</v>
      </c>
      <c r="D395" s="4" t="s">
        <v>533</v>
      </c>
      <c r="E395" s="4" t="s">
        <v>612</v>
      </c>
      <c r="F395" s="6">
        <v>3</v>
      </c>
      <c r="G395" s="7">
        <v>0</v>
      </c>
      <c r="H395" s="7">
        <v>0</v>
      </c>
      <c r="I395" s="7">
        <v>0</v>
      </c>
      <c r="J395" s="5">
        <v>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7">
        <v>0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3</v>
      </c>
      <c r="AL395" s="5">
        <v>3</v>
      </c>
      <c r="AM395" s="5">
        <v>3</v>
      </c>
      <c r="AN395" s="30">
        <v>0</v>
      </c>
    </row>
    <row r="396">
      <c r="A396" s="24">
        <v>3407</v>
      </c>
      <c r="B396" s="9" t="s">
        <v>613</v>
      </c>
      <c r="C396" s="9" t="s">
        <v>152</v>
      </c>
      <c r="D396" s="9" t="s">
        <v>181</v>
      </c>
      <c r="E396" s="9" t="s">
        <v>614</v>
      </c>
      <c r="F396" s="11">
        <v>2</v>
      </c>
      <c r="G396" s="12">
        <v>0</v>
      </c>
      <c r="H396" s="12">
        <v>0</v>
      </c>
      <c r="I396" s="12">
        <v>0</v>
      </c>
      <c r="J396" s="12">
        <v>0</v>
      </c>
      <c r="K396" s="10">
        <v>2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2">
        <v>0</v>
      </c>
      <c r="W396" s="12">
        <v>0</v>
      </c>
      <c r="X396" s="12">
        <v>0</v>
      </c>
      <c r="Y396" s="12">
        <v>0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3431</v>
      </c>
      <c r="B397" s="4" t="s">
        <v>615</v>
      </c>
      <c r="C397" s="4" t="s">
        <v>66</v>
      </c>
      <c r="D397" s="4" t="s">
        <v>124</v>
      </c>
      <c r="E397" s="4" t="s">
        <v>125</v>
      </c>
      <c r="F397" s="6">
        <v>1</v>
      </c>
      <c r="G397" s="7">
        <v>0</v>
      </c>
      <c r="H397" s="5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5">
        <v>1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3452</v>
      </c>
      <c r="B398" s="9" t="s">
        <v>616</v>
      </c>
      <c r="C398" s="9" t="s">
        <v>532</v>
      </c>
      <c r="D398" s="9" t="s">
        <v>617</v>
      </c>
      <c r="E398" s="9" t="s">
        <v>618</v>
      </c>
      <c r="F398" s="11">
        <v>3</v>
      </c>
      <c r="G398" s="12">
        <v>0</v>
      </c>
      <c r="H398" s="10">
        <v>2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2">
        <v>0</v>
      </c>
      <c r="W398" s="10">
        <v>2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0.78</v>
      </c>
    </row>
    <row r="399">
      <c r="A399" s="23">
        <v>3466</v>
      </c>
      <c r="B399" s="4" t="s">
        <v>619</v>
      </c>
      <c r="C399" s="4" t="s">
        <v>66</v>
      </c>
      <c r="D399" s="4" t="s">
        <v>110</v>
      </c>
      <c r="E399" s="4" t="s">
        <v>257</v>
      </c>
      <c r="F399" s="6">
        <v>2</v>
      </c>
      <c r="G399" s="7">
        <v>0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7">
        <v>0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0.5</v>
      </c>
    </row>
    <row r="400">
      <c r="A400" s="24">
        <v>3479</v>
      </c>
      <c r="B400" s="9" t="s">
        <v>620</v>
      </c>
      <c r="C400" s="9" t="s">
        <v>66</v>
      </c>
      <c r="D400" s="9" t="s">
        <v>81</v>
      </c>
      <c r="E400" s="9" t="s">
        <v>82</v>
      </c>
      <c r="F400" s="11">
        <v>5</v>
      </c>
      <c r="G400" s="10">
        <v>1</v>
      </c>
      <c r="H400" s="12">
        <v>0</v>
      </c>
      <c r="I400" s="10">
        <v>1</v>
      </c>
      <c r="J400" s="10">
        <v>3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1</v>
      </c>
      <c r="W400" s="12">
        <v>0</v>
      </c>
      <c r="X400" s="10">
        <v>1</v>
      </c>
      <c r="Y400" s="10">
        <v>3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1.25</v>
      </c>
      <c r="AL400" s="10">
        <v>1</v>
      </c>
      <c r="AM400" s="10">
        <v>2</v>
      </c>
      <c r="AN400" s="29">
        <v>0.78</v>
      </c>
    </row>
    <row r="401">
      <c r="A401" s="23">
        <v>3480</v>
      </c>
      <c r="B401" s="4" t="s">
        <v>621</v>
      </c>
      <c r="C401" s="4" t="s">
        <v>66</v>
      </c>
      <c r="D401" s="4" t="s">
        <v>81</v>
      </c>
      <c r="E401" s="4" t="s">
        <v>82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3486</v>
      </c>
      <c r="B402" s="9" t="s">
        <v>622</v>
      </c>
      <c r="C402" s="9" t="s">
        <v>66</v>
      </c>
      <c r="D402" s="9" t="s">
        <v>81</v>
      </c>
      <c r="E402" s="9" t="s">
        <v>82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3488</v>
      </c>
      <c r="B403" s="4" t="s">
        <v>623</v>
      </c>
      <c r="C403" s="4" t="s">
        <v>66</v>
      </c>
      <c r="D403" s="4" t="s">
        <v>81</v>
      </c>
      <c r="E403" s="4" t="s">
        <v>82</v>
      </c>
      <c r="F403" s="6">
        <v>1</v>
      </c>
      <c r="G403" s="7">
        <v>0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3490</v>
      </c>
      <c r="B404" s="9" t="s">
        <v>624</v>
      </c>
      <c r="C404" s="9" t="s">
        <v>66</v>
      </c>
      <c r="D404" s="9" t="s">
        <v>81</v>
      </c>
      <c r="E404" s="9" t="s">
        <v>82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3500</v>
      </c>
      <c r="B405" s="4" t="s">
        <v>625</v>
      </c>
      <c r="C405" s="4" t="s">
        <v>66</v>
      </c>
      <c r="D405" s="4" t="s">
        <v>81</v>
      </c>
      <c r="E405" s="4" t="s">
        <v>82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3501</v>
      </c>
      <c r="B406" s="9" t="s">
        <v>626</v>
      </c>
      <c r="C406" s="9" t="s">
        <v>66</v>
      </c>
      <c r="D406" s="9" t="s">
        <v>81</v>
      </c>
      <c r="E406" s="9" t="s">
        <v>82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3515</v>
      </c>
      <c r="B407" s="4" t="s">
        <v>627</v>
      </c>
      <c r="C407" s="4" t="s">
        <v>530</v>
      </c>
      <c r="D407" s="4" t="s">
        <v>628</v>
      </c>
      <c r="E407" s="4" t="s">
        <v>518</v>
      </c>
      <c r="F407" s="6">
        <v>3</v>
      </c>
      <c r="G407" s="7">
        <v>0</v>
      </c>
      <c r="H407" s="7">
        <v>0</v>
      </c>
      <c r="I407" s="7">
        <v>0</v>
      </c>
      <c r="J407" s="5">
        <v>3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7">
        <v>0</v>
      </c>
      <c r="W407" s="7">
        <v>0</v>
      </c>
      <c r="X407" s="7">
        <v>0</v>
      </c>
      <c r="Y407" s="5">
        <v>3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0.52</v>
      </c>
    </row>
    <row r="408">
      <c r="A408" s="24">
        <v>3524</v>
      </c>
      <c r="B408" s="9" t="s">
        <v>629</v>
      </c>
      <c r="C408" s="9" t="s">
        <v>138</v>
      </c>
      <c r="D408" s="9" t="s">
        <v>341</v>
      </c>
      <c r="E408" s="9" t="s">
        <v>630</v>
      </c>
      <c r="F408" s="11">
        <v>3</v>
      </c>
      <c r="G408" s="12">
        <v>0</v>
      </c>
      <c r="H408" s="10">
        <v>1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2">
        <v>0</v>
      </c>
      <c r="W408" s="10">
        <v>1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0.22</v>
      </c>
    </row>
    <row r="409">
      <c r="A409" s="23">
        <v>3529</v>
      </c>
      <c r="B409" s="4" t="s">
        <v>631</v>
      </c>
      <c r="C409" s="4" t="s">
        <v>138</v>
      </c>
      <c r="D409" s="4" t="s">
        <v>233</v>
      </c>
      <c r="E409" s="4" t="s">
        <v>234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0.17</v>
      </c>
    </row>
    <row r="410">
      <c r="A410" s="24">
        <v>3532</v>
      </c>
      <c r="B410" s="9" t="s">
        <v>632</v>
      </c>
      <c r="C410" s="9" t="s">
        <v>66</v>
      </c>
      <c r="D410" s="9" t="s">
        <v>75</v>
      </c>
      <c r="E410" s="9" t="s">
        <v>117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29">
        <v>0.15</v>
      </c>
    </row>
    <row r="411">
      <c r="A411" s="23">
        <v>3567</v>
      </c>
      <c r="B411" s="4" t="s">
        <v>633</v>
      </c>
      <c r="C411" s="4" t="s">
        <v>66</v>
      </c>
      <c r="D411" s="4" t="s">
        <v>81</v>
      </c>
      <c r="E411" s="4" t="s">
        <v>82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3573</v>
      </c>
      <c r="B412" s="9" t="s">
        <v>634</v>
      </c>
      <c r="C412" s="9" t="s">
        <v>582</v>
      </c>
      <c r="D412" s="9" t="s">
        <v>635</v>
      </c>
      <c r="E412" s="9" t="s">
        <v>518</v>
      </c>
      <c r="F412" s="11">
        <v>3</v>
      </c>
      <c r="G412" s="12">
        <v>0</v>
      </c>
      <c r="H412" s="10">
        <v>1</v>
      </c>
      <c r="I412" s="10">
        <v>2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2">
        <v>0</v>
      </c>
      <c r="W412" s="10">
        <v>1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0.26</v>
      </c>
    </row>
    <row r="413">
      <c r="A413" s="23">
        <v>3587</v>
      </c>
      <c r="B413" s="4" t="s">
        <v>636</v>
      </c>
      <c r="C413" s="4" t="s">
        <v>66</v>
      </c>
      <c r="D413" s="4" t="s">
        <v>75</v>
      </c>
      <c r="E413" s="4" t="s">
        <v>76</v>
      </c>
      <c r="F413" s="6">
        <v>2</v>
      </c>
      <c r="G413" s="7">
        <v>0</v>
      </c>
      <c r="H413" s="7">
        <v>0</v>
      </c>
      <c r="I413" s="5">
        <v>1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7">
        <v>0</v>
      </c>
      <c r="W413" s="7">
        <v>0</v>
      </c>
      <c r="X413" s="5">
        <v>1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3589</v>
      </c>
      <c r="B414" s="9" t="s">
        <v>637</v>
      </c>
      <c r="C414" s="9" t="s">
        <v>590</v>
      </c>
      <c r="D414" s="9" t="s">
        <v>638</v>
      </c>
      <c r="E414" s="9" t="s">
        <v>518</v>
      </c>
      <c r="F414" s="11">
        <v>2</v>
      </c>
      <c r="G414" s="12">
        <v>0</v>
      </c>
      <c r="H414" s="10">
        <v>2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2">
        <v>0</v>
      </c>
      <c r="W414" s="10">
        <v>2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0.44</v>
      </c>
    </row>
    <row r="415">
      <c r="A415" s="23">
        <v>3591</v>
      </c>
      <c r="B415" s="4" t="s">
        <v>639</v>
      </c>
      <c r="C415" s="4" t="s">
        <v>66</v>
      </c>
      <c r="D415" s="4" t="s">
        <v>67</v>
      </c>
      <c r="E415" s="4" t="s">
        <v>166</v>
      </c>
      <c r="F415" s="6">
        <v>1</v>
      </c>
      <c r="G415" s="7">
        <v>0</v>
      </c>
      <c r="H415" s="5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7">
        <v>0</v>
      </c>
      <c r="W415" s="5">
        <v>1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3593</v>
      </c>
      <c r="B416" s="9" t="s">
        <v>640</v>
      </c>
      <c r="C416" s="9" t="s">
        <v>138</v>
      </c>
      <c r="D416" s="9" t="s">
        <v>341</v>
      </c>
      <c r="E416" s="9" t="s">
        <v>352</v>
      </c>
      <c r="F416" s="11">
        <v>2</v>
      </c>
      <c r="G416" s="12">
        <v>0</v>
      </c>
      <c r="H416" s="10">
        <v>1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</v>
      </c>
      <c r="V416" s="12">
        <v>0</v>
      </c>
      <c r="W416" s="10">
        <v>1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1">
        <v>0</v>
      </c>
    </row>
    <row r="417">
      <c r="A417" s="23">
        <v>3612</v>
      </c>
      <c r="B417" s="4" t="s">
        <v>641</v>
      </c>
      <c r="C417" s="4" t="s">
        <v>138</v>
      </c>
      <c r="D417" s="4" t="s">
        <v>512</v>
      </c>
      <c r="E417" s="4" t="s">
        <v>587</v>
      </c>
      <c r="F417" s="6">
        <v>5</v>
      </c>
      <c r="G417" s="5">
        <v>2</v>
      </c>
      <c r="H417" s="7">
        <v>0</v>
      </c>
      <c r="I417" s="5">
        <v>2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4</v>
      </c>
      <c r="V417" s="5">
        <v>1</v>
      </c>
      <c r="W417" s="7">
        <v>0</v>
      </c>
      <c r="X417" s="5">
        <v>2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1.67</v>
      </c>
      <c r="AL417" s="5">
        <v>2</v>
      </c>
      <c r="AM417" s="5">
        <v>2</v>
      </c>
      <c r="AN417" s="28">
        <v>0.96</v>
      </c>
    </row>
    <row r="418">
      <c r="A418" s="24">
        <v>3616</v>
      </c>
      <c r="B418" s="9" t="s">
        <v>642</v>
      </c>
      <c r="C418" s="9" t="s">
        <v>66</v>
      </c>
      <c r="D418" s="9" t="s">
        <v>110</v>
      </c>
      <c r="E418" s="9" t="s">
        <v>121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3629</v>
      </c>
      <c r="B419" s="4" t="s">
        <v>643</v>
      </c>
      <c r="C419" s="4" t="s">
        <v>66</v>
      </c>
      <c r="D419" s="4" t="s">
        <v>75</v>
      </c>
      <c r="E419" s="4" t="s">
        <v>117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30">
        <v>0</v>
      </c>
    </row>
    <row r="420">
      <c r="A420" s="24">
        <v>3642</v>
      </c>
      <c r="B420" s="9" t="s">
        <v>644</v>
      </c>
      <c r="C420" s="9" t="s">
        <v>66</v>
      </c>
      <c r="D420" s="9" t="s">
        <v>75</v>
      </c>
      <c r="E420" s="9" t="s">
        <v>538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0.88</v>
      </c>
    </row>
    <row r="421">
      <c r="A421" s="23">
        <v>3643</v>
      </c>
      <c r="B421" s="4" t="s">
        <v>645</v>
      </c>
      <c r="C421" s="4" t="s">
        <v>66</v>
      </c>
      <c r="D421" s="4" t="s">
        <v>110</v>
      </c>
      <c r="E421" s="4" t="s">
        <v>111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0.26</v>
      </c>
    </row>
    <row r="422">
      <c r="A422" s="24">
        <v>3654</v>
      </c>
      <c r="B422" s="9" t="s">
        <v>646</v>
      </c>
      <c r="C422" s="9" t="s">
        <v>66</v>
      </c>
      <c r="D422" s="9" t="s">
        <v>75</v>
      </c>
      <c r="E422" s="9" t="s">
        <v>117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1">
        <v>0</v>
      </c>
    </row>
    <row r="423">
      <c r="A423" s="23">
        <v>3661</v>
      </c>
      <c r="B423" s="4" t="s">
        <v>647</v>
      </c>
      <c r="C423" s="4" t="s">
        <v>66</v>
      </c>
      <c r="D423" s="4" t="s">
        <v>110</v>
      </c>
      <c r="E423" s="4" t="s">
        <v>113</v>
      </c>
      <c r="F423" s="6">
        <v>2</v>
      </c>
      <c r="G423" s="7">
        <v>0</v>
      </c>
      <c r="H423" s="5">
        <v>1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7">
        <v>0</v>
      </c>
      <c r="W423" s="5">
        <v>1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0.52</v>
      </c>
    </row>
    <row r="424">
      <c r="A424" s="24">
        <v>3662</v>
      </c>
      <c r="B424" s="9" t="s">
        <v>648</v>
      </c>
      <c r="C424" s="9" t="s">
        <v>66</v>
      </c>
      <c r="D424" s="9" t="s">
        <v>110</v>
      </c>
      <c r="E424" s="9" t="s">
        <v>113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0.26</v>
      </c>
    </row>
    <row r="425">
      <c r="A425" s="23">
        <v>3677</v>
      </c>
      <c r="B425" s="4" t="s">
        <v>649</v>
      </c>
      <c r="C425" s="4" t="s">
        <v>66</v>
      </c>
      <c r="D425" s="4" t="s">
        <v>102</v>
      </c>
      <c r="E425" s="4" t="s">
        <v>131</v>
      </c>
      <c r="F425" s="6">
        <v>4</v>
      </c>
      <c r="G425" s="5">
        <v>3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</v>
      </c>
      <c r="V425" s="5">
        <v>2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30">
        <v>0</v>
      </c>
    </row>
    <row r="426">
      <c r="A426" s="24">
        <v>3692</v>
      </c>
      <c r="B426" s="9" t="s">
        <v>650</v>
      </c>
      <c r="C426" s="9" t="s">
        <v>66</v>
      </c>
      <c r="D426" s="9" t="s">
        <v>102</v>
      </c>
      <c r="E426" s="9" t="s">
        <v>215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0.44</v>
      </c>
    </row>
    <row r="427">
      <c r="A427" s="23">
        <v>3694</v>
      </c>
      <c r="B427" s="4" t="s">
        <v>651</v>
      </c>
      <c r="C427" s="4" t="s">
        <v>66</v>
      </c>
      <c r="D427" s="4" t="s">
        <v>124</v>
      </c>
      <c r="E427" s="4" t="s">
        <v>322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0">
        <v>0</v>
      </c>
    </row>
    <row r="428">
      <c r="A428" s="24">
        <v>3695</v>
      </c>
      <c r="B428" s="9" t="s">
        <v>652</v>
      </c>
      <c r="C428" s="9" t="s">
        <v>138</v>
      </c>
      <c r="D428" s="9" t="s">
        <v>512</v>
      </c>
      <c r="E428" s="9" t="s">
        <v>587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1">
        <v>0</v>
      </c>
    </row>
    <row r="429">
      <c r="A429" s="23">
        <v>3713</v>
      </c>
      <c r="B429" s="4" t="s">
        <v>653</v>
      </c>
      <c r="C429" s="4" t="s">
        <v>66</v>
      </c>
      <c r="D429" s="4" t="s">
        <v>110</v>
      </c>
      <c r="E429" s="4" t="s">
        <v>113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3719</v>
      </c>
      <c r="B430" s="9" t="s">
        <v>654</v>
      </c>
      <c r="C430" s="9" t="s">
        <v>66</v>
      </c>
      <c r="D430" s="9" t="s">
        <v>124</v>
      </c>
      <c r="E430" s="9" t="s">
        <v>322</v>
      </c>
      <c r="F430" s="11">
        <v>2</v>
      </c>
      <c r="G430" s="10">
        <v>1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1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1">
        <v>0</v>
      </c>
    </row>
    <row r="431">
      <c r="A431" s="23">
        <v>3722</v>
      </c>
      <c r="B431" s="4" t="s">
        <v>655</v>
      </c>
      <c r="C431" s="4" t="s">
        <v>66</v>
      </c>
      <c r="D431" s="4" t="s">
        <v>142</v>
      </c>
      <c r="E431" s="4" t="s">
        <v>143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3726</v>
      </c>
      <c r="B432" s="9" t="s">
        <v>656</v>
      </c>
      <c r="C432" s="9" t="s">
        <v>66</v>
      </c>
      <c r="D432" s="9" t="s">
        <v>95</v>
      </c>
      <c r="E432" s="9" t="s">
        <v>129</v>
      </c>
      <c r="F432" s="11">
        <v>3</v>
      </c>
      <c r="G432" s="12">
        <v>0</v>
      </c>
      <c r="H432" s="12">
        <v>0</v>
      </c>
      <c r="I432" s="12">
        <v>0</v>
      </c>
      <c r="J432" s="10">
        <v>3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2">
        <v>0</v>
      </c>
      <c r="W432" s="12">
        <v>0</v>
      </c>
      <c r="X432" s="12">
        <v>0</v>
      </c>
      <c r="Y432" s="10">
        <v>3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29">
        <v>0.75</v>
      </c>
    </row>
    <row r="433">
      <c r="A433" s="23">
        <v>3734</v>
      </c>
      <c r="B433" s="4" t="s">
        <v>657</v>
      </c>
      <c r="C433" s="4" t="s">
        <v>138</v>
      </c>
      <c r="D433" s="4" t="s">
        <v>139</v>
      </c>
      <c r="E433" s="4" t="s">
        <v>422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0.26</v>
      </c>
    </row>
    <row r="434">
      <c r="A434" s="24">
        <v>3736</v>
      </c>
      <c r="B434" s="9" t="s">
        <v>658</v>
      </c>
      <c r="C434" s="9" t="s">
        <v>590</v>
      </c>
      <c r="D434" s="9" t="s">
        <v>659</v>
      </c>
      <c r="E434" s="9" t="s">
        <v>518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3737</v>
      </c>
      <c r="B435" s="4" t="s">
        <v>660</v>
      </c>
      <c r="C435" s="4" t="s">
        <v>590</v>
      </c>
      <c r="D435" s="4" t="s">
        <v>659</v>
      </c>
      <c r="E435" s="4" t="s">
        <v>518</v>
      </c>
      <c r="F435" s="6">
        <v>3</v>
      </c>
      <c r="G435" s="7">
        <v>0</v>
      </c>
      <c r="H435" s="5">
        <v>2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3</v>
      </c>
      <c r="V435" s="7">
        <v>0</v>
      </c>
      <c r="W435" s="5">
        <v>2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0.5</v>
      </c>
    </row>
    <row r="436">
      <c r="A436" s="24">
        <v>3738</v>
      </c>
      <c r="B436" s="9" t="s">
        <v>661</v>
      </c>
      <c r="C436" s="9" t="s">
        <v>590</v>
      </c>
      <c r="D436" s="9" t="s">
        <v>659</v>
      </c>
      <c r="E436" s="9" t="s">
        <v>518</v>
      </c>
      <c r="F436" s="11">
        <v>2</v>
      </c>
      <c r="G436" s="12">
        <v>0</v>
      </c>
      <c r="H436" s="10">
        <v>1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0">
        <v>1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3739</v>
      </c>
      <c r="B437" s="4" t="s">
        <v>662</v>
      </c>
      <c r="C437" s="4" t="s">
        <v>590</v>
      </c>
      <c r="D437" s="4" t="s">
        <v>659</v>
      </c>
      <c r="E437" s="4" t="s">
        <v>518</v>
      </c>
      <c r="F437" s="6">
        <v>2</v>
      </c>
      <c r="G437" s="7">
        <v>0</v>
      </c>
      <c r="H437" s="5">
        <v>2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5">
        <v>2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</v>
      </c>
      <c r="AL437" s="5">
        <v>2</v>
      </c>
      <c r="AM437" s="5">
        <v>2</v>
      </c>
      <c r="AN437" s="28">
        <v>0.5</v>
      </c>
    </row>
    <row r="438">
      <c r="A438" s="24">
        <v>3740</v>
      </c>
      <c r="B438" s="9" t="s">
        <v>663</v>
      </c>
      <c r="C438" s="9" t="s">
        <v>590</v>
      </c>
      <c r="D438" s="9" t="s">
        <v>659</v>
      </c>
      <c r="E438" s="9" t="s">
        <v>518</v>
      </c>
      <c r="F438" s="11">
        <v>2</v>
      </c>
      <c r="G438" s="12">
        <v>0</v>
      </c>
      <c r="H438" s="10">
        <v>2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0">
        <v>2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</v>
      </c>
    </row>
    <row r="439">
      <c r="A439" s="23">
        <v>3745</v>
      </c>
      <c r="B439" s="4" t="s">
        <v>664</v>
      </c>
      <c r="C439" s="4" t="s">
        <v>66</v>
      </c>
      <c r="D439" s="4" t="s">
        <v>81</v>
      </c>
      <c r="E439" s="4" t="s">
        <v>82</v>
      </c>
      <c r="F439" s="6">
        <v>5</v>
      </c>
      <c r="G439" s="5">
        <v>4</v>
      </c>
      <c r="H439" s="5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5</v>
      </c>
      <c r="V439" s="5">
        <v>4</v>
      </c>
      <c r="W439" s="5">
        <v>1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2.5</v>
      </c>
      <c r="AL439" s="5">
        <v>2</v>
      </c>
      <c r="AM439" s="5">
        <v>4</v>
      </c>
      <c r="AN439" s="30">
        <v>0</v>
      </c>
    </row>
    <row r="440">
      <c r="A440" s="24">
        <v>3753</v>
      </c>
      <c r="B440" s="9" t="s">
        <v>665</v>
      </c>
      <c r="C440" s="9" t="s">
        <v>66</v>
      </c>
      <c r="D440" s="9" t="s">
        <v>95</v>
      </c>
      <c r="E440" s="9" t="s">
        <v>666</v>
      </c>
      <c r="F440" s="11">
        <v>7</v>
      </c>
      <c r="G440" s="10">
        <v>1</v>
      </c>
      <c r="H440" s="12">
        <v>0</v>
      </c>
      <c r="I440" s="12">
        <v>0</v>
      </c>
      <c r="J440" s="10">
        <v>6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6</v>
      </c>
      <c r="V440" s="10">
        <v>1</v>
      </c>
      <c r="W440" s="12">
        <v>0</v>
      </c>
      <c r="X440" s="12">
        <v>0</v>
      </c>
      <c r="Y440" s="10">
        <v>5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2.33</v>
      </c>
      <c r="AL440" s="10">
        <v>1</v>
      </c>
      <c r="AM440" s="10">
        <v>5</v>
      </c>
      <c r="AN440" s="29">
        <v>1.3</v>
      </c>
    </row>
    <row r="441">
      <c r="A441" s="23">
        <v>3786</v>
      </c>
      <c r="B441" s="4" t="s">
        <v>667</v>
      </c>
      <c r="C441" s="4" t="s">
        <v>66</v>
      </c>
      <c r="D441" s="4" t="s">
        <v>81</v>
      </c>
      <c r="E441" s="4" t="s">
        <v>145</v>
      </c>
      <c r="F441" s="6">
        <v>5</v>
      </c>
      <c r="G441" s="5">
        <v>1</v>
      </c>
      <c r="H441" s="7">
        <v>0</v>
      </c>
      <c r="I441" s="7">
        <v>0</v>
      </c>
      <c r="J441" s="5">
        <v>4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5</v>
      </c>
      <c r="V441" s="5">
        <v>1</v>
      </c>
      <c r="W441" s="7">
        <v>0</v>
      </c>
      <c r="X441" s="7">
        <v>0</v>
      </c>
      <c r="Y441" s="5">
        <v>4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1.25</v>
      </c>
      <c r="AL441" s="5">
        <v>1</v>
      </c>
      <c r="AM441" s="5">
        <v>2</v>
      </c>
      <c r="AN441" s="28">
        <v>0.75</v>
      </c>
    </row>
    <row r="442">
      <c r="A442" s="24">
        <v>3798</v>
      </c>
      <c r="B442" s="9" t="s">
        <v>668</v>
      </c>
      <c r="C442" s="9" t="s">
        <v>66</v>
      </c>
      <c r="D442" s="9" t="s">
        <v>81</v>
      </c>
      <c r="E442" s="9" t="s">
        <v>82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3800</v>
      </c>
      <c r="B443" s="4" t="s">
        <v>669</v>
      </c>
      <c r="C443" s="4" t="s">
        <v>66</v>
      </c>
      <c r="D443" s="4" t="s">
        <v>95</v>
      </c>
      <c r="E443" s="4" t="s">
        <v>129</v>
      </c>
      <c r="F443" s="6">
        <v>2</v>
      </c>
      <c r="G443" s="5">
        <v>1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5">
        <v>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0.26</v>
      </c>
    </row>
    <row r="444">
      <c r="A444" s="24">
        <v>3803</v>
      </c>
      <c r="B444" s="9" t="s">
        <v>670</v>
      </c>
      <c r="C444" s="9" t="s">
        <v>66</v>
      </c>
      <c r="D444" s="9" t="s">
        <v>81</v>
      </c>
      <c r="E444" s="9" t="s">
        <v>82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3812</v>
      </c>
      <c r="B445" s="4" t="s">
        <v>671</v>
      </c>
      <c r="C445" s="4" t="s">
        <v>66</v>
      </c>
      <c r="D445" s="4" t="s">
        <v>84</v>
      </c>
      <c r="E445" s="4" t="s">
        <v>195</v>
      </c>
      <c r="F445" s="6">
        <v>2</v>
      </c>
      <c r="G445" s="7">
        <v>0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7">
        <v>0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0.5</v>
      </c>
    </row>
    <row r="446">
      <c r="A446" s="24">
        <v>3813</v>
      </c>
      <c r="B446" s="9" t="s">
        <v>672</v>
      </c>
      <c r="C446" s="9" t="s">
        <v>66</v>
      </c>
      <c r="D446" s="9" t="s">
        <v>84</v>
      </c>
      <c r="E446" s="9" t="s">
        <v>195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3814</v>
      </c>
      <c r="B447" s="4" t="s">
        <v>673</v>
      </c>
      <c r="C447" s="4" t="s">
        <v>66</v>
      </c>
      <c r="D447" s="4" t="s">
        <v>87</v>
      </c>
      <c r="E447" s="4" t="s">
        <v>674</v>
      </c>
      <c r="F447" s="6">
        <v>3</v>
      </c>
      <c r="G447" s="5">
        <v>3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</v>
      </c>
      <c r="AK447" s="8">
        <v>3</v>
      </c>
      <c r="AL447" s="5">
        <v>3</v>
      </c>
      <c r="AM447" s="5">
        <v>3</v>
      </c>
      <c r="AN447" s="30">
        <v>0</v>
      </c>
    </row>
    <row r="448">
      <c r="A448" s="24">
        <v>3817</v>
      </c>
      <c r="B448" s="9" t="s">
        <v>675</v>
      </c>
      <c r="C448" s="9" t="s">
        <v>152</v>
      </c>
      <c r="D448" s="9" t="s">
        <v>169</v>
      </c>
      <c r="E448" s="9" t="s">
        <v>676</v>
      </c>
      <c r="F448" s="11">
        <v>1</v>
      </c>
      <c r="G448" s="12">
        <v>0</v>
      </c>
      <c r="H448" s="12">
        <v>0</v>
      </c>
      <c r="I448" s="12">
        <v>0</v>
      </c>
      <c r="J448" s="12">
        <v>0</v>
      </c>
      <c r="K448" s="10">
        <v>1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2">
        <v>0</v>
      </c>
      <c r="Z448" s="10">
        <v>1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1">
        <v>0</v>
      </c>
    </row>
    <row r="449">
      <c r="A449" s="23">
        <v>3827</v>
      </c>
      <c r="B449" s="4" t="s">
        <v>677</v>
      </c>
      <c r="C449" s="4" t="s">
        <v>66</v>
      </c>
      <c r="D449" s="4" t="s">
        <v>84</v>
      </c>
      <c r="E449" s="4" t="s">
        <v>98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0.25</v>
      </c>
    </row>
    <row r="450">
      <c r="A450" s="24">
        <v>3829</v>
      </c>
      <c r="B450" s="9" t="s">
        <v>678</v>
      </c>
      <c r="C450" s="9" t="s">
        <v>66</v>
      </c>
      <c r="D450" s="9" t="s">
        <v>110</v>
      </c>
      <c r="E450" s="9" t="s">
        <v>679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0.22</v>
      </c>
    </row>
    <row r="451">
      <c r="A451" s="23">
        <v>3836</v>
      </c>
      <c r="B451" s="4" t="s">
        <v>680</v>
      </c>
      <c r="C451" s="4" t="s">
        <v>66</v>
      </c>
      <c r="D451" s="4" t="s">
        <v>84</v>
      </c>
      <c r="E451" s="4" t="s">
        <v>98</v>
      </c>
      <c r="F451" s="6">
        <v>3</v>
      </c>
      <c r="G451" s="5">
        <v>1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3</v>
      </c>
      <c r="V451" s="5">
        <v>1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0.5</v>
      </c>
    </row>
    <row r="452">
      <c r="A452" s="24">
        <v>3861</v>
      </c>
      <c r="B452" s="9" t="s">
        <v>681</v>
      </c>
      <c r="C452" s="9" t="s">
        <v>66</v>
      </c>
      <c r="D452" s="9" t="s">
        <v>110</v>
      </c>
      <c r="E452" s="9" t="s">
        <v>121</v>
      </c>
      <c r="F452" s="11">
        <v>17</v>
      </c>
      <c r="G452" s="12">
        <v>0</v>
      </c>
      <c r="H452" s="12">
        <v>0</v>
      </c>
      <c r="I452" s="12">
        <v>0</v>
      </c>
      <c r="J452" s="10">
        <v>17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15</v>
      </c>
      <c r="V452" s="12">
        <v>0</v>
      </c>
      <c r="W452" s="12">
        <v>0</v>
      </c>
      <c r="X452" s="12">
        <v>0</v>
      </c>
      <c r="Y452" s="10">
        <v>15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8.5</v>
      </c>
      <c r="AL452" s="10">
        <v>8</v>
      </c>
      <c r="AM452" s="10">
        <v>16</v>
      </c>
      <c r="AN452" s="29">
        <v>3.64</v>
      </c>
    </row>
    <row r="453">
      <c r="A453" s="23">
        <v>3862</v>
      </c>
      <c r="B453" s="4" t="s">
        <v>682</v>
      </c>
      <c r="C453" s="4" t="s">
        <v>66</v>
      </c>
      <c r="D453" s="4" t="s">
        <v>110</v>
      </c>
      <c r="E453" s="4" t="s">
        <v>121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3870</v>
      </c>
      <c r="B454" s="9" t="s">
        <v>683</v>
      </c>
      <c r="C454" s="9" t="s">
        <v>66</v>
      </c>
      <c r="D454" s="9" t="s">
        <v>110</v>
      </c>
      <c r="E454" s="9" t="s">
        <v>121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3876</v>
      </c>
      <c r="B455" s="4" t="s">
        <v>684</v>
      </c>
      <c r="C455" s="4" t="s">
        <v>66</v>
      </c>
      <c r="D455" s="4" t="s">
        <v>110</v>
      </c>
      <c r="E455" s="4" t="s">
        <v>121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30">
        <v>0</v>
      </c>
    </row>
    <row r="456">
      <c r="A456" s="24">
        <v>3877</v>
      </c>
      <c r="B456" s="9" t="s">
        <v>685</v>
      </c>
      <c r="C456" s="9" t="s">
        <v>66</v>
      </c>
      <c r="D456" s="9" t="s">
        <v>110</v>
      </c>
      <c r="E456" s="9" t="s">
        <v>121</v>
      </c>
      <c r="F456" s="11">
        <v>1</v>
      </c>
      <c r="G456" s="12">
        <v>0</v>
      </c>
      <c r="H456" s="10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0">
        <v>1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1">
        <v>0</v>
      </c>
    </row>
    <row r="457">
      <c r="A457" s="23">
        <v>3879</v>
      </c>
      <c r="B457" s="4" t="s">
        <v>686</v>
      </c>
      <c r="C457" s="4" t="s">
        <v>66</v>
      </c>
      <c r="D457" s="4" t="s">
        <v>110</v>
      </c>
      <c r="E457" s="4" t="s">
        <v>121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3883</v>
      </c>
      <c r="B458" s="9" t="s">
        <v>687</v>
      </c>
      <c r="C458" s="9" t="s">
        <v>66</v>
      </c>
      <c r="D458" s="9" t="s">
        <v>110</v>
      </c>
      <c r="E458" s="9" t="s">
        <v>121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1">
        <v>0</v>
      </c>
    </row>
    <row r="459">
      <c r="A459" s="23">
        <v>3891</v>
      </c>
      <c r="B459" s="4" t="s">
        <v>688</v>
      </c>
      <c r="C459" s="4" t="s">
        <v>66</v>
      </c>
      <c r="D459" s="4" t="s">
        <v>110</v>
      </c>
      <c r="E459" s="4" t="s">
        <v>121</v>
      </c>
      <c r="F459" s="6">
        <v>4</v>
      </c>
      <c r="G459" s="7">
        <v>0</v>
      </c>
      <c r="H459" s="7">
        <v>0</v>
      </c>
      <c r="I459" s="7">
        <v>0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4</v>
      </c>
      <c r="V459" s="7">
        <v>0</v>
      </c>
      <c r="W459" s="7">
        <v>0</v>
      </c>
      <c r="X459" s="7">
        <v>0</v>
      </c>
      <c r="Y459" s="5">
        <v>4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1</v>
      </c>
    </row>
    <row r="460">
      <c r="A460" s="24">
        <v>3892</v>
      </c>
      <c r="B460" s="9" t="s">
        <v>689</v>
      </c>
      <c r="C460" s="9" t="s">
        <v>66</v>
      </c>
      <c r="D460" s="9" t="s">
        <v>102</v>
      </c>
      <c r="E460" s="9" t="s">
        <v>103</v>
      </c>
      <c r="F460" s="11">
        <v>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0.22</v>
      </c>
    </row>
    <row r="461">
      <c r="A461" s="23">
        <v>3894</v>
      </c>
      <c r="B461" s="4" t="s">
        <v>690</v>
      </c>
      <c r="C461" s="4" t="s">
        <v>66</v>
      </c>
      <c r="D461" s="4" t="s">
        <v>110</v>
      </c>
      <c r="E461" s="4" t="s">
        <v>121</v>
      </c>
      <c r="F461" s="6">
        <v>3</v>
      </c>
      <c r="G461" s="7">
        <v>0</v>
      </c>
      <c r="H461" s="7">
        <v>0</v>
      </c>
      <c r="I461" s="7">
        <v>0</v>
      </c>
      <c r="J461" s="5">
        <v>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</v>
      </c>
      <c r="V461" s="7">
        <v>0</v>
      </c>
      <c r="W461" s="7">
        <v>0</v>
      </c>
      <c r="X461" s="7">
        <v>0</v>
      </c>
      <c r="Y461" s="5">
        <v>3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0.75</v>
      </c>
    </row>
    <row r="462">
      <c r="A462" s="24">
        <v>3897</v>
      </c>
      <c r="B462" s="9" t="s">
        <v>691</v>
      </c>
      <c r="C462" s="9" t="s">
        <v>66</v>
      </c>
      <c r="D462" s="9" t="s">
        <v>110</v>
      </c>
      <c r="E462" s="9" t="s">
        <v>121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3899</v>
      </c>
      <c r="B463" s="4" t="s">
        <v>692</v>
      </c>
      <c r="C463" s="4" t="s">
        <v>66</v>
      </c>
      <c r="D463" s="4" t="s">
        <v>110</v>
      </c>
      <c r="E463" s="4" t="s">
        <v>121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0.26</v>
      </c>
    </row>
    <row r="464">
      <c r="A464" s="24">
        <v>3901</v>
      </c>
      <c r="B464" s="9" t="s">
        <v>693</v>
      </c>
      <c r="C464" s="9" t="s">
        <v>66</v>
      </c>
      <c r="D464" s="9" t="s">
        <v>110</v>
      </c>
      <c r="E464" s="9" t="s">
        <v>121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29">
        <v>0.5</v>
      </c>
    </row>
    <row r="465">
      <c r="A465" s="23">
        <v>3918</v>
      </c>
      <c r="B465" s="4" t="s">
        <v>694</v>
      </c>
      <c r="C465" s="4" t="s">
        <v>66</v>
      </c>
      <c r="D465" s="4" t="s">
        <v>110</v>
      </c>
      <c r="E465" s="4" t="s">
        <v>121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0.22</v>
      </c>
    </row>
    <row r="466">
      <c r="A466" s="24">
        <v>3920</v>
      </c>
      <c r="B466" s="9" t="s">
        <v>695</v>
      </c>
      <c r="C466" s="9" t="s">
        <v>66</v>
      </c>
      <c r="D466" s="9" t="s">
        <v>110</v>
      </c>
      <c r="E466" s="9" t="s">
        <v>121</v>
      </c>
      <c r="F466" s="11">
        <v>2</v>
      </c>
      <c r="G466" s="12">
        <v>0</v>
      </c>
      <c r="H466" s="12">
        <v>0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0.52</v>
      </c>
    </row>
    <row r="467">
      <c r="A467" s="23">
        <v>3931</v>
      </c>
      <c r="B467" s="4" t="s">
        <v>696</v>
      </c>
      <c r="C467" s="4" t="s">
        <v>66</v>
      </c>
      <c r="D467" s="4" t="s">
        <v>110</v>
      </c>
      <c r="E467" s="4" t="s">
        <v>121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30">
        <v>0</v>
      </c>
    </row>
    <row r="468">
      <c r="A468" s="24">
        <v>3934</v>
      </c>
      <c r="B468" s="9" t="s">
        <v>697</v>
      </c>
      <c r="C468" s="9" t="s">
        <v>66</v>
      </c>
      <c r="D468" s="9" t="s">
        <v>110</v>
      </c>
      <c r="E468" s="9" t="s">
        <v>121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3953</v>
      </c>
      <c r="B469" s="4" t="s">
        <v>698</v>
      </c>
      <c r="C469" s="4" t="s">
        <v>66</v>
      </c>
      <c r="D469" s="4" t="s">
        <v>84</v>
      </c>
      <c r="E469" s="4" t="s">
        <v>195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3967</v>
      </c>
      <c r="B470" s="9" t="s">
        <v>699</v>
      </c>
      <c r="C470" s="9" t="s">
        <v>66</v>
      </c>
      <c r="D470" s="9" t="s">
        <v>84</v>
      </c>
      <c r="E470" s="9" t="s">
        <v>195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3968</v>
      </c>
      <c r="B471" s="4" t="s">
        <v>700</v>
      </c>
      <c r="C471" s="4" t="s">
        <v>66</v>
      </c>
      <c r="D471" s="4" t="s">
        <v>75</v>
      </c>
      <c r="E471" s="4" t="s">
        <v>370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3970</v>
      </c>
      <c r="B472" s="9" t="s">
        <v>701</v>
      </c>
      <c r="C472" s="9" t="s">
        <v>138</v>
      </c>
      <c r="D472" s="9" t="s">
        <v>512</v>
      </c>
      <c r="E472" s="9" t="s">
        <v>587</v>
      </c>
      <c r="F472" s="11">
        <v>4</v>
      </c>
      <c r="G472" s="10">
        <v>1</v>
      </c>
      <c r="H472" s="12">
        <v>0</v>
      </c>
      <c r="I472" s="10">
        <v>1</v>
      </c>
      <c r="J472" s="10">
        <v>1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0">
        <v>1</v>
      </c>
      <c r="W472" s="12">
        <v>0</v>
      </c>
      <c r="X472" s="10">
        <v>1</v>
      </c>
      <c r="Y472" s="10">
        <v>1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0.22</v>
      </c>
    </row>
    <row r="473">
      <c r="A473" s="23">
        <v>3973</v>
      </c>
      <c r="B473" s="4" t="s">
        <v>702</v>
      </c>
      <c r="C473" s="4" t="s">
        <v>66</v>
      </c>
      <c r="D473" s="4" t="s">
        <v>84</v>
      </c>
      <c r="E473" s="4" t="s">
        <v>195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30">
        <v>0</v>
      </c>
    </row>
    <row r="474">
      <c r="A474" s="24">
        <v>3978</v>
      </c>
      <c r="B474" s="9" t="s">
        <v>285</v>
      </c>
      <c r="C474" s="9" t="s">
        <v>66</v>
      </c>
      <c r="D474" s="9" t="s">
        <v>110</v>
      </c>
      <c r="E474" s="9" t="s">
        <v>121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3994</v>
      </c>
      <c r="B475" s="4" t="s">
        <v>703</v>
      </c>
      <c r="C475" s="4" t="s">
        <v>516</v>
      </c>
      <c r="D475" s="4" t="s">
        <v>704</v>
      </c>
      <c r="E475" s="4" t="s">
        <v>518</v>
      </c>
      <c r="F475" s="6">
        <v>3</v>
      </c>
      <c r="G475" s="5">
        <v>1</v>
      </c>
      <c r="H475" s="5">
        <v>1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5">
        <v>1</v>
      </c>
      <c r="W475" s="5">
        <v>1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4029</v>
      </c>
      <c r="B476" s="9" t="s">
        <v>705</v>
      </c>
      <c r="C476" s="9" t="s">
        <v>66</v>
      </c>
      <c r="D476" s="9" t="s">
        <v>67</v>
      </c>
      <c r="E476" s="9" t="s">
        <v>70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1">
        <v>0</v>
      </c>
    </row>
    <row r="477">
      <c r="A477" s="23">
        <v>4031</v>
      </c>
      <c r="B477" s="4" t="s">
        <v>706</v>
      </c>
      <c r="C477" s="4" t="s">
        <v>66</v>
      </c>
      <c r="D477" s="4" t="s">
        <v>84</v>
      </c>
      <c r="E477" s="4" t="s">
        <v>195</v>
      </c>
      <c r="F477" s="6">
        <v>2</v>
      </c>
      <c r="G477" s="7">
        <v>0</v>
      </c>
      <c r="H477" s="7">
        <v>0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28">
        <v>0.25</v>
      </c>
    </row>
    <row r="478">
      <c r="A478" s="24">
        <v>4032</v>
      </c>
      <c r="B478" s="9" t="s">
        <v>707</v>
      </c>
      <c r="C478" s="9" t="s">
        <v>66</v>
      </c>
      <c r="D478" s="9" t="s">
        <v>75</v>
      </c>
      <c r="E478" s="9" t="s">
        <v>288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0.35</v>
      </c>
    </row>
    <row r="479">
      <c r="A479" s="23">
        <v>4054</v>
      </c>
      <c r="B479" s="4" t="s">
        <v>708</v>
      </c>
      <c r="C479" s="4" t="s">
        <v>66</v>
      </c>
      <c r="D479" s="4" t="s">
        <v>87</v>
      </c>
      <c r="E479" s="4" t="s">
        <v>156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0">
        <v>0</v>
      </c>
    </row>
    <row r="480">
      <c r="A480" s="24">
        <v>4058</v>
      </c>
      <c r="B480" s="9" t="s">
        <v>709</v>
      </c>
      <c r="C480" s="9" t="s">
        <v>66</v>
      </c>
      <c r="D480" s="9" t="s">
        <v>110</v>
      </c>
      <c r="E480" s="9" t="s">
        <v>111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1">
        <v>0</v>
      </c>
    </row>
    <row r="481">
      <c r="A481" s="23">
        <v>4059</v>
      </c>
      <c r="B481" s="4" t="s">
        <v>710</v>
      </c>
      <c r="C481" s="4" t="s">
        <v>138</v>
      </c>
      <c r="D481" s="4" t="s">
        <v>372</v>
      </c>
      <c r="E481" s="4" t="s">
        <v>373</v>
      </c>
      <c r="F481" s="6">
        <v>2</v>
      </c>
      <c r="G481" s="5">
        <v>1</v>
      </c>
      <c r="H481" s="7">
        <v>0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5">
        <v>1</v>
      </c>
      <c r="W481" s="7">
        <v>0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4061</v>
      </c>
      <c r="B482" s="9" t="s">
        <v>711</v>
      </c>
      <c r="C482" s="9" t="s">
        <v>66</v>
      </c>
      <c r="D482" s="9" t="s">
        <v>110</v>
      </c>
      <c r="E482" s="9" t="s">
        <v>121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4074</v>
      </c>
      <c r="B483" s="4" t="s">
        <v>712</v>
      </c>
      <c r="C483" s="4" t="s">
        <v>138</v>
      </c>
      <c r="D483" s="4" t="s">
        <v>512</v>
      </c>
      <c r="E483" s="4" t="s">
        <v>587</v>
      </c>
      <c r="F483" s="6">
        <v>2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0.48</v>
      </c>
    </row>
    <row r="484">
      <c r="A484" s="24">
        <v>4076</v>
      </c>
      <c r="B484" s="9" t="s">
        <v>713</v>
      </c>
      <c r="C484" s="9" t="s">
        <v>66</v>
      </c>
      <c r="D484" s="9" t="s">
        <v>87</v>
      </c>
      <c r="E484" s="9" t="s">
        <v>156</v>
      </c>
      <c r="F484" s="11">
        <v>76</v>
      </c>
      <c r="G484" s="10">
        <v>3</v>
      </c>
      <c r="H484" s="10">
        <v>2</v>
      </c>
      <c r="I484" s="12">
        <v>0</v>
      </c>
      <c r="J484" s="10">
        <v>71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70</v>
      </c>
      <c r="V484" s="10">
        <v>2</v>
      </c>
      <c r="W484" s="10">
        <v>2</v>
      </c>
      <c r="X484" s="12">
        <v>0</v>
      </c>
      <c r="Y484" s="10">
        <v>66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19</v>
      </c>
      <c r="AL484" s="10">
        <v>2</v>
      </c>
      <c r="AM484" s="10">
        <v>70</v>
      </c>
      <c r="AN484" s="29">
        <v>16.75</v>
      </c>
    </row>
    <row r="485">
      <c r="A485" s="23">
        <v>4082</v>
      </c>
      <c r="B485" s="4" t="s">
        <v>714</v>
      </c>
      <c r="C485" s="4" t="s">
        <v>66</v>
      </c>
      <c r="D485" s="4" t="s">
        <v>67</v>
      </c>
      <c r="E485" s="4" t="s">
        <v>70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30">
        <v>0</v>
      </c>
    </row>
    <row r="486">
      <c r="A486" s="24">
        <v>4100</v>
      </c>
      <c r="B486" s="9" t="s">
        <v>715</v>
      </c>
      <c r="C486" s="9" t="s">
        <v>66</v>
      </c>
      <c r="D486" s="9" t="s">
        <v>84</v>
      </c>
      <c r="E486" s="9" t="s">
        <v>98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1">
        <v>0</v>
      </c>
    </row>
    <row r="487">
      <c r="A487" s="23">
        <v>4104</v>
      </c>
      <c r="B487" s="4" t="s">
        <v>716</v>
      </c>
      <c r="C487" s="4" t="s">
        <v>66</v>
      </c>
      <c r="D487" s="4" t="s">
        <v>84</v>
      </c>
      <c r="E487" s="4" t="s">
        <v>98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4109</v>
      </c>
      <c r="B488" s="9" t="s">
        <v>717</v>
      </c>
      <c r="C488" s="9" t="s">
        <v>66</v>
      </c>
      <c r="D488" s="9" t="s">
        <v>84</v>
      </c>
      <c r="E488" s="9" t="s">
        <v>98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4116</v>
      </c>
      <c r="B489" s="4" t="s">
        <v>718</v>
      </c>
      <c r="C489" s="4" t="s">
        <v>138</v>
      </c>
      <c r="D489" s="4" t="s">
        <v>434</v>
      </c>
      <c r="E489" s="4" t="s">
        <v>478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4133</v>
      </c>
      <c r="B490" s="9" t="s">
        <v>719</v>
      </c>
      <c r="C490" s="9" t="s">
        <v>66</v>
      </c>
      <c r="D490" s="9" t="s">
        <v>84</v>
      </c>
      <c r="E490" s="9" t="s">
        <v>98</v>
      </c>
      <c r="F490" s="11">
        <v>7</v>
      </c>
      <c r="G490" s="10">
        <v>3</v>
      </c>
      <c r="H490" s="12">
        <v>0</v>
      </c>
      <c r="I490" s="10">
        <v>4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7</v>
      </c>
      <c r="V490" s="10">
        <v>3</v>
      </c>
      <c r="W490" s="12">
        <v>0</v>
      </c>
      <c r="X490" s="10">
        <v>4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3.5</v>
      </c>
      <c r="AL490" s="10">
        <v>3</v>
      </c>
      <c r="AM490" s="10">
        <v>4</v>
      </c>
      <c r="AN490" s="31">
        <v>0</v>
      </c>
    </row>
    <row r="491">
      <c r="A491" s="23">
        <v>4148</v>
      </c>
      <c r="B491" s="4" t="s">
        <v>720</v>
      </c>
      <c r="C491" s="4" t="s">
        <v>66</v>
      </c>
      <c r="D491" s="4" t="s">
        <v>84</v>
      </c>
      <c r="E491" s="4" t="s">
        <v>98</v>
      </c>
      <c r="F491" s="6">
        <v>3</v>
      </c>
      <c r="G491" s="5">
        <v>3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28">
        <v>0.35</v>
      </c>
    </row>
    <row r="492">
      <c r="A492" s="24">
        <v>4150</v>
      </c>
      <c r="B492" s="9" t="s">
        <v>721</v>
      </c>
      <c r="C492" s="9" t="s">
        <v>516</v>
      </c>
      <c r="D492" s="9" t="s">
        <v>722</v>
      </c>
      <c r="E492" s="9" t="s">
        <v>518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0.22</v>
      </c>
    </row>
    <row r="493">
      <c r="A493" s="23">
        <v>4154</v>
      </c>
      <c r="B493" s="4" t="s">
        <v>723</v>
      </c>
      <c r="C493" s="4" t="s">
        <v>516</v>
      </c>
      <c r="D493" s="4" t="s">
        <v>724</v>
      </c>
      <c r="E493" s="4" t="s">
        <v>518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4161</v>
      </c>
      <c r="B494" s="9" t="s">
        <v>725</v>
      </c>
      <c r="C494" s="9" t="s">
        <v>516</v>
      </c>
      <c r="D494" s="9" t="s">
        <v>726</v>
      </c>
      <c r="E494" s="9" t="s">
        <v>518</v>
      </c>
      <c r="F494" s="11">
        <v>5</v>
      </c>
      <c r="G494" s="10">
        <v>1</v>
      </c>
      <c r="H494" s="10">
        <v>1</v>
      </c>
      <c r="I494" s="10">
        <v>2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4</v>
      </c>
      <c r="V494" s="10">
        <v>1</v>
      </c>
      <c r="W494" s="10">
        <v>1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1.25</v>
      </c>
      <c r="AL494" s="10">
        <v>1</v>
      </c>
      <c r="AM494" s="10">
        <v>2</v>
      </c>
      <c r="AN494" s="31">
        <v>0</v>
      </c>
    </row>
    <row r="495">
      <c r="A495" s="23">
        <v>4175</v>
      </c>
      <c r="B495" s="4" t="s">
        <v>727</v>
      </c>
      <c r="C495" s="4" t="s">
        <v>66</v>
      </c>
      <c r="D495" s="4" t="s">
        <v>81</v>
      </c>
      <c r="E495" s="4" t="s">
        <v>145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4181</v>
      </c>
      <c r="B496" s="9" t="s">
        <v>728</v>
      </c>
      <c r="C496" s="9" t="s">
        <v>66</v>
      </c>
      <c r="D496" s="9" t="s">
        <v>81</v>
      </c>
      <c r="E496" s="9" t="s">
        <v>100</v>
      </c>
      <c r="F496" s="11">
        <v>8</v>
      </c>
      <c r="G496" s="12">
        <v>0</v>
      </c>
      <c r="H496" s="12">
        <v>0</v>
      </c>
      <c r="I496" s="12">
        <v>0</v>
      </c>
      <c r="J496" s="10">
        <v>8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6</v>
      </c>
      <c r="V496" s="12">
        <v>0</v>
      </c>
      <c r="W496" s="12">
        <v>0</v>
      </c>
      <c r="X496" s="12">
        <v>0</v>
      </c>
      <c r="Y496" s="10">
        <v>6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4</v>
      </c>
      <c r="AL496" s="10">
        <v>4</v>
      </c>
      <c r="AM496" s="10">
        <v>6</v>
      </c>
      <c r="AN496" s="29">
        <v>1.5</v>
      </c>
    </row>
    <row r="497">
      <c r="A497" s="23">
        <v>4191</v>
      </c>
      <c r="B497" s="4" t="s">
        <v>729</v>
      </c>
      <c r="C497" s="4" t="s">
        <v>138</v>
      </c>
      <c r="D497" s="4" t="s">
        <v>372</v>
      </c>
      <c r="E497" s="4" t="s">
        <v>373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0.26</v>
      </c>
    </row>
    <row r="498">
      <c r="A498" s="24">
        <v>4198</v>
      </c>
      <c r="B498" s="9" t="s">
        <v>730</v>
      </c>
      <c r="C498" s="9" t="s">
        <v>66</v>
      </c>
      <c r="D498" s="9" t="s">
        <v>75</v>
      </c>
      <c r="E498" s="9" t="s">
        <v>370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0.26</v>
      </c>
    </row>
    <row r="499">
      <c r="A499" s="23">
        <v>4207</v>
      </c>
      <c r="B499" s="4" t="s">
        <v>731</v>
      </c>
      <c r="C499" s="4" t="s">
        <v>66</v>
      </c>
      <c r="D499" s="4" t="s">
        <v>81</v>
      </c>
      <c r="E499" s="4" t="s">
        <v>145</v>
      </c>
      <c r="F499" s="6">
        <v>2</v>
      </c>
      <c r="G499" s="7">
        <v>0</v>
      </c>
      <c r="H499" s="5">
        <v>2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5">
        <v>1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0.26</v>
      </c>
    </row>
    <row r="500">
      <c r="A500" s="24">
        <v>4209</v>
      </c>
      <c r="B500" s="9" t="s">
        <v>732</v>
      </c>
      <c r="C500" s="9" t="s">
        <v>66</v>
      </c>
      <c r="D500" s="9" t="s">
        <v>81</v>
      </c>
      <c r="E500" s="9" t="s">
        <v>100</v>
      </c>
      <c r="F500" s="11">
        <v>6</v>
      </c>
      <c r="G500" s="10">
        <v>1</v>
      </c>
      <c r="H500" s="12">
        <v>0</v>
      </c>
      <c r="I500" s="12">
        <v>0</v>
      </c>
      <c r="J500" s="10">
        <v>5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6</v>
      </c>
      <c r="V500" s="10">
        <v>1</v>
      </c>
      <c r="W500" s="12">
        <v>0</v>
      </c>
      <c r="X500" s="12">
        <v>0</v>
      </c>
      <c r="Y500" s="10">
        <v>5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</v>
      </c>
      <c r="AL500" s="10">
        <v>1</v>
      </c>
      <c r="AM500" s="10">
        <v>4</v>
      </c>
      <c r="AN500" s="29">
        <v>1.3</v>
      </c>
    </row>
    <row r="501">
      <c r="A501" s="23">
        <v>4210</v>
      </c>
      <c r="B501" s="4" t="s">
        <v>733</v>
      </c>
      <c r="C501" s="4" t="s">
        <v>66</v>
      </c>
      <c r="D501" s="4" t="s">
        <v>81</v>
      </c>
      <c r="E501" s="4" t="s">
        <v>145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4212</v>
      </c>
      <c r="B502" s="9" t="s">
        <v>734</v>
      </c>
      <c r="C502" s="9" t="s">
        <v>66</v>
      </c>
      <c r="D502" s="9" t="s">
        <v>81</v>
      </c>
      <c r="E502" s="9" t="s">
        <v>82</v>
      </c>
      <c r="F502" s="11">
        <v>5</v>
      </c>
      <c r="G502" s="12">
        <v>0</v>
      </c>
      <c r="H502" s="10">
        <v>2</v>
      </c>
      <c r="I502" s="10">
        <v>3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5</v>
      </c>
      <c r="V502" s="12">
        <v>0</v>
      </c>
      <c r="W502" s="10">
        <v>2</v>
      </c>
      <c r="X502" s="10">
        <v>3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2.5</v>
      </c>
      <c r="AL502" s="10">
        <v>2</v>
      </c>
      <c r="AM502" s="10">
        <v>3</v>
      </c>
      <c r="AN502" s="29">
        <v>1.2</v>
      </c>
    </row>
    <row r="503">
      <c r="A503" s="23">
        <v>4213</v>
      </c>
      <c r="B503" s="4" t="s">
        <v>735</v>
      </c>
      <c r="C503" s="4" t="s">
        <v>582</v>
      </c>
      <c r="D503" s="4" t="s">
        <v>736</v>
      </c>
      <c r="E503" s="4" t="s">
        <v>518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0.26</v>
      </c>
    </row>
    <row r="504">
      <c r="A504" s="24">
        <v>4216</v>
      </c>
      <c r="B504" s="9" t="s">
        <v>737</v>
      </c>
      <c r="C504" s="9" t="s">
        <v>66</v>
      </c>
      <c r="D504" s="9" t="s">
        <v>67</v>
      </c>
      <c r="E504" s="9" t="s">
        <v>70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4221</v>
      </c>
      <c r="B505" s="4" t="s">
        <v>738</v>
      </c>
      <c r="C505" s="4" t="s">
        <v>66</v>
      </c>
      <c r="D505" s="4" t="s">
        <v>110</v>
      </c>
      <c r="E505" s="4" t="s">
        <v>121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4232</v>
      </c>
      <c r="B506" s="9" t="s">
        <v>739</v>
      </c>
      <c r="C506" s="9" t="s">
        <v>66</v>
      </c>
      <c r="D506" s="9" t="s">
        <v>75</v>
      </c>
      <c r="E506" s="9" t="s">
        <v>79</v>
      </c>
      <c r="F506" s="11">
        <v>1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4251</v>
      </c>
      <c r="B507" s="4" t="s">
        <v>740</v>
      </c>
      <c r="C507" s="4" t="s">
        <v>138</v>
      </c>
      <c r="D507" s="4" t="s">
        <v>341</v>
      </c>
      <c r="E507" s="4" t="s">
        <v>350</v>
      </c>
      <c r="F507" s="6">
        <v>1</v>
      </c>
      <c r="G507" s="7">
        <v>0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4254</v>
      </c>
      <c r="B508" s="9" t="s">
        <v>741</v>
      </c>
      <c r="C508" s="9" t="s">
        <v>138</v>
      </c>
      <c r="D508" s="9" t="s">
        <v>341</v>
      </c>
      <c r="E508" s="9" t="s">
        <v>352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0.22</v>
      </c>
    </row>
    <row r="509">
      <c r="A509" s="23">
        <v>4264</v>
      </c>
      <c r="B509" s="4" t="s">
        <v>742</v>
      </c>
      <c r="C509" s="4" t="s">
        <v>138</v>
      </c>
      <c r="D509" s="4" t="s">
        <v>395</v>
      </c>
      <c r="E509" s="4" t="s">
        <v>743</v>
      </c>
      <c r="F509" s="6">
        <v>1</v>
      </c>
      <c r="G509" s="7">
        <v>0</v>
      </c>
      <c r="H509" s="5">
        <v>1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5">
        <v>1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0.17</v>
      </c>
    </row>
    <row r="510">
      <c r="A510" s="24">
        <v>4289</v>
      </c>
      <c r="B510" s="9" t="s">
        <v>744</v>
      </c>
      <c r="C510" s="9" t="s">
        <v>66</v>
      </c>
      <c r="D510" s="9" t="s">
        <v>84</v>
      </c>
      <c r="E510" s="9" t="s">
        <v>98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1">
        <v>0</v>
      </c>
    </row>
    <row r="511">
      <c r="A511" s="23">
        <v>4291</v>
      </c>
      <c r="B511" s="4" t="s">
        <v>745</v>
      </c>
      <c r="C511" s="4" t="s">
        <v>66</v>
      </c>
      <c r="D511" s="4" t="s">
        <v>95</v>
      </c>
      <c r="E511" s="4" t="s">
        <v>746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4297</v>
      </c>
      <c r="B512" s="9" t="s">
        <v>747</v>
      </c>
      <c r="C512" s="9" t="s">
        <v>66</v>
      </c>
      <c r="D512" s="9" t="s">
        <v>110</v>
      </c>
      <c r="E512" s="9" t="s">
        <v>111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1">
        <v>0</v>
      </c>
    </row>
    <row r="513">
      <c r="A513" s="23">
        <v>4306</v>
      </c>
      <c r="B513" s="4" t="s">
        <v>748</v>
      </c>
      <c r="C513" s="4" t="s">
        <v>138</v>
      </c>
      <c r="D513" s="4" t="s">
        <v>341</v>
      </c>
      <c r="E513" s="4" t="s">
        <v>630</v>
      </c>
      <c r="F513" s="6">
        <v>3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3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4308</v>
      </c>
      <c r="B514" s="9" t="s">
        <v>749</v>
      </c>
      <c r="C514" s="9" t="s">
        <v>66</v>
      </c>
      <c r="D514" s="9" t="s">
        <v>67</v>
      </c>
      <c r="E514" s="9" t="s">
        <v>750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1">
        <v>0</v>
      </c>
    </row>
    <row r="515">
      <c r="A515" s="23">
        <v>4310</v>
      </c>
      <c r="B515" s="4" t="s">
        <v>751</v>
      </c>
      <c r="C515" s="4" t="s">
        <v>66</v>
      </c>
      <c r="D515" s="4" t="s">
        <v>84</v>
      </c>
      <c r="E515" s="4" t="s">
        <v>90</v>
      </c>
      <c r="F515" s="6">
        <v>4</v>
      </c>
      <c r="G515" s="7">
        <v>0</v>
      </c>
      <c r="H515" s="7">
        <v>0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4</v>
      </c>
      <c r="V515" s="7">
        <v>0</v>
      </c>
      <c r="W515" s="7">
        <v>0</v>
      </c>
      <c r="X515" s="7">
        <v>0</v>
      </c>
      <c r="Y515" s="5">
        <v>4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0.78</v>
      </c>
    </row>
    <row r="516">
      <c r="A516" s="24">
        <v>4311</v>
      </c>
      <c r="B516" s="9" t="s">
        <v>752</v>
      </c>
      <c r="C516" s="9" t="s">
        <v>138</v>
      </c>
      <c r="D516" s="9" t="s">
        <v>395</v>
      </c>
      <c r="E516" s="9" t="s">
        <v>396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31">
        <v>0</v>
      </c>
    </row>
    <row r="517">
      <c r="A517" s="23">
        <v>4337</v>
      </c>
      <c r="B517" s="4" t="s">
        <v>753</v>
      </c>
      <c r="C517" s="4" t="s">
        <v>138</v>
      </c>
      <c r="D517" s="4" t="s">
        <v>341</v>
      </c>
      <c r="E517" s="4" t="s">
        <v>630</v>
      </c>
      <c r="F517" s="6">
        <v>2</v>
      </c>
      <c r="G517" s="7">
        <v>0</v>
      </c>
      <c r="H517" s="7">
        <v>0</v>
      </c>
      <c r="I517" s="5">
        <v>1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7">
        <v>0</v>
      </c>
      <c r="X517" s="5">
        <v>1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0.24</v>
      </c>
    </row>
    <row r="518">
      <c r="A518" s="24">
        <v>4345</v>
      </c>
      <c r="B518" s="9" t="s">
        <v>754</v>
      </c>
      <c r="C518" s="9" t="s">
        <v>138</v>
      </c>
      <c r="D518" s="9" t="s">
        <v>395</v>
      </c>
      <c r="E518" s="9" t="s">
        <v>755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1">
        <v>0</v>
      </c>
    </row>
    <row r="519">
      <c r="A519" s="23">
        <v>4399</v>
      </c>
      <c r="B519" s="4" t="s">
        <v>756</v>
      </c>
      <c r="C519" s="4" t="s">
        <v>66</v>
      </c>
      <c r="D519" s="4" t="s">
        <v>81</v>
      </c>
      <c r="E519" s="4" t="s">
        <v>82</v>
      </c>
      <c r="F519" s="6">
        <v>1</v>
      </c>
      <c r="G519" s="7">
        <v>0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4411</v>
      </c>
      <c r="B520" s="9" t="s">
        <v>757</v>
      </c>
      <c r="C520" s="9" t="s">
        <v>138</v>
      </c>
      <c r="D520" s="9" t="s">
        <v>758</v>
      </c>
      <c r="E520" s="9" t="s">
        <v>518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0.26</v>
      </c>
    </row>
    <row r="521">
      <c r="A521" s="23">
        <v>4414</v>
      </c>
      <c r="B521" s="4" t="s">
        <v>759</v>
      </c>
      <c r="C521" s="4" t="s">
        <v>66</v>
      </c>
      <c r="D521" s="4" t="s">
        <v>75</v>
      </c>
      <c r="E521" s="4" t="s">
        <v>127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30">
        <v>0</v>
      </c>
    </row>
    <row r="522">
      <c r="A522" s="24">
        <v>4418</v>
      </c>
      <c r="B522" s="9" t="s">
        <v>760</v>
      </c>
      <c r="C522" s="9" t="s">
        <v>66</v>
      </c>
      <c r="D522" s="9" t="s">
        <v>84</v>
      </c>
      <c r="E522" s="9" t="s">
        <v>98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31">
        <v>0</v>
      </c>
    </row>
    <row r="523">
      <c r="A523" s="23">
        <v>4422</v>
      </c>
      <c r="B523" s="4" t="s">
        <v>761</v>
      </c>
      <c r="C523" s="4" t="s">
        <v>66</v>
      </c>
      <c r="D523" s="4" t="s">
        <v>110</v>
      </c>
      <c r="E523" s="4" t="s">
        <v>335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4444</v>
      </c>
      <c r="B524" s="9" t="s">
        <v>762</v>
      </c>
      <c r="C524" s="9" t="s">
        <v>516</v>
      </c>
      <c r="D524" s="9" t="s">
        <v>763</v>
      </c>
      <c r="E524" s="9" t="s">
        <v>518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1">
        <v>0</v>
      </c>
    </row>
    <row r="525">
      <c r="A525" s="23">
        <v>4449</v>
      </c>
      <c r="B525" s="4" t="s">
        <v>764</v>
      </c>
      <c r="C525" s="4" t="s">
        <v>66</v>
      </c>
      <c r="D525" s="4" t="s">
        <v>84</v>
      </c>
      <c r="E525" s="4" t="s">
        <v>225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0">
        <v>0</v>
      </c>
    </row>
    <row r="526">
      <c r="A526" s="24">
        <v>4456</v>
      </c>
      <c r="B526" s="9" t="s">
        <v>765</v>
      </c>
      <c r="C526" s="9" t="s">
        <v>152</v>
      </c>
      <c r="D526" s="9" t="s">
        <v>169</v>
      </c>
      <c r="E526" s="9" t="s">
        <v>176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1">
        <v>0</v>
      </c>
    </row>
    <row r="527">
      <c r="A527" s="23">
        <v>4457</v>
      </c>
      <c r="B527" s="4" t="s">
        <v>766</v>
      </c>
      <c r="C527" s="4" t="s">
        <v>152</v>
      </c>
      <c r="D527" s="4" t="s">
        <v>169</v>
      </c>
      <c r="E527" s="4" t="s">
        <v>176</v>
      </c>
      <c r="F527" s="6">
        <v>4</v>
      </c>
      <c r="G527" s="5">
        <v>2</v>
      </c>
      <c r="H527" s="7">
        <v>0</v>
      </c>
      <c r="I527" s="5">
        <v>1</v>
      </c>
      <c r="J527" s="7">
        <v>0</v>
      </c>
      <c r="K527" s="5">
        <v>1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4</v>
      </c>
      <c r="V527" s="5">
        <v>2</v>
      </c>
      <c r="W527" s="7">
        <v>0</v>
      </c>
      <c r="X527" s="5">
        <v>1</v>
      </c>
      <c r="Y527" s="7">
        <v>0</v>
      </c>
      <c r="Z527" s="5">
        <v>1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0.22</v>
      </c>
    </row>
    <row r="528">
      <c r="A528" s="24">
        <v>4458</v>
      </c>
      <c r="B528" s="9" t="s">
        <v>767</v>
      </c>
      <c r="C528" s="9" t="s">
        <v>66</v>
      </c>
      <c r="D528" s="9" t="s">
        <v>95</v>
      </c>
      <c r="E528" s="9" t="s">
        <v>129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4467</v>
      </c>
      <c r="B529" s="4" t="s">
        <v>768</v>
      </c>
      <c r="C529" s="4" t="s">
        <v>66</v>
      </c>
      <c r="D529" s="4" t="s">
        <v>110</v>
      </c>
      <c r="E529" s="4" t="s">
        <v>769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4478</v>
      </c>
      <c r="B530" s="9" t="s">
        <v>770</v>
      </c>
      <c r="C530" s="9" t="s">
        <v>516</v>
      </c>
      <c r="D530" s="9" t="s">
        <v>771</v>
      </c>
      <c r="E530" s="9" t="s">
        <v>518</v>
      </c>
      <c r="F530" s="11">
        <v>1</v>
      </c>
      <c r="G530" s="12">
        <v>0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4481</v>
      </c>
      <c r="B531" s="4" t="s">
        <v>772</v>
      </c>
      <c r="C531" s="4" t="s">
        <v>138</v>
      </c>
      <c r="D531" s="4" t="s">
        <v>372</v>
      </c>
      <c r="E531" s="4" t="s">
        <v>373</v>
      </c>
      <c r="F531" s="6">
        <v>1</v>
      </c>
      <c r="G531" s="7">
        <v>0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4483</v>
      </c>
      <c r="B532" s="9" t="s">
        <v>773</v>
      </c>
      <c r="C532" s="9" t="s">
        <v>774</v>
      </c>
      <c r="D532" s="9" t="s">
        <v>518</v>
      </c>
      <c r="E532" s="9" t="s">
        <v>518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4484</v>
      </c>
      <c r="B533" s="4" t="s">
        <v>775</v>
      </c>
      <c r="C533" s="4" t="s">
        <v>152</v>
      </c>
      <c r="D533" s="4" t="s">
        <v>181</v>
      </c>
      <c r="E533" s="4" t="s">
        <v>182</v>
      </c>
      <c r="F533" s="6">
        <v>1</v>
      </c>
      <c r="G533" s="7">
        <v>0</v>
      </c>
      <c r="H533" s="7">
        <v>0</v>
      </c>
      <c r="I533" s="7">
        <v>0</v>
      </c>
      <c r="J533" s="7">
        <v>0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7">
        <v>0</v>
      </c>
      <c r="W533" s="7">
        <v>0</v>
      </c>
      <c r="X533" s="7">
        <v>0</v>
      </c>
      <c r="Y533" s="7">
        <v>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4529</v>
      </c>
      <c r="B534" s="9" t="s">
        <v>776</v>
      </c>
      <c r="C534" s="9" t="s">
        <v>66</v>
      </c>
      <c r="D534" s="9" t="s">
        <v>72</v>
      </c>
      <c r="E534" s="9" t="s">
        <v>299</v>
      </c>
      <c r="F534" s="11">
        <v>3</v>
      </c>
      <c r="G534" s="10">
        <v>2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0">
        <v>2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0.26</v>
      </c>
    </row>
    <row r="535">
      <c r="A535" s="23">
        <v>4533</v>
      </c>
      <c r="B535" s="4" t="s">
        <v>777</v>
      </c>
      <c r="C535" s="4" t="s">
        <v>516</v>
      </c>
      <c r="D535" s="4" t="s">
        <v>726</v>
      </c>
      <c r="E535" s="4" t="s">
        <v>518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4538</v>
      </c>
      <c r="B536" s="9" t="s">
        <v>778</v>
      </c>
      <c r="C536" s="9" t="s">
        <v>66</v>
      </c>
      <c r="D536" s="9" t="s">
        <v>67</v>
      </c>
      <c r="E536" s="9" t="s">
        <v>166</v>
      </c>
      <c r="F536" s="11">
        <v>1</v>
      </c>
      <c r="G536" s="12">
        <v>0</v>
      </c>
      <c r="H536" s="10">
        <v>1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0">
        <v>1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4544</v>
      </c>
      <c r="B537" s="4" t="s">
        <v>779</v>
      </c>
      <c r="C537" s="4" t="s">
        <v>516</v>
      </c>
      <c r="D537" s="4" t="s">
        <v>704</v>
      </c>
      <c r="E537" s="4" t="s">
        <v>518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0.26</v>
      </c>
    </row>
    <row r="538">
      <c r="A538" s="24">
        <v>4546</v>
      </c>
      <c r="B538" s="9" t="s">
        <v>780</v>
      </c>
      <c r="C538" s="9" t="s">
        <v>66</v>
      </c>
      <c r="D538" s="9" t="s">
        <v>142</v>
      </c>
      <c r="E538" s="9" t="s">
        <v>781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4549</v>
      </c>
      <c r="B539" s="4" t="s">
        <v>782</v>
      </c>
      <c r="C539" s="4" t="s">
        <v>66</v>
      </c>
      <c r="D539" s="4" t="s">
        <v>81</v>
      </c>
      <c r="E539" s="4" t="s">
        <v>82</v>
      </c>
      <c r="F539" s="6">
        <v>2</v>
      </c>
      <c r="G539" s="7">
        <v>0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0.25</v>
      </c>
    </row>
    <row r="540">
      <c r="A540" s="24">
        <v>4552</v>
      </c>
      <c r="B540" s="9" t="s">
        <v>783</v>
      </c>
      <c r="C540" s="9" t="s">
        <v>66</v>
      </c>
      <c r="D540" s="9" t="s">
        <v>81</v>
      </c>
      <c r="E540" s="9" t="s">
        <v>209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4558</v>
      </c>
      <c r="B541" s="4" t="s">
        <v>784</v>
      </c>
      <c r="C541" s="4" t="s">
        <v>66</v>
      </c>
      <c r="D541" s="4" t="s">
        <v>110</v>
      </c>
      <c r="E541" s="4" t="s">
        <v>205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4564</v>
      </c>
      <c r="B542" s="9" t="s">
        <v>785</v>
      </c>
      <c r="C542" s="9" t="s">
        <v>525</v>
      </c>
      <c r="D542" s="9" t="s">
        <v>786</v>
      </c>
      <c r="E542" s="9" t="s">
        <v>787</v>
      </c>
      <c r="F542" s="11">
        <v>2</v>
      </c>
      <c r="G542" s="10">
        <v>1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0">
        <v>1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4578</v>
      </c>
      <c r="B543" s="4" t="s">
        <v>788</v>
      </c>
      <c r="C543" s="4" t="s">
        <v>66</v>
      </c>
      <c r="D543" s="4" t="s">
        <v>81</v>
      </c>
      <c r="E543" s="4" t="s">
        <v>136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4582</v>
      </c>
      <c r="B544" s="9" t="s">
        <v>789</v>
      </c>
      <c r="C544" s="9" t="s">
        <v>66</v>
      </c>
      <c r="D544" s="9" t="s">
        <v>84</v>
      </c>
      <c r="E544" s="9" t="s">
        <v>98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4583</v>
      </c>
      <c r="B545" s="4" t="s">
        <v>790</v>
      </c>
      <c r="C545" s="4" t="s">
        <v>66</v>
      </c>
      <c r="D545" s="4" t="s">
        <v>110</v>
      </c>
      <c r="E545" s="4" t="s">
        <v>335</v>
      </c>
      <c r="F545" s="6">
        <v>2</v>
      </c>
      <c r="G545" s="7">
        <v>0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7">
        <v>0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0.26</v>
      </c>
    </row>
    <row r="546">
      <c r="A546" s="24">
        <v>4596</v>
      </c>
      <c r="B546" s="9" t="s">
        <v>791</v>
      </c>
      <c r="C546" s="9" t="s">
        <v>152</v>
      </c>
      <c r="D546" s="9" t="s">
        <v>169</v>
      </c>
      <c r="E546" s="9" t="s">
        <v>170</v>
      </c>
      <c r="F546" s="11">
        <v>2</v>
      </c>
      <c r="G546" s="10">
        <v>1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0">
        <v>1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4606</v>
      </c>
      <c r="B547" s="4" t="s">
        <v>792</v>
      </c>
      <c r="C547" s="4" t="s">
        <v>66</v>
      </c>
      <c r="D547" s="4" t="s">
        <v>72</v>
      </c>
      <c r="E547" s="4" t="s">
        <v>439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4618</v>
      </c>
      <c r="B548" s="9" t="s">
        <v>793</v>
      </c>
      <c r="C548" s="9" t="s">
        <v>66</v>
      </c>
      <c r="D548" s="9" t="s">
        <v>95</v>
      </c>
      <c r="E548" s="9" t="s">
        <v>602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4619</v>
      </c>
      <c r="B549" s="4" t="s">
        <v>794</v>
      </c>
      <c r="C549" s="4" t="s">
        <v>66</v>
      </c>
      <c r="D549" s="4" t="s">
        <v>95</v>
      </c>
      <c r="E549" s="4" t="s">
        <v>795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4622</v>
      </c>
      <c r="B550" s="9" t="s">
        <v>796</v>
      </c>
      <c r="C550" s="9" t="s">
        <v>582</v>
      </c>
      <c r="D550" s="9" t="s">
        <v>797</v>
      </c>
      <c r="E550" s="9" t="s">
        <v>518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0.26</v>
      </c>
    </row>
    <row r="551">
      <c r="A551" s="23">
        <v>4625</v>
      </c>
      <c r="B551" s="4" t="s">
        <v>798</v>
      </c>
      <c r="C551" s="4" t="s">
        <v>66</v>
      </c>
      <c r="D551" s="4" t="s">
        <v>110</v>
      </c>
      <c r="E551" s="4" t="s">
        <v>111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0.26</v>
      </c>
    </row>
    <row r="552">
      <c r="A552" s="24">
        <v>4627</v>
      </c>
      <c r="B552" s="9" t="s">
        <v>799</v>
      </c>
      <c r="C552" s="9" t="s">
        <v>66</v>
      </c>
      <c r="D552" s="9" t="s">
        <v>67</v>
      </c>
      <c r="E552" s="9" t="s">
        <v>70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0.26</v>
      </c>
    </row>
    <row r="553">
      <c r="A553" s="23">
        <v>4629</v>
      </c>
      <c r="B553" s="4" t="s">
        <v>800</v>
      </c>
      <c r="C553" s="4" t="s">
        <v>66</v>
      </c>
      <c r="D553" s="4" t="s">
        <v>142</v>
      </c>
      <c r="E553" s="4" t="s">
        <v>143</v>
      </c>
      <c r="F553" s="6">
        <v>2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28">
        <v>0.5</v>
      </c>
    </row>
    <row r="554">
      <c r="A554" s="24">
        <v>4630</v>
      </c>
      <c r="B554" s="9" t="s">
        <v>714</v>
      </c>
      <c r="C554" s="9" t="s">
        <v>66</v>
      </c>
      <c r="D554" s="9" t="s">
        <v>110</v>
      </c>
      <c r="E554" s="9" t="s">
        <v>111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1">
        <v>0</v>
      </c>
    </row>
    <row r="555">
      <c r="A555" s="23">
        <v>4632</v>
      </c>
      <c r="B555" s="4" t="s">
        <v>801</v>
      </c>
      <c r="C555" s="4" t="s">
        <v>66</v>
      </c>
      <c r="D555" s="4" t="s">
        <v>84</v>
      </c>
      <c r="E555" s="4" t="s">
        <v>802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4637</v>
      </c>
      <c r="B556" s="9" t="s">
        <v>803</v>
      </c>
      <c r="C556" s="9" t="s">
        <v>66</v>
      </c>
      <c r="D556" s="9" t="s">
        <v>102</v>
      </c>
      <c r="E556" s="9" t="s">
        <v>215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1">
        <v>0</v>
      </c>
    </row>
    <row r="557">
      <c r="A557" s="23">
        <v>4667</v>
      </c>
      <c r="B557" s="4" t="s">
        <v>804</v>
      </c>
      <c r="C557" s="4" t="s">
        <v>66</v>
      </c>
      <c r="D557" s="4" t="s">
        <v>84</v>
      </c>
      <c r="E557" s="4" t="s">
        <v>802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0.26</v>
      </c>
    </row>
    <row r="558">
      <c r="A558" s="24">
        <v>4668</v>
      </c>
      <c r="B558" s="9" t="s">
        <v>805</v>
      </c>
      <c r="C558" s="9" t="s">
        <v>66</v>
      </c>
      <c r="D558" s="9" t="s">
        <v>72</v>
      </c>
      <c r="E558" s="9" t="s">
        <v>299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1">
        <v>0</v>
      </c>
    </row>
    <row r="559">
      <c r="A559" s="23">
        <v>4674</v>
      </c>
      <c r="B559" s="4" t="s">
        <v>806</v>
      </c>
      <c r="C559" s="4" t="s">
        <v>66</v>
      </c>
      <c r="D559" s="4" t="s">
        <v>81</v>
      </c>
      <c r="E559" s="4" t="s">
        <v>82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4684</v>
      </c>
      <c r="B560" s="9" t="s">
        <v>807</v>
      </c>
      <c r="C560" s="9" t="s">
        <v>66</v>
      </c>
      <c r="D560" s="9" t="s">
        <v>81</v>
      </c>
      <c r="E560" s="9" t="s">
        <v>136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1">
        <v>0</v>
      </c>
    </row>
    <row r="561">
      <c r="A561" s="23">
        <v>4687</v>
      </c>
      <c r="B561" s="4" t="s">
        <v>808</v>
      </c>
      <c r="C561" s="4" t="s">
        <v>66</v>
      </c>
      <c r="D561" s="4" t="s">
        <v>81</v>
      </c>
      <c r="E561" s="4" t="s">
        <v>134</v>
      </c>
      <c r="F561" s="6">
        <v>1</v>
      </c>
      <c r="G561" s="7">
        <v>0</v>
      </c>
      <c r="H561" s="5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5">
        <v>1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4700</v>
      </c>
      <c r="B562" s="9" t="s">
        <v>809</v>
      </c>
      <c r="C562" s="9" t="s">
        <v>66</v>
      </c>
      <c r="D562" s="9" t="s">
        <v>81</v>
      </c>
      <c r="E562" s="9" t="s">
        <v>318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4704</v>
      </c>
      <c r="B563" s="4" t="s">
        <v>810</v>
      </c>
      <c r="C563" s="4" t="s">
        <v>66</v>
      </c>
      <c r="D563" s="4" t="s">
        <v>87</v>
      </c>
      <c r="E563" s="4" t="s">
        <v>156</v>
      </c>
      <c r="F563" s="6">
        <v>2</v>
      </c>
      <c r="G563" s="5">
        <v>1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5">
        <v>1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4705</v>
      </c>
      <c r="B564" s="9" t="s">
        <v>811</v>
      </c>
      <c r="C564" s="9" t="s">
        <v>66</v>
      </c>
      <c r="D564" s="9" t="s">
        <v>87</v>
      </c>
      <c r="E564" s="9" t="s">
        <v>674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4709</v>
      </c>
      <c r="B565" s="4" t="s">
        <v>812</v>
      </c>
      <c r="C565" s="4" t="s">
        <v>66</v>
      </c>
      <c r="D565" s="4" t="s">
        <v>87</v>
      </c>
      <c r="E565" s="4" t="s">
        <v>156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4719</v>
      </c>
      <c r="B566" s="9" t="s">
        <v>813</v>
      </c>
      <c r="C566" s="9" t="s">
        <v>66</v>
      </c>
      <c r="D566" s="9" t="s">
        <v>81</v>
      </c>
      <c r="E566" s="9" t="s">
        <v>209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1">
        <v>0</v>
      </c>
    </row>
    <row r="567">
      <c r="A567" s="23">
        <v>4734</v>
      </c>
      <c r="B567" s="4" t="s">
        <v>814</v>
      </c>
      <c r="C567" s="4" t="s">
        <v>66</v>
      </c>
      <c r="D567" s="4" t="s">
        <v>81</v>
      </c>
      <c r="E567" s="4" t="s">
        <v>209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0.26</v>
      </c>
    </row>
    <row r="568">
      <c r="A568" s="24">
        <v>4747</v>
      </c>
      <c r="B568" s="9" t="s">
        <v>815</v>
      </c>
      <c r="C568" s="9" t="s">
        <v>66</v>
      </c>
      <c r="D568" s="9" t="s">
        <v>67</v>
      </c>
      <c r="E568" s="9" t="s">
        <v>70</v>
      </c>
      <c r="F568" s="11">
        <v>3</v>
      </c>
      <c r="G568" s="12">
        <v>0</v>
      </c>
      <c r="H568" s="10">
        <v>3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2">
        <v>0</v>
      </c>
      <c r="W568" s="10">
        <v>3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29">
        <v>0.75</v>
      </c>
    </row>
    <row r="569">
      <c r="A569" s="23">
        <v>4752</v>
      </c>
      <c r="B569" s="4" t="s">
        <v>816</v>
      </c>
      <c r="C569" s="4" t="s">
        <v>66</v>
      </c>
      <c r="D569" s="4" t="s">
        <v>110</v>
      </c>
      <c r="E569" s="4" t="s">
        <v>147</v>
      </c>
      <c r="F569" s="6">
        <v>8</v>
      </c>
      <c r="G569" s="5">
        <v>5</v>
      </c>
      <c r="H569" s="7">
        <v>0</v>
      </c>
      <c r="I569" s="5">
        <v>1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8</v>
      </c>
      <c r="V569" s="5">
        <v>5</v>
      </c>
      <c r="W569" s="7">
        <v>0</v>
      </c>
      <c r="X569" s="5">
        <v>1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4</v>
      </c>
      <c r="AN569" s="28">
        <v>2</v>
      </c>
    </row>
    <row r="570">
      <c r="A570" s="24">
        <v>4765</v>
      </c>
      <c r="B570" s="9" t="s">
        <v>817</v>
      </c>
      <c r="C570" s="9" t="s">
        <v>66</v>
      </c>
      <c r="D570" s="9" t="s">
        <v>84</v>
      </c>
      <c r="E570" s="9" t="s">
        <v>85</v>
      </c>
      <c r="F570" s="11">
        <v>2</v>
      </c>
      <c r="G570" s="10">
        <v>1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0">
        <v>1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0.65</v>
      </c>
    </row>
    <row r="571">
      <c r="A571" s="23">
        <v>4781</v>
      </c>
      <c r="B571" s="4" t="s">
        <v>818</v>
      </c>
      <c r="C571" s="4" t="s">
        <v>152</v>
      </c>
      <c r="D571" s="4" t="s">
        <v>169</v>
      </c>
      <c r="E571" s="4" t="s">
        <v>170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4791</v>
      </c>
      <c r="B572" s="9" t="s">
        <v>819</v>
      </c>
      <c r="C572" s="9" t="s">
        <v>66</v>
      </c>
      <c r="D572" s="9" t="s">
        <v>84</v>
      </c>
      <c r="E572" s="9" t="s">
        <v>225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4792</v>
      </c>
      <c r="B573" s="4" t="s">
        <v>820</v>
      </c>
      <c r="C573" s="4" t="s">
        <v>66</v>
      </c>
      <c r="D573" s="4" t="s">
        <v>84</v>
      </c>
      <c r="E573" s="4" t="s">
        <v>225</v>
      </c>
      <c r="F573" s="6">
        <v>5</v>
      </c>
      <c r="G573" s="5">
        <v>2</v>
      </c>
      <c r="H573" s="7">
        <v>0</v>
      </c>
      <c r="I573" s="5">
        <v>2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5</v>
      </c>
      <c r="V573" s="5">
        <v>2</v>
      </c>
      <c r="W573" s="7">
        <v>0</v>
      </c>
      <c r="X573" s="5">
        <v>2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1.67</v>
      </c>
      <c r="AL573" s="5">
        <v>2</v>
      </c>
      <c r="AM573" s="5">
        <v>2</v>
      </c>
      <c r="AN573" s="28">
        <v>0.72</v>
      </c>
    </row>
    <row r="574">
      <c r="A574" s="24">
        <v>4793</v>
      </c>
      <c r="B574" s="9" t="s">
        <v>821</v>
      </c>
      <c r="C574" s="9" t="s">
        <v>66</v>
      </c>
      <c r="D574" s="9" t="s">
        <v>72</v>
      </c>
      <c r="E574" s="9" t="s">
        <v>299</v>
      </c>
      <c r="F574" s="11">
        <v>2</v>
      </c>
      <c r="G574" s="10">
        <v>1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0">
        <v>1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1">
        <v>0</v>
      </c>
    </row>
    <row r="575">
      <c r="A575" s="23">
        <v>4797</v>
      </c>
      <c r="B575" s="4" t="s">
        <v>822</v>
      </c>
      <c r="C575" s="4" t="s">
        <v>66</v>
      </c>
      <c r="D575" s="4" t="s">
        <v>110</v>
      </c>
      <c r="E575" s="4" t="s">
        <v>111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4808</v>
      </c>
      <c r="B576" s="9" t="s">
        <v>823</v>
      </c>
      <c r="C576" s="9" t="s">
        <v>66</v>
      </c>
      <c r="D576" s="9" t="s">
        <v>102</v>
      </c>
      <c r="E576" s="9" t="s">
        <v>131</v>
      </c>
      <c r="F576" s="11">
        <v>6</v>
      </c>
      <c r="G576" s="10">
        <v>2</v>
      </c>
      <c r="H576" s="12">
        <v>0</v>
      </c>
      <c r="I576" s="12">
        <v>0</v>
      </c>
      <c r="J576" s="10">
        <v>4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6</v>
      </c>
      <c r="V576" s="10">
        <v>2</v>
      </c>
      <c r="W576" s="12">
        <v>0</v>
      </c>
      <c r="X576" s="12">
        <v>0</v>
      </c>
      <c r="Y576" s="10">
        <v>4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1</v>
      </c>
      <c r="AM576" s="10">
        <v>4</v>
      </c>
      <c r="AN576" s="29">
        <v>1.3</v>
      </c>
    </row>
    <row r="577">
      <c r="A577" s="23">
        <v>4819</v>
      </c>
      <c r="B577" s="4" t="s">
        <v>824</v>
      </c>
      <c r="C577" s="4" t="s">
        <v>66</v>
      </c>
      <c r="D577" s="4" t="s">
        <v>84</v>
      </c>
      <c r="E577" s="4" t="s">
        <v>802</v>
      </c>
      <c r="F577" s="6">
        <v>3</v>
      </c>
      <c r="G577" s="5">
        <v>1</v>
      </c>
      <c r="H577" s="7">
        <v>0</v>
      </c>
      <c r="I577" s="5">
        <v>1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5">
        <v>1</v>
      </c>
      <c r="W577" s="7">
        <v>0</v>
      </c>
      <c r="X577" s="5">
        <v>1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0.78</v>
      </c>
    </row>
    <row r="578">
      <c r="A578" s="24">
        <v>4821</v>
      </c>
      <c r="B578" s="9" t="s">
        <v>825</v>
      </c>
      <c r="C578" s="9" t="s">
        <v>66</v>
      </c>
      <c r="D578" s="9" t="s">
        <v>110</v>
      </c>
      <c r="E578" s="9" t="s">
        <v>111</v>
      </c>
      <c r="F578" s="11">
        <v>3</v>
      </c>
      <c r="G578" s="12">
        <v>0</v>
      </c>
      <c r="H578" s="10">
        <v>1</v>
      </c>
      <c r="I578" s="10">
        <v>1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2">
        <v>0</v>
      </c>
      <c r="W578" s="10">
        <v>1</v>
      </c>
      <c r="X578" s="10">
        <v>1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0.75</v>
      </c>
    </row>
    <row r="579">
      <c r="A579" s="23">
        <v>4823</v>
      </c>
      <c r="B579" s="4" t="s">
        <v>826</v>
      </c>
      <c r="C579" s="4" t="s">
        <v>66</v>
      </c>
      <c r="D579" s="4" t="s">
        <v>84</v>
      </c>
      <c r="E579" s="4" t="s">
        <v>85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0.52</v>
      </c>
    </row>
    <row r="580">
      <c r="A580" s="24">
        <v>4831</v>
      </c>
      <c r="B580" s="9" t="s">
        <v>827</v>
      </c>
      <c r="C580" s="9" t="s">
        <v>66</v>
      </c>
      <c r="D580" s="9" t="s">
        <v>102</v>
      </c>
      <c r="E580" s="9" t="s">
        <v>131</v>
      </c>
      <c r="F580" s="11">
        <v>3</v>
      </c>
      <c r="G580" s="12">
        <v>0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3</v>
      </c>
      <c r="V580" s="12">
        <v>0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29">
        <v>0.75</v>
      </c>
    </row>
    <row r="581">
      <c r="A581" s="23">
        <v>4833</v>
      </c>
      <c r="B581" s="4" t="s">
        <v>828</v>
      </c>
      <c r="C581" s="4" t="s">
        <v>66</v>
      </c>
      <c r="D581" s="4" t="s">
        <v>102</v>
      </c>
      <c r="E581" s="4" t="s">
        <v>131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4835</v>
      </c>
      <c r="B582" s="9" t="s">
        <v>829</v>
      </c>
      <c r="C582" s="9" t="s">
        <v>66</v>
      </c>
      <c r="D582" s="9" t="s">
        <v>95</v>
      </c>
      <c r="E582" s="9" t="s">
        <v>830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31">
        <v>0</v>
      </c>
    </row>
    <row r="583">
      <c r="A583" s="23">
        <v>4836</v>
      </c>
      <c r="B583" s="4" t="s">
        <v>831</v>
      </c>
      <c r="C583" s="4" t="s">
        <v>66</v>
      </c>
      <c r="D583" s="4" t="s">
        <v>102</v>
      </c>
      <c r="E583" s="4" t="s">
        <v>103</v>
      </c>
      <c r="F583" s="6">
        <v>3</v>
      </c>
      <c r="G583" s="5">
        <v>2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</v>
      </c>
      <c r="V583" s="5">
        <v>2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0.25</v>
      </c>
    </row>
    <row r="584">
      <c r="A584" s="24">
        <v>4840</v>
      </c>
      <c r="B584" s="9" t="s">
        <v>832</v>
      </c>
      <c r="C584" s="9" t="s">
        <v>66</v>
      </c>
      <c r="D584" s="9" t="s">
        <v>110</v>
      </c>
      <c r="E584" s="9" t="s">
        <v>228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1">
        <v>0</v>
      </c>
    </row>
    <row r="585">
      <c r="A585" s="23">
        <v>4852</v>
      </c>
      <c r="B585" s="4" t="s">
        <v>833</v>
      </c>
      <c r="C585" s="4" t="s">
        <v>66</v>
      </c>
      <c r="D585" s="4" t="s">
        <v>67</v>
      </c>
      <c r="E585" s="4" t="s">
        <v>166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4853</v>
      </c>
      <c r="B586" s="9" t="s">
        <v>834</v>
      </c>
      <c r="C586" s="9" t="s">
        <v>66</v>
      </c>
      <c r="D586" s="9" t="s">
        <v>102</v>
      </c>
      <c r="E586" s="9" t="s">
        <v>103</v>
      </c>
      <c r="F586" s="11">
        <v>2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0.5</v>
      </c>
    </row>
    <row r="587">
      <c r="A587" s="23">
        <v>4858</v>
      </c>
      <c r="B587" s="4" t="s">
        <v>835</v>
      </c>
      <c r="C587" s="4" t="s">
        <v>66</v>
      </c>
      <c r="D587" s="4" t="s">
        <v>67</v>
      </c>
      <c r="E587" s="4" t="s">
        <v>70</v>
      </c>
      <c r="F587" s="6">
        <v>3</v>
      </c>
      <c r="G587" s="5">
        <v>3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3</v>
      </c>
      <c r="AL587" s="5">
        <v>3</v>
      </c>
      <c r="AM587" s="5">
        <v>3</v>
      </c>
      <c r="AN587" s="30">
        <v>0</v>
      </c>
    </row>
    <row r="588">
      <c r="A588" s="24">
        <v>4864</v>
      </c>
      <c r="B588" s="9" t="s">
        <v>836</v>
      </c>
      <c r="C588" s="9" t="s">
        <v>66</v>
      </c>
      <c r="D588" s="9" t="s">
        <v>102</v>
      </c>
      <c r="E588" s="9" t="s">
        <v>215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4866</v>
      </c>
      <c r="B589" s="4" t="s">
        <v>837</v>
      </c>
      <c r="C589" s="4" t="s">
        <v>66</v>
      </c>
      <c r="D589" s="4" t="s">
        <v>102</v>
      </c>
      <c r="E589" s="4" t="s">
        <v>131</v>
      </c>
      <c r="F589" s="6">
        <v>1</v>
      </c>
      <c r="G589" s="7">
        <v>0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4869</v>
      </c>
      <c r="B590" s="9" t="s">
        <v>838</v>
      </c>
      <c r="C590" s="9" t="s">
        <v>66</v>
      </c>
      <c r="D590" s="9" t="s">
        <v>102</v>
      </c>
      <c r="E590" s="9" t="s">
        <v>103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0.22</v>
      </c>
    </row>
    <row r="591">
      <c r="A591" s="23">
        <v>4870</v>
      </c>
      <c r="B591" s="4" t="s">
        <v>839</v>
      </c>
      <c r="C591" s="4" t="s">
        <v>66</v>
      </c>
      <c r="D591" s="4" t="s">
        <v>102</v>
      </c>
      <c r="E591" s="4" t="s">
        <v>131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4875</v>
      </c>
      <c r="B592" s="9" t="s">
        <v>840</v>
      </c>
      <c r="C592" s="9" t="s">
        <v>66</v>
      </c>
      <c r="D592" s="9" t="s">
        <v>81</v>
      </c>
      <c r="E592" s="9" t="s">
        <v>82</v>
      </c>
      <c r="F592" s="11">
        <v>2</v>
      </c>
      <c r="G592" s="12">
        <v>0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</v>
      </c>
    </row>
    <row r="593">
      <c r="A593" s="23">
        <v>4901</v>
      </c>
      <c r="B593" s="4" t="s">
        <v>841</v>
      </c>
      <c r="C593" s="4" t="s">
        <v>66</v>
      </c>
      <c r="D593" s="4" t="s">
        <v>72</v>
      </c>
      <c r="E593" s="4" t="s">
        <v>842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4909</v>
      </c>
      <c r="B594" s="9" t="s">
        <v>843</v>
      </c>
      <c r="C594" s="9" t="s">
        <v>66</v>
      </c>
      <c r="D594" s="9" t="s">
        <v>67</v>
      </c>
      <c r="E594" s="9" t="s">
        <v>70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31">
        <v>0</v>
      </c>
    </row>
    <row r="595">
      <c r="A595" s="23">
        <v>4913</v>
      </c>
      <c r="B595" s="4" t="s">
        <v>844</v>
      </c>
      <c r="C595" s="4" t="s">
        <v>66</v>
      </c>
      <c r="D595" s="4" t="s">
        <v>75</v>
      </c>
      <c r="E595" s="4" t="s">
        <v>213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4915</v>
      </c>
      <c r="B596" s="9" t="s">
        <v>845</v>
      </c>
      <c r="C596" s="9" t="s">
        <v>66</v>
      </c>
      <c r="D596" s="9" t="s">
        <v>160</v>
      </c>
      <c r="E596" s="9" t="s">
        <v>385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4916</v>
      </c>
      <c r="B597" s="4" t="s">
        <v>846</v>
      </c>
      <c r="C597" s="4" t="s">
        <v>66</v>
      </c>
      <c r="D597" s="4" t="s">
        <v>102</v>
      </c>
      <c r="E597" s="4" t="s">
        <v>131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4920</v>
      </c>
      <c r="B598" s="9" t="s">
        <v>847</v>
      </c>
      <c r="C598" s="9" t="s">
        <v>66</v>
      </c>
      <c r="D598" s="9" t="s">
        <v>81</v>
      </c>
      <c r="E598" s="9" t="s">
        <v>82</v>
      </c>
      <c r="F598" s="11">
        <v>2</v>
      </c>
      <c r="G598" s="12">
        <v>0</v>
      </c>
      <c r="H598" s="10">
        <v>1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2">
        <v>0</v>
      </c>
      <c r="W598" s="10">
        <v>1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4932</v>
      </c>
      <c r="B599" s="4" t="s">
        <v>848</v>
      </c>
      <c r="C599" s="4" t="s">
        <v>66</v>
      </c>
      <c r="D599" s="4" t="s">
        <v>105</v>
      </c>
      <c r="E599" s="4" t="s">
        <v>550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4933</v>
      </c>
      <c r="B600" s="9" t="s">
        <v>849</v>
      </c>
      <c r="C600" s="9" t="s">
        <v>66</v>
      </c>
      <c r="D600" s="9" t="s">
        <v>81</v>
      </c>
      <c r="E600" s="9" t="s">
        <v>416</v>
      </c>
      <c r="F600" s="11">
        <v>1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1">
        <v>0</v>
      </c>
    </row>
    <row r="601">
      <c r="A601" s="23">
        <v>4945</v>
      </c>
      <c r="B601" s="4" t="s">
        <v>850</v>
      </c>
      <c r="C601" s="4" t="s">
        <v>66</v>
      </c>
      <c r="D601" s="4" t="s">
        <v>87</v>
      </c>
      <c r="E601" s="4" t="s">
        <v>156</v>
      </c>
      <c r="F601" s="6">
        <v>3</v>
      </c>
      <c r="G601" s="5">
        <v>2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2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30">
        <v>0</v>
      </c>
    </row>
    <row r="602">
      <c r="A602" s="24">
        <v>4964</v>
      </c>
      <c r="B602" s="9" t="s">
        <v>851</v>
      </c>
      <c r="C602" s="9" t="s">
        <v>66</v>
      </c>
      <c r="D602" s="9" t="s">
        <v>67</v>
      </c>
      <c r="E602" s="9" t="s">
        <v>312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4966</v>
      </c>
      <c r="B603" s="4" t="s">
        <v>852</v>
      </c>
      <c r="C603" s="4" t="s">
        <v>66</v>
      </c>
      <c r="D603" s="4" t="s">
        <v>102</v>
      </c>
      <c r="E603" s="4" t="s">
        <v>215</v>
      </c>
      <c r="F603" s="6">
        <v>6</v>
      </c>
      <c r="G603" s="5">
        <v>1</v>
      </c>
      <c r="H603" s="5">
        <v>1</v>
      </c>
      <c r="I603" s="5">
        <v>4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5</v>
      </c>
      <c r="V603" s="5">
        <v>1</v>
      </c>
      <c r="W603" s="5">
        <v>1</v>
      </c>
      <c r="X603" s="5">
        <v>3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1</v>
      </c>
      <c r="AM603" s="5">
        <v>4</v>
      </c>
      <c r="AN603" s="28">
        <v>0.26</v>
      </c>
    </row>
    <row r="604">
      <c r="A604" s="24">
        <v>4969</v>
      </c>
      <c r="B604" s="9" t="s">
        <v>853</v>
      </c>
      <c r="C604" s="9" t="s">
        <v>66</v>
      </c>
      <c r="D604" s="9" t="s">
        <v>110</v>
      </c>
      <c r="E604" s="9" t="s">
        <v>111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1">
        <v>0</v>
      </c>
    </row>
    <row r="605">
      <c r="A605" s="23">
        <v>4975</v>
      </c>
      <c r="B605" s="4" t="s">
        <v>854</v>
      </c>
      <c r="C605" s="4" t="s">
        <v>66</v>
      </c>
      <c r="D605" s="4" t="s">
        <v>81</v>
      </c>
      <c r="E605" s="4" t="s">
        <v>82</v>
      </c>
      <c r="F605" s="6">
        <v>2</v>
      </c>
      <c r="G605" s="7">
        <v>0</v>
      </c>
      <c r="H605" s="7">
        <v>0</v>
      </c>
      <c r="I605" s="5">
        <v>1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7">
        <v>0</v>
      </c>
      <c r="X605" s="5">
        <v>1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4983</v>
      </c>
      <c r="B606" s="9" t="s">
        <v>855</v>
      </c>
      <c r="C606" s="9" t="s">
        <v>66</v>
      </c>
      <c r="D606" s="9" t="s">
        <v>102</v>
      </c>
      <c r="E606" s="9" t="s">
        <v>131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4987</v>
      </c>
      <c r="B607" s="4" t="s">
        <v>856</v>
      </c>
      <c r="C607" s="4" t="s">
        <v>66</v>
      </c>
      <c r="D607" s="4" t="s">
        <v>84</v>
      </c>
      <c r="E607" s="4" t="s">
        <v>98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4988</v>
      </c>
      <c r="B608" s="9" t="s">
        <v>857</v>
      </c>
      <c r="C608" s="9" t="s">
        <v>66</v>
      </c>
      <c r="D608" s="9" t="s">
        <v>84</v>
      </c>
      <c r="E608" s="9" t="s">
        <v>802</v>
      </c>
      <c r="F608" s="11">
        <v>3</v>
      </c>
      <c r="G608" s="12">
        <v>0</v>
      </c>
      <c r="H608" s="12">
        <v>0</v>
      </c>
      <c r="I608" s="10">
        <v>1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3</v>
      </c>
      <c r="V608" s="12">
        <v>0</v>
      </c>
      <c r="W608" s="12">
        <v>0</v>
      </c>
      <c r="X608" s="10">
        <v>1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29">
        <v>0.26</v>
      </c>
    </row>
    <row r="609">
      <c r="A609" s="23">
        <v>4999</v>
      </c>
      <c r="B609" s="4" t="s">
        <v>858</v>
      </c>
      <c r="C609" s="4" t="s">
        <v>66</v>
      </c>
      <c r="D609" s="4" t="s">
        <v>87</v>
      </c>
      <c r="E609" s="4" t="s">
        <v>156</v>
      </c>
      <c r="F609" s="6">
        <v>4</v>
      </c>
      <c r="G609" s="5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3</v>
      </c>
      <c r="V609" s="5">
        <v>3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4</v>
      </c>
      <c r="AK609" s="8">
        <v>4</v>
      </c>
      <c r="AL609" s="5">
        <v>4</v>
      </c>
      <c r="AM609" s="5">
        <v>4</v>
      </c>
      <c r="AN609" s="30">
        <v>0</v>
      </c>
    </row>
    <row r="610">
      <c r="A610" s="24">
        <v>5007</v>
      </c>
      <c r="B610" s="9" t="s">
        <v>859</v>
      </c>
      <c r="C610" s="9" t="s">
        <v>66</v>
      </c>
      <c r="D610" s="9" t="s">
        <v>81</v>
      </c>
      <c r="E610" s="9" t="s">
        <v>92</v>
      </c>
      <c r="F610" s="11">
        <v>7</v>
      </c>
      <c r="G610" s="12">
        <v>0</v>
      </c>
      <c r="H610" s="12">
        <v>0</v>
      </c>
      <c r="I610" s="12">
        <v>0</v>
      </c>
      <c r="J610" s="10">
        <v>7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7</v>
      </c>
      <c r="V610" s="12">
        <v>0</v>
      </c>
      <c r="W610" s="12">
        <v>0</v>
      </c>
      <c r="X610" s="12">
        <v>0</v>
      </c>
      <c r="Y610" s="10">
        <v>7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3.5</v>
      </c>
      <c r="AL610" s="10">
        <v>3</v>
      </c>
      <c r="AM610" s="10">
        <v>6</v>
      </c>
      <c r="AN610" s="29">
        <v>1.82</v>
      </c>
    </row>
    <row r="611">
      <c r="A611" s="23">
        <v>5016</v>
      </c>
      <c r="B611" s="4" t="s">
        <v>860</v>
      </c>
      <c r="C611" s="4" t="s">
        <v>66</v>
      </c>
      <c r="D611" s="4" t="s">
        <v>72</v>
      </c>
      <c r="E611" s="4" t="s">
        <v>299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5023</v>
      </c>
      <c r="B612" s="9" t="s">
        <v>861</v>
      </c>
      <c r="C612" s="9" t="s">
        <v>152</v>
      </c>
      <c r="D612" s="9" t="s">
        <v>181</v>
      </c>
      <c r="E612" s="9" t="s">
        <v>190</v>
      </c>
      <c r="F612" s="11">
        <v>6</v>
      </c>
      <c r="G612" s="10">
        <v>2</v>
      </c>
      <c r="H612" s="12">
        <v>0</v>
      </c>
      <c r="I612" s="10">
        <v>1</v>
      </c>
      <c r="J612" s="12">
        <v>0</v>
      </c>
      <c r="K612" s="10">
        <v>3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4</v>
      </c>
      <c r="V612" s="10">
        <v>2</v>
      </c>
      <c r="W612" s="12">
        <v>0</v>
      </c>
      <c r="X612" s="10">
        <v>1</v>
      </c>
      <c r="Y612" s="12">
        <v>0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2</v>
      </c>
      <c r="AM612" s="10">
        <v>3</v>
      </c>
      <c r="AN612" s="29">
        <v>1</v>
      </c>
    </row>
    <row r="613">
      <c r="A613" s="23">
        <v>5028</v>
      </c>
      <c r="B613" s="4" t="s">
        <v>862</v>
      </c>
      <c r="C613" s="4" t="s">
        <v>66</v>
      </c>
      <c r="D613" s="4" t="s">
        <v>110</v>
      </c>
      <c r="E613" s="4" t="s">
        <v>111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5032</v>
      </c>
      <c r="B614" s="9" t="s">
        <v>863</v>
      </c>
      <c r="C614" s="9" t="s">
        <v>66</v>
      </c>
      <c r="D614" s="9" t="s">
        <v>72</v>
      </c>
      <c r="E614" s="9" t="s">
        <v>439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1">
        <v>0</v>
      </c>
    </row>
    <row r="615">
      <c r="A615" s="23">
        <v>5045</v>
      </c>
      <c r="B615" s="4" t="s">
        <v>864</v>
      </c>
      <c r="C615" s="4" t="s">
        <v>66</v>
      </c>
      <c r="D615" s="4" t="s">
        <v>142</v>
      </c>
      <c r="E615" s="4" t="s">
        <v>543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5051</v>
      </c>
      <c r="B616" s="9" t="s">
        <v>865</v>
      </c>
      <c r="C616" s="9" t="s">
        <v>66</v>
      </c>
      <c r="D616" s="9" t="s">
        <v>75</v>
      </c>
      <c r="E616" s="9" t="s">
        <v>370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5057</v>
      </c>
      <c r="B617" s="4" t="s">
        <v>866</v>
      </c>
      <c r="C617" s="4" t="s">
        <v>66</v>
      </c>
      <c r="D617" s="4" t="s">
        <v>84</v>
      </c>
      <c r="E617" s="4" t="s">
        <v>225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0.17</v>
      </c>
    </row>
    <row r="618">
      <c r="A618" s="24">
        <v>5058</v>
      </c>
      <c r="B618" s="9" t="s">
        <v>867</v>
      </c>
      <c r="C618" s="9" t="s">
        <v>66</v>
      </c>
      <c r="D618" s="9" t="s">
        <v>84</v>
      </c>
      <c r="E618" s="9" t="s">
        <v>98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5063</v>
      </c>
      <c r="B619" s="4" t="s">
        <v>868</v>
      </c>
      <c r="C619" s="4" t="s">
        <v>66</v>
      </c>
      <c r="D619" s="4" t="s">
        <v>124</v>
      </c>
      <c r="E619" s="4" t="s">
        <v>125</v>
      </c>
      <c r="F619" s="6">
        <v>3</v>
      </c>
      <c r="G619" s="5">
        <v>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5">
        <v>3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30">
        <v>0</v>
      </c>
    </row>
    <row r="620">
      <c r="A620" s="24">
        <v>5064</v>
      </c>
      <c r="B620" s="9" t="s">
        <v>869</v>
      </c>
      <c r="C620" s="9" t="s">
        <v>66</v>
      </c>
      <c r="D620" s="9" t="s">
        <v>75</v>
      </c>
      <c r="E620" s="9" t="s">
        <v>370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1">
        <v>0</v>
      </c>
    </row>
    <row r="621">
      <c r="A621" s="23">
        <v>5065</v>
      </c>
      <c r="B621" s="4" t="s">
        <v>870</v>
      </c>
      <c r="C621" s="4" t="s">
        <v>66</v>
      </c>
      <c r="D621" s="4" t="s">
        <v>81</v>
      </c>
      <c r="E621" s="4" t="s">
        <v>136</v>
      </c>
      <c r="F621" s="6">
        <v>2</v>
      </c>
      <c r="G621" s="5">
        <v>1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1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5071</v>
      </c>
      <c r="B622" s="9" t="s">
        <v>871</v>
      </c>
      <c r="C622" s="9" t="s">
        <v>66</v>
      </c>
      <c r="D622" s="9" t="s">
        <v>67</v>
      </c>
      <c r="E622" s="9" t="s">
        <v>70</v>
      </c>
      <c r="F622" s="11">
        <v>5</v>
      </c>
      <c r="G622" s="10">
        <v>3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5</v>
      </c>
      <c r="V622" s="10">
        <v>3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2.5</v>
      </c>
      <c r="AL622" s="10">
        <v>2</v>
      </c>
      <c r="AM622" s="10">
        <v>3</v>
      </c>
      <c r="AN622" s="29">
        <v>1.4</v>
      </c>
    </row>
    <row r="623">
      <c r="A623" s="23">
        <v>5085</v>
      </c>
      <c r="B623" s="4" t="s">
        <v>872</v>
      </c>
      <c r="C623" s="4" t="s">
        <v>66</v>
      </c>
      <c r="D623" s="4" t="s">
        <v>87</v>
      </c>
      <c r="E623" s="4" t="s">
        <v>156</v>
      </c>
      <c r="F623" s="6">
        <v>4</v>
      </c>
      <c r="G623" s="5">
        <v>3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4</v>
      </c>
      <c r="V623" s="5">
        <v>3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30">
        <v>0</v>
      </c>
    </row>
    <row r="624">
      <c r="A624" s="24">
        <v>5092</v>
      </c>
      <c r="B624" s="9" t="s">
        <v>873</v>
      </c>
      <c r="C624" s="9" t="s">
        <v>66</v>
      </c>
      <c r="D624" s="9" t="s">
        <v>81</v>
      </c>
      <c r="E624" s="9" t="s">
        <v>136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1">
        <v>0</v>
      </c>
    </row>
    <row r="625">
      <c r="A625" s="23">
        <v>5102</v>
      </c>
      <c r="B625" s="4" t="s">
        <v>874</v>
      </c>
      <c r="C625" s="4" t="s">
        <v>66</v>
      </c>
      <c r="D625" s="4" t="s">
        <v>95</v>
      </c>
      <c r="E625" s="4" t="s">
        <v>129</v>
      </c>
      <c r="F625" s="6">
        <v>2</v>
      </c>
      <c r="G625" s="5">
        <v>1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5">
        <v>1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5103</v>
      </c>
      <c r="B626" s="9" t="s">
        <v>875</v>
      </c>
      <c r="C626" s="9" t="s">
        <v>138</v>
      </c>
      <c r="D626" s="9" t="s">
        <v>395</v>
      </c>
      <c r="E626" s="9" t="s">
        <v>876</v>
      </c>
      <c r="F626" s="11">
        <v>2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1">
        <v>0</v>
      </c>
    </row>
    <row r="627">
      <c r="A627" s="23">
        <v>5149</v>
      </c>
      <c r="B627" s="4" t="s">
        <v>877</v>
      </c>
      <c r="C627" s="4" t="s">
        <v>66</v>
      </c>
      <c r="D627" s="4" t="s">
        <v>81</v>
      </c>
      <c r="E627" s="4" t="s">
        <v>145</v>
      </c>
      <c r="F627" s="6">
        <v>2</v>
      </c>
      <c r="G627" s="7">
        <v>0</v>
      </c>
      <c r="H627" s="7">
        <v>0</v>
      </c>
      <c r="I627" s="7">
        <v>0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7">
        <v>0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5153</v>
      </c>
      <c r="B628" s="9" t="s">
        <v>878</v>
      </c>
      <c r="C628" s="9" t="s">
        <v>66</v>
      </c>
      <c r="D628" s="9" t="s">
        <v>81</v>
      </c>
      <c r="E628" s="9" t="s">
        <v>145</v>
      </c>
      <c r="F628" s="11">
        <v>5</v>
      </c>
      <c r="G628" s="12">
        <v>0</v>
      </c>
      <c r="H628" s="12">
        <v>0</v>
      </c>
      <c r="I628" s="12">
        <v>0</v>
      </c>
      <c r="J628" s="10">
        <v>5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5</v>
      </c>
      <c r="AK628" s="13">
        <v>5</v>
      </c>
      <c r="AL628" s="10">
        <v>5</v>
      </c>
      <c r="AM628" s="10">
        <v>5</v>
      </c>
      <c r="AN628" s="29">
        <v>0.25</v>
      </c>
    </row>
    <row r="629">
      <c r="A629" s="23">
        <v>5171</v>
      </c>
      <c r="B629" s="4" t="s">
        <v>879</v>
      </c>
      <c r="C629" s="4" t="s">
        <v>66</v>
      </c>
      <c r="D629" s="4" t="s">
        <v>84</v>
      </c>
      <c r="E629" s="4" t="s">
        <v>225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30">
        <v>0</v>
      </c>
    </row>
    <row r="630">
      <c r="A630" s="24">
        <v>5193</v>
      </c>
      <c r="B630" s="9" t="s">
        <v>880</v>
      </c>
      <c r="C630" s="9" t="s">
        <v>66</v>
      </c>
      <c r="D630" s="9" t="s">
        <v>81</v>
      </c>
      <c r="E630" s="9" t="s">
        <v>82</v>
      </c>
      <c r="F630" s="11">
        <v>3</v>
      </c>
      <c r="G630" s="12">
        <v>0</v>
      </c>
      <c r="H630" s="12">
        <v>0</v>
      </c>
      <c r="I630" s="12">
        <v>0</v>
      </c>
      <c r="J630" s="10">
        <v>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2">
        <v>0</v>
      </c>
      <c r="W630" s="12">
        <v>0</v>
      </c>
      <c r="X630" s="12">
        <v>0</v>
      </c>
      <c r="Y630" s="10">
        <v>3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0.75</v>
      </c>
    </row>
    <row r="631">
      <c r="A631" s="23">
        <v>5199</v>
      </c>
      <c r="B631" s="4" t="s">
        <v>881</v>
      </c>
      <c r="C631" s="4" t="s">
        <v>66</v>
      </c>
      <c r="D631" s="4" t="s">
        <v>84</v>
      </c>
      <c r="E631" s="4" t="s">
        <v>98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0.26</v>
      </c>
    </row>
    <row r="632">
      <c r="A632" s="24">
        <v>5200</v>
      </c>
      <c r="B632" s="9" t="s">
        <v>882</v>
      </c>
      <c r="C632" s="9" t="s">
        <v>66</v>
      </c>
      <c r="D632" s="9" t="s">
        <v>84</v>
      </c>
      <c r="E632" s="9" t="s">
        <v>98</v>
      </c>
      <c r="F632" s="11">
        <v>4</v>
      </c>
      <c r="G632" s="10">
        <v>3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4</v>
      </c>
      <c r="V632" s="10">
        <v>3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1.33</v>
      </c>
      <c r="AL632" s="10">
        <v>1</v>
      </c>
      <c r="AM632" s="10">
        <v>2</v>
      </c>
      <c r="AN632" s="29">
        <v>0.37</v>
      </c>
    </row>
    <row r="633">
      <c r="A633" s="23">
        <v>5204</v>
      </c>
      <c r="B633" s="4" t="s">
        <v>883</v>
      </c>
      <c r="C633" s="4" t="s">
        <v>152</v>
      </c>
      <c r="D633" s="4" t="s">
        <v>169</v>
      </c>
      <c r="E633" s="4" t="s">
        <v>176</v>
      </c>
      <c r="F633" s="6">
        <v>5</v>
      </c>
      <c r="G633" s="5">
        <v>2</v>
      </c>
      <c r="H633" s="7">
        <v>0</v>
      </c>
      <c r="I633" s="5">
        <v>2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5</v>
      </c>
      <c r="V633" s="5">
        <v>2</v>
      </c>
      <c r="W633" s="7">
        <v>0</v>
      </c>
      <c r="X633" s="5">
        <v>2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1.67</v>
      </c>
      <c r="AL633" s="5">
        <v>2</v>
      </c>
      <c r="AM633" s="5">
        <v>2</v>
      </c>
      <c r="AN633" s="30">
        <v>0</v>
      </c>
    </row>
    <row r="634">
      <c r="A634" s="24">
        <v>5212</v>
      </c>
      <c r="B634" s="9" t="s">
        <v>884</v>
      </c>
      <c r="C634" s="9" t="s">
        <v>66</v>
      </c>
      <c r="D634" s="9" t="s">
        <v>75</v>
      </c>
      <c r="E634" s="9" t="s">
        <v>79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0.26</v>
      </c>
    </row>
    <row r="635">
      <c r="A635" s="23">
        <v>5223</v>
      </c>
      <c r="B635" s="4" t="s">
        <v>885</v>
      </c>
      <c r="C635" s="4" t="s">
        <v>66</v>
      </c>
      <c r="D635" s="4" t="s">
        <v>102</v>
      </c>
      <c r="E635" s="4" t="s">
        <v>359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5246</v>
      </c>
      <c r="B636" s="9" t="s">
        <v>886</v>
      </c>
      <c r="C636" s="9" t="s">
        <v>66</v>
      </c>
      <c r="D636" s="9" t="s">
        <v>81</v>
      </c>
      <c r="E636" s="9" t="s">
        <v>82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5249</v>
      </c>
      <c r="B637" s="4" t="s">
        <v>887</v>
      </c>
      <c r="C637" s="4" t="s">
        <v>66</v>
      </c>
      <c r="D637" s="4" t="s">
        <v>81</v>
      </c>
      <c r="E637" s="4" t="s">
        <v>82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0.22</v>
      </c>
    </row>
    <row r="638">
      <c r="A638" s="24">
        <v>5262</v>
      </c>
      <c r="B638" s="9" t="s">
        <v>888</v>
      </c>
      <c r="C638" s="9" t="s">
        <v>66</v>
      </c>
      <c r="D638" s="9" t="s">
        <v>81</v>
      </c>
      <c r="E638" s="9" t="s">
        <v>82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5278</v>
      </c>
      <c r="B639" s="4" t="s">
        <v>889</v>
      </c>
      <c r="C639" s="4" t="s">
        <v>66</v>
      </c>
      <c r="D639" s="4" t="s">
        <v>81</v>
      </c>
      <c r="E639" s="4" t="s">
        <v>82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5296</v>
      </c>
      <c r="B640" s="9" t="s">
        <v>890</v>
      </c>
      <c r="C640" s="9" t="s">
        <v>66</v>
      </c>
      <c r="D640" s="9" t="s">
        <v>84</v>
      </c>
      <c r="E640" s="9" t="s">
        <v>195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5301</v>
      </c>
      <c r="B641" s="4" t="s">
        <v>891</v>
      </c>
      <c r="C641" s="4" t="s">
        <v>66</v>
      </c>
      <c r="D641" s="4" t="s">
        <v>95</v>
      </c>
      <c r="E641" s="4" t="s">
        <v>892</v>
      </c>
      <c r="F641" s="6">
        <v>12</v>
      </c>
      <c r="G641" s="5">
        <v>1</v>
      </c>
      <c r="H641" s="7">
        <v>0</v>
      </c>
      <c r="I641" s="5">
        <v>4</v>
      </c>
      <c r="J641" s="5">
        <v>7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9</v>
      </c>
      <c r="V641" s="5">
        <v>1</v>
      </c>
      <c r="W641" s="7">
        <v>0</v>
      </c>
      <c r="X641" s="5">
        <v>3</v>
      </c>
      <c r="Y641" s="5">
        <v>5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</v>
      </c>
      <c r="AL641" s="5">
        <v>3</v>
      </c>
      <c r="AM641" s="5">
        <v>4</v>
      </c>
      <c r="AN641" s="28">
        <v>1.25</v>
      </c>
    </row>
    <row r="642">
      <c r="A642" s="24">
        <v>5305</v>
      </c>
      <c r="B642" s="9" t="s">
        <v>893</v>
      </c>
      <c r="C642" s="9" t="s">
        <v>66</v>
      </c>
      <c r="D642" s="9" t="s">
        <v>102</v>
      </c>
      <c r="E642" s="9" t="s">
        <v>131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5328</v>
      </c>
      <c r="B643" s="4" t="s">
        <v>894</v>
      </c>
      <c r="C643" s="4" t="s">
        <v>66</v>
      </c>
      <c r="D643" s="4" t="s">
        <v>84</v>
      </c>
      <c r="E643" s="4" t="s">
        <v>98</v>
      </c>
      <c r="F643" s="6">
        <v>4</v>
      </c>
      <c r="G643" s="5">
        <v>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3</v>
      </c>
      <c r="V643" s="5">
        <v>3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4</v>
      </c>
      <c r="AK643" s="8">
        <v>4</v>
      </c>
      <c r="AL643" s="5">
        <v>4</v>
      </c>
      <c r="AM643" s="5">
        <v>4</v>
      </c>
      <c r="AN643" s="30">
        <v>0</v>
      </c>
    </row>
    <row r="644">
      <c r="A644" s="24">
        <v>5334</v>
      </c>
      <c r="B644" s="9" t="s">
        <v>895</v>
      </c>
      <c r="C644" s="9" t="s">
        <v>66</v>
      </c>
      <c r="D644" s="9" t="s">
        <v>110</v>
      </c>
      <c r="E644" s="9" t="s">
        <v>769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5337</v>
      </c>
      <c r="B645" s="4" t="s">
        <v>896</v>
      </c>
      <c r="C645" s="4" t="s">
        <v>66</v>
      </c>
      <c r="D645" s="4" t="s">
        <v>110</v>
      </c>
      <c r="E645" s="4" t="s">
        <v>335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5353</v>
      </c>
      <c r="B646" s="9" t="s">
        <v>897</v>
      </c>
      <c r="C646" s="9" t="s">
        <v>66</v>
      </c>
      <c r="D646" s="9" t="s">
        <v>102</v>
      </c>
      <c r="E646" s="9" t="s">
        <v>103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1">
        <v>0</v>
      </c>
    </row>
    <row r="647">
      <c r="A647" s="23">
        <v>5358</v>
      </c>
      <c r="B647" s="4" t="s">
        <v>898</v>
      </c>
      <c r="C647" s="4" t="s">
        <v>525</v>
      </c>
      <c r="D647" s="4" t="s">
        <v>786</v>
      </c>
      <c r="E647" s="4" t="s">
        <v>553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5361</v>
      </c>
      <c r="B648" s="9" t="s">
        <v>899</v>
      </c>
      <c r="C648" s="9" t="s">
        <v>66</v>
      </c>
      <c r="D648" s="9" t="s">
        <v>67</v>
      </c>
      <c r="E648" s="9" t="s">
        <v>70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0.5</v>
      </c>
    </row>
    <row r="649">
      <c r="A649" s="23">
        <v>5367</v>
      </c>
      <c r="B649" s="4" t="s">
        <v>900</v>
      </c>
      <c r="C649" s="4" t="s">
        <v>66</v>
      </c>
      <c r="D649" s="4" t="s">
        <v>110</v>
      </c>
      <c r="E649" s="4" t="s">
        <v>111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5382</v>
      </c>
      <c r="B650" s="9" t="s">
        <v>901</v>
      </c>
      <c r="C650" s="9" t="s">
        <v>66</v>
      </c>
      <c r="D650" s="9" t="s">
        <v>75</v>
      </c>
      <c r="E650" s="9" t="s">
        <v>79</v>
      </c>
      <c r="F650" s="11">
        <v>7</v>
      </c>
      <c r="G650" s="10">
        <v>6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6</v>
      </c>
      <c r="V650" s="10">
        <v>5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2.33</v>
      </c>
      <c r="AL650" s="10">
        <v>1</v>
      </c>
      <c r="AM650" s="10">
        <v>5</v>
      </c>
      <c r="AN650" s="31">
        <v>0</v>
      </c>
    </row>
    <row r="651">
      <c r="A651" s="23">
        <v>5427</v>
      </c>
      <c r="B651" s="4" t="s">
        <v>902</v>
      </c>
      <c r="C651" s="4" t="s">
        <v>138</v>
      </c>
      <c r="D651" s="4" t="s">
        <v>512</v>
      </c>
      <c r="E651" s="4" t="s">
        <v>903</v>
      </c>
      <c r="F651" s="6">
        <v>2</v>
      </c>
      <c r="G651" s="7">
        <v>0</v>
      </c>
      <c r="H651" s="7">
        <v>0</v>
      </c>
      <c r="I651" s="5">
        <v>2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7">
        <v>0</v>
      </c>
      <c r="W651" s="7">
        <v>0</v>
      </c>
      <c r="X651" s="5">
        <v>2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30">
        <v>0</v>
      </c>
    </row>
    <row r="652">
      <c r="A652" s="24">
        <v>5438</v>
      </c>
      <c r="B652" s="9" t="s">
        <v>904</v>
      </c>
      <c r="C652" s="9" t="s">
        <v>66</v>
      </c>
      <c r="D652" s="9" t="s">
        <v>75</v>
      </c>
      <c r="E652" s="9" t="s">
        <v>266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0.22</v>
      </c>
    </row>
    <row r="653">
      <c r="A653" s="23">
        <v>5475</v>
      </c>
      <c r="B653" s="4" t="s">
        <v>905</v>
      </c>
      <c r="C653" s="4" t="s">
        <v>66</v>
      </c>
      <c r="D653" s="4" t="s">
        <v>72</v>
      </c>
      <c r="E653" s="4" t="s">
        <v>906</v>
      </c>
      <c r="F653" s="6">
        <v>20</v>
      </c>
      <c r="G653" s="5">
        <v>1</v>
      </c>
      <c r="H653" s="7">
        <v>0</v>
      </c>
      <c r="I653" s="7">
        <v>0</v>
      </c>
      <c r="J653" s="5">
        <v>19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18</v>
      </c>
      <c r="V653" s="5">
        <v>1</v>
      </c>
      <c r="W653" s="7">
        <v>0</v>
      </c>
      <c r="X653" s="7">
        <v>0</v>
      </c>
      <c r="Y653" s="5">
        <v>17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5</v>
      </c>
      <c r="AL653" s="5">
        <v>2</v>
      </c>
      <c r="AM653" s="5">
        <v>15</v>
      </c>
      <c r="AN653" s="28">
        <v>4.42</v>
      </c>
    </row>
    <row r="654">
      <c r="A654" s="24">
        <v>5476</v>
      </c>
      <c r="B654" s="9" t="s">
        <v>907</v>
      </c>
      <c r="C654" s="9" t="s">
        <v>138</v>
      </c>
      <c r="D654" s="9" t="s">
        <v>341</v>
      </c>
      <c r="E654" s="9" t="s">
        <v>350</v>
      </c>
      <c r="F654" s="11">
        <v>5</v>
      </c>
      <c r="G654" s="12">
        <v>0</v>
      </c>
      <c r="H654" s="10">
        <v>2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4</v>
      </c>
      <c r="V654" s="12">
        <v>0</v>
      </c>
      <c r="W654" s="10">
        <v>1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1.67</v>
      </c>
      <c r="AL654" s="10">
        <v>2</v>
      </c>
      <c r="AM654" s="10">
        <v>2</v>
      </c>
      <c r="AN654" s="29">
        <v>0.75</v>
      </c>
    </row>
    <row r="655">
      <c r="A655" s="23">
        <v>5479</v>
      </c>
      <c r="B655" s="4" t="s">
        <v>908</v>
      </c>
      <c r="C655" s="4" t="s">
        <v>66</v>
      </c>
      <c r="D655" s="4" t="s">
        <v>81</v>
      </c>
      <c r="E655" s="4" t="s">
        <v>209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0.26</v>
      </c>
    </row>
    <row r="656">
      <c r="A656" s="24">
        <v>5499</v>
      </c>
      <c r="B656" s="9" t="s">
        <v>909</v>
      </c>
      <c r="C656" s="9" t="s">
        <v>66</v>
      </c>
      <c r="D656" s="9" t="s">
        <v>81</v>
      </c>
      <c r="E656" s="9" t="s">
        <v>416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5507</v>
      </c>
      <c r="B657" s="4" t="s">
        <v>910</v>
      </c>
      <c r="C657" s="4" t="s">
        <v>66</v>
      </c>
      <c r="D657" s="4" t="s">
        <v>102</v>
      </c>
      <c r="E657" s="4" t="s">
        <v>103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5536</v>
      </c>
      <c r="B658" s="9" t="s">
        <v>911</v>
      </c>
      <c r="C658" s="9" t="s">
        <v>138</v>
      </c>
      <c r="D658" s="9" t="s">
        <v>512</v>
      </c>
      <c r="E658" s="9" t="s">
        <v>587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0.24</v>
      </c>
    </row>
    <row r="659">
      <c r="A659" s="23">
        <v>5645</v>
      </c>
      <c r="B659" s="4" t="s">
        <v>912</v>
      </c>
      <c r="C659" s="4" t="s">
        <v>516</v>
      </c>
      <c r="D659" s="4" t="s">
        <v>553</v>
      </c>
      <c r="E659" s="4" t="s">
        <v>518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5677</v>
      </c>
      <c r="B660" s="9" t="s">
        <v>913</v>
      </c>
      <c r="C660" s="9" t="s">
        <v>516</v>
      </c>
      <c r="D660" s="9" t="s">
        <v>517</v>
      </c>
      <c r="E660" s="9" t="s">
        <v>518</v>
      </c>
      <c r="F660" s="11">
        <v>3</v>
      </c>
      <c r="G660" s="12">
        <v>0</v>
      </c>
      <c r="H660" s="12">
        <v>0</v>
      </c>
      <c r="I660" s="10">
        <v>3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2">
        <v>0</v>
      </c>
      <c r="W660" s="12">
        <v>0</v>
      </c>
      <c r="X660" s="10">
        <v>3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</v>
      </c>
      <c r="AK660" s="13">
        <v>3</v>
      </c>
      <c r="AL660" s="10">
        <v>3</v>
      </c>
      <c r="AM660" s="10">
        <v>3</v>
      </c>
      <c r="AN660" s="29">
        <v>0.66</v>
      </c>
    </row>
    <row r="661">
      <c r="A661" s="23">
        <v>5742</v>
      </c>
      <c r="B661" s="4" t="s">
        <v>914</v>
      </c>
      <c r="C661" s="4" t="s">
        <v>516</v>
      </c>
      <c r="D661" s="4" t="s">
        <v>704</v>
      </c>
      <c r="E661" s="4" t="s">
        <v>518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0.26</v>
      </c>
    </row>
    <row r="662">
      <c r="A662" s="24">
        <v>5799</v>
      </c>
      <c r="B662" s="9" t="s">
        <v>915</v>
      </c>
      <c r="C662" s="9" t="s">
        <v>516</v>
      </c>
      <c r="D662" s="9" t="s">
        <v>916</v>
      </c>
      <c r="E662" s="9" t="s">
        <v>518</v>
      </c>
      <c r="F662" s="11">
        <v>2</v>
      </c>
      <c r="G662" s="12">
        <v>0</v>
      </c>
      <c r="H662" s="12">
        <v>0</v>
      </c>
      <c r="I662" s="10">
        <v>2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0">
        <v>2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0.52</v>
      </c>
    </row>
    <row r="663">
      <c r="A663" s="23">
        <v>5853</v>
      </c>
      <c r="B663" s="4" t="s">
        <v>917</v>
      </c>
      <c r="C663" s="4" t="s">
        <v>516</v>
      </c>
      <c r="D663" s="4" t="s">
        <v>726</v>
      </c>
      <c r="E663" s="4" t="s">
        <v>518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0.26</v>
      </c>
    </row>
    <row r="664">
      <c r="A664" s="24">
        <v>5868</v>
      </c>
      <c r="B664" s="9" t="s">
        <v>918</v>
      </c>
      <c r="C664" s="9" t="s">
        <v>516</v>
      </c>
      <c r="D664" s="9" t="s">
        <v>553</v>
      </c>
      <c r="E664" s="9" t="s">
        <v>518</v>
      </c>
      <c r="F664" s="11">
        <v>1</v>
      </c>
      <c r="G664" s="12">
        <v>0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5932</v>
      </c>
      <c r="B665" s="4" t="s">
        <v>919</v>
      </c>
      <c r="C665" s="4" t="s">
        <v>516</v>
      </c>
      <c r="D665" s="4" t="s">
        <v>726</v>
      </c>
      <c r="E665" s="4" t="s">
        <v>518</v>
      </c>
      <c r="F665" s="6">
        <v>3</v>
      </c>
      <c r="G665" s="7">
        <v>0</v>
      </c>
      <c r="H665" s="7">
        <v>0</v>
      </c>
      <c r="I665" s="5">
        <v>3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3</v>
      </c>
      <c r="V665" s="7">
        <v>0</v>
      </c>
      <c r="W665" s="7">
        <v>0</v>
      </c>
      <c r="X665" s="5">
        <v>3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28">
        <v>0.75</v>
      </c>
    </row>
    <row r="666">
      <c r="A666" s="24">
        <v>5954</v>
      </c>
      <c r="B666" s="9" t="s">
        <v>920</v>
      </c>
      <c r="C666" s="9" t="s">
        <v>532</v>
      </c>
      <c r="D666" s="9" t="s">
        <v>921</v>
      </c>
      <c r="E666" s="9" t="s">
        <v>922</v>
      </c>
      <c r="F666" s="11">
        <v>3</v>
      </c>
      <c r="G666" s="12">
        <v>0</v>
      </c>
      <c r="H666" s="12">
        <v>0</v>
      </c>
      <c r="I666" s="12">
        <v>0</v>
      </c>
      <c r="J666" s="10">
        <v>3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2">
        <v>0</v>
      </c>
      <c r="W666" s="12">
        <v>0</v>
      </c>
      <c r="X666" s="12">
        <v>0</v>
      </c>
      <c r="Y666" s="10">
        <v>3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0.52</v>
      </c>
    </row>
    <row r="667">
      <c r="A667" s="23">
        <v>5959</v>
      </c>
      <c r="B667" s="4" t="s">
        <v>923</v>
      </c>
      <c r="C667" s="4" t="s">
        <v>582</v>
      </c>
      <c r="D667" s="4" t="s">
        <v>797</v>
      </c>
      <c r="E667" s="4" t="s">
        <v>518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0.26</v>
      </c>
    </row>
    <row r="668">
      <c r="A668" s="24">
        <v>6000</v>
      </c>
      <c r="B668" s="9" t="s">
        <v>924</v>
      </c>
      <c r="C668" s="9" t="s">
        <v>66</v>
      </c>
      <c r="D668" s="9" t="s">
        <v>72</v>
      </c>
      <c r="E668" s="9" t="s">
        <v>299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1">
        <v>0</v>
      </c>
    </row>
    <row r="669">
      <c r="A669" s="23">
        <v>6005</v>
      </c>
      <c r="B669" s="4" t="s">
        <v>925</v>
      </c>
      <c r="C669" s="4" t="s">
        <v>582</v>
      </c>
      <c r="D669" s="4" t="s">
        <v>797</v>
      </c>
      <c r="E669" s="4" t="s">
        <v>518</v>
      </c>
      <c r="F669" s="6">
        <v>4</v>
      </c>
      <c r="G669" s="7">
        <v>0</v>
      </c>
      <c r="H669" s="7">
        <v>0</v>
      </c>
      <c r="I669" s="7">
        <v>0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4</v>
      </c>
      <c r="V669" s="7">
        <v>0</v>
      </c>
      <c r="W669" s="7">
        <v>0</v>
      </c>
      <c r="X669" s="7">
        <v>0</v>
      </c>
      <c r="Y669" s="5">
        <v>4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2</v>
      </c>
      <c r="AM669" s="5">
        <v>3</v>
      </c>
      <c r="AN669" s="28">
        <v>1</v>
      </c>
    </row>
    <row r="670">
      <c r="A670" s="24">
        <v>6026</v>
      </c>
      <c r="B670" s="9" t="s">
        <v>926</v>
      </c>
      <c r="C670" s="9" t="s">
        <v>532</v>
      </c>
      <c r="D670" s="9" t="s">
        <v>533</v>
      </c>
      <c r="E670" s="9" t="s">
        <v>927</v>
      </c>
      <c r="F670" s="11">
        <v>4</v>
      </c>
      <c r="G670" s="12">
        <v>0</v>
      </c>
      <c r="H670" s="10">
        <v>1</v>
      </c>
      <c r="I670" s="12">
        <v>0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2">
        <v>0</v>
      </c>
      <c r="W670" s="10">
        <v>1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1</v>
      </c>
    </row>
    <row r="671">
      <c r="A671" s="23">
        <v>6045</v>
      </c>
      <c r="B671" s="4" t="s">
        <v>928</v>
      </c>
      <c r="C671" s="4" t="s">
        <v>582</v>
      </c>
      <c r="D671" s="4" t="s">
        <v>797</v>
      </c>
      <c r="E671" s="4" t="s">
        <v>518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6048</v>
      </c>
      <c r="B672" s="9" t="s">
        <v>929</v>
      </c>
      <c r="C672" s="9" t="s">
        <v>66</v>
      </c>
      <c r="D672" s="9" t="s">
        <v>102</v>
      </c>
      <c r="E672" s="9" t="s">
        <v>359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6082</v>
      </c>
      <c r="B673" s="4" t="s">
        <v>930</v>
      </c>
      <c r="C673" s="4" t="s">
        <v>66</v>
      </c>
      <c r="D673" s="4" t="s">
        <v>102</v>
      </c>
      <c r="E673" s="4" t="s">
        <v>131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6102</v>
      </c>
      <c r="B674" s="9" t="s">
        <v>931</v>
      </c>
      <c r="C674" s="9" t="s">
        <v>66</v>
      </c>
      <c r="D674" s="9" t="s">
        <v>110</v>
      </c>
      <c r="E674" s="9" t="s">
        <v>113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6108</v>
      </c>
      <c r="B675" s="4" t="s">
        <v>932</v>
      </c>
      <c r="C675" s="4" t="s">
        <v>66</v>
      </c>
      <c r="D675" s="4" t="s">
        <v>81</v>
      </c>
      <c r="E675" s="4" t="s">
        <v>134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</v>
      </c>
    </row>
    <row r="676">
      <c r="A676" s="24">
        <v>6114</v>
      </c>
      <c r="B676" s="9" t="s">
        <v>933</v>
      </c>
      <c r="C676" s="9" t="s">
        <v>138</v>
      </c>
      <c r="D676" s="9" t="s">
        <v>233</v>
      </c>
      <c r="E676" s="9" t="s">
        <v>934</v>
      </c>
      <c r="F676" s="11">
        <v>30</v>
      </c>
      <c r="G676" s="12">
        <v>0</v>
      </c>
      <c r="H676" s="12">
        <v>0</v>
      </c>
      <c r="I676" s="10">
        <v>1</v>
      </c>
      <c r="J676" s="10">
        <v>29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29</v>
      </c>
      <c r="V676" s="12">
        <v>0</v>
      </c>
      <c r="W676" s="12">
        <v>0</v>
      </c>
      <c r="X676" s="10">
        <v>1</v>
      </c>
      <c r="Y676" s="10">
        <v>28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10</v>
      </c>
      <c r="AL676" s="10">
        <v>2</v>
      </c>
      <c r="AM676" s="10">
        <v>27</v>
      </c>
      <c r="AN676" s="29">
        <v>7.28</v>
      </c>
    </row>
    <row r="677">
      <c r="A677" s="23">
        <v>6156</v>
      </c>
      <c r="B677" s="4" t="s">
        <v>935</v>
      </c>
      <c r="C677" s="4" t="s">
        <v>66</v>
      </c>
      <c r="D677" s="4" t="s">
        <v>95</v>
      </c>
      <c r="E677" s="4" t="s">
        <v>666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6162</v>
      </c>
      <c r="B678" s="9" t="s">
        <v>936</v>
      </c>
      <c r="C678" s="9" t="s">
        <v>138</v>
      </c>
      <c r="D678" s="9" t="s">
        <v>426</v>
      </c>
      <c r="E678" s="9" t="s">
        <v>427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1">
        <v>0</v>
      </c>
    </row>
    <row r="679">
      <c r="A679" s="23">
        <v>6171</v>
      </c>
      <c r="B679" s="4" t="s">
        <v>937</v>
      </c>
      <c r="C679" s="4" t="s">
        <v>66</v>
      </c>
      <c r="D679" s="4" t="s">
        <v>110</v>
      </c>
      <c r="E679" s="4" t="s">
        <v>113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6202</v>
      </c>
      <c r="B680" s="9" t="s">
        <v>938</v>
      </c>
      <c r="C680" s="9" t="s">
        <v>582</v>
      </c>
      <c r="D680" s="9" t="s">
        <v>583</v>
      </c>
      <c r="E680" s="9" t="s">
        <v>518</v>
      </c>
      <c r="F680" s="11">
        <v>4</v>
      </c>
      <c r="G680" s="12">
        <v>0</v>
      </c>
      <c r="H680" s="12">
        <v>0</v>
      </c>
      <c r="I680" s="10">
        <v>4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4</v>
      </c>
      <c r="V680" s="12">
        <v>0</v>
      </c>
      <c r="W680" s="12">
        <v>0</v>
      </c>
      <c r="X680" s="10">
        <v>4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4</v>
      </c>
      <c r="AL680" s="10">
        <v>4</v>
      </c>
      <c r="AM680" s="10">
        <v>4</v>
      </c>
      <c r="AN680" s="31">
        <v>0</v>
      </c>
    </row>
    <row r="681">
      <c r="A681" s="23">
        <v>6227</v>
      </c>
      <c r="B681" s="4" t="s">
        <v>939</v>
      </c>
      <c r="C681" s="4" t="s">
        <v>532</v>
      </c>
      <c r="D681" s="4" t="s">
        <v>533</v>
      </c>
      <c r="E681" s="4" t="s">
        <v>927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0.26</v>
      </c>
    </row>
    <row r="682">
      <c r="A682" s="24">
        <v>6228</v>
      </c>
      <c r="B682" s="9" t="s">
        <v>940</v>
      </c>
      <c r="C682" s="9" t="s">
        <v>532</v>
      </c>
      <c r="D682" s="9" t="s">
        <v>533</v>
      </c>
      <c r="E682" s="9" t="s">
        <v>927</v>
      </c>
      <c r="F682" s="11">
        <v>3</v>
      </c>
      <c r="G682" s="12">
        <v>0</v>
      </c>
      <c r="H682" s="12">
        <v>0</v>
      </c>
      <c r="I682" s="12">
        <v>0</v>
      </c>
      <c r="J682" s="10">
        <v>3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2">
        <v>0</v>
      </c>
      <c r="W682" s="12">
        <v>0</v>
      </c>
      <c r="X682" s="12">
        <v>0</v>
      </c>
      <c r="Y682" s="10">
        <v>3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0.75</v>
      </c>
    </row>
    <row r="683">
      <c r="A683" s="23">
        <v>6269</v>
      </c>
      <c r="B683" s="4" t="s">
        <v>941</v>
      </c>
      <c r="C683" s="4" t="s">
        <v>66</v>
      </c>
      <c r="D683" s="4" t="s">
        <v>75</v>
      </c>
      <c r="E683" s="4" t="s">
        <v>76</v>
      </c>
      <c r="F683" s="6">
        <v>2</v>
      </c>
      <c r="G683" s="5">
        <v>1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5">
        <v>1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6280</v>
      </c>
      <c r="B684" s="9" t="s">
        <v>942</v>
      </c>
      <c r="C684" s="9" t="s">
        <v>66</v>
      </c>
      <c r="D684" s="9" t="s">
        <v>75</v>
      </c>
      <c r="E684" s="9" t="s">
        <v>76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6286</v>
      </c>
      <c r="B685" s="4" t="s">
        <v>943</v>
      </c>
      <c r="C685" s="4" t="s">
        <v>66</v>
      </c>
      <c r="D685" s="4" t="s">
        <v>75</v>
      </c>
      <c r="E685" s="4" t="s">
        <v>370</v>
      </c>
      <c r="F685" s="6">
        <v>2</v>
      </c>
      <c r="G685" s="7">
        <v>0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7">
        <v>0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0.5</v>
      </c>
    </row>
    <row r="686">
      <c r="A686" s="24">
        <v>6313</v>
      </c>
      <c r="B686" s="9" t="s">
        <v>944</v>
      </c>
      <c r="C686" s="9" t="s">
        <v>152</v>
      </c>
      <c r="D686" s="9" t="s">
        <v>169</v>
      </c>
      <c r="E686" s="9" t="s">
        <v>185</v>
      </c>
      <c r="F686" s="11">
        <v>5</v>
      </c>
      <c r="G686" s="10">
        <v>3</v>
      </c>
      <c r="H686" s="12">
        <v>0</v>
      </c>
      <c r="I686" s="10">
        <v>2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4</v>
      </c>
      <c r="V686" s="10">
        <v>2</v>
      </c>
      <c r="W686" s="12">
        <v>0</v>
      </c>
      <c r="X686" s="10">
        <v>2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2.5</v>
      </c>
      <c r="AL686" s="10">
        <v>2</v>
      </c>
      <c r="AM686" s="10">
        <v>3</v>
      </c>
      <c r="AN686" s="31">
        <v>0</v>
      </c>
    </row>
    <row r="687">
      <c r="A687" s="23">
        <v>6315</v>
      </c>
      <c r="B687" s="4" t="s">
        <v>945</v>
      </c>
      <c r="C687" s="4" t="s">
        <v>152</v>
      </c>
      <c r="D687" s="4" t="s">
        <v>169</v>
      </c>
      <c r="E687" s="4" t="s">
        <v>185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6341</v>
      </c>
      <c r="B688" s="9" t="s">
        <v>946</v>
      </c>
      <c r="C688" s="9" t="s">
        <v>66</v>
      </c>
      <c r="D688" s="9" t="s">
        <v>67</v>
      </c>
      <c r="E688" s="9" t="s">
        <v>166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1">
        <v>0</v>
      </c>
    </row>
    <row r="689">
      <c r="A689" s="23">
        <v>6345</v>
      </c>
      <c r="B689" s="4" t="s">
        <v>947</v>
      </c>
      <c r="C689" s="4" t="s">
        <v>66</v>
      </c>
      <c r="D689" s="4" t="s">
        <v>75</v>
      </c>
      <c r="E689" s="4" t="s">
        <v>370</v>
      </c>
      <c r="F689" s="6">
        <v>2</v>
      </c>
      <c r="G689" s="5">
        <v>1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0.26</v>
      </c>
    </row>
    <row r="690">
      <c r="A690" s="24">
        <v>6424</v>
      </c>
      <c r="B690" s="9" t="s">
        <v>948</v>
      </c>
      <c r="C690" s="9" t="s">
        <v>532</v>
      </c>
      <c r="D690" s="9" t="s">
        <v>949</v>
      </c>
      <c r="E690" s="9" t="s">
        <v>950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6437</v>
      </c>
      <c r="B691" s="4" t="s">
        <v>951</v>
      </c>
      <c r="C691" s="4" t="s">
        <v>66</v>
      </c>
      <c r="D691" s="4" t="s">
        <v>110</v>
      </c>
      <c r="E691" s="4" t="s">
        <v>111</v>
      </c>
      <c r="F691" s="6">
        <v>1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0.24</v>
      </c>
    </row>
    <row r="692">
      <c r="A692" s="24">
        <v>6447</v>
      </c>
      <c r="B692" s="9" t="s">
        <v>952</v>
      </c>
      <c r="C692" s="9" t="s">
        <v>66</v>
      </c>
      <c r="D692" s="9" t="s">
        <v>84</v>
      </c>
      <c r="E692" s="9" t="s">
        <v>802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1">
        <v>0</v>
      </c>
    </row>
    <row r="693">
      <c r="A693" s="23">
        <v>6462</v>
      </c>
      <c r="B693" s="4" t="s">
        <v>953</v>
      </c>
      <c r="C693" s="4" t="s">
        <v>152</v>
      </c>
      <c r="D693" s="4" t="s">
        <v>153</v>
      </c>
      <c r="E693" s="4" t="s">
        <v>154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6467</v>
      </c>
      <c r="B694" s="9" t="s">
        <v>954</v>
      </c>
      <c r="C694" s="9" t="s">
        <v>66</v>
      </c>
      <c r="D694" s="9" t="s">
        <v>84</v>
      </c>
      <c r="E694" s="9" t="s">
        <v>98</v>
      </c>
      <c r="F694" s="11">
        <v>2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0.26</v>
      </c>
    </row>
    <row r="695">
      <c r="A695" s="23">
        <v>6497</v>
      </c>
      <c r="B695" s="4" t="s">
        <v>955</v>
      </c>
      <c r="C695" s="4" t="s">
        <v>956</v>
      </c>
      <c r="D695" s="4" t="s">
        <v>957</v>
      </c>
      <c r="E695" s="4" t="s">
        <v>958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6538</v>
      </c>
      <c r="B696" s="9" t="s">
        <v>959</v>
      </c>
      <c r="C696" s="9" t="s">
        <v>138</v>
      </c>
      <c r="D696" s="9" t="s">
        <v>233</v>
      </c>
      <c r="E696" s="9" t="s">
        <v>934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6541</v>
      </c>
      <c r="B697" s="4" t="s">
        <v>960</v>
      </c>
      <c r="C697" s="4" t="s">
        <v>138</v>
      </c>
      <c r="D697" s="4" t="s">
        <v>139</v>
      </c>
      <c r="E697" s="4" t="s">
        <v>961</v>
      </c>
      <c r="F697" s="6">
        <v>5</v>
      </c>
      <c r="G697" s="7">
        <v>0</v>
      </c>
      <c r="H697" s="5">
        <v>3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5</v>
      </c>
      <c r="V697" s="7">
        <v>0</v>
      </c>
      <c r="W697" s="5">
        <v>3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1.67</v>
      </c>
      <c r="AL697" s="5">
        <v>1</v>
      </c>
      <c r="AM697" s="5">
        <v>3</v>
      </c>
      <c r="AN697" s="30">
        <v>0</v>
      </c>
    </row>
    <row r="698">
      <c r="A698" s="24">
        <v>6542</v>
      </c>
      <c r="B698" s="9" t="s">
        <v>962</v>
      </c>
      <c r="C698" s="9" t="s">
        <v>138</v>
      </c>
      <c r="D698" s="9" t="s">
        <v>233</v>
      </c>
      <c r="E698" s="9" t="s">
        <v>934</v>
      </c>
      <c r="F698" s="11">
        <v>4</v>
      </c>
      <c r="G698" s="12">
        <v>0</v>
      </c>
      <c r="H698" s="10">
        <v>3</v>
      </c>
      <c r="I698" s="12">
        <v>0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2">
        <v>0</v>
      </c>
      <c r="W698" s="10">
        <v>3</v>
      </c>
      <c r="X698" s="12">
        <v>0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31">
        <v>0</v>
      </c>
    </row>
    <row r="699">
      <c r="A699" s="23">
        <v>6597</v>
      </c>
      <c r="B699" s="4" t="s">
        <v>963</v>
      </c>
      <c r="C699" s="4" t="s">
        <v>66</v>
      </c>
      <c r="D699" s="4" t="s">
        <v>95</v>
      </c>
      <c r="E699" s="4" t="s">
        <v>129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6622</v>
      </c>
      <c r="B700" s="9" t="s">
        <v>964</v>
      </c>
      <c r="C700" s="9" t="s">
        <v>582</v>
      </c>
      <c r="D700" s="9" t="s">
        <v>583</v>
      </c>
      <c r="E700" s="9" t="s">
        <v>518</v>
      </c>
      <c r="F700" s="11">
        <v>5</v>
      </c>
      <c r="G700" s="12">
        <v>0</v>
      </c>
      <c r="H700" s="12">
        <v>0</v>
      </c>
      <c r="I700" s="10">
        <v>4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5</v>
      </c>
      <c r="V700" s="12">
        <v>0</v>
      </c>
      <c r="W700" s="12">
        <v>0</v>
      </c>
      <c r="X700" s="10">
        <v>4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2.5</v>
      </c>
      <c r="AL700" s="10">
        <v>2</v>
      </c>
      <c r="AM700" s="10">
        <v>4</v>
      </c>
      <c r="AN700" s="29">
        <v>0.26</v>
      </c>
    </row>
    <row r="701">
      <c r="A701" s="23">
        <v>6644</v>
      </c>
      <c r="B701" s="4" t="s">
        <v>965</v>
      </c>
      <c r="C701" s="4" t="s">
        <v>532</v>
      </c>
      <c r="D701" s="4" t="s">
        <v>576</v>
      </c>
      <c r="E701" s="4" t="s">
        <v>966</v>
      </c>
      <c r="F701" s="6">
        <v>2</v>
      </c>
      <c r="G701" s="7">
        <v>0</v>
      </c>
      <c r="H701" s="5">
        <v>2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7">
        <v>0</v>
      </c>
      <c r="W701" s="5">
        <v>2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0.48</v>
      </c>
    </row>
    <row r="702">
      <c r="A702" s="24">
        <v>6660</v>
      </c>
      <c r="B702" s="9" t="s">
        <v>967</v>
      </c>
      <c r="C702" s="9" t="s">
        <v>66</v>
      </c>
      <c r="D702" s="9" t="s">
        <v>102</v>
      </c>
      <c r="E702" s="9" t="s">
        <v>215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6667</v>
      </c>
      <c r="B703" s="4" t="s">
        <v>968</v>
      </c>
      <c r="C703" s="4" t="s">
        <v>66</v>
      </c>
      <c r="D703" s="4" t="s">
        <v>102</v>
      </c>
      <c r="E703" s="4" t="s">
        <v>215</v>
      </c>
      <c r="F703" s="6">
        <v>3</v>
      </c>
      <c r="G703" s="5">
        <v>3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5">
        <v>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</v>
      </c>
      <c r="AL703" s="5">
        <v>3</v>
      </c>
      <c r="AM703" s="5">
        <v>3</v>
      </c>
      <c r="AN703" s="30">
        <v>0</v>
      </c>
    </row>
    <row r="704">
      <c r="A704" s="24">
        <v>6670</v>
      </c>
      <c r="B704" s="9" t="s">
        <v>969</v>
      </c>
      <c r="C704" s="9" t="s">
        <v>66</v>
      </c>
      <c r="D704" s="9" t="s">
        <v>102</v>
      </c>
      <c r="E704" s="9" t="s">
        <v>131</v>
      </c>
      <c r="F704" s="11">
        <v>2</v>
      </c>
      <c r="G704" s="10">
        <v>1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0.5</v>
      </c>
    </row>
    <row r="705">
      <c r="A705" s="23">
        <v>6697</v>
      </c>
      <c r="B705" s="4" t="s">
        <v>970</v>
      </c>
      <c r="C705" s="4" t="s">
        <v>582</v>
      </c>
      <c r="D705" s="4" t="s">
        <v>797</v>
      </c>
      <c r="E705" s="4" t="s">
        <v>518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0.52</v>
      </c>
    </row>
    <row r="706">
      <c r="A706" s="24">
        <v>6707</v>
      </c>
      <c r="B706" s="9" t="s">
        <v>971</v>
      </c>
      <c r="C706" s="9" t="s">
        <v>66</v>
      </c>
      <c r="D706" s="9" t="s">
        <v>102</v>
      </c>
      <c r="E706" s="9" t="s">
        <v>103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6708</v>
      </c>
      <c r="B707" s="4" t="s">
        <v>972</v>
      </c>
      <c r="C707" s="4" t="s">
        <v>532</v>
      </c>
      <c r="D707" s="4" t="s">
        <v>973</v>
      </c>
      <c r="E707" s="4" t="s">
        <v>974</v>
      </c>
      <c r="F707" s="6">
        <v>3</v>
      </c>
      <c r="G707" s="7">
        <v>0</v>
      </c>
      <c r="H707" s="5">
        <v>2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7">
        <v>0</v>
      </c>
      <c r="W707" s="5">
        <v>2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0.75</v>
      </c>
    </row>
    <row r="708">
      <c r="A708" s="24">
        <v>6709</v>
      </c>
      <c r="B708" s="9" t="s">
        <v>975</v>
      </c>
      <c r="C708" s="9" t="s">
        <v>66</v>
      </c>
      <c r="D708" s="9" t="s">
        <v>142</v>
      </c>
      <c r="E708" s="9" t="s">
        <v>143</v>
      </c>
      <c r="F708" s="11">
        <v>2</v>
      </c>
      <c r="G708" s="10">
        <v>1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1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6716</v>
      </c>
      <c r="B709" s="4" t="s">
        <v>976</v>
      </c>
      <c r="C709" s="4" t="s">
        <v>66</v>
      </c>
      <c r="D709" s="4" t="s">
        <v>72</v>
      </c>
      <c r="E709" s="4" t="s">
        <v>439</v>
      </c>
      <c r="F709" s="6">
        <v>1</v>
      </c>
      <c r="G709" s="7">
        <v>0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0.26</v>
      </c>
    </row>
    <row r="710">
      <c r="A710" s="24">
        <v>6787</v>
      </c>
      <c r="B710" s="9" t="s">
        <v>977</v>
      </c>
      <c r="C710" s="9" t="s">
        <v>978</v>
      </c>
      <c r="D710" s="9" t="s">
        <v>979</v>
      </c>
      <c r="E710" s="9" t="s">
        <v>518</v>
      </c>
      <c r="F710" s="11">
        <v>3</v>
      </c>
      <c r="G710" s="12">
        <v>0</v>
      </c>
      <c r="H710" s="10">
        <v>2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3</v>
      </c>
      <c r="V710" s="12">
        <v>0</v>
      </c>
      <c r="W710" s="10">
        <v>2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29">
        <v>0.75</v>
      </c>
    </row>
    <row r="711">
      <c r="A711" s="23">
        <v>6909</v>
      </c>
      <c r="B711" s="4" t="s">
        <v>980</v>
      </c>
      <c r="C711" s="4" t="s">
        <v>66</v>
      </c>
      <c r="D711" s="4" t="s">
        <v>81</v>
      </c>
      <c r="E711" s="4" t="s">
        <v>416</v>
      </c>
      <c r="F711" s="6">
        <v>2</v>
      </c>
      <c r="G711" s="5">
        <v>1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5">
        <v>1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0.24</v>
      </c>
    </row>
    <row r="712">
      <c r="A712" s="24">
        <v>6914</v>
      </c>
      <c r="B712" s="9" t="s">
        <v>981</v>
      </c>
      <c r="C712" s="9" t="s">
        <v>66</v>
      </c>
      <c r="D712" s="9" t="s">
        <v>124</v>
      </c>
      <c r="E712" s="9" t="s">
        <v>322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6997</v>
      </c>
      <c r="B713" s="4" t="s">
        <v>982</v>
      </c>
      <c r="C713" s="4" t="s">
        <v>138</v>
      </c>
      <c r="D713" s="4" t="s">
        <v>139</v>
      </c>
      <c r="E713" s="4" t="s">
        <v>422</v>
      </c>
      <c r="F713" s="6">
        <v>1</v>
      </c>
      <c r="G713" s="7">
        <v>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0.22</v>
      </c>
    </row>
    <row r="714">
      <c r="A714" s="24">
        <v>6998</v>
      </c>
      <c r="B714" s="9" t="s">
        <v>983</v>
      </c>
      <c r="C714" s="9" t="s">
        <v>138</v>
      </c>
      <c r="D714" s="9" t="s">
        <v>139</v>
      </c>
      <c r="E714" s="9" t="s">
        <v>422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0.22</v>
      </c>
    </row>
    <row r="715">
      <c r="A715" s="23">
        <v>7008</v>
      </c>
      <c r="B715" s="4" t="s">
        <v>984</v>
      </c>
      <c r="C715" s="4" t="s">
        <v>138</v>
      </c>
      <c r="D715" s="4" t="s">
        <v>434</v>
      </c>
      <c r="E715" s="4" t="s">
        <v>435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7168</v>
      </c>
      <c r="B716" s="9" t="s">
        <v>985</v>
      </c>
      <c r="C716" s="9" t="s">
        <v>986</v>
      </c>
      <c r="D716" s="9" t="s">
        <v>987</v>
      </c>
      <c r="E716" s="9" t="s">
        <v>988</v>
      </c>
      <c r="F716" s="11">
        <v>1</v>
      </c>
      <c r="G716" s="12">
        <v>0</v>
      </c>
      <c r="H716" s="10">
        <v>1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0">
        <v>1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0.29</v>
      </c>
    </row>
    <row r="717">
      <c r="A717" s="23">
        <v>7201</v>
      </c>
      <c r="B717" s="4" t="s">
        <v>989</v>
      </c>
      <c r="C717" s="4" t="s">
        <v>978</v>
      </c>
      <c r="D717" s="4" t="s">
        <v>990</v>
      </c>
      <c r="E717" s="4" t="s">
        <v>518</v>
      </c>
      <c r="F717" s="6">
        <v>2</v>
      </c>
      <c r="G717" s="7">
        <v>0</v>
      </c>
      <c r="H717" s="5">
        <v>1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7">
        <v>0</v>
      </c>
      <c r="W717" s="5">
        <v>1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0.5</v>
      </c>
    </row>
    <row r="718">
      <c r="A718" s="24">
        <v>7225</v>
      </c>
      <c r="B718" s="9" t="s">
        <v>991</v>
      </c>
      <c r="C718" s="9" t="s">
        <v>66</v>
      </c>
      <c r="D718" s="9" t="s">
        <v>67</v>
      </c>
      <c r="E718" s="9" t="s">
        <v>70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1">
        <v>0</v>
      </c>
    </row>
    <row r="719">
      <c r="A719" s="23">
        <v>7341</v>
      </c>
      <c r="B719" s="4" t="s">
        <v>992</v>
      </c>
      <c r="C719" s="4" t="s">
        <v>993</v>
      </c>
      <c r="D719" s="4" t="s">
        <v>518</v>
      </c>
      <c r="E719" s="4" t="s">
        <v>518</v>
      </c>
      <c r="F719" s="6">
        <v>7</v>
      </c>
      <c r="G719" s="7">
        <v>0</v>
      </c>
      <c r="H719" s="5">
        <v>2</v>
      </c>
      <c r="I719" s="5">
        <v>3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7</v>
      </c>
      <c r="V719" s="7">
        <v>0</v>
      </c>
      <c r="W719" s="5">
        <v>2</v>
      </c>
      <c r="X719" s="5">
        <v>3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2.33</v>
      </c>
      <c r="AL719" s="5">
        <v>2</v>
      </c>
      <c r="AM719" s="5">
        <v>3</v>
      </c>
      <c r="AN719" s="30">
        <v>0</v>
      </c>
    </row>
    <row r="720">
      <c r="A720" s="24">
        <v>7349</v>
      </c>
      <c r="B720" s="9" t="s">
        <v>994</v>
      </c>
      <c r="C720" s="9" t="s">
        <v>138</v>
      </c>
      <c r="D720" s="9" t="s">
        <v>995</v>
      </c>
      <c r="E720" s="9" t="s">
        <v>996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0.22</v>
      </c>
    </row>
    <row r="721">
      <c r="A721" s="23">
        <v>7370</v>
      </c>
      <c r="B721" s="4" t="s">
        <v>997</v>
      </c>
      <c r="C721" s="4" t="s">
        <v>66</v>
      </c>
      <c r="D721" s="4" t="s">
        <v>75</v>
      </c>
      <c r="E721" s="4" t="s">
        <v>79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7439</v>
      </c>
      <c r="B722" s="9" t="s">
        <v>998</v>
      </c>
      <c r="C722" s="9" t="s">
        <v>582</v>
      </c>
      <c r="D722" s="9" t="s">
        <v>999</v>
      </c>
      <c r="E722" s="9" t="s">
        <v>518</v>
      </c>
      <c r="F722" s="11">
        <v>3</v>
      </c>
      <c r="G722" s="12">
        <v>0</v>
      </c>
      <c r="H722" s="12">
        <v>0</v>
      </c>
      <c r="I722" s="10">
        <v>3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3</v>
      </c>
      <c r="V722" s="12">
        <v>0</v>
      </c>
      <c r="W722" s="12">
        <v>0</v>
      </c>
      <c r="X722" s="10">
        <v>3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29">
        <v>0.25</v>
      </c>
    </row>
    <row r="723">
      <c r="A723" s="23">
        <v>7440</v>
      </c>
      <c r="B723" s="4" t="s">
        <v>1000</v>
      </c>
      <c r="C723" s="4" t="s">
        <v>582</v>
      </c>
      <c r="D723" s="4" t="s">
        <v>999</v>
      </c>
      <c r="E723" s="4" t="s">
        <v>518</v>
      </c>
      <c r="F723" s="6">
        <v>2</v>
      </c>
      <c r="G723" s="7">
        <v>0</v>
      </c>
      <c r="H723" s="5">
        <v>1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7">
        <v>0</v>
      </c>
      <c r="W723" s="5">
        <v>1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0.44</v>
      </c>
    </row>
    <row r="724">
      <c r="A724" s="24">
        <v>7484</v>
      </c>
      <c r="B724" s="9" t="s">
        <v>1001</v>
      </c>
      <c r="C724" s="9" t="s">
        <v>138</v>
      </c>
      <c r="D724" s="9" t="s">
        <v>1002</v>
      </c>
      <c r="E724" s="9" t="s">
        <v>1003</v>
      </c>
      <c r="F724" s="11">
        <v>3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0">
        <v>3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3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0">
        <v>3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31">
        <v>0</v>
      </c>
    </row>
    <row r="725">
      <c r="A725" s="23">
        <v>7537</v>
      </c>
      <c r="B725" s="4" t="s">
        <v>1004</v>
      </c>
      <c r="C725" s="4" t="s">
        <v>66</v>
      </c>
      <c r="D725" s="4" t="s">
        <v>102</v>
      </c>
      <c r="E725" s="4" t="s">
        <v>131</v>
      </c>
      <c r="F725" s="6">
        <v>4</v>
      </c>
      <c r="G725" s="7">
        <v>0</v>
      </c>
      <c r="H725" s="5">
        <v>3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7">
        <v>0</v>
      </c>
      <c r="W725" s="5">
        <v>3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28">
        <v>0.75</v>
      </c>
    </row>
    <row r="726">
      <c r="A726" s="24">
        <v>7552</v>
      </c>
      <c r="B726" s="9" t="s">
        <v>1005</v>
      </c>
      <c r="C726" s="9" t="s">
        <v>138</v>
      </c>
      <c r="D726" s="9" t="s">
        <v>585</v>
      </c>
      <c r="E726" s="9" t="s">
        <v>518</v>
      </c>
      <c r="F726" s="11">
        <v>4</v>
      </c>
      <c r="G726" s="10">
        <v>1</v>
      </c>
      <c r="H726" s="12">
        <v>0</v>
      </c>
      <c r="I726" s="12">
        <v>0</v>
      </c>
      <c r="J726" s="10">
        <v>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4</v>
      </c>
      <c r="V726" s="10">
        <v>1</v>
      </c>
      <c r="W726" s="12">
        <v>0</v>
      </c>
      <c r="X726" s="12">
        <v>0</v>
      </c>
      <c r="Y726" s="10">
        <v>3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29">
        <v>0.88</v>
      </c>
    </row>
    <row r="727">
      <c r="A727" s="23">
        <v>7561</v>
      </c>
      <c r="B727" s="4" t="s">
        <v>1006</v>
      </c>
      <c r="C727" s="4" t="s">
        <v>138</v>
      </c>
      <c r="D727" s="4" t="s">
        <v>139</v>
      </c>
      <c r="E727" s="4" t="s">
        <v>422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7592</v>
      </c>
      <c r="B728" s="9" t="s">
        <v>1007</v>
      </c>
      <c r="C728" s="9" t="s">
        <v>66</v>
      </c>
      <c r="D728" s="9" t="s">
        <v>110</v>
      </c>
      <c r="E728" s="9" t="s">
        <v>113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1">
        <v>0</v>
      </c>
    </row>
    <row r="729">
      <c r="A729" s="23">
        <v>7594</v>
      </c>
      <c r="B729" s="4" t="s">
        <v>1008</v>
      </c>
      <c r="C729" s="4" t="s">
        <v>66</v>
      </c>
      <c r="D729" s="4" t="s">
        <v>105</v>
      </c>
      <c r="E729" s="4" t="s">
        <v>108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7598</v>
      </c>
      <c r="B730" s="9" t="s">
        <v>1009</v>
      </c>
      <c r="C730" s="9" t="s">
        <v>66</v>
      </c>
      <c r="D730" s="9" t="s">
        <v>142</v>
      </c>
      <c r="E730" s="9" t="s">
        <v>543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31">
        <v>0</v>
      </c>
    </row>
    <row r="731">
      <c r="A731" s="23">
        <v>7616</v>
      </c>
      <c r="B731" s="4" t="s">
        <v>1010</v>
      </c>
      <c r="C731" s="4" t="s">
        <v>66</v>
      </c>
      <c r="D731" s="4" t="s">
        <v>67</v>
      </c>
      <c r="E731" s="4" t="s">
        <v>70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7624</v>
      </c>
      <c r="B732" s="9" t="s">
        <v>1011</v>
      </c>
      <c r="C732" s="9" t="s">
        <v>66</v>
      </c>
      <c r="D732" s="9" t="s">
        <v>110</v>
      </c>
      <c r="E732" s="9" t="s">
        <v>111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0.22</v>
      </c>
    </row>
    <row r="733">
      <c r="A733" s="23">
        <v>7650</v>
      </c>
      <c r="B733" s="4" t="s">
        <v>1012</v>
      </c>
      <c r="C733" s="4" t="s">
        <v>66</v>
      </c>
      <c r="D733" s="4" t="s">
        <v>72</v>
      </c>
      <c r="E733" s="4" t="s">
        <v>439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7654</v>
      </c>
      <c r="B734" s="9" t="s">
        <v>1013</v>
      </c>
      <c r="C734" s="9" t="s">
        <v>66</v>
      </c>
      <c r="D734" s="9" t="s">
        <v>110</v>
      </c>
      <c r="E734" s="9" t="s">
        <v>111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0.24</v>
      </c>
    </row>
    <row r="735">
      <c r="A735" s="23">
        <v>7657</v>
      </c>
      <c r="B735" s="4" t="s">
        <v>868</v>
      </c>
      <c r="C735" s="4" t="s">
        <v>66</v>
      </c>
      <c r="D735" s="4" t="s">
        <v>95</v>
      </c>
      <c r="E735" s="4" t="s">
        <v>892</v>
      </c>
      <c r="F735" s="6">
        <v>4</v>
      </c>
      <c r="G735" s="5">
        <v>2</v>
      </c>
      <c r="H735" s="7">
        <v>0</v>
      </c>
      <c r="I735" s="5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5">
        <v>2</v>
      </c>
      <c r="W735" s="7">
        <v>0</v>
      </c>
      <c r="X735" s="5">
        <v>2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28">
        <v>0.25</v>
      </c>
    </row>
    <row r="736">
      <c r="A736" s="24">
        <v>7665</v>
      </c>
      <c r="B736" s="9" t="s">
        <v>1014</v>
      </c>
      <c r="C736" s="9" t="s">
        <v>66</v>
      </c>
      <c r="D736" s="9" t="s">
        <v>75</v>
      </c>
      <c r="E736" s="9" t="s">
        <v>76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1">
        <v>0</v>
      </c>
    </row>
    <row r="737">
      <c r="A737" s="23">
        <v>7666</v>
      </c>
      <c r="B737" s="4" t="s">
        <v>1015</v>
      </c>
      <c r="C737" s="4" t="s">
        <v>66</v>
      </c>
      <c r="D737" s="4" t="s">
        <v>75</v>
      </c>
      <c r="E737" s="4" t="s">
        <v>79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7671</v>
      </c>
      <c r="B738" s="9" t="s">
        <v>1016</v>
      </c>
      <c r="C738" s="9" t="s">
        <v>986</v>
      </c>
      <c r="D738" s="9" t="s">
        <v>987</v>
      </c>
      <c r="E738" s="9" t="s">
        <v>1017</v>
      </c>
      <c r="F738" s="11">
        <v>3</v>
      </c>
      <c r="G738" s="12">
        <v>0</v>
      </c>
      <c r="H738" s="12">
        <v>0</v>
      </c>
      <c r="I738" s="10">
        <v>3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2">
        <v>0</v>
      </c>
      <c r="W738" s="12">
        <v>0</v>
      </c>
      <c r="X738" s="10">
        <v>3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3</v>
      </c>
      <c r="AL738" s="10">
        <v>3</v>
      </c>
      <c r="AM738" s="10">
        <v>3</v>
      </c>
      <c r="AN738" s="29">
        <v>0.75</v>
      </c>
    </row>
    <row r="739">
      <c r="A739" s="23">
        <v>7754</v>
      </c>
      <c r="B739" s="4" t="s">
        <v>1018</v>
      </c>
      <c r="C739" s="4" t="s">
        <v>986</v>
      </c>
      <c r="D739" s="4" t="s">
        <v>1019</v>
      </c>
      <c r="E739" s="4" t="s">
        <v>1020</v>
      </c>
      <c r="F739" s="6">
        <v>2</v>
      </c>
      <c r="G739" s="7">
        <v>0</v>
      </c>
      <c r="H739" s="7">
        <v>0</v>
      </c>
      <c r="I739" s="7">
        <v>0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</v>
      </c>
      <c r="AL739" s="5">
        <v>2</v>
      </c>
      <c r="AM739" s="5">
        <v>2</v>
      </c>
      <c r="AN739" s="28">
        <v>0.52</v>
      </c>
    </row>
    <row r="740">
      <c r="A740" s="24">
        <v>7793</v>
      </c>
      <c r="B740" s="9" t="s">
        <v>1021</v>
      </c>
      <c r="C740" s="9" t="s">
        <v>986</v>
      </c>
      <c r="D740" s="9" t="s">
        <v>987</v>
      </c>
      <c r="E740" s="9" t="s">
        <v>1022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7818</v>
      </c>
      <c r="B741" s="4" t="s">
        <v>1023</v>
      </c>
      <c r="C741" s="4" t="s">
        <v>986</v>
      </c>
      <c r="D741" s="4" t="s">
        <v>1024</v>
      </c>
      <c r="E741" s="4" t="s">
        <v>1025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7935</v>
      </c>
      <c r="B742" s="9" t="s">
        <v>1026</v>
      </c>
      <c r="C742" s="9" t="s">
        <v>66</v>
      </c>
      <c r="D742" s="9" t="s">
        <v>124</v>
      </c>
      <c r="E742" s="9" t="s">
        <v>322</v>
      </c>
      <c r="F742" s="11">
        <v>8</v>
      </c>
      <c r="G742" s="10">
        <v>6</v>
      </c>
      <c r="H742" s="12">
        <v>0</v>
      </c>
      <c r="I742" s="10">
        <v>1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8</v>
      </c>
      <c r="V742" s="10">
        <v>6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</v>
      </c>
      <c r="AL742" s="10">
        <v>1</v>
      </c>
      <c r="AM742" s="10">
        <v>4</v>
      </c>
      <c r="AN742" s="29">
        <v>0.98</v>
      </c>
    </row>
    <row r="743">
      <c r="A743" s="23">
        <v>8021</v>
      </c>
      <c r="B743" s="4" t="s">
        <v>1027</v>
      </c>
      <c r="C743" s="4" t="s">
        <v>956</v>
      </c>
      <c r="D743" s="4" t="s">
        <v>1028</v>
      </c>
      <c r="E743" s="4" t="s">
        <v>1029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8043</v>
      </c>
      <c r="B744" s="9" t="s">
        <v>1030</v>
      </c>
      <c r="C744" s="9" t="s">
        <v>525</v>
      </c>
      <c r="D744" s="9" t="s">
        <v>786</v>
      </c>
      <c r="E744" s="9" t="s">
        <v>553</v>
      </c>
      <c r="F744" s="11">
        <v>2</v>
      </c>
      <c r="G744" s="12">
        <v>0</v>
      </c>
      <c r="H744" s="12">
        <v>0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2">
        <v>0</v>
      </c>
      <c r="W744" s="12">
        <v>0</v>
      </c>
      <c r="X744" s="12">
        <v>0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0.52</v>
      </c>
    </row>
    <row r="745">
      <c r="A745" s="23">
        <v>8095</v>
      </c>
      <c r="B745" s="4" t="s">
        <v>1031</v>
      </c>
      <c r="C745" s="4" t="s">
        <v>66</v>
      </c>
      <c r="D745" s="4" t="s">
        <v>124</v>
      </c>
      <c r="E745" s="4" t="s">
        <v>125</v>
      </c>
      <c r="F745" s="6">
        <v>1</v>
      </c>
      <c r="G745" s="7">
        <v>0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8098</v>
      </c>
      <c r="B746" s="9" t="s">
        <v>1032</v>
      </c>
      <c r="C746" s="9" t="s">
        <v>152</v>
      </c>
      <c r="D746" s="9" t="s">
        <v>169</v>
      </c>
      <c r="E746" s="9" t="s">
        <v>170</v>
      </c>
      <c r="F746" s="11">
        <v>1</v>
      </c>
      <c r="G746" s="12">
        <v>0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8111</v>
      </c>
      <c r="B747" s="4" t="s">
        <v>1033</v>
      </c>
      <c r="C747" s="4" t="s">
        <v>66</v>
      </c>
      <c r="D747" s="4" t="s">
        <v>75</v>
      </c>
      <c r="E747" s="4" t="s">
        <v>370</v>
      </c>
      <c r="F747" s="6">
        <v>2</v>
      </c>
      <c r="G747" s="7">
        <v>0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0.5</v>
      </c>
    </row>
    <row r="748">
      <c r="A748" s="24">
        <v>8151</v>
      </c>
      <c r="B748" s="9" t="s">
        <v>1034</v>
      </c>
      <c r="C748" s="9" t="s">
        <v>138</v>
      </c>
      <c r="D748" s="9" t="s">
        <v>372</v>
      </c>
      <c r="E748" s="9" t="s">
        <v>373</v>
      </c>
      <c r="F748" s="11">
        <v>3</v>
      </c>
      <c r="G748" s="12">
        <v>0</v>
      </c>
      <c r="H748" s="12">
        <v>0</v>
      </c>
      <c r="I748" s="12">
        <v>0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3</v>
      </c>
      <c r="V748" s="12">
        <v>0</v>
      </c>
      <c r="W748" s="12">
        <v>0</v>
      </c>
      <c r="X748" s="12">
        <v>0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</v>
      </c>
      <c r="AL748" s="10">
        <v>3</v>
      </c>
      <c r="AM748" s="10">
        <v>3</v>
      </c>
      <c r="AN748" s="29">
        <v>0.75</v>
      </c>
    </row>
    <row r="749">
      <c r="A749" s="23">
        <v>8211</v>
      </c>
      <c r="B749" s="4" t="s">
        <v>1035</v>
      </c>
      <c r="C749" s="4" t="s">
        <v>66</v>
      </c>
      <c r="D749" s="4" t="s">
        <v>102</v>
      </c>
      <c r="E749" s="4" t="s">
        <v>131</v>
      </c>
      <c r="F749" s="6">
        <v>24</v>
      </c>
      <c r="G749" s="7">
        <v>0</v>
      </c>
      <c r="H749" s="7">
        <v>0</v>
      </c>
      <c r="I749" s="7">
        <v>0</v>
      </c>
      <c r="J749" s="5">
        <v>24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19</v>
      </c>
      <c r="V749" s="7">
        <v>0</v>
      </c>
      <c r="W749" s="7">
        <v>0</v>
      </c>
      <c r="X749" s="7">
        <v>0</v>
      </c>
      <c r="Y749" s="5">
        <v>19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24</v>
      </c>
      <c r="AK749" s="8">
        <v>24</v>
      </c>
      <c r="AL749" s="5">
        <v>24</v>
      </c>
      <c r="AM749" s="5">
        <v>24</v>
      </c>
      <c r="AN749" s="28">
        <v>4.75</v>
      </c>
    </row>
    <row r="750">
      <c r="A750" s="24">
        <v>8214</v>
      </c>
      <c r="B750" s="9" t="s">
        <v>1036</v>
      </c>
      <c r="C750" s="9" t="s">
        <v>66</v>
      </c>
      <c r="D750" s="9" t="s">
        <v>102</v>
      </c>
      <c r="E750" s="9" t="s">
        <v>359</v>
      </c>
      <c r="F750" s="11">
        <v>2</v>
      </c>
      <c r="G750" s="10">
        <v>1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</v>
      </c>
      <c r="V750" s="10">
        <v>1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0.62</v>
      </c>
    </row>
    <row r="751">
      <c r="A751" s="23">
        <v>8278</v>
      </c>
      <c r="B751" s="4" t="s">
        <v>1037</v>
      </c>
      <c r="C751" s="4" t="s">
        <v>152</v>
      </c>
      <c r="D751" s="4" t="s">
        <v>187</v>
      </c>
      <c r="E751" s="4" t="s">
        <v>188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8335</v>
      </c>
      <c r="B752" s="9" t="s">
        <v>1038</v>
      </c>
      <c r="C752" s="9" t="s">
        <v>66</v>
      </c>
      <c r="D752" s="9" t="s">
        <v>87</v>
      </c>
      <c r="E752" s="9" t="s">
        <v>88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8478</v>
      </c>
      <c r="B753" s="4" t="s">
        <v>1039</v>
      </c>
      <c r="C753" s="4" t="s">
        <v>66</v>
      </c>
      <c r="D753" s="4" t="s">
        <v>110</v>
      </c>
      <c r="E753" s="4" t="s">
        <v>257</v>
      </c>
      <c r="F753" s="6">
        <v>2</v>
      </c>
      <c r="G753" s="7">
        <v>0</v>
      </c>
      <c r="H753" s="7">
        <v>0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8479</v>
      </c>
      <c r="B754" s="9" t="s">
        <v>1040</v>
      </c>
      <c r="C754" s="9" t="s">
        <v>66</v>
      </c>
      <c r="D754" s="9" t="s">
        <v>105</v>
      </c>
      <c r="E754" s="9" t="s">
        <v>106</v>
      </c>
      <c r="F754" s="11">
        <v>2</v>
      </c>
      <c r="G754" s="12">
        <v>0</v>
      </c>
      <c r="H754" s="12">
        <v>0</v>
      </c>
      <c r="I754" s="10">
        <v>1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2">
        <v>0</v>
      </c>
      <c r="W754" s="12">
        <v>0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0.5</v>
      </c>
    </row>
    <row r="755">
      <c r="A755" s="23">
        <v>8535</v>
      </c>
      <c r="B755" s="4" t="s">
        <v>1041</v>
      </c>
      <c r="C755" s="4" t="s">
        <v>530</v>
      </c>
      <c r="D755" s="4" t="s">
        <v>1042</v>
      </c>
      <c r="E755" s="4" t="s">
        <v>518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0.26</v>
      </c>
    </row>
    <row r="756">
      <c r="A756" s="24">
        <v>8540</v>
      </c>
      <c r="B756" s="9" t="s">
        <v>1043</v>
      </c>
      <c r="C756" s="9" t="s">
        <v>66</v>
      </c>
      <c r="D756" s="9" t="s">
        <v>72</v>
      </c>
      <c r="E756" s="9" t="s">
        <v>73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31">
        <v>0</v>
      </c>
    </row>
    <row r="757">
      <c r="A757" s="23">
        <v>8555</v>
      </c>
      <c r="B757" s="4" t="s">
        <v>1044</v>
      </c>
      <c r="C757" s="4" t="s">
        <v>66</v>
      </c>
      <c r="D757" s="4" t="s">
        <v>105</v>
      </c>
      <c r="E757" s="4" t="s">
        <v>108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8564</v>
      </c>
      <c r="B758" s="9" t="s">
        <v>1045</v>
      </c>
      <c r="C758" s="9" t="s">
        <v>66</v>
      </c>
      <c r="D758" s="9" t="s">
        <v>110</v>
      </c>
      <c r="E758" s="9" t="s">
        <v>111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8566</v>
      </c>
      <c r="B759" s="4" t="s">
        <v>1046</v>
      </c>
      <c r="C759" s="4" t="s">
        <v>66</v>
      </c>
      <c r="D759" s="4" t="s">
        <v>142</v>
      </c>
      <c r="E759" s="4" t="s">
        <v>1047</v>
      </c>
      <c r="F759" s="6">
        <v>3</v>
      </c>
      <c r="G759" s="5">
        <v>1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3</v>
      </c>
      <c r="V759" s="5">
        <v>1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2</v>
      </c>
      <c r="AN759" s="28">
        <v>0.52</v>
      </c>
    </row>
    <row r="760">
      <c r="A760" s="24">
        <v>8587</v>
      </c>
      <c r="B760" s="9" t="s">
        <v>1048</v>
      </c>
      <c r="C760" s="9" t="s">
        <v>66</v>
      </c>
      <c r="D760" s="9" t="s">
        <v>67</v>
      </c>
      <c r="E760" s="9" t="s">
        <v>70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8604</v>
      </c>
      <c r="B761" s="4" t="s">
        <v>1049</v>
      </c>
      <c r="C761" s="4" t="s">
        <v>152</v>
      </c>
      <c r="D761" s="4" t="s">
        <v>1050</v>
      </c>
      <c r="E761" s="4" t="s">
        <v>518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8635</v>
      </c>
      <c r="B762" s="9" t="s">
        <v>1051</v>
      </c>
      <c r="C762" s="9" t="s">
        <v>66</v>
      </c>
      <c r="D762" s="9" t="s">
        <v>81</v>
      </c>
      <c r="E762" s="9" t="s">
        <v>1052</v>
      </c>
      <c r="F762" s="11">
        <v>1</v>
      </c>
      <c r="G762" s="12">
        <v>0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1">
        <v>0</v>
      </c>
    </row>
    <row r="763">
      <c r="A763" s="23">
        <v>8651</v>
      </c>
      <c r="B763" s="4" t="s">
        <v>1053</v>
      </c>
      <c r="C763" s="4" t="s">
        <v>66</v>
      </c>
      <c r="D763" s="4" t="s">
        <v>95</v>
      </c>
      <c r="E763" s="4" t="s">
        <v>892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8696</v>
      </c>
      <c r="B764" s="9" t="s">
        <v>1054</v>
      </c>
      <c r="C764" s="9" t="s">
        <v>138</v>
      </c>
      <c r="D764" s="9" t="s">
        <v>1055</v>
      </c>
      <c r="E764" s="9" t="s">
        <v>1056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8706</v>
      </c>
      <c r="B765" s="4" t="s">
        <v>1057</v>
      </c>
      <c r="C765" s="4" t="s">
        <v>66</v>
      </c>
      <c r="D765" s="4" t="s">
        <v>95</v>
      </c>
      <c r="E765" s="4" t="s">
        <v>892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7">
        <v>0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0.5</v>
      </c>
    </row>
    <row r="766">
      <c r="A766" s="24">
        <v>8715</v>
      </c>
      <c r="B766" s="9" t="s">
        <v>1058</v>
      </c>
      <c r="C766" s="9" t="s">
        <v>66</v>
      </c>
      <c r="D766" s="9" t="s">
        <v>81</v>
      </c>
      <c r="E766" s="9" t="s">
        <v>92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0.24</v>
      </c>
    </row>
    <row r="767">
      <c r="A767" s="23">
        <v>8723</v>
      </c>
      <c r="B767" s="4" t="s">
        <v>1059</v>
      </c>
      <c r="C767" s="4" t="s">
        <v>66</v>
      </c>
      <c r="D767" s="4" t="s">
        <v>87</v>
      </c>
      <c r="E767" s="4" t="s">
        <v>674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30">
        <v>0</v>
      </c>
    </row>
    <row r="768">
      <c r="A768" s="24">
        <v>8749</v>
      </c>
      <c r="B768" s="9" t="s">
        <v>1060</v>
      </c>
      <c r="C768" s="9" t="s">
        <v>986</v>
      </c>
      <c r="D768" s="9" t="s">
        <v>1019</v>
      </c>
      <c r="E768" s="9" t="s">
        <v>1061</v>
      </c>
      <c r="F768" s="11">
        <v>2</v>
      </c>
      <c r="G768" s="12">
        <v>0</v>
      </c>
      <c r="H768" s="10">
        <v>2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2">
        <v>0</v>
      </c>
      <c r="W768" s="10">
        <v>2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0.48</v>
      </c>
    </row>
    <row r="769">
      <c r="A769" s="23">
        <v>8751</v>
      </c>
      <c r="B769" s="4" t="s">
        <v>1062</v>
      </c>
      <c r="C769" s="4" t="s">
        <v>66</v>
      </c>
      <c r="D769" s="4" t="s">
        <v>75</v>
      </c>
      <c r="E769" s="4" t="s">
        <v>76</v>
      </c>
      <c r="F769" s="6">
        <v>1</v>
      </c>
      <c r="G769" s="7">
        <v>0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8755</v>
      </c>
      <c r="B770" s="9" t="s">
        <v>1063</v>
      </c>
      <c r="C770" s="9" t="s">
        <v>152</v>
      </c>
      <c r="D770" s="9" t="s">
        <v>1064</v>
      </c>
      <c r="E770" s="9" t="s">
        <v>1064</v>
      </c>
      <c r="F770" s="11">
        <v>1</v>
      </c>
      <c r="G770" s="12">
        <v>0</v>
      </c>
      <c r="H770" s="12">
        <v>0</v>
      </c>
      <c r="I770" s="12">
        <v>0</v>
      </c>
      <c r="J770" s="12">
        <v>0</v>
      </c>
      <c r="K770" s="10">
        <v>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2">
        <v>0</v>
      </c>
      <c r="Z770" s="10">
        <v>1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1">
        <v>0</v>
      </c>
    </row>
    <row r="771">
      <c r="A771" s="23">
        <v>8766</v>
      </c>
      <c r="B771" s="4" t="s">
        <v>1065</v>
      </c>
      <c r="C771" s="4" t="s">
        <v>66</v>
      </c>
      <c r="D771" s="4" t="s">
        <v>110</v>
      </c>
      <c r="E771" s="4" t="s">
        <v>113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8795</v>
      </c>
      <c r="B772" s="9" t="s">
        <v>1066</v>
      </c>
      <c r="C772" s="9" t="s">
        <v>66</v>
      </c>
      <c r="D772" s="9" t="s">
        <v>72</v>
      </c>
      <c r="E772" s="9" t="s">
        <v>73</v>
      </c>
      <c r="F772" s="11">
        <v>5</v>
      </c>
      <c r="G772" s="10">
        <v>3</v>
      </c>
      <c r="H772" s="12">
        <v>0</v>
      </c>
      <c r="I772" s="10">
        <v>1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5</v>
      </c>
      <c r="V772" s="10">
        <v>3</v>
      </c>
      <c r="W772" s="12">
        <v>0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1.67</v>
      </c>
      <c r="AL772" s="10">
        <v>1</v>
      </c>
      <c r="AM772" s="10">
        <v>3</v>
      </c>
      <c r="AN772" s="29">
        <v>0.25</v>
      </c>
    </row>
    <row r="773">
      <c r="A773" s="23">
        <v>8945</v>
      </c>
      <c r="B773" s="4" t="s">
        <v>1067</v>
      </c>
      <c r="C773" s="4" t="s">
        <v>66</v>
      </c>
      <c r="D773" s="4" t="s">
        <v>110</v>
      </c>
      <c r="E773" s="4" t="s">
        <v>113</v>
      </c>
      <c r="F773" s="6">
        <v>3</v>
      </c>
      <c r="G773" s="5">
        <v>1</v>
      </c>
      <c r="H773" s="5">
        <v>1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1</v>
      </c>
      <c r="W773" s="5">
        <v>1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8961</v>
      </c>
      <c r="B774" s="9" t="s">
        <v>1068</v>
      </c>
      <c r="C774" s="9" t="s">
        <v>66</v>
      </c>
      <c r="D774" s="9" t="s">
        <v>75</v>
      </c>
      <c r="E774" s="9" t="s">
        <v>213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0.37</v>
      </c>
    </row>
    <row r="775">
      <c r="A775" s="23">
        <v>9056</v>
      </c>
      <c r="B775" s="4" t="s">
        <v>1069</v>
      </c>
      <c r="C775" s="4" t="s">
        <v>66</v>
      </c>
      <c r="D775" s="4" t="s">
        <v>110</v>
      </c>
      <c r="E775" s="4" t="s">
        <v>679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9105</v>
      </c>
      <c r="B776" s="9" t="s">
        <v>1070</v>
      </c>
      <c r="C776" s="9" t="s">
        <v>66</v>
      </c>
      <c r="D776" s="9" t="s">
        <v>102</v>
      </c>
      <c r="E776" s="9" t="s">
        <v>215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1">
        <v>0</v>
      </c>
    </row>
    <row r="777">
      <c r="A777" s="23">
        <v>9221</v>
      </c>
      <c r="B777" s="4" t="s">
        <v>1071</v>
      </c>
      <c r="C777" s="4" t="s">
        <v>66</v>
      </c>
      <c r="D777" s="4" t="s">
        <v>84</v>
      </c>
      <c r="E777" s="4" t="s">
        <v>98</v>
      </c>
      <c r="F777" s="6">
        <v>3</v>
      </c>
      <c r="G777" s="5">
        <v>2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5">
        <v>2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30">
        <v>0</v>
      </c>
    </row>
    <row r="778">
      <c r="A778" s="24">
        <v>9222</v>
      </c>
      <c r="B778" s="9" t="s">
        <v>1072</v>
      </c>
      <c r="C778" s="9" t="s">
        <v>532</v>
      </c>
      <c r="D778" s="9" t="s">
        <v>1073</v>
      </c>
      <c r="E778" s="9" t="s">
        <v>1074</v>
      </c>
      <c r="F778" s="11">
        <v>1</v>
      </c>
      <c r="G778" s="12">
        <v>0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9466</v>
      </c>
      <c r="B779" s="4" t="s">
        <v>1075</v>
      </c>
      <c r="C779" s="4" t="s">
        <v>986</v>
      </c>
      <c r="D779" s="4" t="s">
        <v>1019</v>
      </c>
      <c r="E779" s="4" t="s">
        <v>518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9483</v>
      </c>
      <c r="B780" s="9" t="s">
        <v>1076</v>
      </c>
      <c r="C780" s="9" t="s">
        <v>66</v>
      </c>
      <c r="D780" s="9" t="s">
        <v>95</v>
      </c>
      <c r="E780" s="9" t="s">
        <v>129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0.26</v>
      </c>
    </row>
    <row r="781">
      <c r="A781" s="23">
        <v>9527</v>
      </c>
      <c r="B781" s="4" t="s">
        <v>1077</v>
      </c>
      <c r="C781" s="4" t="s">
        <v>66</v>
      </c>
      <c r="D781" s="4" t="s">
        <v>110</v>
      </c>
      <c r="E781" s="4" t="s">
        <v>121</v>
      </c>
      <c r="F781" s="6">
        <v>1</v>
      </c>
      <c r="G781" s="7">
        <v>0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0.24</v>
      </c>
    </row>
    <row r="782">
      <c r="A782" s="24">
        <v>9558</v>
      </c>
      <c r="B782" s="9" t="s">
        <v>1078</v>
      </c>
      <c r="C782" s="9" t="s">
        <v>66</v>
      </c>
      <c r="D782" s="9" t="s">
        <v>72</v>
      </c>
      <c r="E782" s="9" t="s">
        <v>299</v>
      </c>
      <c r="F782" s="11">
        <v>3</v>
      </c>
      <c r="G782" s="10">
        <v>2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</v>
      </c>
      <c r="V782" s="10">
        <v>2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1.5</v>
      </c>
      <c r="AL782" s="10">
        <v>1</v>
      </c>
      <c r="AM782" s="10">
        <v>2</v>
      </c>
      <c r="AN782" s="29">
        <v>0.26</v>
      </c>
    </row>
    <row r="783">
      <c r="A783" s="23">
        <v>9609</v>
      </c>
      <c r="B783" s="4" t="s">
        <v>1079</v>
      </c>
      <c r="C783" s="4" t="s">
        <v>66</v>
      </c>
      <c r="D783" s="4" t="s">
        <v>75</v>
      </c>
      <c r="E783" s="4" t="s">
        <v>217</v>
      </c>
      <c r="F783" s="6">
        <v>1</v>
      </c>
      <c r="G783" s="7">
        <v>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9627</v>
      </c>
      <c r="B784" s="9" t="s">
        <v>1080</v>
      </c>
      <c r="C784" s="9" t="s">
        <v>138</v>
      </c>
      <c r="D784" s="9" t="s">
        <v>395</v>
      </c>
      <c r="E784" s="9" t="s">
        <v>412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9630</v>
      </c>
      <c r="B785" s="4" t="s">
        <v>1081</v>
      </c>
      <c r="C785" s="4" t="s">
        <v>66</v>
      </c>
      <c r="D785" s="4" t="s">
        <v>81</v>
      </c>
      <c r="E785" s="4" t="s">
        <v>100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0.6</v>
      </c>
    </row>
    <row r="786">
      <c r="A786" s="24">
        <v>9655</v>
      </c>
      <c r="B786" s="9" t="s">
        <v>1082</v>
      </c>
      <c r="C786" s="9" t="s">
        <v>66</v>
      </c>
      <c r="D786" s="9" t="s">
        <v>75</v>
      </c>
      <c r="E786" s="9" t="s">
        <v>117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9677</v>
      </c>
      <c r="B787" s="4" t="s">
        <v>1083</v>
      </c>
      <c r="C787" s="4" t="s">
        <v>152</v>
      </c>
      <c r="D787" s="4" t="s">
        <v>181</v>
      </c>
      <c r="E787" s="4" t="s">
        <v>1084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9749</v>
      </c>
      <c r="B788" s="9" t="s">
        <v>1085</v>
      </c>
      <c r="C788" s="9" t="s">
        <v>532</v>
      </c>
      <c r="D788" s="9" t="s">
        <v>576</v>
      </c>
      <c r="E788" s="9" t="s">
        <v>577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9770</v>
      </c>
      <c r="B789" s="4" t="s">
        <v>1086</v>
      </c>
      <c r="C789" s="4" t="s">
        <v>138</v>
      </c>
      <c r="D789" s="4" t="s">
        <v>434</v>
      </c>
      <c r="E789" s="4" t="s">
        <v>435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9810</v>
      </c>
      <c r="B790" s="9" t="s">
        <v>1087</v>
      </c>
      <c r="C790" s="9" t="s">
        <v>152</v>
      </c>
      <c r="D790" s="9" t="s">
        <v>181</v>
      </c>
      <c r="E790" s="9" t="s">
        <v>182</v>
      </c>
      <c r="F790" s="11">
        <v>1</v>
      </c>
      <c r="G790" s="12">
        <v>0</v>
      </c>
      <c r="H790" s="12">
        <v>0</v>
      </c>
      <c r="I790" s="12">
        <v>0</v>
      </c>
      <c r="J790" s="12">
        <v>0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2">
        <v>0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0.22</v>
      </c>
    </row>
    <row r="791">
      <c r="A791" s="23">
        <v>9811</v>
      </c>
      <c r="B791" s="4" t="s">
        <v>1088</v>
      </c>
      <c r="C791" s="4" t="s">
        <v>66</v>
      </c>
      <c r="D791" s="4" t="s">
        <v>95</v>
      </c>
      <c r="E791" s="4" t="s">
        <v>129</v>
      </c>
      <c r="F791" s="6">
        <v>4</v>
      </c>
      <c r="G791" s="5">
        <v>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4</v>
      </c>
      <c r="V791" s="5">
        <v>4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30">
        <v>0</v>
      </c>
    </row>
    <row r="792">
      <c r="A792" s="24">
        <v>9926</v>
      </c>
      <c r="B792" s="9" t="s">
        <v>1089</v>
      </c>
      <c r="C792" s="9" t="s">
        <v>66</v>
      </c>
      <c r="D792" s="9" t="s">
        <v>67</v>
      </c>
      <c r="E792" s="9" t="s">
        <v>70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1">
        <v>0</v>
      </c>
    </row>
    <row r="793">
      <c r="A793" s="23">
        <v>10018</v>
      </c>
      <c r="B793" s="4" t="s">
        <v>1090</v>
      </c>
      <c r="C793" s="4" t="s">
        <v>66</v>
      </c>
      <c r="D793" s="4" t="s">
        <v>110</v>
      </c>
      <c r="E793" s="4" t="s">
        <v>335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10045</v>
      </c>
      <c r="B794" s="9" t="s">
        <v>1091</v>
      </c>
      <c r="C794" s="9" t="s">
        <v>66</v>
      </c>
      <c r="D794" s="9" t="s">
        <v>102</v>
      </c>
      <c r="E794" s="9" t="s">
        <v>131</v>
      </c>
      <c r="F794" s="11">
        <v>2</v>
      </c>
      <c r="G794" s="10">
        <v>1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0">
        <v>1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0.44</v>
      </c>
    </row>
    <row r="795">
      <c r="A795" s="23">
        <v>10049</v>
      </c>
      <c r="B795" s="4" t="s">
        <v>1092</v>
      </c>
      <c r="C795" s="4" t="s">
        <v>590</v>
      </c>
      <c r="D795" s="4" t="s">
        <v>659</v>
      </c>
      <c r="E795" s="4" t="s">
        <v>518</v>
      </c>
      <c r="F795" s="6">
        <v>1</v>
      </c>
      <c r="G795" s="7">
        <v>0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7">
        <v>0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10050</v>
      </c>
      <c r="B796" s="9" t="s">
        <v>1093</v>
      </c>
      <c r="C796" s="9" t="s">
        <v>66</v>
      </c>
      <c r="D796" s="9" t="s">
        <v>81</v>
      </c>
      <c r="E796" s="9" t="s">
        <v>136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0.38</v>
      </c>
    </row>
    <row r="797">
      <c r="A797" s="23">
        <v>10062</v>
      </c>
      <c r="B797" s="4" t="s">
        <v>1094</v>
      </c>
      <c r="C797" s="4" t="s">
        <v>582</v>
      </c>
      <c r="D797" s="4" t="s">
        <v>797</v>
      </c>
      <c r="E797" s="4" t="s">
        <v>518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0.36</v>
      </c>
    </row>
    <row r="798">
      <c r="A798" s="24">
        <v>10096</v>
      </c>
      <c r="B798" s="9" t="s">
        <v>1095</v>
      </c>
      <c r="C798" s="9" t="s">
        <v>516</v>
      </c>
      <c r="D798" s="9" t="s">
        <v>553</v>
      </c>
      <c r="E798" s="9" t="s">
        <v>518</v>
      </c>
      <c r="F798" s="11">
        <v>2</v>
      </c>
      <c r="G798" s="12">
        <v>0</v>
      </c>
      <c r="H798" s="12">
        <v>0</v>
      </c>
      <c r="I798" s="10">
        <v>1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0">
        <v>1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0.44</v>
      </c>
    </row>
    <row r="799">
      <c r="A799" s="23">
        <v>10123</v>
      </c>
      <c r="B799" s="4" t="s">
        <v>1096</v>
      </c>
      <c r="C799" s="4" t="s">
        <v>152</v>
      </c>
      <c r="D799" s="4" t="s">
        <v>181</v>
      </c>
      <c r="E799" s="4" t="s">
        <v>1097</v>
      </c>
      <c r="F799" s="6">
        <v>1</v>
      </c>
      <c r="G799" s="7">
        <v>0</v>
      </c>
      <c r="H799" s="5">
        <v>1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5">
        <v>1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10163</v>
      </c>
      <c r="B800" s="9" t="s">
        <v>1098</v>
      </c>
      <c r="C800" s="9" t="s">
        <v>582</v>
      </c>
      <c r="D800" s="9" t="s">
        <v>1099</v>
      </c>
      <c r="E800" s="9" t="s">
        <v>518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10178</v>
      </c>
      <c r="B801" s="4" t="s">
        <v>1100</v>
      </c>
      <c r="C801" s="4" t="s">
        <v>66</v>
      </c>
      <c r="D801" s="4" t="s">
        <v>84</v>
      </c>
      <c r="E801" s="4" t="s">
        <v>90</v>
      </c>
      <c r="F801" s="6">
        <v>4</v>
      </c>
      <c r="G801" s="7">
        <v>0</v>
      </c>
      <c r="H801" s="7">
        <v>0</v>
      </c>
      <c r="I801" s="7">
        <v>0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7">
        <v>0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4</v>
      </c>
      <c r="AK801" s="8">
        <v>4</v>
      </c>
      <c r="AL801" s="5">
        <v>4</v>
      </c>
      <c r="AM801" s="5">
        <v>4</v>
      </c>
      <c r="AN801" s="28">
        <v>0.78</v>
      </c>
    </row>
    <row r="802">
      <c r="A802" s="24">
        <v>10184</v>
      </c>
      <c r="B802" s="9" t="s">
        <v>1101</v>
      </c>
      <c r="C802" s="9" t="s">
        <v>66</v>
      </c>
      <c r="D802" s="9" t="s">
        <v>67</v>
      </c>
      <c r="E802" s="9" t="s">
        <v>166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10187</v>
      </c>
      <c r="B803" s="4" t="s">
        <v>1102</v>
      </c>
      <c r="C803" s="4" t="s">
        <v>152</v>
      </c>
      <c r="D803" s="4" t="s">
        <v>1103</v>
      </c>
      <c r="E803" s="4" t="s">
        <v>1103</v>
      </c>
      <c r="F803" s="6">
        <v>2</v>
      </c>
      <c r="G803" s="7">
        <v>0</v>
      </c>
      <c r="H803" s="7">
        <v>0</v>
      </c>
      <c r="I803" s="7">
        <v>0</v>
      </c>
      <c r="J803" s="7">
        <v>0</v>
      </c>
      <c r="K803" s="5">
        <v>2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7">
        <v>0</v>
      </c>
      <c r="W803" s="7">
        <v>0</v>
      </c>
      <c r="X803" s="7">
        <v>0</v>
      </c>
      <c r="Y803" s="7">
        <v>0</v>
      </c>
      <c r="Z803" s="5">
        <v>2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0">
        <v>0</v>
      </c>
    </row>
    <row r="804">
      <c r="A804" s="24">
        <v>10213</v>
      </c>
      <c r="B804" s="9" t="s">
        <v>1104</v>
      </c>
      <c r="C804" s="9" t="s">
        <v>516</v>
      </c>
      <c r="D804" s="9" t="s">
        <v>916</v>
      </c>
      <c r="E804" s="9" t="s">
        <v>518</v>
      </c>
      <c r="F804" s="11">
        <v>2</v>
      </c>
      <c r="G804" s="12">
        <v>0</v>
      </c>
      <c r="H804" s="12">
        <v>0</v>
      </c>
      <c r="I804" s="10">
        <v>2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2">
        <v>0</v>
      </c>
      <c r="W804" s="12">
        <v>0</v>
      </c>
      <c r="X804" s="10">
        <v>2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0.48</v>
      </c>
    </row>
    <row r="805">
      <c r="A805" s="23">
        <v>10269</v>
      </c>
      <c r="B805" s="4" t="s">
        <v>1105</v>
      </c>
      <c r="C805" s="4" t="s">
        <v>66</v>
      </c>
      <c r="D805" s="4" t="s">
        <v>110</v>
      </c>
      <c r="E805" s="4" t="s">
        <v>121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10308</v>
      </c>
      <c r="B806" s="9" t="s">
        <v>1106</v>
      </c>
      <c r="C806" s="9" t="s">
        <v>66</v>
      </c>
      <c r="D806" s="9" t="s">
        <v>110</v>
      </c>
      <c r="E806" s="9" t="s">
        <v>121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0.25</v>
      </c>
    </row>
    <row r="807">
      <c r="A807" s="23">
        <v>10385</v>
      </c>
      <c r="B807" s="4" t="s">
        <v>1107</v>
      </c>
      <c r="C807" s="4" t="s">
        <v>152</v>
      </c>
      <c r="D807" s="4" t="s">
        <v>153</v>
      </c>
      <c r="E807" s="4" t="s">
        <v>154</v>
      </c>
      <c r="F807" s="6">
        <v>1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10487</v>
      </c>
      <c r="B808" s="9" t="s">
        <v>1108</v>
      </c>
      <c r="C808" s="9" t="s">
        <v>152</v>
      </c>
      <c r="D808" s="9" t="s">
        <v>169</v>
      </c>
      <c r="E808" s="9" t="s">
        <v>170</v>
      </c>
      <c r="F808" s="11">
        <v>4</v>
      </c>
      <c r="G808" s="10">
        <v>3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0">
        <v>3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3</v>
      </c>
      <c r="AN808" s="31">
        <v>0</v>
      </c>
    </row>
    <row r="809">
      <c r="A809" s="23">
        <v>10494</v>
      </c>
      <c r="B809" s="4" t="s">
        <v>1109</v>
      </c>
      <c r="C809" s="4" t="s">
        <v>66</v>
      </c>
      <c r="D809" s="4" t="s">
        <v>102</v>
      </c>
      <c r="E809" s="4" t="s">
        <v>215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10542</v>
      </c>
      <c r="B810" s="9" t="s">
        <v>1110</v>
      </c>
      <c r="C810" s="9" t="s">
        <v>66</v>
      </c>
      <c r="D810" s="9" t="s">
        <v>84</v>
      </c>
      <c r="E810" s="9" t="s">
        <v>90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10546</v>
      </c>
      <c r="B811" s="4" t="s">
        <v>1111</v>
      </c>
      <c r="C811" s="4" t="s">
        <v>582</v>
      </c>
      <c r="D811" s="4" t="s">
        <v>635</v>
      </c>
      <c r="E811" s="4" t="s">
        <v>518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10612</v>
      </c>
      <c r="B812" s="9" t="s">
        <v>1112</v>
      </c>
      <c r="C812" s="9" t="s">
        <v>66</v>
      </c>
      <c r="D812" s="9" t="s">
        <v>102</v>
      </c>
      <c r="E812" s="9" t="s">
        <v>103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1">
        <v>0</v>
      </c>
    </row>
    <row r="813">
      <c r="A813" s="23">
        <v>10637</v>
      </c>
      <c r="B813" s="4" t="s">
        <v>1113</v>
      </c>
      <c r="C813" s="4" t="s">
        <v>66</v>
      </c>
      <c r="D813" s="4" t="s">
        <v>75</v>
      </c>
      <c r="E813" s="4" t="s">
        <v>538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10725</v>
      </c>
      <c r="B814" s="9" t="s">
        <v>1114</v>
      </c>
      <c r="C814" s="9" t="s">
        <v>993</v>
      </c>
      <c r="D814" s="9" t="s">
        <v>518</v>
      </c>
      <c r="E814" s="9" t="s">
        <v>518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1">
        <v>0</v>
      </c>
    </row>
    <row r="815">
      <c r="A815" s="23">
        <v>10734</v>
      </c>
      <c r="B815" s="4" t="s">
        <v>1115</v>
      </c>
      <c r="C815" s="4" t="s">
        <v>590</v>
      </c>
      <c r="D815" s="4" t="s">
        <v>1116</v>
      </c>
      <c r="E815" s="4" t="s">
        <v>518</v>
      </c>
      <c r="F815" s="6">
        <v>4</v>
      </c>
      <c r="G815" s="7">
        <v>0</v>
      </c>
      <c r="H815" s="5">
        <v>3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4</v>
      </c>
      <c r="V815" s="7">
        <v>0</v>
      </c>
      <c r="W815" s="5">
        <v>3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28">
        <v>1.04</v>
      </c>
    </row>
    <row r="816">
      <c r="A816" s="24">
        <v>10843</v>
      </c>
      <c r="B816" s="9" t="s">
        <v>1117</v>
      </c>
      <c r="C816" s="9" t="s">
        <v>66</v>
      </c>
      <c r="D816" s="9" t="s">
        <v>75</v>
      </c>
      <c r="E816" s="9" t="s">
        <v>76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10847</v>
      </c>
      <c r="B817" s="4" t="s">
        <v>1118</v>
      </c>
      <c r="C817" s="4" t="s">
        <v>66</v>
      </c>
      <c r="D817" s="4" t="s">
        <v>160</v>
      </c>
      <c r="E817" s="4" t="s">
        <v>385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10862</v>
      </c>
      <c r="B818" s="9" t="s">
        <v>1119</v>
      </c>
      <c r="C818" s="9" t="s">
        <v>152</v>
      </c>
      <c r="D818" s="9" t="s">
        <v>169</v>
      </c>
      <c r="E818" s="9" t="s">
        <v>170</v>
      </c>
      <c r="F818" s="11">
        <v>2</v>
      </c>
      <c r="G818" s="12">
        <v>0</v>
      </c>
      <c r="H818" s="12">
        <v>0</v>
      </c>
      <c r="I818" s="10">
        <v>1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2">
        <v>0</v>
      </c>
      <c r="W818" s="12">
        <v>0</v>
      </c>
      <c r="X818" s="10">
        <v>1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0.52</v>
      </c>
    </row>
    <row r="819">
      <c r="A819" s="23">
        <v>10867</v>
      </c>
      <c r="B819" s="4" t="s">
        <v>1120</v>
      </c>
      <c r="C819" s="4" t="s">
        <v>66</v>
      </c>
      <c r="D819" s="4" t="s">
        <v>67</v>
      </c>
      <c r="E819" s="4" t="s">
        <v>70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10989</v>
      </c>
      <c r="B820" s="9" t="s">
        <v>1121</v>
      </c>
      <c r="C820" s="9" t="s">
        <v>138</v>
      </c>
      <c r="D820" s="9" t="s">
        <v>604</v>
      </c>
      <c r="E820" s="9" t="s">
        <v>605</v>
      </c>
      <c r="F820" s="11">
        <v>1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1">
        <v>0</v>
      </c>
    </row>
    <row r="821">
      <c r="A821" s="23">
        <v>11024</v>
      </c>
      <c r="B821" s="4" t="s">
        <v>1122</v>
      </c>
      <c r="C821" s="4" t="s">
        <v>138</v>
      </c>
      <c r="D821" s="4" t="s">
        <v>512</v>
      </c>
      <c r="E821" s="4" t="s">
        <v>573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11144</v>
      </c>
      <c r="B822" s="9" t="s">
        <v>1123</v>
      </c>
      <c r="C822" s="9" t="s">
        <v>152</v>
      </c>
      <c r="D822" s="9" t="s">
        <v>403</v>
      </c>
      <c r="E822" s="9" t="s">
        <v>410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11185</v>
      </c>
      <c r="B823" s="4" t="s">
        <v>1124</v>
      </c>
      <c r="C823" s="4" t="s">
        <v>66</v>
      </c>
      <c r="D823" s="4" t="s">
        <v>87</v>
      </c>
      <c r="E823" s="4" t="s">
        <v>156</v>
      </c>
      <c r="F823" s="6">
        <v>2</v>
      </c>
      <c r="G823" s="7">
        <v>0</v>
      </c>
      <c r="H823" s="7">
        <v>0</v>
      </c>
      <c r="I823" s="5">
        <v>1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7">
        <v>0</v>
      </c>
      <c r="W823" s="7">
        <v>0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0.52</v>
      </c>
    </row>
    <row r="824">
      <c r="A824" s="24">
        <v>11265</v>
      </c>
      <c r="B824" s="9" t="s">
        <v>1125</v>
      </c>
      <c r="C824" s="9" t="s">
        <v>582</v>
      </c>
      <c r="D824" s="9" t="s">
        <v>999</v>
      </c>
      <c r="E824" s="9" t="s">
        <v>518</v>
      </c>
      <c r="F824" s="11">
        <v>1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1">
        <v>0</v>
      </c>
    </row>
    <row r="825">
      <c r="A825" s="23">
        <v>11281</v>
      </c>
      <c r="B825" s="4" t="s">
        <v>1126</v>
      </c>
      <c r="C825" s="4" t="s">
        <v>66</v>
      </c>
      <c r="D825" s="4" t="s">
        <v>142</v>
      </c>
      <c r="E825" s="4" t="s">
        <v>781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0">
        <v>0</v>
      </c>
    </row>
    <row r="826">
      <c r="A826" s="24">
        <v>11431</v>
      </c>
      <c r="B826" s="9" t="s">
        <v>1127</v>
      </c>
      <c r="C826" s="9" t="s">
        <v>66</v>
      </c>
      <c r="D826" s="9" t="s">
        <v>67</v>
      </c>
      <c r="E826" s="9" t="s">
        <v>70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11531</v>
      </c>
      <c r="B827" s="4" t="s">
        <v>1128</v>
      </c>
      <c r="C827" s="4" t="s">
        <v>66</v>
      </c>
      <c r="D827" s="4" t="s">
        <v>81</v>
      </c>
      <c r="E827" s="4" t="s">
        <v>209</v>
      </c>
      <c r="F827" s="6">
        <v>5</v>
      </c>
      <c r="G827" s="5">
        <v>1</v>
      </c>
      <c r="H827" s="7">
        <v>0</v>
      </c>
      <c r="I827" s="7">
        <v>0</v>
      </c>
      <c r="J827" s="5">
        <v>4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5</v>
      </c>
      <c r="V827" s="5">
        <v>1</v>
      </c>
      <c r="W827" s="7">
        <v>0</v>
      </c>
      <c r="X827" s="7">
        <v>0</v>
      </c>
      <c r="Y827" s="5">
        <v>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2.5</v>
      </c>
      <c r="AL827" s="5">
        <v>2</v>
      </c>
      <c r="AM827" s="5">
        <v>4</v>
      </c>
      <c r="AN827" s="28">
        <v>1.04</v>
      </c>
    </row>
    <row r="828">
      <c r="A828" s="24">
        <v>11535</v>
      </c>
      <c r="B828" s="9" t="s">
        <v>1129</v>
      </c>
      <c r="C828" s="9" t="s">
        <v>516</v>
      </c>
      <c r="D828" s="9" t="s">
        <v>1130</v>
      </c>
      <c r="E828" s="9" t="s">
        <v>518</v>
      </c>
      <c r="F828" s="11">
        <v>4</v>
      </c>
      <c r="G828" s="12">
        <v>0</v>
      </c>
      <c r="H828" s="12">
        <v>0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2">
        <v>0</v>
      </c>
      <c r="W828" s="12">
        <v>0</v>
      </c>
      <c r="X828" s="12">
        <v>0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1</v>
      </c>
    </row>
    <row r="829">
      <c r="A829" s="23">
        <v>11599</v>
      </c>
      <c r="B829" s="4" t="s">
        <v>1131</v>
      </c>
      <c r="C829" s="4" t="s">
        <v>66</v>
      </c>
      <c r="D829" s="4" t="s">
        <v>81</v>
      </c>
      <c r="E829" s="4" t="s">
        <v>100</v>
      </c>
      <c r="F829" s="6">
        <v>7</v>
      </c>
      <c r="G829" s="7">
        <v>0</v>
      </c>
      <c r="H829" s="7">
        <v>0</v>
      </c>
      <c r="I829" s="7">
        <v>0</v>
      </c>
      <c r="J829" s="5">
        <v>7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7</v>
      </c>
      <c r="V829" s="7">
        <v>0</v>
      </c>
      <c r="W829" s="7">
        <v>0</v>
      </c>
      <c r="X829" s="7">
        <v>0</v>
      </c>
      <c r="Y829" s="5">
        <v>7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3.5</v>
      </c>
      <c r="AL829" s="5">
        <v>3</v>
      </c>
      <c r="AM829" s="5">
        <v>4</v>
      </c>
      <c r="AN829" s="28">
        <v>1.82</v>
      </c>
    </row>
    <row r="830">
      <c r="A830" s="24">
        <v>11607</v>
      </c>
      <c r="B830" s="9" t="s">
        <v>1132</v>
      </c>
      <c r="C830" s="9" t="s">
        <v>66</v>
      </c>
      <c r="D830" s="9" t="s">
        <v>67</v>
      </c>
      <c r="E830" s="9" t="s">
        <v>70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1">
        <v>0</v>
      </c>
    </row>
    <row r="831">
      <c r="A831" s="23">
        <v>11616</v>
      </c>
      <c r="B831" s="4" t="s">
        <v>1133</v>
      </c>
      <c r="C831" s="4" t="s">
        <v>66</v>
      </c>
      <c r="D831" s="4" t="s">
        <v>102</v>
      </c>
      <c r="E831" s="4" t="s">
        <v>215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30">
        <v>0</v>
      </c>
    </row>
    <row r="832">
      <c r="A832" s="24">
        <v>11618</v>
      </c>
      <c r="B832" s="9" t="s">
        <v>1134</v>
      </c>
      <c r="C832" s="9" t="s">
        <v>152</v>
      </c>
      <c r="D832" s="9" t="s">
        <v>403</v>
      </c>
      <c r="E832" s="9" t="s">
        <v>410</v>
      </c>
      <c r="F832" s="11">
        <v>6</v>
      </c>
      <c r="G832" s="10">
        <v>2</v>
      </c>
      <c r="H832" s="12">
        <v>0</v>
      </c>
      <c r="I832" s="10">
        <v>2</v>
      </c>
      <c r="J832" s="12">
        <v>0</v>
      </c>
      <c r="K832" s="10">
        <v>2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5</v>
      </c>
      <c r="V832" s="10">
        <v>2</v>
      </c>
      <c r="W832" s="12">
        <v>0</v>
      </c>
      <c r="X832" s="10">
        <v>2</v>
      </c>
      <c r="Y832" s="12">
        <v>0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1">
        <v>0</v>
      </c>
    </row>
    <row r="833">
      <c r="A833" s="23">
        <v>11638</v>
      </c>
      <c r="B833" s="4" t="s">
        <v>1135</v>
      </c>
      <c r="C833" s="4" t="s">
        <v>66</v>
      </c>
      <c r="D833" s="4" t="s">
        <v>110</v>
      </c>
      <c r="E833" s="4" t="s">
        <v>111</v>
      </c>
      <c r="F833" s="6">
        <v>2</v>
      </c>
      <c r="G833" s="7">
        <v>0</v>
      </c>
      <c r="H833" s="5">
        <v>1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7">
        <v>0</v>
      </c>
      <c r="W833" s="5">
        <v>1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11679</v>
      </c>
      <c r="B834" s="9" t="s">
        <v>1136</v>
      </c>
      <c r="C834" s="9" t="s">
        <v>66</v>
      </c>
      <c r="D834" s="9" t="s">
        <v>110</v>
      </c>
      <c r="E834" s="9" t="s">
        <v>147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11793</v>
      </c>
      <c r="B835" s="4" t="s">
        <v>1137</v>
      </c>
      <c r="C835" s="4" t="s">
        <v>66</v>
      </c>
      <c r="D835" s="4" t="s">
        <v>67</v>
      </c>
      <c r="E835" s="4" t="s">
        <v>70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11835</v>
      </c>
      <c r="B836" s="9" t="s">
        <v>1138</v>
      </c>
      <c r="C836" s="9" t="s">
        <v>66</v>
      </c>
      <c r="D836" s="9" t="s">
        <v>110</v>
      </c>
      <c r="E836" s="9" t="s">
        <v>335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11850</v>
      </c>
      <c r="B837" s="4" t="s">
        <v>1139</v>
      </c>
      <c r="C837" s="4" t="s">
        <v>66</v>
      </c>
      <c r="D837" s="4" t="s">
        <v>124</v>
      </c>
      <c r="E837" s="4" t="s">
        <v>322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11852</v>
      </c>
      <c r="B838" s="9" t="s">
        <v>1140</v>
      </c>
      <c r="C838" s="9" t="s">
        <v>66</v>
      </c>
      <c r="D838" s="9" t="s">
        <v>75</v>
      </c>
      <c r="E838" s="9" t="s">
        <v>79</v>
      </c>
      <c r="F838" s="11">
        <v>2</v>
      </c>
      <c r="G838" s="12">
        <v>0</v>
      </c>
      <c r="H838" s="12">
        <v>0</v>
      </c>
      <c r="I838" s="10">
        <v>1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2</v>
      </c>
      <c r="V838" s="12">
        <v>0</v>
      </c>
      <c r="W838" s="12">
        <v>0</v>
      </c>
      <c r="X838" s="10">
        <v>1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0.5</v>
      </c>
    </row>
    <row r="839">
      <c r="A839" s="23">
        <v>11858</v>
      </c>
      <c r="B839" s="4" t="s">
        <v>1141</v>
      </c>
      <c r="C839" s="4" t="s">
        <v>66</v>
      </c>
      <c r="D839" s="4" t="s">
        <v>81</v>
      </c>
      <c r="E839" s="4" t="s">
        <v>416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0.22</v>
      </c>
    </row>
    <row r="840">
      <c r="A840" s="24">
        <v>11924</v>
      </c>
      <c r="B840" s="9" t="s">
        <v>1142</v>
      </c>
      <c r="C840" s="9" t="s">
        <v>66</v>
      </c>
      <c r="D840" s="9" t="s">
        <v>102</v>
      </c>
      <c r="E840" s="9" t="s">
        <v>131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11936</v>
      </c>
      <c r="B841" s="4" t="s">
        <v>1143</v>
      </c>
      <c r="C841" s="4" t="s">
        <v>66</v>
      </c>
      <c r="D841" s="4" t="s">
        <v>75</v>
      </c>
      <c r="E841" s="4" t="s">
        <v>76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0.38</v>
      </c>
    </row>
    <row r="842">
      <c r="A842" s="24">
        <v>11954</v>
      </c>
      <c r="B842" s="9" t="s">
        <v>1144</v>
      </c>
      <c r="C842" s="9" t="s">
        <v>66</v>
      </c>
      <c r="D842" s="9" t="s">
        <v>81</v>
      </c>
      <c r="E842" s="9" t="s">
        <v>318</v>
      </c>
      <c r="F842" s="11">
        <v>2</v>
      </c>
      <c r="G842" s="12">
        <v>0</v>
      </c>
      <c r="H842" s="10">
        <v>2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0">
        <v>2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0.48</v>
      </c>
    </row>
    <row r="843">
      <c r="A843" s="23">
        <v>11969</v>
      </c>
      <c r="B843" s="4" t="s">
        <v>1145</v>
      </c>
      <c r="C843" s="4" t="s">
        <v>66</v>
      </c>
      <c r="D843" s="4" t="s">
        <v>75</v>
      </c>
      <c r="E843" s="4" t="s">
        <v>213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11992</v>
      </c>
      <c r="B844" s="9" t="s">
        <v>1146</v>
      </c>
      <c r="C844" s="9" t="s">
        <v>66</v>
      </c>
      <c r="D844" s="9" t="s">
        <v>75</v>
      </c>
      <c r="E844" s="9" t="s">
        <v>79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12013</v>
      </c>
      <c r="B845" s="4" t="s">
        <v>1147</v>
      </c>
      <c r="C845" s="4" t="s">
        <v>66</v>
      </c>
      <c r="D845" s="4" t="s">
        <v>84</v>
      </c>
      <c r="E845" s="4" t="s">
        <v>802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12026</v>
      </c>
      <c r="B846" s="9" t="s">
        <v>1148</v>
      </c>
      <c r="C846" s="9" t="s">
        <v>66</v>
      </c>
      <c r="D846" s="9" t="s">
        <v>84</v>
      </c>
      <c r="E846" s="9" t="s">
        <v>195</v>
      </c>
      <c r="F846" s="11">
        <v>2</v>
      </c>
      <c r="G846" s="12">
        <v>0</v>
      </c>
      <c r="H846" s="10">
        <v>1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</v>
      </c>
      <c r="V846" s="12">
        <v>0</v>
      </c>
      <c r="W846" s="10">
        <v>1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0.5</v>
      </c>
    </row>
    <row r="847">
      <c r="A847" s="23">
        <v>12047</v>
      </c>
      <c r="B847" s="4" t="s">
        <v>211</v>
      </c>
      <c r="C847" s="4" t="s">
        <v>66</v>
      </c>
      <c r="D847" s="4" t="s">
        <v>110</v>
      </c>
      <c r="E847" s="4" t="s">
        <v>147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12062</v>
      </c>
      <c r="B848" s="9" t="s">
        <v>1149</v>
      </c>
      <c r="C848" s="9" t="s">
        <v>66</v>
      </c>
      <c r="D848" s="9" t="s">
        <v>102</v>
      </c>
      <c r="E848" s="9" t="s">
        <v>103</v>
      </c>
      <c r="F848" s="11">
        <v>2</v>
      </c>
      <c r="G848" s="10">
        <v>2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0.36</v>
      </c>
    </row>
    <row r="849">
      <c r="A849" s="23">
        <v>12072</v>
      </c>
      <c r="B849" s="4" t="s">
        <v>1150</v>
      </c>
      <c r="C849" s="4" t="s">
        <v>66</v>
      </c>
      <c r="D849" s="4" t="s">
        <v>87</v>
      </c>
      <c r="E849" s="4" t="s">
        <v>88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0">
        <v>0</v>
      </c>
    </row>
    <row r="850">
      <c r="A850" s="24">
        <v>12100</v>
      </c>
      <c r="B850" s="9" t="s">
        <v>1151</v>
      </c>
      <c r="C850" s="9" t="s">
        <v>66</v>
      </c>
      <c r="D850" s="9" t="s">
        <v>75</v>
      </c>
      <c r="E850" s="9" t="s">
        <v>370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1">
        <v>0</v>
      </c>
    </row>
    <row r="851">
      <c r="A851" s="23">
        <v>12102</v>
      </c>
      <c r="B851" s="4" t="s">
        <v>1152</v>
      </c>
      <c r="C851" s="4" t="s">
        <v>66</v>
      </c>
      <c r="D851" s="4" t="s">
        <v>67</v>
      </c>
      <c r="E851" s="4" t="s">
        <v>166</v>
      </c>
      <c r="F851" s="6">
        <v>2</v>
      </c>
      <c r="G851" s="5">
        <v>1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5">
        <v>1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0.61</v>
      </c>
    </row>
    <row r="852">
      <c r="A852" s="24">
        <v>12110</v>
      </c>
      <c r="B852" s="9" t="s">
        <v>1153</v>
      </c>
      <c r="C852" s="9" t="s">
        <v>66</v>
      </c>
      <c r="D852" s="9" t="s">
        <v>75</v>
      </c>
      <c r="E852" s="9" t="s">
        <v>79</v>
      </c>
      <c r="F852" s="11">
        <v>2</v>
      </c>
      <c r="G852" s="12">
        <v>0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0.52</v>
      </c>
    </row>
    <row r="853">
      <c r="A853" s="23">
        <v>12122</v>
      </c>
      <c r="B853" s="4" t="s">
        <v>1154</v>
      </c>
      <c r="C853" s="4" t="s">
        <v>66</v>
      </c>
      <c r="D853" s="4" t="s">
        <v>84</v>
      </c>
      <c r="E853" s="4" t="s">
        <v>98</v>
      </c>
      <c r="F853" s="6">
        <v>7</v>
      </c>
      <c r="G853" s="5">
        <v>7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6</v>
      </c>
      <c r="V853" s="5">
        <v>6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7</v>
      </c>
      <c r="AK853" s="8">
        <v>7</v>
      </c>
      <c r="AL853" s="5">
        <v>7</v>
      </c>
      <c r="AM853" s="5">
        <v>7</v>
      </c>
      <c r="AN853" s="30">
        <v>0</v>
      </c>
    </row>
    <row r="854">
      <c r="A854" s="24">
        <v>12128</v>
      </c>
      <c r="B854" s="9" t="s">
        <v>1155</v>
      </c>
      <c r="C854" s="9" t="s">
        <v>66</v>
      </c>
      <c r="D854" s="9" t="s">
        <v>84</v>
      </c>
      <c r="E854" s="9" t="s">
        <v>98</v>
      </c>
      <c r="F854" s="11">
        <v>1</v>
      </c>
      <c r="G854" s="12">
        <v>0</v>
      </c>
      <c r="H854" s="10">
        <v>1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0">
        <v>1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12164</v>
      </c>
      <c r="B855" s="4" t="s">
        <v>1156</v>
      </c>
      <c r="C855" s="4" t="s">
        <v>66</v>
      </c>
      <c r="D855" s="4" t="s">
        <v>75</v>
      </c>
      <c r="E855" s="4" t="s">
        <v>127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0.17</v>
      </c>
    </row>
    <row r="856">
      <c r="A856" s="24">
        <v>12177</v>
      </c>
      <c r="B856" s="9" t="s">
        <v>1157</v>
      </c>
      <c r="C856" s="9" t="s">
        <v>66</v>
      </c>
      <c r="D856" s="9" t="s">
        <v>110</v>
      </c>
      <c r="E856" s="9" t="s">
        <v>147</v>
      </c>
      <c r="F856" s="11">
        <v>2</v>
      </c>
      <c r="G856" s="12">
        <v>0</v>
      </c>
      <c r="H856" s="10">
        <v>2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2">
        <v>0</v>
      </c>
      <c r="W856" s="10">
        <v>2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0.52</v>
      </c>
    </row>
    <row r="857">
      <c r="A857" s="23">
        <v>12183</v>
      </c>
      <c r="B857" s="4" t="s">
        <v>1158</v>
      </c>
      <c r="C857" s="4" t="s">
        <v>66</v>
      </c>
      <c r="D857" s="4" t="s">
        <v>160</v>
      </c>
      <c r="E857" s="4" t="s">
        <v>1159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12192</v>
      </c>
      <c r="B858" s="9" t="s">
        <v>1160</v>
      </c>
      <c r="C858" s="9" t="s">
        <v>152</v>
      </c>
      <c r="D858" s="9" t="s">
        <v>169</v>
      </c>
      <c r="E858" s="9" t="s">
        <v>176</v>
      </c>
      <c r="F858" s="11">
        <v>1</v>
      </c>
      <c r="G858" s="12">
        <v>0</v>
      </c>
      <c r="H858" s="12">
        <v>0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2">
        <v>0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1">
        <v>0</v>
      </c>
    </row>
    <row r="859">
      <c r="A859" s="23">
        <v>12281</v>
      </c>
      <c r="B859" s="4" t="s">
        <v>1161</v>
      </c>
      <c r="C859" s="4" t="s">
        <v>138</v>
      </c>
      <c r="D859" s="4" t="s">
        <v>1002</v>
      </c>
      <c r="E859" s="4" t="s">
        <v>1162</v>
      </c>
      <c r="F859" s="6">
        <v>1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12286</v>
      </c>
      <c r="B860" s="9" t="s">
        <v>1163</v>
      </c>
      <c r="C860" s="9" t="s">
        <v>582</v>
      </c>
      <c r="D860" s="9" t="s">
        <v>608</v>
      </c>
      <c r="E860" s="9" t="s">
        <v>518</v>
      </c>
      <c r="F860" s="11">
        <v>3</v>
      </c>
      <c r="G860" s="12">
        <v>0</v>
      </c>
      <c r="H860" s="12">
        <v>0</v>
      </c>
      <c r="I860" s="10">
        <v>3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2">
        <v>0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31">
        <v>0</v>
      </c>
    </row>
    <row r="861">
      <c r="A861" s="23">
        <v>12359</v>
      </c>
      <c r="B861" s="4" t="s">
        <v>1164</v>
      </c>
      <c r="C861" s="4" t="s">
        <v>582</v>
      </c>
      <c r="D861" s="4" t="s">
        <v>1165</v>
      </c>
      <c r="E861" s="4" t="s">
        <v>1166</v>
      </c>
      <c r="F861" s="6">
        <v>1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12371</v>
      </c>
      <c r="B862" s="9" t="s">
        <v>1167</v>
      </c>
      <c r="C862" s="9" t="s">
        <v>138</v>
      </c>
      <c r="D862" s="9" t="s">
        <v>395</v>
      </c>
      <c r="E862" s="9" t="s">
        <v>1168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0.24</v>
      </c>
    </row>
    <row r="863">
      <c r="A863" s="23">
        <v>12453</v>
      </c>
      <c r="B863" s="4" t="s">
        <v>1169</v>
      </c>
      <c r="C863" s="4" t="s">
        <v>582</v>
      </c>
      <c r="D863" s="4" t="s">
        <v>608</v>
      </c>
      <c r="E863" s="4" t="s">
        <v>518</v>
      </c>
      <c r="F863" s="6">
        <v>2</v>
      </c>
      <c r="G863" s="5">
        <v>1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5">
        <v>1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0.26</v>
      </c>
    </row>
    <row r="864">
      <c r="A864" s="24">
        <v>12483</v>
      </c>
      <c r="B864" s="9" t="s">
        <v>1170</v>
      </c>
      <c r="C864" s="9" t="s">
        <v>138</v>
      </c>
      <c r="D864" s="9" t="s">
        <v>139</v>
      </c>
      <c r="E864" s="9" t="s">
        <v>140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12495</v>
      </c>
      <c r="B865" s="4" t="s">
        <v>1171</v>
      </c>
      <c r="C865" s="4" t="s">
        <v>152</v>
      </c>
      <c r="D865" s="4" t="s">
        <v>153</v>
      </c>
      <c r="E865" s="4" t="s">
        <v>1172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12518</v>
      </c>
      <c r="B866" s="9" t="s">
        <v>1173</v>
      </c>
      <c r="C866" s="9" t="s">
        <v>582</v>
      </c>
      <c r="D866" s="9" t="s">
        <v>999</v>
      </c>
      <c r="E866" s="9" t="s">
        <v>518</v>
      </c>
      <c r="F866" s="11">
        <v>1</v>
      </c>
      <c r="G866" s="12">
        <v>0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12614</v>
      </c>
      <c r="B867" s="4" t="s">
        <v>1174</v>
      </c>
      <c r="C867" s="4" t="s">
        <v>590</v>
      </c>
      <c r="D867" s="4" t="s">
        <v>591</v>
      </c>
      <c r="E867" s="4" t="s">
        <v>518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12617</v>
      </c>
      <c r="B868" s="9" t="s">
        <v>1175</v>
      </c>
      <c r="C868" s="9" t="s">
        <v>138</v>
      </c>
      <c r="D868" s="9" t="s">
        <v>434</v>
      </c>
      <c r="E868" s="9" t="s">
        <v>478</v>
      </c>
      <c r="F868" s="11">
        <v>1</v>
      </c>
      <c r="G868" s="12">
        <v>0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0.22</v>
      </c>
    </row>
    <row r="869">
      <c r="A869" s="23">
        <v>12649</v>
      </c>
      <c r="B869" s="4" t="s">
        <v>1176</v>
      </c>
      <c r="C869" s="4" t="s">
        <v>582</v>
      </c>
      <c r="D869" s="4" t="s">
        <v>608</v>
      </c>
      <c r="E869" s="4" t="s">
        <v>518</v>
      </c>
      <c r="F869" s="6">
        <v>2</v>
      </c>
      <c r="G869" s="7">
        <v>0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7">
        <v>0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0.52</v>
      </c>
    </row>
    <row r="870">
      <c r="A870" s="24">
        <v>12650</v>
      </c>
      <c r="B870" s="9" t="s">
        <v>1177</v>
      </c>
      <c r="C870" s="9" t="s">
        <v>138</v>
      </c>
      <c r="D870" s="9" t="s">
        <v>139</v>
      </c>
      <c r="E870" s="9" t="s">
        <v>422</v>
      </c>
      <c r="F870" s="11">
        <v>2</v>
      </c>
      <c r="G870" s="10">
        <v>1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0">
        <v>1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0.24</v>
      </c>
    </row>
    <row r="871">
      <c r="A871" s="23">
        <v>12699</v>
      </c>
      <c r="B871" s="4" t="s">
        <v>1178</v>
      </c>
      <c r="C871" s="4" t="s">
        <v>516</v>
      </c>
      <c r="D871" s="4" t="s">
        <v>722</v>
      </c>
      <c r="E871" s="4" t="s">
        <v>518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12763</v>
      </c>
      <c r="B872" s="9" t="s">
        <v>1179</v>
      </c>
      <c r="C872" s="9" t="s">
        <v>66</v>
      </c>
      <c r="D872" s="9" t="s">
        <v>67</v>
      </c>
      <c r="E872" s="9" t="s">
        <v>70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</v>
      </c>
    </row>
    <row r="873">
      <c r="A873" s="23">
        <v>12766</v>
      </c>
      <c r="B873" s="4" t="s">
        <v>1180</v>
      </c>
      <c r="C873" s="4" t="s">
        <v>986</v>
      </c>
      <c r="D873" s="4" t="s">
        <v>1019</v>
      </c>
      <c r="E873" s="4" t="s">
        <v>1181</v>
      </c>
      <c r="F873" s="6">
        <v>4</v>
      </c>
      <c r="G873" s="7">
        <v>0</v>
      </c>
      <c r="H873" s="5">
        <v>3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4</v>
      </c>
      <c r="V873" s="7">
        <v>0</v>
      </c>
      <c r="W873" s="5">
        <v>3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1.33</v>
      </c>
      <c r="AL873" s="5">
        <v>1</v>
      </c>
      <c r="AM873" s="5">
        <v>2</v>
      </c>
      <c r="AN873" s="28">
        <v>1.04</v>
      </c>
    </row>
    <row r="874">
      <c r="A874" s="24">
        <v>12799</v>
      </c>
      <c r="B874" s="9" t="s">
        <v>1182</v>
      </c>
      <c r="C874" s="9" t="s">
        <v>66</v>
      </c>
      <c r="D874" s="9" t="s">
        <v>67</v>
      </c>
      <c r="E874" s="9" t="s">
        <v>70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12809</v>
      </c>
      <c r="B875" s="4" t="s">
        <v>1183</v>
      </c>
      <c r="C875" s="4" t="s">
        <v>66</v>
      </c>
      <c r="D875" s="4" t="s">
        <v>75</v>
      </c>
      <c r="E875" s="4" t="s">
        <v>76</v>
      </c>
      <c r="F875" s="6">
        <v>1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12826</v>
      </c>
      <c r="B876" s="9" t="s">
        <v>1184</v>
      </c>
      <c r="C876" s="9" t="s">
        <v>66</v>
      </c>
      <c r="D876" s="9" t="s">
        <v>110</v>
      </c>
      <c r="E876" s="9" t="s">
        <v>147</v>
      </c>
      <c r="F876" s="11">
        <v>2</v>
      </c>
      <c r="G876" s="12">
        <v>0</v>
      </c>
      <c r="H876" s="10">
        <v>2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2">
        <v>0</v>
      </c>
      <c r="W876" s="10">
        <v>2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0.52</v>
      </c>
    </row>
    <row r="877">
      <c r="A877" s="23">
        <v>12836</v>
      </c>
      <c r="B877" s="4" t="s">
        <v>1185</v>
      </c>
      <c r="C877" s="4" t="s">
        <v>66</v>
      </c>
      <c r="D877" s="4" t="s">
        <v>124</v>
      </c>
      <c r="E877" s="4" t="s">
        <v>322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12856</v>
      </c>
      <c r="B878" s="9" t="s">
        <v>1186</v>
      </c>
      <c r="C878" s="9" t="s">
        <v>590</v>
      </c>
      <c r="D878" s="9" t="s">
        <v>659</v>
      </c>
      <c r="E878" s="9" t="s">
        <v>518</v>
      </c>
      <c r="F878" s="11">
        <v>3</v>
      </c>
      <c r="G878" s="12">
        <v>0</v>
      </c>
      <c r="H878" s="10">
        <v>3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3</v>
      </c>
      <c r="V878" s="12">
        <v>0</v>
      </c>
      <c r="W878" s="10">
        <v>3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29">
        <v>0.75</v>
      </c>
    </row>
    <row r="879">
      <c r="A879" s="23">
        <v>12894</v>
      </c>
      <c r="B879" s="4" t="s">
        <v>1187</v>
      </c>
      <c r="C879" s="4" t="s">
        <v>66</v>
      </c>
      <c r="D879" s="4" t="s">
        <v>67</v>
      </c>
      <c r="E879" s="4" t="s">
        <v>70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12910</v>
      </c>
      <c r="B880" s="9" t="s">
        <v>1188</v>
      </c>
      <c r="C880" s="9" t="s">
        <v>66</v>
      </c>
      <c r="D880" s="9" t="s">
        <v>95</v>
      </c>
      <c r="E880" s="9" t="s">
        <v>602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0.39</v>
      </c>
    </row>
    <row r="881">
      <c r="A881" s="23">
        <v>13008</v>
      </c>
      <c r="B881" s="4" t="s">
        <v>1189</v>
      </c>
      <c r="C881" s="4" t="s">
        <v>66</v>
      </c>
      <c r="D881" s="4" t="s">
        <v>75</v>
      </c>
      <c r="E881" s="4" t="s">
        <v>76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13066</v>
      </c>
      <c r="B882" s="9" t="s">
        <v>1190</v>
      </c>
      <c r="C882" s="9" t="s">
        <v>66</v>
      </c>
      <c r="D882" s="9" t="s">
        <v>84</v>
      </c>
      <c r="E882" s="9" t="s">
        <v>85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13075</v>
      </c>
      <c r="B883" s="4" t="s">
        <v>1191</v>
      </c>
      <c r="C883" s="4" t="s">
        <v>66</v>
      </c>
      <c r="D883" s="4" t="s">
        <v>75</v>
      </c>
      <c r="E883" s="4" t="s">
        <v>76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13168</v>
      </c>
      <c r="B884" s="9" t="s">
        <v>1192</v>
      </c>
      <c r="C884" s="9" t="s">
        <v>66</v>
      </c>
      <c r="D884" s="9" t="s">
        <v>75</v>
      </c>
      <c r="E884" s="9" t="s">
        <v>127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0.37</v>
      </c>
    </row>
    <row r="885">
      <c r="A885" s="23">
        <v>13203</v>
      </c>
      <c r="B885" s="4" t="s">
        <v>1193</v>
      </c>
      <c r="C885" s="4" t="s">
        <v>66</v>
      </c>
      <c r="D885" s="4" t="s">
        <v>75</v>
      </c>
      <c r="E885" s="4" t="s">
        <v>370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30">
        <v>0</v>
      </c>
    </row>
    <row r="886">
      <c r="A886" s="24">
        <v>13225</v>
      </c>
      <c r="B886" s="9" t="s">
        <v>1194</v>
      </c>
      <c r="C886" s="9" t="s">
        <v>66</v>
      </c>
      <c r="D886" s="9" t="s">
        <v>87</v>
      </c>
      <c r="E886" s="9" t="s">
        <v>156</v>
      </c>
      <c r="F886" s="11">
        <v>11</v>
      </c>
      <c r="G886" s="10">
        <v>4</v>
      </c>
      <c r="H886" s="12">
        <v>0</v>
      </c>
      <c r="I886" s="10">
        <v>2</v>
      </c>
      <c r="J886" s="10">
        <v>5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5</v>
      </c>
      <c r="V886" s="10">
        <v>2</v>
      </c>
      <c r="W886" s="12">
        <v>0</v>
      </c>
      <c r="X886" s="10">
        <v>1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3.67</v>
      </c>
      <c r="AL886" s="10">
        <v>4</v>
      </c>
      <c r="AM886" s="10">
        <v>5</v>
      </c>
      <c r="AN886" s="29">
        <v>0.5</v>
      </c>
    </row>
    <row r="887">
      <c r="A887" s="23">
        <v>13261</v>
      </c>
      <c r="B887" s="4" t="s">
        <v>1195</v>
      </c>
      <c r="C887" s="4" t="s">
        <v>66</v>
      </c>
      <c r="D887" s="4" t="s">
        <v>81</v>
      </c>
      <c r="E887" s="4" t="s">
        <v>518</v>
      </c>
      <c r="F887" s="6">
        <v>2</v>
      </c>
      <c r="G887" s="5">
        <v>1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5">
        <v>1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13346</v>
      </c>
      <c r="B888" s="9" t="s">
        <v>1196</v>
      </c>
      <c r="C888" s="9" t="s">
        <v>66</v>
      </c>
      <c r="D888" s="9" t="s">
        <v>81</v>
      </c>
      <c r="E888" s="9" t="s">
        <v>1052</v>
      </c>
      <c r="F888" s="11">
        <v>1</v>
      </c>
      <c r="G888" s="12">
        <v>0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13361</v>
      </c>
      <c r="B889" s="4" t="s">
        <v>1197</v>
      </c>
      <c r="C889" s="4" t="s">
        <v>66</v>
      </c>
      <c r="D889" s="4" t="s">
        <v>72</v>
      </c>
      <c r="E889" s="4" t="s">
        <v>439</v>
      </c>
      <c r="F889" s="6">
        <v>2</v>
      </c>
      <c r="G889" s="7">
        <v>0</v>
      </c>
      <c r="H889" s="7">
        <v>0</v>
      </c>
      <c r="I889" s="5">
        <v>2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7">
        <v>0</v>
      </c>
      <c r="W889" s="7">
        <v>0</v>
      </c>
      <c r="X889" s="5">
        <v>2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0.52</v>
      </c>
    </row>
    <row r="890">
      <c r="A890" s="24">
        <v>13379</v>
      </c>
      <c r="B890" s="9" t="s">
        <v>1198</v>
      </c>
      <c r="C890" s="9" t="s">
        <v>66</v>
      </c>
      <c r="D890" s="9" t="s">
        <v>67</v>
      </c>
      <c r="E890" s="9" t="s">
        <v>70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13417</v>
      </c>
      <c r="B891" s="4" t="s">
        <v>1199</v>
      </c>
      <c r="C891" s="4" t="s">
        <v>66</v>
      </c>
      <c r="D891" s="4" t="s">
        <v>102</v>
      </c>
      <c r="E891" s="4" t="s">
        <v>215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13438</v>
      </c>
      <c r="B892" s="9" t="s">
        <v>1200</v>
      </c>
      <c r="C892" s="9" t="s">
        <v>66</v>
      </c>
      <c r="D892" s="9" t="s">
        <v>102</v>
      </c>
      <c r="E892" s="9" t="s">
        <v>131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13456</v>
      </c>
      <c r="B893" s="4" t="s">
        <v>1201</v>
      </c>
      <c r="C893" s="4" t="s">
        <v>66</v>
      </c>
      <c r="D893" s="4" t="s">
        <v>102</v>
      </c>
      <c r="E893" s="4" t="s">
        <v>215</v>
      </c>
      <c r="F893" s="6">
        <v>3</v>
      </c>
      <c r="G893" s="5">
        <v>2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5">
        <v>2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0.25</v>
      </c>
    </row>
    <row r="894">
      <c r="A894" s="24">
        <v>13467</v>
      </c>
      <c r="B894" s="9" t="s">
        <v>1202</v>
      </c>
      <c r="C894" s="9" t="s">
        <v>66</v>
      </c>
      <c r="D894" s="9" t="s">
        <v>102</v>
      </c>
      <c r="E894" s="9" t="s">
        <v>215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13472</v>
      </c>
      <c r="B895" s="4" t="s">
        <v>1203</v>
      </c>
      <c r="C895" s="4" t="s">
        <v>66</v>
      </c>
      <c r="D895" s="4" t="s">
        <v>102</v>
      </c>
      <c r="E895" s="4" t="s">
        <v>131</v>
      </c>
      <c r="F895" s="6">
        <v>4</v>
      </c>
      <c r="G895" s="5">
        <v>4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1.33</v>
      </c>
      <c r="AL895" s="5">
        <v>1</v>
      </c>
      <c r="AM895" s="5">
        <v>2</v>
      </c>
      <c r="AN895" s="28">
        <v>0.5</v>
      </c>
    </row>
    <row r="896">
      <c r="A896" s="24">
        <v>13478</v>
      </c>
      <c r="B896" s="9" t="s">
        <v>1204</v>
      </c>
      <c r="C896" s="9" t="s">
        <v>66</v>
      </c>
      <c r="D896" s="9" t="s">
        <v>102</v>
      </c>
      <c r="E896" s="9" t="s">
        <v>103</v>
      </c>
      <c r="F896" s="11">
        <v>2</v>
      </c>
      <c r="G896" s="10">
        <v>1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1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0.24</v>
      </c>
    </row>
    <row r="897">
      <c r="A897" s="23">
        <v>13492</v>
      </c>
      <c r="B897" s="4" t="s">
        <v>1205</v>
      </c>
      <c r="C897" s="4" t="s">
        <v>66</v>
      </c>
      <c r="D897" s="4" t="s">
        <v>75</v>
      </c>
      <c r="E897" s="4" t="s">
        <v>370</v>
      </c>
      <c r="F897" s="6">
        <v>2</v>
      </c>
      <c r="G897" s="7">
        <v>0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7">
        <v>0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0.52</v>
      </c>
    </row>
    <row r="898">
      <c r="A898" s="24">
        <v>13503</v>
      </c>
      <c r="B898" s="9" t="s">
        <v>1206</v>
      </c>
      <c r="C898" s="9" t="s">
        <v>66</v>
      </c>
      <c r="D898" s="9" t="s">
        <v>95</v>
      </c>
      <c r="E898" s="9" t="s">
        <v>892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1">
        <v>0</v>
      </c>
    </row>
    <row r="899">
      <c r="A899" s="23">
        <v>13508</v>
      </c>
      <c r="B899" s="4" t="s">
        <v>1207</v>
      </c>
      <c r="C899" s="4" t="s">
        <v>66</v>
      </c>
      <c r="D899" s="4" t="s">
        <v>67</v>
      </c>
      <c r="E899" s="4" t="s">
        <v>68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13532</v>
      </c>
      <c r="B900" s="9" t="s">
        <v>1208</v>
      </c>
      <c r="C900" s="9" t="s">
        <v>66</v>
      </c>
      <c r="D900" s="9" t="s">
        <v>81</v>
      </c>
      <c r="E900" s="9" t="s">
        <v>134</v>
      </c>
      <c r="F900" s="11">
        <v>2</v>
      </c>
      <c r="G900" s="10">
        <v>1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1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0.36</v>
      </c>
    </row>
    <row r="901">
      <c r="A901" s="23">
        <v>13550</v>
      </c>
      <c r="B901" s="4" t="s">
        <v>1209</v>
      </c>
      <c r="C901" s="4" t="s">
        <v>986</v>
      </c>
      <c r="D901" s="4" t="s">
        <v>1024</v>
      </c>
      <c r="E901" s="4" t="s">
        <v>1210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13567</v>
      </c>
      <c r="B902" s="9" t="s">
        <v>1211</v>
      </c>
      <c r="C902" s="9" t="s">
        <v>152</v>
      </c>
      <c r="D902" s="9" t="s">
        <v>403</v>
      </c>
      <c r="E902" s="9" t="s">
        <v>404</v>
      </c>
      <c r="F902" s="11">
        <v>2</v>
      </c>
      <c r="G902" s="10">
        <v>1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2</v>
      </c>
      <c r="V902" s="10">
        <v>1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1">
        <v>0</v>
      </c>
    </row>
    <row r="903">
      <c r="A903" s="23">
        <v>13577</v>
      </c>
      <c r="B903" s="4" t="s">
        <v>1212</v>
      </c>
      <c r="C903" s="4" t="s">
        <v>152</v>
      </c>
      <c r="D903" s="4" t="s">
        <v>169</v>
      </c>
      <c r="E903" s="4" t="s">
        <v>185</v>
      </c>
      <c r="F903" s="6">
        <v>2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13586</v>
      </c>
      <c r="B904" s="9" t="s">
        <v>1213</v>
      </c>
      <c r="C904" s="9" t="s">
        <v>66</v>
      </c>
      <c r="D904" s="9" t="s">
        <v>81</v>
      </c>
      <c r="E904" s="9" t="s">
        <v>416</v>
      </c>
      <c r="F904" s="11">
        <v>2</v>
      </c>
      <c r="G904" s="12">
        <v>0</v>
      </c>
      <c r="H904" s="12">
        <v>0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2">
        <v>0</v>
      </c>
      <c r="W904" s="12">
        <v>0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13598</v>
      </c>
      <c r="B905" s="4" t="s">
        <v>1214</v>
      </c>
      <c r="C905" s="4" t="s">
        <v>66</v>
      </c>
      <c r="D905" s="4" t="s">
        <v>67</v>
      </c>
      <c r="E905" s="4" t="s">
        <v>70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13672</v>
      </c>
      <c r="B906" s="9" t="s">
        <v>1215</v>
      </c>
      <c r="C906" s="9" t="s">
        <v>66</v>
      </c>
      <c r="D906" s="9" t="s">
        <v>67</v>
      </c>
      <c r="E906" s="9" t="s">
        <v>70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13692</v>
      </c>
      <c r="B907" s="4" t="s">
        <v>1216</v>
      </c>
      <c r="C907" s="4" t="s">
        <v>66</v>
      </c>
      <c r="D907" s="4" t="s">
        <v>72</v>
      </c>
      <c r="E907" s="4" t="s">
        <v>906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30">
        <v>0</v>
      </c>
    </row>
    <row r="908">
      <c r="A908" s="24">
        <v>13727</v>
      </c>
      <c r="B908" s="9" t="s">
        <v>1217</v>
      </c>
      <c r="C908" s="9" t="s">
        <v>66</v>
      </c>
      <c r="D908" s="9" t="s">
        <v>81</v>
      </c>
      <c r="E908" s="9" t="s">
        <v>82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13757</v>
      </c>
      <c r="B909" s="4" t="s">
        <v>1218</v>
      </c>
      <c r="C909" s="4" t="s">
        <v>66</v>
      </c>
      <c r="D909" s="4" t="s">
        <v>67</v>
      </c>
      <c r="E909" s="4" t="s">
        <v>68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13800</v>
      </c>
      <c r="B910" s="9" t="s">
        <v>1219</v>
      </c>
      <c r="C910" s="9" t="s">
        <v>66</v>
      </c>
      <c r="D910" s="9" t="s">
        <v>110</v>
      </c>
      <c r="E910" s="9" t="s">
        <v>111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1">
        <v>0</v>
      </c>
    </row>
    <row r="911">
      <c r="A911" s="23">
        <v>13862</v>
      </c>
      <c r="B911" s="4" t="s">
        <v>1220</v>
      </c>
      <c r="C911" s="4" t="s">
        <v>66</v>
      </c>
      <c r="D911" s="4" t="s">
        <v>110</v>
      </c>
      <c r="E911" s="4" t="s">
        <v>113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13905</v>
      </c>
      <c r="B912" s="9" t="s">
        <v>1221</v>
      </c>
      <c r="C912" s="9" t="s">
        <v>66</v>
      </c>
      <c r="D912" s="9" t="s">
        <v>81</v>
      </c>
      <c r="E912" s="9" t="s">
        <v>209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13913</v>
      </c>
      <c r="B913" s="4" t="s">
        <v>1222</v>
      </c>
      <c r="C913" s="4" t="s">
        <v>66</v>
      </c>
      <c r="D913" s="4" t="s">
        <v>84</v>
      </c>
      <c r="E913" s="4" t="s">
        <v>90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13914</v>
      </c>
      <c r="B914" s="9" t="s">
        <v>1223</v>
      </c>
      <c r="C914" s="9" t="s">
        <v>66</v>
      </c>
      <c r="D914" s="9" t="s">
        <v>124</v>
      </c>
      <c r="E914" s="9" t="s">
        <v>322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1">
        <v>0</v>
      </c>
    </row>
    <row r="915">
      <c r="A915" s="23">
        <v>13917</v>
      </c>
      <c r="B915" s="4" t="s">
        <v>1224</v>
      </c>
      <c r="C915" s="4" t="s">
        <v>66</v>
      </c>
      <c r="D915" s="4" t="s">
        <v>67</v>
      </c>
      <c r="E915" s="4" t="s">
        <v>70</v>
      </c>
      <c r="F915" s="6">
        <v>3</v>
      </c>
      <c r="G915" s="5">
        <v>3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5">
        <v>3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30">
        <v>0</v>
      </c>
    </row>
    <row r="916">
      <c r="A916" s="24">
        <v>14055</v>
      </c>
      <c r="B916" s="9" t="s">
        <v>1225</v>
      </c>
      <c r="C916" s="9" t="s">
        <v>66</v>
      </c>
      <c r="D916" s="9" t="s">
        <v>110</v>
      </c>
      <c r="E916" s="9" t="s">
        <v>111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1">
        <v>0</v>
      </c>
    </row>
    <row r="917">
      <c r="A917" s="23">
        <v>14065</v>
      </c>
      <c r="B917" s="4" t="s">
        <v>1226</v>
      </c>
      <c r="C917" s="4" t="s">
        <v>152</v>
      </c>
      <c r="D917" s="4" t="s">
        <v>169</v>
      </c>
      <c r="E917" s="4" t="s">
        <v>176</v>
      </c>
      <c r="F917" s="6">
        <v>2</v>
      </c>
      <c r="G917" s="5">
        <v>1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5">
        <v>1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14069</v>
      </c>
      <c r="B918" s="9" t="s">
        <v>1227</v>
      </c>
      <c r="C918" s="9" t="s">
        <v>582</v>
      </c>
      <c r="D918" s="9" t="s">
        <v>635</v>
      </c>
      <c r="E918" s="9" t="s">
        <v>518</v>
      </c>
      <c r="F918" s="11">
        <v>2</v>
      </c>
      <c r="G918" s="12">
        <v>0</v>
      </c>
      <c r="H918" s="12">
        <v>0</v>
      </c>
      <c r="I918" s="10">
        <v>2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2">
        <v>0</v>
      </c>
      <c r="X918" s="10">
        <v>2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31">
        <v>0</v>
      </c>
    </row>
    <row r="919">
      <c r="A919" s="23">
        <v>14081</v>
      </c>
      <c r="B919" s="4" t="s">
        <v>1228</v>
      </c>
      <c r="C919" s="4" t="s">
        <v>66</v>
      </c>
      <c r="D919" s="4" t="s">
        <v>84</v>
      </c>
      <c r="E919" s="4" t="s">
        <v>85</v>
      </c>
      <c r="F919" s="6">
        <v>3</v>
      </c>
      <c r="G919" s="5">
        <v>2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3</v>
      </c>
      <c r="V919" s="5">
        <v>2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0.75</v>
      </c>
    </row>
    <row r="920">
      <c r="A920" s="24">
        <v>14092</v>
      </c>
      <c r="B920" s="9" t="s">
        <v>1229</v>
      </c>
      <c r="C920" s="9" t="s">
        <v>66</v>
      </c>
      <c r="D920" s="9" t="s">
        <v>87</v>
      </c>
      <c r="E920" s="9" t="s">
        <v>156</v>
      </c>
      <c r="F920" s="11">
        <v>2</v>
      </c>
      <c r="G920" s="10">
        <v>1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1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14158</v>
      </c>
      <c r="B921" s="4" t="s">
        <v>1230</v>
      </c>
      <c r="C921" s="4" t="s">
        <v>66</v>
      </c>
      <c r="D921" s="4" t="s">
        <v>75</v>
      </c>
      <c r="E921" s="4" t="s">
        <v>79</v>
      </c>
      <c r="F921" s="6">
        <v>2</v>
      </c>
      <c r="G921" s="5">
        <v>1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1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14180</v>
      </c>
      <c r="B922" s="9" t="s">
        <v>1231</v>
      </c>
      <c r="C922" s="9" t="s">
        <v>66</v>
      </c>
      <c r="D922" s="9" t="s">
        <v>95</v>
      </c>
      <c r="E922" s="9" t="s">
        <v>892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31">
        <v>0</v>
      </c>
    </row>
    <row r="923">
      <c r="A923" s="23">
        <v>14191</v>
      </c>
      <c r="B923" s="4" t="s">
        <v>1232</v>
      </c>
      <c r="C923" s="4" t="s">
        <v>986</v>
      </c>
      <c r="D923" s="4" t="s">
        <v>987</v>
      </c>
      <c r="E923" s="4" t="s">
        <v>518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14234</v>
      </c>
      <c r="B924" s="9" t="s">
        <v>1233</v>
      </c>
      <c r="C924" s="9" t="s">
        <v>66</v>
      </c>
      <c r="D924" s="9" t="s">
        <v>110</v>
      </c>
      <c r="E924" s="9" t="s">
        <v>335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14238</v>
      </c>
      <c r="B925" s="4" t="s">
        <v>1234</v>
      </c>
      <c r="C925" s="4" t="s">
        <v>66</v>
      </c>
      <c r="D925" s="4" t="s">
        <v>110</v>
      </c>
      <c r="E925" s="4" t="s">
        <v>207</v>
      </c>
      <c r="F925" s="6">
        <v>2</v>
      </c>
      <c r="G925" s="7">
        <v>0</v>
      </c>
      <c r="H925" s="7">
        <v>0</v>
      </c>
      <c r="I925" s="5">
        <v>2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7">
        <v>0</v>
      </c>
      <c r="W925" s="7">
        <v>0</v>
      </c>
      <c r="X925" s="5">
        <v>2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28">
        <v>0.52</v>
      </c>
    </row>
    <row r="926">
      <c r="A926" s="24">
        <v>14240</v>
      </c>
      <c r="B926" s="9" t="s">
        <v>1235</v>
      </c>
      <c r="C926" s="9" t="s">
        <v>525</v>
      </c>
      <c r="D926" s="9" t="s">
        <v>526</v>
      </c>
      <c r="E926" s="9" t="s">
        <v>1236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2">
        <v>0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0.52</v>
      </c>
    </row>
    <row r="927">
      <c r="A927" s="23">
        <v>14270</v>
      </c>
      <c r="B927" s="4" t="s">
        <v>1237</v>
      </c>
      <c r="C927" s="4" t="s">
        <v>66</v>
      </c>
      <c r="D927" s="4" t="s">
        <v>110</v>
      </c>
      <c r="E927" s="4" t="s">
        <v>121</v>
      </c>
      <c r="F927" s="6">
        <v>2</v>
      </c>
      <c r="G927" s="5">
        <v>1</v>
      </c>
      <c r="H927" s="7">
        <v>0</v>
      </c>
      <c r="I927" s="7">
        <v>0</v>
      </c>
      <c r="J927" s="7">
        <v>0</v>
      </c>
      <c r="K927" s="5">
        <v>1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5">
        <v>1</v>
      </c>
      <c r="W927" s="7">
        <v>0</v>
      </c>
      <c r="X927" s="7">
        <v>0</v>
      </c>
      <c r="Y927" s="7">
        <v>0</v>
      </c>
      <c r="Z927" s="5">
        <v>1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14340</v>
      </c>
      <c r="B928" s="9" t="s">
        <v>243</v>
      </c>
      <c r="C928" s="9" t="s">
        <v>66</v>
      </c>
      <c r="D928" s="9" t="s">
        <v>72</v>
      </c>
      <c r="E928" s="9" t="s">
        <v>439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1">
        <v>0</v>
      </c>
    </row>
    <row r="929">
      <c r="A929" s="23">
        <v>14409</v>
      </c>
      <c r="B929" s="4" t="s">
        <v>1238</v>
      </c>
      <c r="C929" s="4" t="s">
        <v>152</v>
      </c>
      <c r="D929" s="4" t="s">
        <v>1239</v>
      </c>
      <c r="E929" s="4" t="s">
        <v>1240</v>
      </c>
      <c r="F929" s="6">
        <v>1</v>
      </c>
      <c r="G929" s="7">
        <v>0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14418</v>
      </c>
      <c r="B930" s="9" t="s">
        <v>1241</v>
      </c>
      <c r="C930" s="9" t="s">
        <v>66</v>
      </c>
      <c r="D930" s="9" t="s">
        <v>87</v>
      </c>
      <c r="E930" s="9" t="s">
        <v>156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14477</v>
      </c>
      <c r="B931" s="4" t="s">
        <v>1242</v>
      </c>
      <c r="C931" s="4" t="s">
        <v>66</v>
      </c>
      <c r="D931" s="4" t="s">
        <v>110</v>
      </c>
      <c r="E931" s="4" t="s">
        <v>121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14599</v>
      </c>
      <c r="B932" s="9" t="s">
        <v>1243</v>
      </c>
      <c r="C932" s="9" t="s">
        <v>138</v>
      </c>
      <c r="D932" s="9" t="s">
        <v>139</v>
      </c>
      <c r="E932" s="9" t="s">
        <v>422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0.22</v>
      </c>
    </row>
    <row r="933">
      <c r="A933" s="23">
        <v>14601</v>
      </c>
      <c r="B933" s="4" t="s">
        <v>1244</v>
      </c>
      <c r="C933" s="4" t="s">
        <v>138</v>
      </c>
      <c r="D933" s="4" t="s">
        <v>395</v>
      </c>
      <c r="E933" s="4" t="s">
        <v>876</v>
      </c>
      <c r="F933" s="6">
        <v>2</v>
      </c>
      <c r="G933" s="7">
        <v>0</v>
      </c>
      <c r="H933" s="7">
        <v>0</v>
      </c>
      <c r="I933" s="5">
        <v>2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7">
        <v>0</v>
      </c>
      <c r="W933" s="7">
        <v>0</v>
      </c>
      <c r="X933" s="5">
        <v>2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30">
        <v>0</v>
      </c>
    </row>
    <row r="934">
      <c r="A934" s="24">
        <v>14613</v>
      </c>
      <c r="B934" s="9" t="s">
        <v>1245</v>
      </c>
      <c r="C934" s="9" t="s">
        <v>66</v>
      </c>
      <c r="D934" s="9" t="s">
        <v>102</v>
      </c>
      <c r="E934" s="9" t="s">
        <v>215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14624</v>
      </c>
      <c r="B935" s="4" t="s">
        <v>1246</v>
      </c>
      <c r="C935" s="4" t="s">
        <v>138</v>
      </c>
      <c r="D935" s="4" t="s">
        <v>341</v>
      </c>
      <c r="E935" s="4" t="s">
        <v>630</v>
      </c>
      <c r="F935" s="6">
        <v>3</v>
      </c>
      <c r="G935" s="7">
        <v>0</v>
      </c>
      <c r="H935" s="7">
        <v>0</v>
      </c>
      <c r="I935" s="5">
        <v>2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7">
        <v>0</v>
      </c>
      <c r="W935" s="7">
        <v>0</v>
      </c>
      <c r="X935" s="5">
        <v>2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30">
        <v>0</v>
      </c>
    </row>
    <row r="936">
      <c r="A936" s="24">
        <v>14632</v>
      </c>
      <c r="B936" s="9" t="s">
        <v>1247</v>
      </c>
      <c r="C936" s="9" t="s">
        <v>986</v>
      </c>
      <c r="D936" s="9" t="s">
        <v>987</v>
      </c>
      <c r="E936" s="9" t="s">
        <v>1248</v>
      </c>
      <c r="F936" s="11">
        <v>3</v>
      </c>
      <c r="G936" s="12">
        <v>0</v>
      </c>
      <c r="H936" s="10">
        <v>3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2">
        <v>0</v>
      </c>
      <c r="W936" s="10">
        <v>3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29">
        <v>0.66</v>
      </c>
    </row>
    <row r="937">
      <c r="A937" s="23">
        <v>14728</v>
      </c>
      <c r="B937" s="4" t="s">
        <v>1249</v>
      </c>
      <c r="C937" s="4" t="s">
        <v>516</v>
      </c>
      <c r="D937" s="4" t="s">
        <v>520</v>
      </c>
      <c r="E937" s="4" t="s">
        <v>518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0.22</v>
      </c>
    </row>
    <row r="938">
      <c r="A938" s="24">
        <v>14749</v>
      </c>
      <c r="B938" s="9" t="s">
        <v>1250</v>
      </c>
      <c r="C938" s="9" t="s">
        <v>582</v>
      </c>
      <c r="D938" s="9" t="s">
        <v>608</v>
      </c>
      <c r="E938" s="9" t="s">
        <v>518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14789</v>
      </c>
      <c r="B939" s="4" t="s">
        <v>1251</v>
      </c>
      <c r="C939" s="4" t="s">
        <v>66</v>
      </c>
      <c r="D939" s="4" t="s">
        <v>67</v>
      </c>
      <c r="E939" s="4" t="s">
        <v>70</v>
      </c>
      <c r="F939" s="6">
        <v>3</v>
      </c>
      <c r="G939" s="5">
        <v>3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3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</v>
      </c>
      <c r="AK939" s="8">
        <v>3</v>
      </c>
      <c r="AL939" s="5">
        <v>3</v>
      </c>
      <c r="AM939" s="5">
        <v>3</v>
      </c>
      <c r="AN939" s="30">
        <v>0</v>
      </c>
    </row>
    <row r="940">
      <c r="A940" s="24">
        <v>14824</v>
      </c>
      <c r="B940" s="9" t="s">
        <v>1252</v>
      </c>
      <c r="C940" s="9" t="s">
        <v>138</v>
      </c>
      <c r="D940" s="9" t="s">
        <v>1253</v>
      </c>
      <c r="E940" s="9" t="s">
        <v>1254</v>
      </c>
      <c r="F940" s="11">
        <v>2</v>
      </c>
      <c r="G940" s="12">
        <v>0</v>
      </c>
      <c r="H940" s="12">
        <v>0</v>
      </c>
      <c r="I940" s="10">
        <v>2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2">
        <v>0</v>
      </c>
      <c r="W940" s="12">
        <v>0</v>
      </c>
      <c r="X940" s="10">
        <v>2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29">
        <v>0.5</v>
      </c>
    </row>
    <row r="941">
      <c r="A941" s="23">
        <v>14840</v>
      </c>
      <c r="B941" s="4" t="s">
        <v>1255</v>
      </c>
      <c r="C941" s="4" t="s">
        <v>66</v>
      </c>
      <c r="D941" s="4" t="s">
        <v>110</v>
      </c>
      <c r="E941" s="4" t="s">
        <v>111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0.24</v>
      </c>
    </row>
    <row r="942">
      <c r="A942" s="24">
        <v>14855</v>
      </c>
      <c r="B942" s="9" t="s">
        <v>1256</v>
      </c>
      <c r="C942" s="9" t="s">
        <v>66</v>
      </c>
      <c r="D942" s="9" t="s">
        <v>142</v>
      </c>
      <c r="E942" s="9" t="s">
        <v>143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14865</v>
      </c>
      <c r="B943" s="4" t="s">
        <v>1257</v>
      </c>
      <c r="C943" s="4" t="s">
        <v>66</v>
      </c>
      <c r="D943" s="4" t="s">
        <v>67</v>
      </c>
      <c r="E943" s="4" t="s">
        <v>166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14877</v>
      </c>
      <c r="B944" s="9" t="s">
        <v>1258</v>
      </c>
      <c r="C944" s="9" t="s">
        <v>66</v>
      </c>
      <c r="D944" s="9" t="s">
        <v>75</v>
      </c>
      <c r="E944" s="9" t="s">
        <v>127</v>
      </c>
      <c r="F944" s="11">
        <v>2</v>
      </c>
      <c r="G944" s="12">
        <v>0</v>
      </c>
      <c r="H944" s="10">
        <v>2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29">
        <v>0.26</v>
      </c>
    </row>
    <row r="945">
      <c r="A945" s="23">
        <v>14883</v>
      </c>
      <c r="B945" s="4" t="s">
        <v>1259</v>
      </c>
      <c r="C945" s="4" t="s">
        <v>66</v>
      </c>
      <c r="D945" s="4" t="s">
        <v>81</v>
      </c>
      <c r="E945" s="4" t="s">
        <v>100</v>
      </c>
      <c r="F945" s="6">
        <v>2</v>
      </c>
      <c r="G945" s="7">
        <v>0</v>
      </c>
      <c r="H945" s="5">
        <v>1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5">
        <v>1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0.5</v>
      </c>
    </row>
    <row r="946">
      <c r="A946" s="24">
        <v>14901</v>
      </c>
      <c r="B946" s="9" t="s">
        <v>1260</v>
      </c>
      <c r="C946" s="9" t="s">
        <v>138</v>
      </c>
      <c r="D946" s="9" t="s">
        <v>398</v>
      </c>
      <c r="E946" s="9" t="s">
        <v>399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0.24</v>
      </c>
    </row>
    <row r="947">
      <c r="A947" s="23">
        <v>14902</v>
      </c>
      <c r="B947" s="4" t="s">
        <v>1261</v>
      </c>
      <c r="C947" s="4" t="s">
        <v>138</v>
      </c>
      <c r="D947" s="4" t="s">
        <v>372</v>
      </c>
      <c r="E947" s="4" t="s">
        <v>1262</v>
      </c>
      <c r="F947" s="6">
        <v>1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14932</v>
      </c>
      <c r="B948" s="9" t="s">
        <v>1263</v>
      </c>
      <c r="C948" s="9" t="s">
        <v>138</v>
      </c>
      <c r="D948" s="9" t="s">
        <v>341</v>
      </c>
      <c r="E948" s="9" t="s">
        <v>352</v>
      </c>
      <c r="F948" s="11">
        <v>2</v>
      </c>
      <c r="G948" s="12">
        <v>0</v>
      </c>
      <c r="H948" s="10">
        <v>1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2">
        <v>0</v>
      </c>
      <c r="W948" s="10">
        <v>1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1">
        <v>0</v>
      </c>
    </row>
    <row r="949">
      <c r="A949" s="23">
        <v>14978</v>
      </c>
      <c r="B949" s="4" t="s">
        <v>1264</v>
      </c>
      <c r="C949" s="4" t="s">
        <v>66</v>
      </c>
      <c r="D949" s="4" t="s">
        <v>75</v>
      </c>
      <c r="E949" s="4" t="s">
        <v>76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15010</v>
      </c>
      <c r="B950" s="9" t="s">
        <v>1265</v>
      </c>
      <c r="C950" s="9" t="s">
        <v>152</v>
      </c>
      <c r="D950" s="9" t="s">
        <v>181</v>
      </c>
      <c r="E950" s="9" t="s">
        <v>1097</v>
      </c>
      <c r="F950" s="11">
        <v>1</v>
      </c>
      <c r="G950" s="12">
        <v>0</v>
      </c>
      <c r="H950" s="12">
        <v>0</v>
      </c>
      <c r="I950" s="12">
        <v>0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1">
        <v>0</v>
      </c>
    </row>
    <row r="951">
      <c r="A951" s="23">
        <v>15015</v>
      </c>
      <c r="B951" s="4" t="s">
        <v>1266</v>
      </c>
      <c r="C951" s="4" t="s">
        <v>66</v>
      </c>
      <c r="D951" s="4" t="s">
        <v>87</v>
      </c>
      <c r="E951" s="4" t="s">
        <v>674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0.26</v>
      </c>
    </row>
    <row r="952">
      <c r="A952" s="24">
        <v>15039</v>
      </c>
      <c r="B952" s="9" t="s">
        <v>1267</v>
      </c>
      <c r="C952" s="9" t="s">
        <v>66</v>
      </c>
      <c r="D952" s="9" t="s">
        <v>102</v>
      </c>
      <c r="E952" s="9" t="s">
        <v>359</v>
      </c>
      <c r="F952" s="11">
        <v>3</v>
      </c>
      <c r="G952" s="10">
        <v>3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3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31">
        <v>0</v>
      </c>
    </row>
    <row r="953">
      <c r="A953" s="23">
        <v>15040</v>
      </c>
      <c r="B953" s="4" t="s">
        <v>1268</v>
      </c>
      <c r="C953" s="4" t="s">
        <v>66</v>
      </c>
      <c r="D953" s="4" t="s">
        <v>102</v>
      </c>
      <c r="E953" s="4" t="s">
        <v>131</v>
      </c>
      <c r="F953" s="6">
        <v>1</v>
      </c>
      <c r="G953" s="7">
        <v>0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0.22</v>
      </c>
    </row>
    <row r="954">
      <c r="A954" s="24">
        <v>15094</v>
      </c>
      <c r="B954" s="9" t="s">
        <v>1269</v>
      </c>
      <c r="C954" s="9" t="s">
        <v>138</v>
      </c>
      <c r="D954" s="9" t="s">
        <v>512</v>
      </c>
      <c r="E954" s="9" t="s">
        <v>587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0.22</v>
      </c>
    </row>
    <row r="955">
      <c r="A955" s="23">
        <v>15222</v>
      </c>
      <c r="B955" s="4" t="s">
        <v>1270</v>
      </c>
      <c r="C955" s="4" t="s">
        <v>138</v>
      </c>
      <c r="D955" s="4" t="s">
        <v>139</v>
      </c>
      <c r="E955" s="4" t="s">
        <v>1271</v>
      </c>
      <c r="F955" s="6">
        <v>3</v>
      </c>
      <c r="G955" s="7">
        <v>0</v>
      </c>
      <c r="H955" s="5">
        <v>3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7">
        <v>0</v>
      </c>
      <c r="W955" s="5">
        <v>3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0.51</v>
      </c>
    </row>
    <row r="956">
      <c r="A956" s="24">
        <v>15322</v>
      </c>
      <c r="B956" s="9" t="s">
        <v>1272</v>
      </c>
      <c r="C956" s="9" t="s">
        <v>66</v>
      </c>
      <c r="D956" s="9" t="s">
        <v>110</v>
      </c>
      <c r="E956" s="9" t="s">
        <v>111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15330</v>
      </c>
      <c r="B957" s="4" t="s">
        <v>1273</v>
      </c>
      <c r="C957" s="4" t="s">
        <v>66</v>
      </c>
      <c r="D957" s="4" t="s">
        <v>67</v>
      </c>
      <c r="E957" s="4" t="s">
        <v>70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15332</v>
      </c>
      <c r="B958" s="9" t="s">
        <v>1274</v>
      </c>
      <c r="C958" s="9" t="s">
        <v>138</v>
      </c>
      <c r="D958" s="9" t="s">
        <v>512</v>
      </c>
      <c r="E958" s="9" t="s">
        <v>573</v>
      </c>
      <c r="F958" s="11">
        <v>2</v>
      </c>
      <c r="G958" s="10">
        <v>1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0">
        <v>1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0.22</v>
      </c>
    </row>
    <row r="959">
      <c r="A959" s="23">
        <v>15375</v>
      </c>
      <c r="B959" s="4" t="s">
        <v>1275</v>
      </c>
      <c r="C959" s="4" t="s">
        <v>66</v>
      </c>
      <c r="D959" s="4" t="s">
        <v>84</v>
      </c>
      <c r="E959" s="4" t="s">
        <v>98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0.35</v>
      </c>
    </row>
    <row r="960">
      <c r="A960" s="24">
        <v>15377</v>
      </c>
      <c r="B960" s="9" t="s">
        <v>1276</v>
      </c>
      <c r="C960" s="9" t="s">
        <v>66</v>
      </c>
      <c r="D960" s="9" t="s">
        <v>67</v>
      </c>
      <c r="E960" s="9" t="s">
        <v>70</v>
      </c>
      <c r="F960" s="11">
        <v>1</v>
      </c>
      <c r="G960" s="12">
        <v>0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1">
        <v>0</v>
      </c>
    </row>
    <row r="961">
      <c r="A961" s="23">
        <v>15415</v>
      </c>
      <c r="B961" s="4" t="s">
        <v>1277</v>
      </c>
      <c r="C961" s="4" t="s">
        <v>66</v>
      </c>
      <c r="D961" s="4" t="s">
        <v>110</v>
      </c>
      <c r="E961" s="4" t="s">
        <v>111</v>
      </c>
      <c r="F961" s="6">
        <v>2</v>
      </c>
      <c r="G961" s="7">
        <v>0</v>
      </c>
      <c r="H961" s="7">
        <v>0</v>
      </c>
      <c r="I961" s="5">
        <v>2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7">
        <v>0</v>
      </c>
      <c r="W961" s="7">
        <v>0</v>
      </c>
      <c r="X961" s="5">
        <v>2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0.48</v>
      </c>
    </row>
    <row r="962">
      <c r="A962" s="24">
        <v>15544</v>
      </c>
      <c r="B962" s="9" t="s">
        <v>1278</v>
      </c>
      <c r="C962" s="9" t="s">
        <v>66</v>
      </c>
      <c r="D962" s="9" t="s">
        <v>110</v>
      </c>
      <c r="E962" s="9" t="s">
        <v>147</v>
      </c>
      <c r="F962" s="11">
        <v>2</v>
      </c>
      <c r="G962" s="10">
        <v>1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2</v>
      </c>
      <c r="V962" s="10">
        <v>1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1">
        <v>0</v>
      </c>
    </row>
    <row r="963">
      <c r="A963" s="23">
        <v>15556</v>
      </c>
      <c r="B963" s="4" t="s">
        <v>1279</v>
      </c>
      <c r="C963" s="4" t="s">
        <v>582</v>
      </c>
      <c r="D963" s="4" t="s">
        <v>797</v>
      </c>
      <c r="E963" s="4" t="s">
        <v>518</v>
      </c>
      <c r="F963" s="6">
        <v>4</v>
      </c>
      <c r="G963" s="7">
        <v>0</v>
      </c>
      <c r="H963" s="7">
        <v>0</v>
      </c>
      <c r="I963" s="5">
        <v>2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7">
        <v>0</v>
      </c>
      <c r="W963" s="7">
        <v>0</v>
      </c>
      <c r="X963" s="5">
        <v>2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30">
        <v>0</v>
      </c>
    </row>
    <row r="964">
      <c r="A964" s="24">
        <v>15623</v>
      </c>
      <c r="B964" s="9" t="s">
        <v>1280</v>
      </c>
      <c r="C964" s="9" t="s">
        <v>138</v>
      </c>
      <c r="D964" s="9" t="s">
        <v>1253</v>
      </c>
      <c r="E964" s="9" t="s">
        <v>1281</v>
      </c>
      <c r="F964" s="11">
        <v>2</v>
      </c>
      <c r="G964" s="12">
        <v>0</v>
      </c>
      <c r="H964" s="10">
        <v>2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2">
        <v>0</v>
      </c>
      <c r="W964" s="10">
        <v>2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29">
        <v>0.44</v>
      </c>
    </row>
    <row r="965">
      <c r="A965" s="23">
        <v>15730</v>
      </c>
      <c r="B965" s="4" t="s">
        <v>1282</v>
      </c>
      <c r="C965" s="4" t="s">
        <v>138</v>
      </c>
      <c r="D965" s="4" t="s">
        <v>233</v>
      </c>
      <c r="E965" s="4" t="s">
        <v>234</v>
      </c>
      <c r="F965" s="6">
        <v>3</v>
      </c>
      <c r="G965" s="7">
        <v>0</v>
      </c>
      <c r="H965" s="7">
        <v>0</v>
      </c>
      <c r="I965" s="5">
        <v>1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3</v>
      </c>
      <c r="V965" s="7">
        <v>0</v>
      </c>
      <c r="W965" s="7">
        <v>0</v>
      </c>
      <c r="X965" s="5">
        <v>1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0.75</v>
      </c>
    </row>
    <row r="966">
      <c r="A966" s="24">
        <v>15748</v>
      </c>
      <c r="B966" s="9" t="s">
        <v>1283</v>
      </c>
      <c r="C966" s="9" t="s">
        <v>66</v>
      </c>
      <c r="D966" s="9" t="s">
        <v>142</v>
      </c>
      <c r="E966" s="9" t="s">
        <v>143</v>
      </c>
      <c r="F966" s="11">
        <v>1</v>
      </c>
      <c r="G966" s="12">
        <v>0</v>
      </c>
      <c r="H966" s="10">
        <v>1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0">
        <v>1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1">
        <v>0</v>
      </c>
    </row>
    <row r="967">
      <c r="A967" s="23">
        <v>15757</v>
      </c>
      <c r="B967" s="4" t="s">
        <v>1284</v>
      </c>
      <c r="C967" s="4" t="s">
        <v>1285</v>
      </c>
      <c r="D967" s="4" t="s">
        <v>1286</v>
      </c>
      <c r="E967" s="4" t="s">
        <v>518</v>
      </c>
      <c r="F967" s="6">
        <v>4</v>
      </c>
      <c r="G967" s="7">
        <v>0</v>
      </c>
      <c r="H967" s="5">
        <v>3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4</v>
      </c>
      <c r="V967" s="7">
        <v>0</v>
      </c>
      <c r="W967" s="5">
        <v>3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1.04</v>
      </c>
    </row>
    <row r="968">
      <c r="A968" s="24">
        <v>15774</v>
      </c>
      <c r="B968" s="9" t="s">
        <v>1287</v>
      </c>
      <c r="C968" s="9" t="s">
        <v>66</v>
      </c>
      <c r="D968" s="9" t="s">
        <v>110</v>
      </c>
      <c r="E968" s="9" t="s">
        <v>335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1">
        <v>0</v>
      </c>
    </row>
    <row r="969">
      <c r="A969" s="23">
        <v>15837</v>
      </c>
      <c r="B969" s="4" t="s">
        <v>1288</v>
      </c>
      <c r="C969" s="4" t="s">
        <v>138</v>
      </c>
      <c r="D969" s="4" t="s">
        <v>512</v>
      </c>
      <c r="E969" s="4" t="s">
        <v>573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0.22</v>
      </c>
    </row>
    <row r="970">
      <c r="A970" s="24">
        <v>15848</v>
      </c>
      <c r="B970" s="9" t="s">
        <v>1289</v>
      </c>
      <c r="C970" s="9" t="s">
        <v>138</v>
      </c>
      <c r="D970" s="9" t="s">
        <v>1002</v>
      </c>
      <c r="E970" s="9" t="s">
        <v>1162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15870</v>
      </c>
      <c r="B971" s="4" t="s">
        <v>1290</v>
      </c>
      <c r="C971" s="4" t="s">
        <v>66</v>
      </c>
      <c r="D971" s="4" t="s">
        <v>110</v>
      </c>
      <c r="E971" s="4" t="s">
        <v>228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0.26</v>
      </c>
    </row>
    <row r="972">
      <c r="A972" s="24">
        <v>15881</v>
      </c>
      <c r="B972" s="9" t="s">
        <v>1291</v>
      </c>
      <c r="C972" s="9" t="s">
        <v>66</v>
      </c>
      <c r="D972" s="9" t="s">
        <v>72</v>
      </c>
      <c r="E972" s="9" t="s">
        <v>299</v>
      </c>
      <c r="F972" s="11">
        <v>3</v>
      </c>
      <c r="G972" s="10">
        <v>2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3</v>
      </c>
      <c r="V972" s="10">
        <v>2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31">
        <v>0</v>
      </c>
    </row>
    <row r="973">
      <c r="A973" s="23">
        <v>15917</v>
      </c>
      <c r="B973" s="4" t="s">
        <v>1292</v>
      </c>
      <c r="C973" s="4" t="s">
        <v>66</v>
      </c>
      <c r="D973" s="4" t="s">
        <v>72</v>
      </c>
      <c r="E973" s="4" t="s">
        <v>439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3</v>
      </c>
      <c r="AK973" s="8">
        <v>3</v>
      </c>
      <c r="AL973" s="5">
        <v>3</v>
      </c>
      <c r="AM973" s="5">
        <v>3</v>
      </c>
      <c r="AN973" s="30">
        <v>0</v>
      </c>
    </row>
    <row r="974">
      <c r="A974" s="24">
        <v>15982</v>
      </c>
      <c r="B974" s="9" t="s">
        <v>1293</v>
      </c>
      <c r="C974" s="9" t="s">
        <v>138</v>
      </c>
      <c r="D974" s="9" t="s">
        <v>434</v>
      </c>
      <c r="E974" s="9" t="s">
        <v>435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16015</v>
      </c>
      <c r="B975" s="4" t="s">
        <v>1294</v>
      </c>
      <c r="C975" s="4" t="s">
        <v>582</v>
      </c>
      <c r="D975" s="4" t="s">
        <v>1165</v>
      </c>
      <c r="E975" s="4" t="s">
        <v>518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16017</v>
      </c>
      <c r="B976" s="9" t="s">
        <v>1295</v>
      </c>
      <c r="C976" s="9" t="s">
        <v>1296</v>
      </c>
      <c r="D976" s="9" t="s">
        <v>1297</v>
      </c>
      <c r="E976" s="9" t="s">
        <v>518</v>
      </c>
      <c r="F976" s="11">
        <v>3</v>
      </c>
      <c r="G976" s="12">
        <v>0</v>
      </c>
      <c r="H976" s="10">
        <v>3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2">
        <v>0</v>
      </c>
      <c r="W976" s="10">
        <v>3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29">
        <v>0.75</v>
      </c>
    </row>
    <row r="977">
      <c r="A977" s="23">
        <v>16029</v>
      </c>
      <c r="B977" s="4" t="s">
        <v>1298</v>
      </c>
      <c r="C977" s="4" t="s">
        <v>993</v>
      </c>
      <c r="D977" s="4" t="s">
        <v>1299</v>
      </c>
      <c r="E977" s="4" t="s">
        <v>518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16032</v>
      </c>
      <c r="B978" s="9" t="s">
        <v>1300</v>
      </c>
      <c r="C978" s="9" t="s">
        <v>66</v>
      </c>
      <c r="D978" s="9" t="s">
        <v>110</v>
      </c>
      <c r="E978" s="9" t="s">
        <v>111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1">
        <v>0</v>
      </c>
    </row>
    <row r="979">
      <c r="A979" s="23">
        <v>16091</v>
      </c>
      <c r="B979" s="4" t="s">
        <v>1301</v>
      </c>
      <c r="C979" s="4" t="s">
        <v>66</v>
      </c>
      <c r="D979" s="4" t="s">
        <v>124</v>
      </c>
      <c r="E979" s="4" t="s">
        <v>322</v>
      </c>
      <c r="F979" s="6">
        <v>2</v>
      </c>
      <c r="G979" s="5">
        <v>1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1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0.26</v>
      </c>
    </row>
    <row r="980">
      <c r="A980" s="24">
        <v>16098</v>
      </c>
      <c r="B980" s="9" t="s">
        <v>1302</v>
      </c>
      <c r="C980" s="9" t="s">
        <v>66</v>
      </c>
      <c r="D980" s="9" t="s">
        <v>105</v>
      </c>
      <c r="E980" s="9" t="s">
        <v>108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31">
        <v>0</v>
      </c>
    </row>
    <row r="981">
      <c r="A981" s="23">
        <v>16107</v>
      </c>
      <c r="B981" s="4" t="s">
        <v>1303</v>
      </c>
      <c r="C981" s="4" t="s">
        <v>66</v>
      </c>
      <c r="D981" s="4" t="s">
        <v>87</v>
      </c>
      <c r="E981" s="4" t="s">
        <v>88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16129</v>
      </c>
      <c r="B982" s="9" t="s">
        <v>1304</v>
      </c>
      <c r="C982" s="9" t="s">
        <v>590</v>
      </c>
      <c r="D982" s="9" t="s">
        <v>638</v>
      </c>
      <c r="E982" s="9" t="s">
        <v>518</v>
      </c>
      <c r="F982" s="11">
        <v>2</v>
      </c>
      <c r="G982" s="12">
        <v>0</v>
      </c>
      <c r="H982" s="10">
        <v>2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0">
        <v>2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0.5</v>
      </c>
    </row>
    <row r="983">
      <c r="A983" s="23">
        <v>16137</v>
      </c>
      <c r="B983" s="4" t="s">
        <v>1305</v>
      </c>
      <c r="C983" s="4" t="s">
        <v>532</v>
      </c>
      <c r="D983" s="4" t="s">
        <v>576</v>
      </c>
      <c r="E983" s="4" t="s">
        <v>577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0.26</v>
      </c>
    </row>
    <row r="984">
      <c r="A984" s="24">
        <v>16143</v>
      </c>
      <c r="B984" s="9" t="s">
        <v>1306</v>
      </c>
      <c r="C984" s="9" t="s">
        <v>66</v>
      </c>
      <c r="D984" s="9" t="s">
        <v>87</v>
      </c>
      <c r="E984" s="9" t="s">
        <v>156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31">
        <v>0</v>
      </c>
    </row>
    <row r="985">
      <c r="A985" s="23">
        <v>16212</v>
      </c>
      <c r="B985" s="4" t="s">
        <v>1307</v>
      </c>
      <c r="C985" s="4" t="s">
        <v>66</v>
      </c>
      <c r="D985" s="4" t="s">
        <v>75</v>
      </c>
      <c r="E985" s="4" t="s">
        <v>79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16240</v>
      </c>
      <c r="B986" s="9" t="s">
        <v>1308</v>
      </c>
      <c r="C986" s="9" t="s">
        <v>66</v>
      </c>
      <c r="D986" s="9" t="s">
        <v>102</v>
      </c>
      <c r="E986" s="9" t="s">
        <v>131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29">
        <v>0.6</v>
      </c>
    </row>
    <row r="987">
      <c r="A987" s="23">
        <v>16250</v>
      </c>
      <c r="B987" s="4" t="s">
        <v>1309</v>
      </c>
      <c r="C987" s="4" t="s">
        <v>532</v>
      </c>
      <c r="D987" s="4" t="s">
        <v>576</v>
      </c>
      <c r="E987" s="4" t="s">
        <v>577</v>
      </c>
      <c r="F987" s="6">
        <v>4</v>
      </c>
      <c r="G987" s="7">
        <v>0</v>
      </c>
      <c r="H987" s="5">
        <v>1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4</v>
      </c>
      <c r="V987" s="7">
        <v>0</v>
      </c>
      <c r="W987" s="5">
        <v>1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1.33</v>
      </c>
      <c r="AL987" s="5">
        <v>1</v>
      </c>
      <c r="AM987" s="5">
        <v>2</v>
      </c>
      <c r="AN987" s="28">
        <v>1.04</v>
      </c>
    </row>
    <row r="988">
      <c r="A988" s="24">
        <v>16301</v>
      </c>
      <c r="B988" s="9" t="s">
        <v>1310</v>
      </c>
      <c r="C988" s="9" t="s">
        <v>66</v>
      </c>
      <c r="D988" s="9" t="s">
        <v>102</v>
      </c>
      <c r="E988" s="9" t="s">
        <v>131</v>
      </c>
      <c r="F988" s="11">
        <v>3</v>
      </c>
      <c r="G988" s="10">
        <v>2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3</v>
      </c>
      <c r="V988" s="10">
        <v>2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0.52</v>
      </c>
    </row>
    <row r="989">
      <c r="A989" s="23">
        <v>16347</v>
      </c>
      <c r="B989" s="4" t="s">
        <v>1311</v>
      </c>
      <c r="C989" s="4" t="s">
        <v>993</v>
      </c>
      <c r="D989" s="4" t="s">
        <v>518</v>
      </c>
      <c r="E989" s="4" t="s">
        <v>518</v>
      </c>
      <c r="F989" s="6">
        <v>8</v>
      </c>
      <c r="G989" s="7">
        <v>0</v>
      </c>
      <c r="H989" s="7">
        <v>0</v>
      </c>
      <c r="I989" s="7">
        <v>0</v>
      </c>
      <c r="J989" s="5">
        <v>8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7</v>
      </c>
      <c r="V989" s="7">
        <v>0</v>
      </c>
      <c r="W989" s="7">
        <v>0</v>
      </c>
      <c r="X989" s="7">
        <v>0</v>
      </c>
      <c r="Y989" s="5">
        <v>7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1.82</v>
      </c>
    </row>
    <row r="990">
      <c r="A990" s="24">
        <v>16351</v>
      </c>
      <c r="B990" s="9" t="s">
        <v>1312</v>
      </c>
      <c r="C990" s="9" t="s">
        <v>66</v>
      </c>
      <c r="D990" s="9" t="s">
        <v>142</v>
      </c>
      <c r="E990" s="9" t="s">
        <v>1313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16371</v>
      </c>
      <c r="B991" s="4" t="s">
        <v>1314</v>
      </c>
      <c r="C991" s="4" t="s">
        <v>138</v>
      </c>
      <c r="D991" s="4" t="s">
        <v>434</v>
      </c>
      <c r="E991" s="4" t="s">
        <v>478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16504</v>
      </c>
      <c r="B992" s="9" t="s">
        <v>1315</v>
      </c>
      <c r="C992" s="9" t="s">
        <v>66</v>
      </c>
      <c r="D992" s="9" t="s">
        <v>84</v>
      </c>
      <c r="E992" s="9" t="s">
        <v>802</v>
      </c>
      <c r="F992" s="11">
        <v>3</v>
      </c>
      <c r="G992" s="10">
        <v>2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</v>
      </c>
      <c r="V992" s="10">
        <v>2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0.26</v>
      </c>
    </row>
    <row r="993">
      <c r="A993" s="23">
        <v>16551</v>
      </c>
      <c r="B993" s="4" t="s">
        <v>1316</v>
      </c>
      <c r="C993" s="4" t="s">
        <v>138</v>
      </c>
      <c r="D993" s="4" t="s">
        <v>372</v>
      </c>
      <c r="E993" s="4" t="s">
        <v>373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0.24</v>
      </c>
    </row>
    <row r="994">
      <c r="A994" s="24">
        <v>16604</v>
      </c>
      <c r="B994" s="9" t="s">
        <v>1317</v>
      </c>
      <c r="C994" s="9" t="s">
        <v>152</v>
      </c>
      <c r="D994" s="9" t="s">
        <v>181</v>
      </c>
      <c r="E994" s="9" t="s">
        <v>1318</v>
      </c>
      <c r="F994" s="11">
        <v>4</v>
      </c>
      <c r="G994" s="12">
        <v>0</v>
      </c>
      <c r="H994" s="12">
        <v>0</v>
      </c>
      <c r="I994" s="10">
        <v>1</v>
      </c>
      <c r="J994" s="10">
        <v>2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4</v>
      </c>
      <c r="V994" s="12">
        <v>0</v>
      </c>
      <c r="W994" s="12">
        <v>0</v>
      </c>
      <c r="X994" s="10">
        <v>1</v>
      </c>
      <c r="Y994" s="10">
        <v>2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0.5</v>
      </c>
    </row>
    <row r="995">
      <c r="A995" s="23">
        <v>16606</v>
      </c>
      <c r="B995" s="4" t="s">
        <v>1319</v>
      </c>
      <c r="C995" s="4" t="s">
        <v>66</v>
      </c>
      <c r="D995" s="4" t="s">
        <v>84</v>
      </c>
      <c r="E995" s="4" t="s">
        <v>98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16622</v>
      </c>
      <c r="B996" s="9" t="s">
        <v>1320</v>
      </c>
      <c r="C996" s="9" t="s">
        <v>1321</v>
      </c>
      <c r="D996" s="9" t="s">
        <v>518</v>
      </c>
      <c r="E996" s="9" t="s">
        <v>1322</v>
      </c>
      <c r="F996" s="11">
        <v>2</v>
      </c>
      <c r="G996" s="12">
        <v>0</v>
      </c>
      <c r="H996" s="10">
        <v>2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31">
        <v>0</v>
      </c>
    </row>
    <row r="997">
      <c r="A997" s="23">
        <v>16641</v>
      </c>
      <c r="B997" s="4" t="s">
        <v>1323</v>
      </c>
      <c r="C997" s="4" t="s">
        <v>66</v>
      </c>
      <c r="D997" s="4" t="s">
        <v>75</v>
      </c>
      <c r="E997" s="4" t="s">
        <v>127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7">
        <v>0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0.5</v>
      </c>
    </row>
    <row r="998">
      <c r="A998" s="24">
        <v>16719</v>
      </c>
      <c r="B998" s="9" t="s">
        <v>1324</v>
      </c>
      <c r="C998" s="9" t="s">
        <v>66</v>
      </c>
      <c r="D998" s="9" t="s">
        <v>67</v>
      </c>
      <c r="E998" s="9" t="s">
        <v>70</v>
      </c>
      <c r="F998" s="11">
        <v>3</v>
      </c>
      <c r="G998" s="12">
        <v>0</v>
      </c>
      <c r="H998" s="12">
        <v>0</v>
      </c>
      <c r="I998" s="10">
        <v>3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3</v>
      </c>
      <c r="V998" s="12">
        <v>0</v>
      </c>
      <c r="W998" s="12">
        <v>0</v>
      </c>
      <c r="X998" s="10">
        <v>3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3</v>
      </c>
      <c r="AK998" s="13">
        <v>3</v>
      </c>
      <c r="AL998" s="10">
        <v>3</v>
      </c>
      <c r="AM998" s="10">
        <v>3</v>
      </c>
      <c r="AN998" s="29">
        <v>0.72</v>
      </c>
    </row>
    <row r="999">
      <c r="A999" s="23">
        <v>16722</v>
      </c>
      <c r="B999" s="4" t="s">
        <v>1325</v>
      </c>
      <c r="C999" s="4" t="s">
        <v>66</v>
      </c>
      <c r="D999" s="4" t="s">
        <v>110</v>
      </c>
      <c r="E999" s="4" t="s">
        <v>147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16728</v>
      </c>
      <c r="B1000" s="9" t="s">
        <v>1326</v>
      </c>
      <c r="C1000" s="9" t="s">
        <v>516</v>
      </c>
      <c r="D1000" s="9" t="s">
        <v>553</v>
      </c>
      <c r="E1000" s="9" t="s">
        <v>518</v>
      </c>
      <c r="F1000" s="11">
        <v>2</v>
      </c>
      <c r="G1000" s="12">
        <v>0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2">
        <v>0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0.52</v>
      </c>
    </row>
    <row r="1001">
      <c r="A1001" s="23">
        <v>16761</v>
      </c>
      <c r="B1001" s="4" t="s">
        <v>1327</v>
      </c>
      <c r="C1001" s="4" t="s">
        <v>66</v>
      </c>
      <c r="D1001" s="4" t="s">
        <v>72</v>
      </c>
      <c r="E1001" s="4" t="s">
        <v>299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16767</v>
      </c>
      <c r="B1002" s="9" t="s">
        <v>1328</v>
      </c>
      <c r="C1002" s="9" t="s">
        <v>532</v>
      </c>
      <c r="D1002" s="9" t="s">
        <v>617</v>
      </c>
      <c r="E1002" s="9" t="s">
        <v>1329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0.52</v>
      </c>
    </row>
    <row r="1003">
      <c r="A1003" s="23">
        <v>16922</v>
      </c>
      <c r="B1003" s="4" t="s">
        <v>1330</v>
      </c>
      <c r="C1003" s="4" t="s">
        <v>152</v>
      </c>
      <c r="D1003" s="4" t="s">
        <v>181</v>
      </c>
      <c r="E1003" s="4" t="s">
        <v>1097</v>
      </c>
      <c r="F1003" s="6">
        <v>1</v>
      </c>
      <c r="G1003" s="7">
        <v>0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16952</v>
      </c>
      <c r="B1004" s="9" t="s">
        <v>1331</v>
      </c>
      <c r="C1004" s="9" t="s">
        <v>516</v>
      </c>
      <c r="D1004" s="9" t="s">
        <v>763</v>
      </c>
      <c r="E1004" s="9" t="s">
        <v>518</v>
      </c>
      <c r="F1004" s="11">
        <v>1</v>
      </c>
      <c r="G1004" s="12">
        <v>0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16978</v>
      </c>
      <c r="B1005" s="4" t="s">
        <v>1332</v>
      </c>
      <c r="C1005" s="4" t="s">
        <v>66</v>
      </c>
      <c r="D1005" s="4" t="s">
        <v>124</v>
      </c>
      <c r="E1005" s="4" t="s">
        <v>125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16980</v>
      </c>
      <c r="B1006" s="9" t="s">
        <v>1333</v>
      </c>
      <c r="C1006" s="9" t="s">
        <v>66</v>
      </c>
      <c r="D1006" s="9" t="s">
        <v>102</v>
      </c>
      <c r="E1006" s="9" t="s">
        <v>103</v>
      </c>
      <c r="F1006" s="11">
        <v>2</v>
      </c>
      <c r="G1006" s="10">
        <v>1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0">
        <v>1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0.58</v>
      </c>
    </row>
    <row r="1007">
      <c r="A1007" s="23">
        <v>17020</v>
      </c>
      <c r="B1007" s="4" t="s">
        <v>1334</v>
      </c>
      <c r="C1007" s="4" t="s">
        <v>66</v>
      </c>
      <c r="D1007" s="4" t="s">
        <v>102</v>
      </c>
      <c r="E1007" s="4" t="s">
        <v>131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0.24</v>
      </c>
    </row>
    <row r="1008">
      <c r="A1008" s="24">
        <v>17021</v>
      </c>
      <c r="B1008" s="9" t="s">
        <v>1335</v>
      </c>
      <c r="C1008" s="9" t="s">
        <v>66</v>
      </c>
      <c r="D1008" s="9" t="s">
        <v>84</v>
      </c>
      <c r="E1008" s="9" t="s">
        <v>802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17022</v>
      </c>
      <c r="B1009" s="4" t="s">
        <v>1336</v>
      </c>
      <c r="C1009" s="4" t="s">
        <v>66</v>
      </c>
      <c r="D1009" s="4" t="s">
        <v>84</v>
      </c>
      <c r="E1009" s="4" t="s">
        <v>802</v>
      </c>
      <c r="F1009" s="6">
        <v>2</v>
      </c>
      <c r="G1009" s="5">
        <v>1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1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0.5</v>
      </c>
    </row>
    <row r="1010">
      <c r="A1010" s="24">
        <v>17033</v>
      </c>
      <c r="B1010" s="9" t="s">
        <v>1337</v>
      </c>
      <c r="C1010" s="9" t="s">
        <v>66</v>
      </c>
      <c r="D1010" s="9" t="s">
        <v>124</v>
      </c>
      <c r="E1010" s="9" t="s">
        <v>125</v>
      </c>
      <c r="F1010" s="11">
        <v>1</v>
      </c>
      <c r="G1010" s="12">
        <v>0</v>
      </c>
      <c r="H1010" s="10">
        <v>1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0">
        <v>1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17036</v>
      </c>
      <c r="B1011" s="4" t="s">
        <v>1338</v>
      </c>
      <c r="C1011" s="4" t="s">
        <v>66</v>
      </c>
      <c r="D1011" s="4" t="s">
        <v>75</v>
      </c>
      <c r="E1011" s="4" t="s">
        <v>79</v>
      </c>
      <c r="F1011" s="6">
        <v>2</v>
      </c>
      <c r="G1011" s="7">
        <v>0</v>
      </c>
      <c r="H1011" s="5">
        <v>1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7">
        <v>0</v>
      </c>
      <c r="W1011" s="5">
        <v>1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0.5</v>
      </c>
    </row>
    <row r="1012">
      <c r="A1012" s="24">
        <v>17037</v>
      </c>
      <c r="B1012" s="9" t="s">
        <v>1339</v>
      </c>
      <c r="C1012" s="9" t="s">
        <v>66</v>
      </c>
      <c r="D1012" s="9" t="s">
        <v>75</v>
      </c>
      <c r="E1012" s="9" t="s">
        <v>76</v>
      </c>
      <c r="F1012" s="11">
        <v>2</v>
      </c>
      <c r="G1012" s="10">
        <v>1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0.5</v>
      </c>
    </row>
    <row r="1013">
      <c r="A1013" s="23">
        <v>17038</v>
      </c>
      <c r="B1013" s="4" t="s">
        <v>1340</v>
      </c>
      <c r="C1013" s="4" t="s">
        <v>66</v>
      </c>
      <c r="D1013" s="4" t="s">
        <v>75</v>
      </c>
      <c r="E1013" s="4" t="s">
        <v>76</v>
      </c>
      <c r="F1013" s="6">
        <v>4</v>
      </c>
      <c r="G1013" s="7">
        <v>0</v>
      </c>
      <c r="H1013" s="5">
        <v>1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4</v>
      </c>
      <c r="V1013" s="7">
        <v>0</v>
      </c>
      <c r="W1013" s="5">
        <v>1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28">
        <v>1</v>
      </c>
    </row>
    <row r="1014">
      <c r="A1014" s="24">
        <v>17064</v>
      </c>
      <c r="B1014" s="9" t="s">
        <v>1341</v>
      </c>
      <c r="C1014" s="9" t="s">
        <v>66</v>
      </c>
      <c r="D1014" s="9" t="s">
        <v>95</v>
      </c>
      <c r="E1014" s="9" t="s">
        <v>129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0">
        <v>3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3</v>
      </c>
      <c r="AK1014" s="13">
        <v>3</v>
      </c>
      <c r="AL1014" s="10">
        <v>3</v>
      </c>
      <c r="AM1014" s="10">
        <v>3</v>
      </c>
      <c r="AN1014" s="29">
        <v>0.75</v>
      </c>
    </row>
    <row r="1015">
      <c r="A1015" s="23">
        <v>17105</v>
      </c>
      <c r="B1015" s="4" t="s">
        <v>1342</v>
      </c>
      <c r="C1015" s="4" t="s">
        <v>138</v>
      </c>
      <c r="D1015" s="4" t="s">
        <v>426</v>
      </c>
      <c r="E1015" s="4" t="s">
        <v>1343</v>
      </c>
      <c r="F1015" s="6">
        <v>2</v>
      </c>
      <c r="G1015" s="5">
        <v>1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5">
        <v>1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0.48</v>
      </c>
    </row>
    <row r="1016">
      <c r="A1016" s="24">
        <v>17137</v>
      </c>
      <c r="B1016" s="9" t="s">
        <v>1344</v>
      </c>
      <c r="C1016" s="9" t="s">
        <v>66</v>
      </c>
      <c r="D1016" s="9" t="s">
        <v>124</v>
      </c>
      <c r="E1016" s="9" t="s">
        <v>125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1">
        <v>0</v>
      </c>
    </row>
    <row r="1017">
      <c r="A1017" s="23">
        <v>17213</v>
      </c>
      <c r="B1017" s="4" t="s">
        <v>1345</v>
      </c>
      <c r="C1017" s="4" t="s">
        <v>66</v>
      </c>
      <c r="D1017" s="4" t="s">
        <v>75</v>
      </c>
      <c r="E1017" s="4" t="s">
        <v>76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17216</v>
      </c>
      <c r="B1018" s="9" t="s">
        <v>1346</v>
      </c>
      <c r="C1018" s="9" t="s">
        <v>66</v>
      </c>
      <c r="D1018" s="9" t="s">
        <v>102</v>
      </c>
      <c r="E1018" s="9" t="s">
        <v>103</v>
      </c>
      <c r="F1018" s="11">
        <v>4</v>
      </c>
      <c r="G1018" s="10">
        <v>3</v>
      </c>
      <c r="H1018" s="10">
        <v>1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3</v>
      </c>
      <c r="V1018" s="10">
        <v>2</v>
      </c>
      <c r="W1018" s="10">
        <v>1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31">
        <v>0</v>
      </c>
    </row>
    <row r="1019">
      <c r="A1019" s="23">
        <v>17223</v>
      </c>
      <c r="B1019" s="4" t="s">
        <v>1347</v>
      </c>
      <c r="C1019" s="4" t="s">
        <v>66</v>
      </c>
      <c r="D1019" s="4" t="s">
        <v>102</v>
      </c>
      <c r="E1019" s="4" t="s">
        <v>215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17244</v>
      </c>
      <c r="B1020" s="9" t="s">
        <v>1348</v>
      </c>
      <c r="C1020" s="9" t="s">
        <v>138</v>
      </c>
      <c r="D1020" s="9" t="s">
        <v>372</v>
      </c>
      <c r="E1020" s="9" t="s">
        <v>1262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17249</v>
      </c>
      <c r="B1021" s="4" t="s">
        <v>1349</v>
      </c>
      <c r="C1021" s="4" t="s">
        <v>138</v>
      </c>
      <c r="D1021" s="4" t="s">
        <v>1002</v>
      </c>
      <c r="E1021" s="4" t="s">
        <v>1003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17256</v>
      </c>
      <c r="B1022" s="9" t="s">
        <v>1350</v>
      </c>
      <c r="C1022" s="9" t="s">
        <v>152</v>
      </c>
      <c r="D1022" s="9" t="s">
        <v>169</v>
      </c>
      <c r="E1022" s="9" t="s">
        <v>170</v>
      </c>
      <c r="F1022" s="11">
        <v>3</v>
      </c>
      <c r="G1022" s="12">
        <v>0</v>
      </c>
      <c r="H1022" s="10">
        <v>3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3</v>
      </c>
      <c r="V1022" s="12">
        <v>0</v>
      </c>
      <c r="W1022" s="10">
        <v>3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0.72</v>
      </c>
    </row>
    <row r="1023">
      <c r="A1023" s="23">
        <v>17347</v>
      </c>
      <c r="B1023" s="4" t="s">
        <v>1351</v>
      </c>
      <c r="C1023" s="4" t="s">
        <v>66</v>
      </c>
      <c r="D1023" s="4" t="s">
        <v>84</v>
      </c>
      <c r="E1023" s="4" t="s">
        <v>195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0.25</v>
      </c>
    </row>
    <row r="1024">
      <c r="A1024" s="24">
        <v>17359</v>
      </c>
      <c r="B1024" s="9" t="s">
        <v>1352</v>
      </c>
      <c r="C1024" s="9" t="s">
        <v>66</v>
      </c>
      <c r="D1024" s="9" t="s">
        <v>110</v>
      </c>
      <c r="E1024" s="9" t="s">
        <v>121</v>
      </c>
      <c r="F1024" s="11">
        <v>4</v>
      </c>
      <c r="G1024" s="12">
        <v>0</v>
      </c>
      <c r="H1024" s="12">
        <v>0</v>
      </c>
      <c r="I1024" s="10">
        <v>1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4</v>
      </c>
      <c r="V1024" s="12">
        <v>0</v>
      </c>
      <c r="W1024" s="12">
        <v>0</v>
      </c>
      <c r="X1024" s="10">
        <v>1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1.33</v>
      </c>
      <c r="AL1024" s="10">
        <v>1</v>
      </c>
      <c r="AM1024" s="10">
        <v>2</v>
      </c>
      <c r="AN1024" s="29">
        <v>0.88</v>
      </c>
    </row>
    <row r="1025">
      <c r="A1025" s="23">
        <v>17364</v>
      </c>
      <c r="B1025" s="4" t="s">
        <v>1353</v>
      </c>
      <c r="C1025" s="4" t="s">
        <v>590</v>
      </c>
      <c r="D1025" s="4" t="s">
        <v>659</v>
      </c>
      <c r="E1025" s="4" t="s">
        <v>518</v>
      </c>
      <c r="F1025" s="6">
        <v>1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17365</v>
      </c>
      <c r="B1026" s="9" t="s">
        <v>1354</v>
      </c>
      <c r="C1026" s="9" t="s">
        <v>66</v>
      </c>
      <c r="D1026" s="9" t="s">
        <v>75</v>
      </c>
      <c r="E1026" s="9" t="s">
        <v>79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17469</v>
      </c>
      <c r="B1027" s="4" t="s">
        <v>1355</v>
      </c>
      <c r="C1027" s="4" t="s">
        <v>138</v>
      </c>
      <c r="D1027" s="4" t="s">
        <v>995</v>
      </c>
      <c r="E1027" s="4" t="s">
        <v>1356</v>
      </c>
      <c r="F1027" s="6">
        <v>4</v>
      </c>
      <c r="G1027" s="7">
        <v>0</v>
      </c>
      <c r="H1027" s="7">
        <v>0</v>
      </c>
      <c r="I1027" s="5">
        <v>1</v>
      </c>
      <c r="J1027" s="5">
        <v>3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4</v>
      </c>
      <c r="V1027" s="7">
        <v>0</v>
      </c>
      <c r="W1027" s="7">
        <v>0</v>
      </c>
      <c r="X1027" s="5">
        <v>1</v>
      </c>
      <c r="Y1027" s="5">
        <v>3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1.33</v>
      </c>
      <c r="AL1027" s="5">
        <v>1</v>
      </c>
      <c r="AM1027" s="5">
        <v>2</v>
      </c>
      <c r="AN1027" s="28">
        <v>1.04</v>
      </c>
    </row>
    <row r="1028">
      <c r="A1028" s="24">
        <v>17472</v>
      </c>
      <c r="B1028" s="9" t="s">
        <v>1357</v>
      </c>
      <c r="C1028" s="9" t="s">
        <v>66</v>
      </c>
      <c r="D1028" s="9" t="s">
        <v>110</v>
      </c>
      <c r="E1028" s="9" t="s">
        <v>111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0.24</v>
      </c>
    </row>
    <row r="1029">
      <c r="A1029" s="23">
        <v>17491</v>
      </c>
      <c r="B1029" s="4" t="s">
        <v>1358</v>
      </c>
      <c r="C1029" s="4" t="s">
        <v>152</v>
      </c>
      <c r="D1029" s="4" t="s">
        <v>169</v>
      </c>
      <c r="E1029" s="4" t="s">
        <v>176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0.24</v>
      </c>
    </row>
    <row r="1030">
      <c r="A1030" s="24">
        <v>17492</v>
      </c>
      <c r="B1030" s="9" t="s">
        <v>1359</v>
      </c>
      <c r="C1030" s="9" t="s">
        <v>152</v>
      </c>
      <c r="D1030" s="9" t="s">
        <v>169</v>
      </c>
      <c r="E1030" s="9" t="s">
        <v>170</v>
      </c>
      <c r="F1030" s="11">
        <v>3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3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31">
        <v>0</v>
      </c>
    </row>
    <row r="1031">
      <c r="A1031" s="23">
        <v>17564</v>
      </c>
      <c r="B1031" s="4" t="s">
        <v>1360</v>
      </c>
      <c r="C1031" s="4" t="s">
        <v>66</v>
      </c>
      <c r="D1031" s="4" t="s">
        <v>110</v>
      </c>
      <c r="E1031" s="4" t="s">
        <v>113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30">
        <v>0</v>
      </c>
    </row>
    <row r="1032">
      <c r="A1032" s="24">
        <v>17571</v>
      </c>
      <c r="B1032" s="9" t="s">
        <v>1361</v>
      </c>
      <c r="C1032" s="9" t="s">
        <v>152</v>
      </c>
      <c r="D1032" s="9" t="s">
        <v>169</v>
      </c>
      <c r="E1032" s="9" t="s">
        <v>170</v>
      </c>
      <c r="F1032" s="11">
        <v>5</v>
      </c>
      <c r="G1032" s="10">
        <v>1</v>
      </c>
      <c r="H1032" s="12">
        <v>0</v>
      </c>
      <c r="I1032" s="10">
        <v>3</v>
      </c>
      <c r="J1032" s="12">
        <v>0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5</v>
      </c>
      <c r="V1032" s="10">
        <v>1</v>
      </c>
      <c r="W1032" s="12">
        <v>0</v>
      </c>
      <c r="X1032" s="10">
        <v>3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1.67</v>
      </c>
      <c r="AL1032" s="10">
        <v>1</v>
      </c>
      <c r="AM1032" s="10">
        <v>3</v>
      </c>
      <c r="AN1032" s="31">
        <v>0</v>
      </c>
    </row>
    <row r="1033">
      <c r="A1033" s="23">
        <v>17572</v>
      </c>
      <c r="B1033" s="4" t="s">
        <v>1362</v>
      </c>
      <c r="C1033" s="4" t="s">
        <v>152</v>
      </c>
      <c r="D1033" s="4" t="s">
        <v>169</v>
      </c>
      <c r="E1033" s="4" t="s">
        <v>170</v>
      </c>
      <c r="F1033" s="6">
        <v>2</v>
      </c>
      <c r="G1033" s="5">
        <v>1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1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17595</v>
      </c>
      <c r="B1034" s="9" t="s">
        <v>1363</v>
      </c>
      <c r="C1034" s="9" t="s">
        <v>66</v>
      </c>
      <c r="D1034" s="9" t="s">
        <v>84</v>
      </c>
      <c r="E1034" s="9" t="s">
        <v>85</v>
      </c>
      <c r="F1034" s="11">
        <v>2</v>
      </c>
      <c r="G1034" s="12">
        <v>0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0.25</v>
      </c>
    </row>
    <row r="1035">
      <c r="A1035" s="23">
        <v>17651</v>
      </c>
      <c r="B1035" s="4" t="s">
        <v>1364</v>
      </c>
      <c r="C1035" s="4" t="s">
        <v>66</v>
      </c>
      <c r="D1035" s="4" t="s">
        <v>124</v>
      </c>
      <c r="E1035" s="4" t="s">
        <v>322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17654</v>
      </c>
      <c r="B1036" s="9" t="s">
        <v>1365</v>
      </c>
      <c r="C1036" s="9" t="s">
        <v>986</v>
      </c>
      <c r="D1036" s="9" t="s">
        <v>987</v>
      </c>
      <c r="E1036" s="9" t="s">
        <v>518</v>
      </c>
      <c r="F1036" s="11">
        <v>3</v>
      </c>
      <c r="G1036" s="12">
        <v>0</v>
      </c>
      <c r="H1036" s="10">
        <v>3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0">
        <v>3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3</v>
      </c>
      <c r="AK1036" s="13">
        <v>3</v>
      </c>
      <c r="AL1036" s="10">
        <v>3</v>
      </c>
      <c r="AM1036" s="10">
        <v>3</v>
      </c>
      <c r="AN1036" s="29">
        <v>0.75</v>
      </c>
    </row>
    <row r="1037">
      <c r="A1037" s="23">
        <v>17680</v>
      </c>
      <c r="B1037" s="4" t="s">
        <v>1366</v>
      </c>
      <c r="C1037" s="4" t="s">
        <v>582</v>
      </c>
      <c r="D1037" s="4" t="s">
        <v>635</v>
      </c>
      <c r="E1037" s="4" t="s">
        <v>518</v>
      </c>
      <c r="F1037" s="6">
        <v>3</v>
      </c>
      <c r="G1037" s="7">
        <v>0</v>
      </c>
      <c r="H1037" s="7">
        <v>0</v>
      </c>
      <c r="I1037" s="5">
        <v>3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7">
        <v>0</v>
      </c>
      <c r="W1037" s="7">
        <v>0</v>
      </c>
      <c r="X1037" s="5">
        <v>2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30">
        <v>0</v>
      </c>
    </row>
    <row r="1038">
      <c r="A1038" s="24">
        <v>17712</v>
      </c>
      <c r="B1038" s="9" t="s">
        <v>1367</v>
      </c>
      <c r="C1038" s="9" t="s">
        <v>66</v>
      </c>
      <c r="D1038" s="9" t="s">
        <v>72</v>
      </c>
      <c r="E1038" s="9" t="s">
        <v>439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17723</v>
      </c>
      <c r="B1039" s="4" t="s">
        <v>1368</v>
      </c>
      <c r="C1039" s="4" t="s">
        <v>66</v>
      </c>
      <c r="D1039" s="4" t="s">
        <v>110</v>
      </c>
      <c r="E1039" s="4" t="s">
        <v>121</v>
      </c>
      <c r="F1039" s="6">
        <v>2</v>
      </c>
      <c r="G1039" s="7">
        <v>0</v>
      </c>
      <c r="H1039" s="7">
        <v>0</v>
      </c>
      <c r="I1039" s="5">
        <v>2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2</v>
      </c>
      <c r="V1039" s="7">
        <v>0</v>
      </c>
      <c r="W1039" s="7">
        <v>0</v>
      </c>
      <c r="X1039" s="5">
        <v>2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0.5</v>
      </c>
    </row>
    <row r="1040">
      <c r="A1040" s="24">
        <v>17737</v>
      </c>
      <c r="B1040" s="9" t="s">
        <v>1369</v>
      </c>
      <c r="C1040" s="9" t="s">
        <v>66</v>
      </c>
      <c r="D1040" s="9" t="s">
        <v>124</v>
      </c>
      <c r="E1040" s="9" t="s">
        <v>322</v>
      </c>
      <c r="F1040" s="11">
        <v>4</v>
      </c>
      <c r="G1040" s="10">
        <v>3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4</v>
      </c>
      <c r="V1040" s="10">
        <v>3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</v>
      </c>
      <c r="AL1040" s="10">
        <v>2</v>
      </c>
      <c r="AM1040" s="10">
        <v>3</v>
      </c>
      <c r="AN1040" s="29">
        <v>0.25</v>
      </c>
    </row>
    <row r="1041">
      <c r="A1041" s="23">
        <v>17738</v>
      </c>
      <c r="B1041" s="4" t="s">
        <v>1370</v>
      </c>
      <c r="C1041" s="4" t="s">
        <v>66</v>
      </c>
      <c r="D1041" s="4" t="s">
        <v>72</v>
      </c>
      <c r="E1041" s="4" t="s">
        <v>439</v>
      </c>
      <c r="F1041" s="6">
        <v>2</v>
      </c>
      <c r="G1041" s="5">
        <v>2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0">
        <v>0</v>
      </c>
    </row>
    <row r="1042">
      <c r="A1042" s="24">
        <v>17788</v>
      </c>
      <c r="B1042" s="9" t="s">
        <v>1371</v>
      </c>
      <c r="C1042" s="9" t="s">
        <v>66</v>
      </c>
      <c r="D1042" s="9" t="s">
        <v>72</v>
      </c>
      <c r="E1042" s="9" t="s">
        <v>439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17845</v>
      </c>
      <c r="B1043" s="4" t="s">
        <v>1372</v>
      </c>
      <c r="C1043" s="4" t="s">
        <v>66</v>
      </c>
      <c r="D1043" s="4" t="s">
        <v>124</v>
      </c>
      <c r="E1043" s="4" t="s">
        <v>125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0.26</v>
      </c>
    </row>
    <row r="1044">
      <c r="A1044" s="24">
        <v>17881</v>
      </c>
      <c r="B1044" s="9" t="s">
        <v>1373</v>
      </c>
      <c r="C1044" s="9" t="s">
        <v>525</v>
      </c>
      <c r="D1044" s="9" t="s">
        <v>786</v>
      </c>
      <c r="E1044" s="9" t="s">
        <v>553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0.25</v>
      </c>
    </row>
    <row r="1045">
      <c r="A1045" s="23">
        <v>17934</v>
      </c>
      <c r="B1045" s="4" t="s">
        <v>1374</v>
      </c>
      <c r="C1045" s="4" t="s">
        <v>66</v>
      </c>
      <c r="D1045" s="4" t="s">
        <v>72</v>
      </c>
      <c r="E1045" s="4" t="s">
        <v>299</v>
      </c>
      <c r="F1045" s="6">
        <v>1</v>
      </c>
      <c r="G1045" s="7">
        <v>0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17956</v>
      </c>
      <c r="B1046" s="9" t="s">
        <v>1375</v>
      </c>
      <c r="C1046" s="9" t="s">
        <v>66</v>
      </c>
      <c r="D1046" s="9" t="s">
        <v>67</v>
      </c>
      <c r="E1046" s="9" t="s">
        <v>166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31">
        <v>0</v>
      </c>
    </row>
    <row r="1047">
      <c r="A1047" s="23">
        <v>17997</v>
      </c>
      <c r="B1047" s="4" t="s">
        <v>1376</v>
      </c>
      <c r="C1047" s="4" t="s">
        <v>66</v>
      </c>
      <c r="D1047" s="4" t="s">
        <v>87</v>
      </c>
      <c r="E1047" s="4" t="s">
        <v>156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18050</v>
      </c>
      <c r="B1048" s="9" t="s">
        <v>1377</v>
      </c>
      <c r="C1048" s="9" t="s">
        <v>66</v>
      </c>
      <c r="D1048" s="9" t="s">
        <v>75</v>
      </c>
      <c r="E1048" s="9" t="s">
        <v>370</v>
      </c>
      <c r="F1048" s="11">
        <v>2</v>
      </c>
      <c r="G1048" s="12">
        <v>0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29">
        <v>0.5</v>
      </c>
    </row>
    <row r="1049">
      <c r="A1049" s="23">
        <v>18079</v>
      </c>
      <c r="B1049" s="4" t="s">
        <v>1378</v>
      </c>
      <c r="C1049" s="4" t="s">
        <v>152</v>
      </c>
      <c r="D1049" s="4" t="s">
        <v>181</v>
      </c>
      <c r="E1049" s="4" t="s">
        <v>1097</v>
      </c>
      <c r="F1049" s="6">
        <v>1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18083</v>
      </c>
      <c r="B1050" s="9" t="s">
        <v>1379</v>
      </c>
      <c r="C1050" s="9" t="s">
        <v>152</v>
      </c>
      <c r="D1050" s="9" t="s">
        <v>403</v>
      </c>
      <c r="E1050" s="9" t="s">
        <v>404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18089</v>
      </c>
      <c r="B1051" s="4" t="s">
        <v>1380</v>
      </c>
      <c r="C1051" s="4" t="s">
        <v>152</v>
      </c>
      <c r="D1051" s="4" t="s">
        <v>169</v>
      </c>
      <c r="E1051" s="4" t="s">
        <v>170</v>
      </c>
      <c r="F1051" s="6">
        <v>2</v>
      </c>
      <c r="G1051" s="5">
        <v>1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5">
        <v>1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18252</v>
      </c>
      <c r="B1052" s="9" t="s">
        <v>1381</v>
      </c>
      <c r="C1052" s="9" t="s">
        <v>66</v>
      </c>
      <c r="D1052" s="9" t="s">
        <v>81</v>
      </c>
      <c r="E1052" s="9" t="s">
        <v>145</v>
      </c>
      <c r="F1052" s="11">
        <v>7</v>
      </c>
      <c r="G1052" s="10">
        <v>1</v>
      </c>
      <c r="H1052" s="12">
        <v>0</v>
      </c>
      <c r="I1052" s="12">
        <v>0</v>
      </c>
      <c r="J1052" s="10">
        <v>6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5</v>
      </c>
      <c r="V1052" s="10">
        <v>1</v>
      </c>
      <c r="W1052" s="12">
        <v>0</v>
      </c>
      <c r="X1052" s="12">
        <v>0</v>
      </c>
      <c r="Y1052" s="10">
        <v>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2.33</v>
      </c>
      <c r="AL1052" s="10">
        <v>3</v>
      </c>
      <c r="AM1052" s="10">
        <v>3</v>
      </c>
      <c r="AN1052" s="29">
        <v>1</v>
      </c>
    </row>
    <row r="1053">
      <c r="A1053" s="23">
        <v>18273</v>
      </c>
      <c r="B1053" s="4" t="s">
        <v>1382</v>
      </c>
      <c r="C1053" s="4" t="s">
        <v>66</v>
      </c>
      <c r="D1053" s="4" t="s">
        <v>110</v>
      </c>
      <c r="E1053" s="4" t="s">
        <v>111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18276</v>
      </c>
      <c r="B1054" s="9" t="s">
        <v>1383</v>
      </c>
      <c r="C1054" s="9" t="s">
        <v>582</v>
      </c>
      <c r="D1054" s="9" t="s">
        <v>596</v>
      </c>
      <c r="E1054" s="9" t="s">
        <v>518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1">
        <v>0</v>
      </c>
    </row>
    <row r="1055">
      <c r="A1055" s="23">
        <v>18288</v>
      </c>
      <c r="B1055" s="4" t="s">
        <v>1384</v>
      </c>
      <c r="C1055" s="4" t="s">
        <v>66</v>
      </c>
      <c r="D1055" s="4" t="s">
        <v>110</v>
      </c>
      <c r="E1055" s="4" t="s">
        <v>111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18348</v>
      </c>
      <c r="B1056" s="9" t="s">
        <v>1385</v>
      </c>
      <c r="C1056" s="9" t="s">
        <v>138</v>
      </c>
      <c r="D1056" s="9" t="s">
        <v>139</v>
      </c>
      <c r="E1056" s="9" t="s">
        <v>422</v>
      </c>
      <c r="F1056" s="11">
        <v>2</v>
      </c>
      <c r="G1056" s="12">
        <v>0</v>
      </c>
      <c r="H1056" s="10">
        <v>1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0">
        <v>1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18354</v>
      </c>
      <c r="B1057" s="4" t="s">
        <v>1386</v>
      </c>
      <c r="C1057" s="4" t="s">
        <v>138</v>
      </c>
      <c r="D1057" s="4" t="s">
        <v>1002</v>
      </c>
      <c r="E1057" s="4" t="s">
        <v>1162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0.24</v>
      </c>
    </row>
    <row r="1058">
      <c r="A1058" s="24">
        <v>18428</v>
      </c>
      <c r="B1058" s="9" t="s">
        <v>1387</v>
      </c>
      <c r="C1058" s="9" t="s">
        <v>66</v>
      </c>
      <c r="D1058" s="9" t="s">
        <v>75</v>
      </c>
      <c r="E1058" s="9" t="s">
        <v>538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0.38</v>
      </c>
    </row>
    <row r="1059">
      <c r="A1059" s="23">
        <v>18434</v>
      </c>
      <c r="B1059" s="4" t="s">
        <v>1388</v>
      </c>
      <c r="C1059" s="4" t="s">
        <v>152</v>
      </c>
      <c r="D1059" s="4" t="s">
        <v>169</v>
      </c>
      <c r="E1059" s="4" t="s">
        <v>676</v>
      </c>
      <c r="F1059" s="6">
        <v>1</v>
      </c>
      <c r="G1059" s="7">
        <v>0</v>
      </c>
      <c r="H1059" s="7">
        <v>0</v>
      </c>
      <c r="I1059" s="7">
        <v>0</v>
      </c>
      <c r="J1059" s="7">
        <v>0</v>
      </c>
      <c r="K1059" s="5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7">
        <v>0</v>
      </c>
      <c r="Z1059" s="5">
        <v>1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18460</v>
      </c>
      <c r="B1060" s="9" t="s">
        <v>1389</v>
      </c>
      <c r="C1060" s="9" t="s">
        <v>152</v>
      </c>
      <c r="D1060" s="9" t="s">
        <v>181</v>
      </c>
      <c r="E1060" s="9" t="s">
        <v>1097</v>
      </c>
      <c r="F1060" s="11">
        <v>5</v>
      </c>
      <c r="G1060" s="10">
        <v>2</v>
      </c>
      <c r="H1060" s="12">
        <v>0</v>
      </c>
      <c r="I1060" s="10">
        <v>2</v>
      </c>
      <c r="J1060" s="12">
        <v>0</v>
      </c>
      <c r="K1060" s="10">
        <v>1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5</v>
      </c>
      <c r="V1060" s="10">
        <v>2</v>
      </c>
      <c r="W1060" s="12">
        <v>0</v>
      </c>
      <c r="X1060" s="10">
        <v>2</v>
      </c>
      <c r="Y1060" s="12">
        <v>0</v>
      </c>
      <c r="Z1060" s="10">
        <v>1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1.67</v>
      </c>
      <c r="AL1060" s="10">
        <v>2</v>
      </c>
      <c r="AM1060" s="10">
        <v>2</v>
      </c>
      <c r="AN1060" s="31">
        <v>0</v>
      </c>
    </row>
    <row r="1061">
      <c r="A1061" s="23">
        <v>18487</v>
      </c>
      <c r="B1061" s="4" t="s">
        <v>1390</v>
      </c>
      <c r="C1061" s="4" t="s">
        <v>152</v>
      </c>
      <c r="D1061" s="4" t="s">
        <v>181</v>
      </c>
      <c r="E1061" s="4" t="s">
        <v>190</v>
      </c>
      <c r="F1061" s="6">
        <v>4</v>
      </c>
      <c r="G1061" s="7">
        <v>0</v>
      </c>
      <c r="H1061" s="7">
        <v>0</v>
      </c>
      <c r="I1061" s="5">
        <v>2</v>
      </c>
      <c r="J1061" s="7">
        <v>0</v>
      </c>
      <c r="K1061" s="5">
        <v>2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3</v>
      </c>
      <c r="V1061" s="7">
        <v>0</v>
      </c>
      <c r="W1061" s="7">
        <v>0</v>
      </c>
      <c r="X1061" s="5">
        <v>2</v>
      </c>
      <c r="Y1061" s="7">
        <v>0</v>
      </c>
      <c r="Z1061" s="5">
        <v>1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1.33</v>
      </c>
      <c r="AL1061" s="5">
        <v>1</v>
      </c>
      <c r="AM1061" s="5">
        <v>2</v>
      </c>
      <c r="AN1061" s="30">
        <v>0</v>
      </c>
    </row>
    <row r="1062">
      <c r="A1062" s="24">
        <v>18527</v>
      </c>
      <c r="B1062" s="9" t="s">
        <v>1391</v>
      </c>
      <c r="C1062" s="9" t="s">
        <v>66</v>
      </c>
      <c r="D1062" s="9" t="s">
        <v>84</v>
      </c>
      <c r="E1062" s="9" t="s">
        <v>225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18699</v>
      </c>
      <c r="B1063" s="4" t="s">
        <v>1392</v>
      </c>
      <c r="C1063" s="4" t="s">
        <v>66</v>
      </c>
      <c r="D1063" s="4" t="s">
        <v>110</v>
      </c>
      <c r="E1063" s="4" t="s">
        <v>111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18736</v>
      </c>
      <c r="B1064" s="9" t="s">
        <v>1393</v>
      </c>
      <c r="C1064" s="9" t="s">
        <v>532</v>
      </c>
      <c r="D1064" s="9" t="s">
        <v>949</v>
      </c>
      <c r="E1064" s="9" t="s">
        <v>1394</v>
      </c>
      <c r="F1064" s="11">
        <v>3</v>
      </c>
      <c r="G1064" s="12">
        <v>0</v>
      </c>
      <c r="H1064" s="10">
        <v>2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2">
        <v>0</v>
      </c>
      <c r="W1064" s="10">
        <v>2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0.78</v>
      </c>
    </row>
    <row r="1065">
      <c r="A1065" s="23">
        <v>18754</v>
      </c>
      <c r="B1065" s="4" t="s">
        <v>1395</v>
      </c>
      <c r="C1065" s="4" t="s">
        <v>66</v>
      </c>
      <c r="D1065" s="4" t="s">
        <v>110</v>
      </c>
      <c r="E1065" s="4" t="s">
        <v>147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18755</v>
      </c>
      <c r="B1066" s="9" t="s">
        <v>1396</v>
      </c>
      <c r="C1066" s="9" t="s">
        <v>66</v>
      </c>
      <c r="D1066" s="9" t="s">
        <v>84</v>
      </c>
      <c r="E1066" s="9" t="s">
        <v>98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</v>
      </c>
    </row>
    <row r="1067">
      <c r="A1067" s="23">
        <v>18835</v>
      </c>
      <c r="B1067" s="4" t="s">
        <v>1397</v>
      </c>
      <c r="C1067" s="4" t="s">
        <v>138</v>
      </c>
      <c r="D1067" s="4" t="s">
        <v>512</v>
      </c>
      <c r="E1067" s="4" t="s">
        <v>573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18852</v>
      </c>
      <c r="B1068" s="9" t="s">
        <v>1398</v>
      </c>
      <c r="C1068" s="9" t="s">
        <v>66</v>
      </c>
      <c r="D1068" s="9" t="s">
        <v>75</v>
      </c>
      <c r="E1068" s="9" t="s">
        <v>79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1">
        <v>0</v>
      </c>
    </row>
    <row r="1069">
      <c r="A1069" s="23">
        <v>18878</v>
      </c>
      <c r="B1069" s="4" t="s">
        <v>1399</v>
      </c>
      <c r="C1069" s="4" t="s">
        <v>138</v>
      </c>
      <c r="D1069" s="4" t="s">
        <v>341</v>
      </c>
      <c r="E1069" s="4" t="s">
        <v>352</v>
      </c>
      <c r="F1069" s="6">
        <v>1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18986</v>
      </c>
      <c r="B1070" s="9" t="s">
        <v>1400</v>
      </c>
      <c r="C1070" s="9" t="s">
        <v>66</v>
      </c>
      <c r="D1070" s="9" t="s">
        <v>84</v>
      </c>
      <c r="E1070" s="9" t="s">
        <v>802</v>
      </c>
      <c r="F1070" s="11">
        <v>3</v>
      </c>
      <c r="G1070" s="12">
        <v>0</v>
      </c>
      <c r="H1070" s="12">
        <v>0</v>
      </c>
      <c r="I1070" s="12">
        <v>0</v>
      </c>
      <c r="J1070" s="10">
        <v>3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2">
        <v>0</v>
      </c>
      <c r="W1070" s="12">
        <v>0</v>
      </c>
      <c r="X1070" s="12">
        <v>0</v>
      </c>
      <c r="Y1070" s="10">
        <v>3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0.78</v>
      </c>
    </row>
    <row r="1071">
      <c r="A1071" s="23">
        <v>19038</v>
      </c>
      <c r="B1071" s="4" t="s">
        <v>1401</v>
      </c>
      <c r="C1071" s="4" t="s">
        <v>66</v>
      </c>
      <c r="D1071" s="4" t="s">
        <v>75</v>
      </c>
      <c r="E1071" s="4" t="s">
        <v>432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19131</v>
      </c>
      <c r="B1072" s="9" t="s">
        <v>1402</v>
      </c>
      <c r="C1072" s="9" t="s">
        <v>66</v>
      </c>
      <c r="D1072" s="9" t="s">
        <v>75</v>
      </c>
      <c r="E1072" s="9" t="s">
        <v>370</v>
      </c>
      <c r="F1072" s="11">
        <v>1</v>
      </c>
      <c r="G1072" s="12">
        <v>0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2">
        <v>0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19191</v>
      </c>
      <c r="B1073" s="4" t="s">
        <v>1403</v>
      </c>
      <c r="C1073" s="4" t="s">
        <v>138</v>
      </c>
      <c r="D1073" s="4" t="s">
        <v>512</v>
      </c>
      <c r="E1073" s="4" t="s">
        <v>587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0.24</v>
      </c>
    </row>
    <row r="1074">
      <c r="A1074" s="24">
        <v>19200</v>
      </c>
      <c r="B1074" s="9" t="s">
        <v>1404</v>
      </c>
      <c r="C1074" s="9" t="s">
        <v>66</v>
      </c>
      <c r="D1074" s="9" t="s">
        <v>105</v>
      </c>
      <c r="E1074" s="9" t="s">
        <v>346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19311</v>
      </c>
      <c r="B1075" s="4" t="s">
        <v>1405</v>
      </c>
      <c r="C1075" s="4" t="s">
        <v>152</v>
      </c>
      <c r="D1075" s="4" t="s">
        <v>1064</v>
      </c>
      <c r="E1075" s="4" t="s">
        <v>1064</v>
      </c>
      <c r="F1075" s="6">
        <v>2</v>
      </c>
      <c r="G1075" s="7">
        <v>0</v>
      </c>
      <c r="H1075" s="5">
        <v>2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7">
        <v>0</v>
      </c>
      <c r="W1075" s="5">
        <v>2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0.5</v>
      </c>
    </row>
    <row r="1076">
      <c r="A1076" s="24">
        <v>19376</v>
      </c>
      <c r="B1076" s="9" t="s">
        <v>1406</v>
      </c>
      <c r="C1076" s="9" t="s">
        <v>66</v>
      </c>
      <c r="D1076" s="9" t="s">
        <v>110</v>
      </c>
      <c r="E1076" s="9" t="s">
        <v>113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19421</v>
      </c>
      <c r="B1077" s="4" t="s">
        <v>1407</v>
      </c>
      <c r="C1077" s="4" t="s">
        <v>66</v>
      </c>
      <c r="D1077" s="4" t="s">
        <v>72</v>
      </c>
      <c r="E1077" s="4" t="s">
        <v>73</v>
      </c>
      <c r="F1077" s="6">
        <v>1</v>
      </c>
      <c r="G1077" s="7">
        <v>0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19422</v>
      </c>
      <c r="B1078" s="9" t="s">
        <v>1408</v>
      </c>
      <c r="C1078" s="9" t="s">
        <v>66</v>
      </c>
      <c r="D1078" s="9" t="s">
        <v>95</v>
      </c>
      <c r="E1078" s="9" t="s">
        <v>892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19424</v>
      </c>
      <c r="B1079" s="4" t="s">
        <v>1409</v>
      </c>
      <c r="C1079" s="4" t="s">
        <v>66</v>
      </c>
      <c r="D1079" s="4" t="s">
        <v>95</v>
      </c>
      <c r="E1079" s="4" t="s">
        <v>892</v>
      </c>
      <c r="F1079" s="6">
        <v>1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19426</v>
      </c>
      <c r="B1080" s="9" t="s">
        <v>1410</v>
      </c>
      <c r="C1080" s="9" t="s">
        <v>66</v>
      </c>
      <c r="D1080" s="9" t="s">
        <v>81</v>
      </c>
      <c r="E1080" s="9" t="s">
        <v>209</v>
      </c>
      <c r="F1080" s="11">
        <v>1</v>
      </c>
      <c r="G1080" s="12">
        <v>0</v>
      </c>
      <c r="H1080" s="10">
        <v>1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0">
        <v>1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19427</v>
      </c>
      <c r="B1081" s="4" t="s">
        <v>1411</v>
      </c>
      <c r="C1081" s="4" t="s">
        <v>66</v>
      </c>
      <c r="D1081" s="4" t="s">
        <v>87</v>
      </c>
      <c r="E1081" s="4" t="s">
        <v>88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19428</v>
      </c>
      <c r="B1082" s="9" t="s">
        <v>1412</v>
      </c>
      <c r="C1082" s="9" t="s">
        <v>66</v>
      </c>
      <c r="D1082" s="9" t="s">
        <v>75</v>
      </c>
      <c r="E1082" s="9" t="s">
        <v>76</v>
      </c>
      <c r="F1082" s="11">
        <v>1</v>
      </c>
      <c r="G1082" s="12">
        <v>0</v>
      </c>
      <c r="H1082" s="10">
        <v>1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0">
        <v>1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49">
        <v>19468</v>
      </c>
      <c r="B1083" s="43" t="s">
        <v>1413</v>
      </c>
      <c r="C1083" s="43" t="s">
        <v>525</v>
      </c>
      <c r="D1083" s="43" t="s">
        <v>526</v>
      </c>
      <c r="E1083" s="43" t="s">
        <v>530</v>
      </c>
      <c r="F1083" s="44">
        <v>1</v>
      </c>
      <c r="G1083" s="45">
        <v>0</v>
      </c>
      <c r="H1083" s="45">
        <v>0</v>
      </c>
      <c r="I1083" s="45">
        <v>0</v>
      </c>
      <c r="J1083" s="46">
        <v>1</v>
      </c>
      <c r="K1083" s="45">
        <v>0</v>
      </c>
      <c r="L1083" s="45">
        <v>0</v>
      </c>
      <c r="M1083" s="45">
        <v>0</v>
      </c>
      <c r="N1083" s="45">
        <v>0</v>
      </c>
      <c r="O1083" s="45">
        <v>0</v>
      </c>
      <c r="P1083" s="45">
        <v>0</v>
      </c>
      <c r="Q1083" s="45">
        <v>0</v>
      </c>
      <c r="R1083" s="45">
        <v>0</v>
      </c>
      <c r="S1083" s="45">
        <v>0</v>
      </c>
      <c r="T1083" s="51">
        <v>0</v>
      </c>
      <c r="U1083" s="44">
        <v>1</v>
      </c>
      <c r="V1083" s="45">
        <v>0</v>
      </c>
      <c r="W1083" s="45">
        <v>0</v>
      </c>
      <c r="X1083" s="45">
        <v>0</v>
      </c>
      <c r="Y1083" s="46">
        <v>1</v>
      </c>
      <c r="Z1083" s="45">
        <v>0</v>
      </c>
      <c r="AA1083" s="45">
        <v>0</v>
      </c>
      <c r="AB1083" s="45">
        <v>0</v>
      </c>
      <c r="AC1083" s="45">
        <v>0</v>
      </c>
      <c r="AD1083" s="45">
        <v>0</v>
      </c>
      <c r="AE1083" s="45">
        <v>0</v>
      </c>
      <c r="AF1083" s="45">
        <v>0</v>
      </c>
      <c r="AG1083" s="45">
        <v>0</v>
      </c>
      <c r="AH1083" s="45">
        <v>0</v>
      </c>
      <c r="AI1083" s="45">
        <v>0</v>
      </c>
      <c r="AJ1083" s="46">
        <v>1</v>
      </c>
      <c r="AK1083" s="47">
        <v>1</v>
      </c>
      <c r="AL1083" s="46">
        <v>1</v>
      </c>
      <c r="AM1083" s="46">
        <v>1</v>
      </c>
      <c r="AN1083" s="50">
        <v>0.26</v>
      </c>
    </row>
    <row r="1085">
      <c r="A1085" s="52" t="s">
        <v>0</v>
      </c>
      <c r="B1085" s="52" t="s">
        <v>0</v>
      </c>
      <c r="C1085" s="52" t="s">
        <v>0</v>
      </c>
      <c r="D1085" s="52" t="s">
        <v>0</v>
      </c>
      <c r="E1085" s="53" t="s">
        <v>59</v>
      </c>
      <c r="F1085" s="40">
        <f>SUM(F3:F1083)</f>
      </c>
      <c r="G1085" s="39">
        <f>SUM(G3:G1083)</f>
      </c>
      <c r="H1085" s="39">
        <f>SUM(H3:H1083)</f>
      </c>
      <c r="I1085" s="39">
        <f>SUM(I3:I1083)</f>
      </c>
      <c r="J1085" s="39">
        <f>SUM(J3:J1083)</f>
      </c>
      <c r="K1085" s="39">
        <f>SUM(K3:K1083)</f>
      </c>
      <c r="L1085" s="39">
        <f>SUM(L3:L1083)</f>
      </c>
      <c r="M1085" s="39">
        <f>SUM(M3:M1083)</f>
      </c>
      <c r="N1085" s="39">
        <f>SUM(N3:N1083)</f>
      </c>
      <c r="O1085" s="39">
        <f>SUM(O3:O1083)</f>
      </c>
      <c r="P1085" s="39">
        <f>SUM(P3:P1083)</f>
      </c>
      <c r="Q1085" s="39">
        <f>SUM(Q3:Q1083)</f>
      </c>
      <c r="R1085" s="39">
        <f>SUM(R3:R1083)</f>
      </c>
      <c r="S1085" s="39">
        <f>SUM(S3:S1083)</f>
      </c>
      <c r="T1085" s="39">
        <f>SUM(T3:T1083)</f>
      </c>
      <c r="U1085" s="40">
        <f>SUM(U3:U1083)</f>
      </c>
      <c r="V1085" s="39">
        <f>SUM(V3:V1083)</f>
      </c>
      <c r="W1085" s="39">
        <f>SUM(W3:W1083)</f>
      </c>
      <c r="X1085" s="39">
        <f>SUM(X3:X1083)</f>
      </c>
      <c r="Y1085" s="39">
        <f>SUM(Y3:Y1083)</f>
      </c>
      <c r="Z1085" s="39">
        <f>SUM(Z3:Z1083)</f>
      </c>
      <c r="AA1085" s="39">
        <f>SUM(AA3:AA1083)</f>
      </c>
      <c r="AB1085" s="39">
        <f>SUM(AB3:AB1083)</f>
      </c>
      <c r="AC1085" s="39">
        <f>SUM(AC3:AC1083)</f>
      </c>
      <c r="AD1085" s="39">
        <f>SUM(AD3:AD1083)</f>
      </c>
      <c r="AE1085" s="39">
        <f>SUM(AE3:AE1083)</f>
      </c>
      <c r="AF1085" s="39">
        <f>SUM(AF3:AF1083)</f>
      </c>
      <c r="AG1085" s="39">
        <f>SUM(AG3:AG1083)</f>
      </c>
      <c r="AH1085" s="39">
        <f>SUM(AH3:AH1083)</f>
      </c>
      <c r="AI1085" s="39">
        <f>SUM(AI3:AI1083)</f>
      </c>
      <c r="AJ1085" s="39">
        <f>MIN(AJ3:AJ1083)</f>
      </c>
      <c r="AK1085" s="39">
        <f>AVERAGE(AK3:AK1083)</f>
      </c>
      <c r="AL1085" s="39">
        <f>MEDIAN(AL3:AL1083)</f>
      </c>
      <c r="AM1085" s="39">
        <f>Max(AM3:AM1083)</f>
      </c>
      <c r="AN1085" s="41">
        <f>SUM(AN3:AN1083)</f>
      </c>
    </row>
  </sheetData>
  <autoFilter ref="A2:AN1083"/>
  <mergeCells>
    <mergeCell ref="A1:E1"/>
    <mergeCell ref="F1:T1"/>
    <mergeCell ref="U1:AI1"/>
    <mergeCell ref="AJ1:AN1"/>
    <mergeCell ref="A1085:D10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1414</v>
      </c>
      <c r="B1" s="55" t="s">
        <v>1415</v>
      </c>
    </row>
    <row r="2">
      <c r="A2" s="54" t="s">
        <v>1416</v>
      </c>
      <c r="B2" s="55" t="s">
        <v>1417</v>
      </c>
    </row>
    <row r="3">
      <c r="A3" s="1"/>
      <c r="B3" s="1"/>
    </row>
    <row r="4">
      <c r="A4" s="54" t="s">
        <v>1418</v>
      </c>
      <c r="B4" s="55" t="s">
        <v>1419</v>
      </c>
    </row>
    <row r="5">
      <c r="A5" s="54" t="s">
        <v>1420</v>
      </c>
      <c r="B5" s="55" t="s">
        <v>1421</v>
      </c>
    </row>
    <row r="6">
      <c r="A6" s="54" t="s">
        <v>1422</v>
      </c>
      <c r="B6" s="55"/>
    </row>
    <row r="7">
      <c r="A7" s="54" t="s">
        <v>1423</v>
      </c>
      <c r="B7" s="55"/>
    </row>
    <row r="8">
      <c r="A8" s="54" t="s">
        <v>1424</v>
      </c>
      <c r="B8" s="55" t="s">
        <v>1425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1426</v>
      </c>
      <c r="B12" s="55" t="s">
        <v>1427</v>
      </c>
    </row>
    <row r="13">
      <c r="A13" s="54" t="s">
        <v>1428</v>
      </c>
      <c r="B13" s="55" t="s">
        <v>1429</v>
      </c>
    </row>
    <row r="14">
      <c r="A14" s="54" t="s">
        <v>1430</v>
      </c>
      <c r="B14" s="55" t="s">
        <v>1431</v>
      </c>
    </row>
    <row r="15">
      <c r="A15" s="54" t="s">
        <v>1432</v>
      </c>
      <c r="B15" s="55" t="s">
        <v>1433</v>
      </c>
    </row>
    <row r="16">
      <c r="A16" s="54" t="s">
        <v>1434</v>
      </c>
      <c r="B16" s="55" t="s">
        <v>1435</v>
      </c>
    </row>
  </sheetData>
  <headerFooter/>
</worksheet>
</file>