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Establishment!$A$2:$AN$1375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<sst xmlns="http://schemas.openxmlformats.org/spreadsheetml/2006/main" count="1741" uniqueCount="1741">
  <si>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</si>
  <si>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</si>
  <si>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</si>
  <si>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</si>
  <si>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</si>
  <si>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</si>
  <si>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</si>
  <si>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</si>
  <si>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</si>
  <si>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</si>
  <si>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</si>
  <si>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</si>
  <si>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</si>
  <si>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</si>
  <si>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</si>
  <si>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</si>
  <si>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</si>
  <si>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</si>
  <si>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</si>
  <si>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</si>
  <si>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</si>
  <si>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</si>
  <si>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</si>
  <si>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</si>
  <si>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</si>
  <si>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</si>
  <si>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</si>
  <si>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</si>
  <si>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</si>
  <si>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</si>
  <si>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</si>
  <si>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</si>
  <si>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</si>
  <si>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</si>
  <si>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</si>
  <si>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</si>
  <si>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</si>
  <si>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</si>
  <si>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</si>
  <si>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</si>
  <si>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</si>
  <si>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</si>
  <si>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</si>
  <si>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</si>
  <si>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</si>
  <si>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</si>
  <si>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</si>
  <si>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</si>
  <si>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</si>
  <si>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</si>
  <si>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</si>
  <si>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</si>
  <si>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</si>
  <si>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</si>
  <si>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</si>
  <si>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</si>
  <si>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</si>
  <si>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</si>
  <si>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</si>
  <si>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</si>
  <si>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</si>
  <si>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</si>
  <si>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</si>
  <si>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</si>
  <si>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</si>
  <si>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</si>
  <si>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</si>
  <si>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</si>
  <si>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</si>
  <si>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</si>
  <si>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</si>
  <si>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</si>
  <si>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</si>
  <si>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</si>
  <si>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</si>
  <si>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</si>
  <si>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</si>
  <si>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</si>
  <si>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</si>
  <si>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</si>
  <si>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</si>
  <si>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</si>
  <si>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</si>
  <si>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</si>
  <si>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</si>
  <si>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</si>
  <si>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</si>
  <si>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</si>
  <si>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</si>
  <si>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</si>
  <si>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Sites et Paysages Domaine de la Catinière</t>
  </si>
  <si>
    <t>Normandie</t>
  </si>
  <si>
    <t>Eure</t>
  </si>
  <si>
    <t>Le Coin Tranquille C'est Si Bon</t>
  </si>
  <si>
    <t>Isère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</si>
  <si>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</si>
  <si>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</si>
  <si>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</si>
  <si>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</si>
  <si>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</si>
  <si>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</si>
  <si>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</si>
  <si>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</si>
  <si>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</si>
  <si>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</si>
  <si>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</si>
  <si>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Camping de l'Etang Sites et Paysages</t>
  </si>
  <si>
    <t>Camping Sandaya Château des Marais</t>
  </si>
  <si>
    <t>Centre-Val de Loire</t>
  </si>
  <si>
    <t>Loir-et-Cher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</si>
  <si>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</si>
  <si>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</si>
  <si>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</si>
  <si>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</si>
  <si>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</si>
  <si>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</si>
  <si>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Naturiste Arnaoutchot</t>
  </si>
  <si>
    <t>Centre de Vacances Naturiste le Colombier</t>
  </si>
  <si>
    <t>Vendée</t>
  </si>
  <si>
    <t>YELLOH! VILLAGE - LE BRASILIA</t>
  </si>
  <si>
    <t>Pyrénées-Orientales</t>
  </si>
  <si>
    <t>Le Moulin de David</t>
  </si>
  <si>
    <t>Dordogne</t>
  </si>
  <si>
    <t>Domaine Laborde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</si>
  <si>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</si>
  <si>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</si>
  <si>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</si>
  <si>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</si>
  <si>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</si>
  <si>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</si>
  <si>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</si>
  <si>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</si>
  <si>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</si>
  <si>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</si>
  <si>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Bretagne</t>
  </si>
  <si>
    <t>Finistère</t>
  </si>
  <si>
    <t>Camping Club Tikayan La Vallée du Paradis</t>
  </si>
  <si>
    <t>Camping Qualité le Val de Saures</t>
  </si>
  <si>
    <t>Camping Qualité Le Paisserou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</si>
  <si>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</si>
  <si>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</si>
  <si>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</si>
  <si>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</si>
  <si>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</si>
  <si>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</si>
  <si>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</si>
  <si>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</si>
  <si>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</si>
  <si>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</si>
  <si>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Domaine résidentiel naturiste La Jenny</t>
  </si>
  <si>
    <t>Gironde</t>
  </si>
  <si>
    <t>Camping Club Tikayan Les Palmiers</t>
  </si>
  <si>
    <t>Camping Bois Soleil</t>
  </si>
  <si>
    <t>Charente-Maritime</t>
  </si>
  <si>
    <t>Château le Verdoyer</t>
  </si>
  <si>
    <t>Camping La Marjorie</t>
  </si>
  <si>
    <t>Jura</t>
  </si>
  <si>
    <t>L'Escale Village</t>
  </si>
  <si>
    <t>YELLOH! VILLAGE - LE RIDIN</t>
  </si>
  <si>
    <t>Hauts-de-France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</si>
  <si>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</si>
  <si>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</si>
  <si>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</si>
  <si>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</si>
  <si>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</si>
  <si>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</si>
  <si>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</si>
  <si>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</si>
  <si>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</si>
  <si>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</si>
  <si>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Domaine de La Sablière - naturiste</t>
  </si>
  <si>
    <t>Gard</t>
  </si>
  <si>
    <t>Camping Sandaya Les Rivages</t>
  </si>
  <si>
    <t>Camping Du Bois De Reveuge</t>
  </si>
  <si>
    <t>Doubs</t>
  </si>
  <si>
    <t>Camping Sandaya Soleil Vivarais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</si>
  <si>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</si>
  <si>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</si>
  <si>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</si>
  <si>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</si>
  <si>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</si>
  <si>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</si>
  <si>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</si>
  <si>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</si>
  <si>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</si>
  <si>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</si>
  <si>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</si>
  <si>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</si>
  <si>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</si>
  <si>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</si>
  <si>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</si>
  <si>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</si>
  <si>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</si>
  <si>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</si>
  <si>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</si>
  <si>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</si>
  <si>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</si>
  <si>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</si>
  <si>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</si>
  <si>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</si>
  <si>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</si>
  <si>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</si>
  <si>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</si>
  <si>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</si>
  <si>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</si>
  <si>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</si>
  <si>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</si>
  <si>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</si>
  <si>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</si>
  <si>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</si>
  <si>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</si>
  <si>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</si>
  <si>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</si>
  <si>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</si>
  <si>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</si>
  <si>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</si>
  <si>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</si>
  <si>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</si>
  <si>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Le Caussanel</t>
  </si>
  <si>
    <t>Camping Sunêlia L'Hippocampe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</si>
  <si>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</si>
  <si>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</si>
  <si>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</si>
  <si>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</si>
  <si>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</si>
  <si>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</si>
  <si>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</si>
  <si>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Homair - Camping Domaine des Naïades</t>
  </si>
  <si>
    <t>Camping Le Haras</t>
  </si>
  <si>
    <t>Camping Le Paradis</t>
  </si>
  <si>
    <t>Camping Des 3 Lacs du Soleil</t>
  </si>
  <si>
    <t>SARL Camping le Neptune</t>
  </si>
  <si>
    <t>Côtes-d'Armor</t>
  </si>
  <si>
    <t>Camping LA PRESQU'ILE DE GIENS</t>
  </si>
  <si>
    <t>Sandaya Domaine du Colombier</t>
  </si>
  <si>
    <t>Campasun Camping Mas de Pierredon</t>
  </si>
  <si>
    <t>CHM Monta</t>
  </si>
  <si>
    <t>Camping le Moulin</t>
  </si>
  <si>
    <t>Domaine de la Taillade</t>
  </si>
  <si>
    <t>Cantal</t>
  </si>
  <si>
    <t>Camping Naturiste Les Aillos</t>
  </si>
  <si>
    <t>Haute-Garonne</t>
  </si>
  <si>
    <t>Domaine de La Genèse</t>
  </si>
  <si>
    <t>Camping Urbasa Bioitza</t>
  </si>
  <si>
    <t>Camping Terre d'Armor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</si>
  <si>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</si>
  <si>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</si>
  <si>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</si>
  <si>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</si>
  <si>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</si>
  <si>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</si>
  <si>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</si>
  <si>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</si>
  <si>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</si>
  <si>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Siblu – Le Bois Dormant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</si>
  <si>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</si>
  <si>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</si>
  <si>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</si>
  <si>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</si>
  <si>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</si>
  <si>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</si>
  <si>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</si>
  <si>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</si>
  <si>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Domaine Devèze</t>
  </si>
  <si>
    <t>Le Camp de Florence</t>
  </si>
  <si>
    <t>Domaine Aramis</t>
  </si>
  <si>
    <t>Flower Camping Le Haut Dick</t>
  </si>
  <si>
    <t>Camping Le Deffay</t>
  </si>
  <si>
    <t>Camping Au Soir d’Eté</t>
  </si>
  <si>
    <t>Chadotel Les Ecureuils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</si>
  <si>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</si>
  <si>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</si>
  <si>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</si>
  <si>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</si>
  <si>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</si>
  <si>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</si>
  <si>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Les Ecureuils</t>
  </si>
  <si>
    <t>Camping Eden Villages Le Caravan'Ile</t>
  </si>
  <si>
    <t>Camping LES CERISIERS</t>
  </si>
  <si>
    <t xml:space="preserve">Camping  SAINT MARTIN</t>
  </si>
  <si>
    <t>Ushuaïa Villages - Camping Le Port de Lacombe ***</t>
  </si>
  <si>
    <t>Flower Camping Le Lac aux Oiseaux</t>
  </si>
  <si>
    <t>Camping Les Erables</t>
  </si>
  <si>
    <t>Flower Camping Saint Lambert</t>
  </si>
  <si>
    <t>Camping Les Bords du Tarn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</si>
  <si>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</si>
  <si>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</si>
  <si>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</si>
  <si>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</si>
  <si>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</si>
  <si>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</si>
  <si>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</si>
  <si>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</si>
  <si>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</si>
  <si>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Ariège</t>
  </si>
  <si>
    <t>Camping l'Arize</t>
  </si>
  <si>
    <t>Camping du Lac Mercus</t>
  </si>
  <si>
    <t>Camping Les 4 Saisons</t>
  </si>
  <si>
    <t>Flower Camping LES MIJEANNES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</si>
  <si>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</si>
  <si>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</si>
  <si>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</si>
  <si>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</si>
  <si>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</si>
  <si>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</si>
  <si>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</si>
  <si>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Le Plan d'Eau Saint Charles</t>
  </si>
  <si>
    <t>Camping les Monts d'Albi</t>
  </si>
  <si>
    <t>Camping LE CLOS LALANDE</t>
  </si>
  <si>
    <t>Tarn-et-Garonne</t>
  </si>
  <si>
    <t>Camping de La Tour</t>
  </si>
  <si>
    <t>Hautes-Pyrénées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</si>
  <si>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</si>
  <si>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</si>
  <si>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</si>
  <si>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</si>
  <si>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</si>
  <si>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</si>
  <si>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</si>
  <si>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</si>
  <si>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</si>
  <si>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</si>
  <si>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LE VIEUX BERGER</t>
  </si>
  <si>
    <t>Camping Les Cascades</t>
  </si>
  <si>
    <t>Camping LARBEY</t>
  </si>
  <si>
    <t>Camping LE HOUNTA</t>
  </si>
  <si>
    <t>Sites et Paysages Pyrénévasion</t>
  </si>
  <si>
    <t>Camping Le Rural</t>
  </si>
  <si>
    <t>Village Vacances Camping Du Lac</t>
  </si>
  <si>
    <t>Flower Camping Du Lac De Thésauque</t>
  </si>
  <si>
    <t>Camping RIVIERE DE CABESSUT</t>
  </si>
  <si>
    <t>Lot</t>
  </si>
  <si>
    <t>DOMAINE DU SURGIE</t>
  </si>
  <si>
    <t>Camping LA GARRIGUE</t>
  </si>
  <si>
    <t>Sites et Paysages Les Hirondelles</t>
  </si>
  <si>
    <t>Camping Les Cigales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</si>
  <si>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</si>
  <si>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</si>
  <si>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</si>
  <si>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</si>
  <si>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</si>
  <si>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Camping LA CHENERAIE</t>
  </si>
  <si>
    <t>Sunêlia Mas de Nicolas</t>
  </si>
  <si>
    <t>Bouches-du-Rhône</t>
  </si>
  <si>
    <t>Camping Jardins de Kergal</t>
  </si>
  <si>
    <t>Morbihan</t>
  </si>
  <si>
    <t>Flower Camping de la Cascade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</si>
  <si>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</si>
  <si>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</si>
  <si>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</si>
  <si>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</si>
  <si>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</si>
  <si>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Sandaya Le Ranolien</t>
  </si>
  <si>
    <t>Camping Sandaya L'Escale Saint Gilles</t>
  </si>
  <si>
    <t>Siblu – Le Conguel</t>
  </si>
  <si>
    <t>Camping Homair - Port de Plaisance</t>
  </si>
  <si>
    <t>ROMANEE Chatelet</t>
  </si>
  <si>
    <t>Flower Camping Le Vieux Moulin</t>
  </si>
  <si>
    <t>ROMANEE Kervilor</t>
  </si>
  <si>
    <t>Camping Le Petit Bois Sites et Paysages</t>
  </si>
  <si>
    <t>Glamping Sainte-Suzanne</t>
  </si>
  <si>
    <t>Mayenne</t>
  </si>
  <si>
    <t>Camping Château Le Haget</t>
  </si>
  <si>
    <t>Camping Du Pouldu</t>
  </si>
  <si>
    <t>Camping - Club Mahana</t>
  </si>
  <si>
    <t>Camping Site de Gorge Vent</t>
  </si>
  <si>
    <t>Camping Des Trois Tilleuls</t>
  </si>
  <si>
    <t>Pas-de-Calais</t>
  </si>
  <si>
    <t>Camping Rodas</t>
  </si>
  <si>
    <t>Camping Lloret Blau</t>
  </si>
  <si>
    <t>Auberge &amp; Camping Sabatoux</t>
  </si>
  <si>
    <t>Camping Les Restanques</t>
  </si>
  <si>
    <t>Village de gîtes et de vacances*** Les Hauts de Saint Privat</t>
  </si>
  <si>
    <t>Lozère</t>
  </si>
  <si>
    <t>Camping APV La Parée du Jonc</t>
  </si>
  <si>
    <t>Chadotel Les Jardins Catalans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</si>
  <si>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</si>
  <si>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</si>
  <si>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</si>
  <si>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</si>
  <si>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</si>
  <si>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</si>
  <si>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la Mer Blanche</t>
  </si>
  <si>
    <t>Camping Ecoresponsable Le Rêve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</si>
  <si>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</si>
  <si>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</si>
  <si>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</si>
  <si>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</si>
  <si>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</si>
  <si>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</si>
  <si>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Camping Paradis Family des Issoux</t>
  </si>
  <si>
    <t>Le Clos de Banes</t>
  </si>
  <si>
    <t>LES FLOTS-ATLANTIQUE ** Village 2</t>
  </si>
  <si>
    <t>Camping Seasonova Sous le Moulin</t>
  </si>
  <si>
    <t>Camping Le Colporteur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</si>
  <si>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</si>
  <si>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</si>
  <si>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</si>
  <si>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</si>
  <si>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</si>
  <si>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</si>
  <si>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</si>
  <si>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</si>
  <si>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</si>
  <si>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</si>
  <si>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</si>
  <si>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</si>
  <si>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</si>
  <si>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</si>
  <si>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</si>
  <si>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</si>
  <si>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</si>
  <si>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</si>
  <si>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</si>
  <si>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</si>
  <si>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</si>
  <si>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</si>
  <si>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</si>
  <si>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</si>
  <si>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</si>
  <si>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</si>
  <si>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</si>
  <si>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</si>
  <si>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</si>
  <si>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</si>
  <si>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</si>
  <si>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</si>
  <si>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</si>
  <si>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</si>
  <si>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Ille-et-Vilaine</t>
  </si>
  <si>
    <t>Siblu – Les Viviers</t>
  </si>
  <si>
    <t>Camping &amp; Spa Airotel L'Océan</t>
  </si>
  <si>
    <t>Siblu - Mer et Soleil d'Oleron</t>
  </si>
  <si>
    <t>ROMANEE Cormoran</t>
  </si>
  <si>
    <t>ROMANEE La Plage</t>
  </si>
  <si>
    <t>Siblu – Domaine de Dugny</t>
  </si>
  <si>
    <t>AIROTEL Camping LE RAGUENES PLAGE</t>
  </si>
  <si>
    <t>Flower Camping le FONDESPIERRE</t>
  </si>
  <si>
    <t>Capfun - Camping Le Fréjus</t>
  </si>
  <si>
    <t>Weekend Glamping Resort</t>
  </si>
  <si>
    <t>Lombardie</t>
  </si>
  <si>
    <t>Brescia</t>
  </si>
  <si>
    <t>Camping DE LA PISCINE</t>
  </si>
  <si>
    <t>Camping l'Étoile d'Or</t>
  </si>
  <si>
    <t>Camping Le Dauphin</t>
  </si>
  <si>
    <t>Camping Club Le Littoral - MS Vacances</t>
  </si>
  <si>
    <t>Camping Sunêlia Le Domaine de Champé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</si>
  <si>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</si>
  <si>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</si>
  <si>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</si>
  <si>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</si>
  <si>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</si>
  <si>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</si>
  <si>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</si>
  <si>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</si>
  <si>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</si>
  <si>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</si>
  <si>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</si>
  <si>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</si>
  <si>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</si>
  <si>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</si>
  <si>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</si>
  <si>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</si>
  <si>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</si>
  <si>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</si>
  <si>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</si>
  <si>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</si>
  <si>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LA SOURCE</t>
  </si>
  <si>
    <t>Camping Village Cieloverde</t>
  </si>
  <si>
    <t>Toscane</t>
  </si>
  <si>
    <t>Grosseto</t>
  </si>
  <si>
    <t>Camping Village Rocchette</t>
  </si>
  <si>
    <t>Flower Camping La Chataigneraie</t>
  </si>
  <si>
    <t>Drôme</t>
  </si>
  <si>
    <t>Torre Pendente Camping Village</t>
  </si>
  <si>
    <t>Pisa</t>
  </si>
  <si>
    <t>Camping L'Ametlla Village Platja</t>
  </si>
  <si>
    <t>PuntAla Camp &amp; Resort</t>
  </si>
  <si>
    <t>Toscana Holiday Village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</si>
  <si>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</si>
  <si>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</si>
  <si>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</si>
  <si>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</si>
  <si>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</si>
  <si>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</si>
  <si>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</si>
  <si>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</si>
  <si>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</si>
  <si>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</si>
  <si>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</si>
  <si>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</si>
  <si>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</si>
  <si>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ROMANEE Grottes de Roffy</t>
  </si>
  <si>
    <t>Camping de la Forêt</t>
  </si>
  <si>
    <t>Seine-Maritime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</si>
  <si>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</si>
  <si>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</si>
  <si>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</si>
  <si>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</si>
  <si>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</si>
  <si>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</si>
  <si>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</si>
  <si>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</si>
  <si>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</si>
  <si>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</si>
  <si>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</si>
  <si>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</si>
  <si>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</si>
  <si>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</si>
  <si>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</si>
  <si>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</si>
  <si>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</si>
  <si>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</si>
  <si>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</si>
  <si>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Camping L'Atlantys</t>
  </si>
  <si>
    <t>Florenz - Open Air Resort</t>
  </si>
  <si>
    <t>Ferrara</t>
  </si>
  <si>
    <t>YELLOH! VILLAGE - LE FAYOLAN</t>
  </si>
  <si>
    <t>Homair - Mayotte Vacances</t>
  </si>
  <si>
    <t>Camping Sandaya Aloha</t>
  </si>
  <si>
    <t>Les Méditerranées - Camping Charlemagne</t>
  </si>
  <si>
    <t>Castel Camping Parc de Fierbois</t>
  </si>
  <si>
    <t>Indre-et-Loire</t>
  </si>
  <si>
    <t>CAMPING DES ABERS</t>
  </si>
  <si>
    <t>Camping Neptune</t>
  </si>
  <si>
    <t>Camping Bel'époque du Pilat</t>
  </si>
  <si>
    <t>Loire</t>
  </si>
  <si>
    <t>Camping Les Coudoulets</t>
  </si>
  <si>
    <t>Camping Nostradamus</t>
  </si>
  <si>
    <t>Camping Le Pequelet</t>
  </si>
  <si>
    <t>Camping U Casone</t>
  </si>
  <si>
    <t>Camping Merko Lacarra</t>
  </si>
  <si>
    <t>Camping AMETZA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</si>
  <si>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</si>
  <si>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</si>
  <si>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</si>
  <si>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</si>
  <si>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</si>
  <si>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</si>
  <si>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</si>
  <si>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</si>
  <si>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</si>
  <si>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</si>
  <si>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</si>
  <si>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</si>
  <si>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</si>
  <si>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les Ripettes</t>
  </si>
  <si>
    <t>Ain</t>
  </si>
  <si>
    <t>CAMPING ISERAND CALME et NATURE***</t>
  </si>
  <si>
    <t>Camping Les Loges</t>
  </si>
  <si>
    <t>Camping del Mar</t>
  </si>
  <si>
    <t>Camping Les Coteaux du Lac</t>
  </si>
  <si>
    <t>Camping Caravaning Playa Tropicana</t>
  </si>
  <si>
    <t>Domaine de la Plage</t>
  </si>
  <si>
    <t>GERVANNE CAMPING</t>
  </si>
  <si>
    <t>Camping La Ferme de Clareau</t>
  </si>
  <si>
    <t>Flower Camping Les Rives de l'Aygues</t>
  </si>
  <si>
    <t>CAMPING LES CLOS</t>
  </si>
  <si>
    <t>Camping Le Panoramic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</si>
  <si>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</si>
  <si>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</si>
  <si>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</si>
  <si>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</si>
  <si>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</si>
  <si>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</si>
  <si>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</si>
  <si>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</si>
  <si>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</si>
  <si>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</si>
  <si>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</si>
  <si>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</si>
  <si>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</si>
  <si>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Castel Camping Domaine de la Ville Huchet</t>
  </si>
  <si>
    <t>Camping Club Plage Sud - MS Vacances</t>
  </si>
  <si>
    <t>Camping Village Punta Navaccia</t>
  </si>
  <si>
    <t>Camping DOMAINE DE GIL</t>
  </si>
  <si>
    <t>Pirates World Village Club Les Sables d'Or</t>
  </si>
  <si>
    <t>Camping les Charmilles</t>
  </si>
  <si>
    <t>Camping CAVALLO MORTO</t>
  </si>
  <si>
    <t>Camping Sandaya Île Des Papes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</si>
  <si>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</si>
  <si>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</si>
  <si>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</si>
  <si>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</si>
  <si>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</si>
  <si>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</si>
  <si>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</si>
  <si>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Camping La Pinède</t>
  </si>
  <si>
    <t>Campasun Camping Du Soleil</t>
  </si>
  <si>
    <t>Camping Rose de Provence VERDON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</si>
  <si>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</si>
  <si>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</si>
  <si>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</si>
  <si>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</si>
  <si>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</si>
  <si>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naturiste Verdon Provence</t>
  </si>
  <si>
    <t>Flower Camping La Rivière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</si>
  <si>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</si>
  <si>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</si>
  <si>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</si>
  <si>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</si>
  <si>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</si>
  <si>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</si>
  <si>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</si>
  <si>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</si>
  <si>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</si>
  <si>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</si>
  <si>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</si>
  <si>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 xml:space="preserve">Camping de Belle Hutte </t>
  </si>
  <si>
    <t>Camping Belle Etoile</t>
  </si>
  <si>
    <t xml:space="preserve"> Camping Sandaya Les Mathes </t>
  </si>
  <si>
    <t>Flower Camping Les Verguettes</t>
  </si>
  <si>
    <t>Camping Le Rancho</t>
  </si>
  <si>
    <t>Camping Au Cœur de Vendôme</t>
  </si>
  <si>
    <t>Camping Sunêlia L'Aiguille Creuse</t>
  </si>
  <si>
    <t>Camping de Graniers</t>
  </si>
  <si>
    <t>Camping Le Tampico</t>
  </si>
  <si>
    <t>La Rocca Camping</t>
  </si>
  <si>
    <t>CAMPING BELLEVUE MER</t>
  </si>
  <si>
    <t>Camping Kerlaz</t>
  </si>
  <si>
    <t>Flower Camping Domaine de Pendruc</t>
  </si>
  <si>
    <t>Camping Fontisson</t>
  </si>
  <si>
    <t>Camping La Chapelle Saint Claude</t>
  </si>
  <si>
    <t>Camping Mas des Lavandes</t>
  </si>
  <si>
    <t>Flower Camping Le Val de l'Arre</t>
  </si>
  <si>
    <t>Camping &amp; Spa CAP SOLEIL</t>
  </si>
  <si>
    <t>Camping OLVA LES EUCALYPTUS</t>
  </si>
  <si>
    <t>Camping Village Spinnaker</t>
  </si>
  <si>
    <t>Oristano</t>
  </si>
  <si>
    <t>Camping La Cascade</t>
  </si>
  <si>
    <t>Camping COUDERC</t>
  </si>
  <si>
    <t>Papillon Country Resort</t>
  </si>
  <si>
    <t>Pays-Bas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</si>
  <si>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</si>
  <si>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</si>
  <si>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</si>
  <si>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</si>
  <si>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</si>
  <si>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</si>
  <si>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Les Méditerranées - Camping Beach Garden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</si>
  <si>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</si>
  <si>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</si>
  <si>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</si>
  <si>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</si>
  <si>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</si>
  <si>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</si>
  <si>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</si>
  <si>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</si>
  <si>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</si>
  <si>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</si>
  <si>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</si>
  <si>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 xml:space="preserve">Arden Parks Petite Suisse </t>
  </si>
  <si>
    <t>Luxembourg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</si>
  <si>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</si>
  <si>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</si>
  <si>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</si>
  <si>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</si>
  <si>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</si>
  <si>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</si>
  <si>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</si>
  <si>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</si>
  <si>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Camping Les Tilleuls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</si>
  <si>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</si>
  <si>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</si>
  <si>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</si>
  <si>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</si>
  <si>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</si>
  <si>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Fontaine d'Annibal</t>
  </si>
  <si>
    <t>Camping de Tournus</t>
  </si>
  <si>
    <t>Saône-et-Loire</t>
  </si>
  <si>
    <t>Flower Camping Le Bel Air</t>
  </si>
  <si>
    <t>Flower Camping Le Jardin de Sully</t>
  </si>
  <si>
    <t>Loiret</t>
  </si>
  <si>
    <t>Chadotel L'Océano d'Or</t>
  </si>
  <si>
    <t>Camping Kerscolper</t>
  </si>
  <si>
    <t>De Schatberg</t>
  </si>
  <si>
    <t>Limbourg</t>
  </si>
  <si>
    <t xml:space="preserve">Domaine Relais du Lac </t>
  </si>
  <si>
    <t>Camping La Plage de Treguer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</si>
  <si>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</si>
  <si>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</si>
  <si>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</si>
  <si>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</si>
  <si>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</si>
  <si>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</si>
  <si>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</si>
  <si>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</si>
  <si>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</si>
  <si>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</si>
  <si>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</si>
  <si>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</si>
  <si>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</si>
  <si>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Homair - Les Gorges de Provence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</si>
  <si>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</si>
  <si>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</si>
  <si>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</si>
  <si>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</si>
  <si>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</si>
  <si>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</si>
  <si>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</si>
  <si>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</si>
  <si>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</si>
  <si>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</si>
  <si>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</si>
  <si>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</si>
  <si>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</si>
  <si>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</si>
  <si>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</si>
  <si>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</si>
  <si>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</si>
  <si>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</si>
  <si>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</si>
  <si>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</si>
  <si>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</si>
  <si>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</si>
  <si>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</si>
  <si>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</si>
  <si>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les Collines de Castellane</t>
  </si>
  <si>
    <t>RCN le Moulin de la Pique</t>
  </si>
  <si>
    <t>RCN Domaine de la Noguière</t>
  </si>
  <si>
    <t>Camping Homair - La Grande Métairie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</si>
  <si>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</si>
  <si>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</si>
  <si>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</si>
  <si>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</si>
  <si>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</si>
  <si>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</si>
  <si>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</si>
  <si>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</si>
  <si>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</si>
  <si>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</si>
  <si>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</si>
  <si>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</si>
  <si>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</si>
  <si>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</si>
  <si>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Campingpark am Weissen See</t>
  </si>
  <si>
    <t>Mecklembourg-Poméranie-Occidentale</t>
  </si>
  <si>
    <t>Campingplatz am Grossen Pälitzsee</t>
  </si>
  <si>
    <t>Campingplatz am Leppinsee</t>
  </si>
  <si>
    <t>Campingplatz am Drewensee</t>
  </si>
  <si>
    <t>Camping- und Ferienpark Havelberge</t>
  </si>
  <si>
    <t>Camping La Croix du Bois Sacker</t>
  </si>
  <si>
    <t>Moselle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</si>
  <si>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</si>
  <si>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</si>
  <si>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</si>
  <si>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</si>
  <si>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</si>
  <si>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</si>
  <si>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Mareblu Camping Village</t>
  </si>
  <si>
    <t>Kamp Koren</t>
  </si>
  <si>
    <t>Slovénie</t>
  </si>
  <si>
    <t>Goriška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</si>
  <si>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</si>
  <si>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</si>
  <si>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</si>
  <si>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</si>
  <si>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</si>
  <si>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</si>
  <si>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</si>
  <si>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Lot-et-Garonne</t>
  </si>
  <si>
    <t>CAMPING LES CHATAIGNIERS</t>
  </si>
  <si>
    <t>Camping Les Arches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</si>
  <si>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</si>
  <si>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</si>
  <si>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</si>
  <si>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</si>
  <si>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</si>
  <si>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</si>
  <si>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Le Barutel</t>
  </si>
  <si>
    <t>Camping Le Clapas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</si>
  <si>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</si>
  <si>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</si>
  <si>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</si>
  <si>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</si>
  <si>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</si>
  <si>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</si>
  <si>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</si>
  <si>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</si>
  <si>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</si>
  <si>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</si>
  <si>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CARPENTY</t>
  </si>
  <si>
    <t>Camping Sandaya La Roubine</t>
  </si>
  <si>
    <t>Camping Le Pont de Maisonneuve</t>
  </si>
  <si>
    <t>Komfortcamp KlüthseeCamp und Naturcamp Seeblick</t>
  </si>
  <si>
    <t>Schleswig-Holstein</t>
  </si>
  <si>
    <t>Camping les Blaches Locations</t>
  </si>
  <si>
    <t>Camping Les Cerisiers du Jaur</t>
  </si>
  <si>
    <t>Camping du Grand Fay</t>
  </si>
  <si>
    <t>Camping La Rouveyrolle</t>
  </si>
  <si>
    <t>Camping dei Fiori</t>
  </si>
  <si>
    <t>Flower Camping des Vallées</t>
  </si>
  <si>
    <t>Baia Holiday Isuledda</t>
  </si>
  <si>
    <t>Camping Sandaya Soustons Village</t>
  </si>
  <si>
    <t>Castelwood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</si>
  <si>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</si>
  <si>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</si>
  <si>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</si>
  <si>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</si>
  <si>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</si>
  <si>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</si>
  <si>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</si>
  <si>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</si>
  <si>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</si>
  <si>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Kost-Ar-Moor</t>
  </si>
  <si>
    <t>SAGONE RESORT</t>
  </si>
  <si>
    <t>Camping La Liccia</t>
  </si>
  <si>
    <t>Camping Seasonova Le Brabois</t>
  </si>
  <si>
    <t>Meurthe-et-Moselle</t>
  </si>
  <si>
    <t>Camping Sandaya La Nublière</t>
  </si>
  <si>
    <t>Camping Seasonova Le Point du Jour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</si>
  <si>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</si>
  <si>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</si>
  <si>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</si>
  <si>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</si>
  <si>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</si>
  <si>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</si>
  <si>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</si>
  <si>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</si>
  <si>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Paillotes en Ardèche</t>
  </si>
  <si>
    <t>Camping du Buisson</t>
  </si>
  <si>
    <t>Camping Homair - Saint Avit Loisirs</t>
  </si>
  <si>
    <t>Camping L'Orée de Provence (Sites &amp; Paysages)</t>
  </si>
  <si>
    <t>Camping Champ Tillet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</si>
  <si>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</si>
  <si>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</si>
  <si>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</si>
  <si>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</si>
  <si>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</si>
  <si>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</si>
  <si>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</si>
  <si>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</si>
  <si>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</si>
  <si>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</si>
  <si>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Camping Sandaya Riviera d'Azur</t>
  </si>
  <si>
    <t>Camping Leï Suves</t>
  </si>
  <si>
    <t>Camp du Domaine</t>
  </si>
  <si>
    <t xml:space="preserve">Camping Sandaya Domaine le  Midi</t>
  </si>
  <si>
    <t>Camping Le Perpetuum</t>
  </si>
  <si>
    <t>Camping La Bouysse</t>
  </si>
  <si>
    <t>Camping les Cinq Châteaux</t>
  </si>
  <si>
    <t>Camping Le Garrit</t>
  </si>
  <si>
    <t>ROMANEE Capeyrou</t>
  </si>
  <si>
    <t xml:space="preserve">CAMPING LA LENOTTE 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</si>
  <si>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</si>
  <si>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</si>
  <si>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</si>
  <si>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</si>
  <si>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Les Jardins de l'Abbaye</t>
  </si>
  <si>
    <t>Camping Au Fil de l'Eau</t>
  </si>
  <si>
    <t>Camping L'Agrion Bleu</t>
  </si>
  <si>
    <t>Camping La Ripole</t>
  </si>
  <si>
    <t>Camping APV La Pélonie</t>
  </si>
  <si>
    <t>Flower Camping Le Périgord</t>
  </si>
  <si>
    <t>Camping Sandaya Le Grand Dague</t>
  </si>
  <si>
    <t>Camping Maisonneuve</t>
  </si>
  <si>
    <t>Camping Sunêlia La Presqu'île****</t>
  </si>
  <si>
    <t>Camping UR-ONEA</t>
  </si>
  <si>
    <t>Camping Village Glamping Torre del Porticciolo</t>
  </si>
  <si>
    <t>CAMPING VORAPARC</t>
  </si>
  <si>
    <t>Le Domaine du CASTEX - Camping &amp; Hébergement</t>
  </si>
  <si>
    <t xml:space="preserve">Domaine Camping  Les Roches</t>
  </si>
  <si>
    <t>Camping Linda</t>
  </si>
  <si>
    <t>Zélande</t>
  </si>
  <si>
    <t>Camping Homair - La Presqu'Ile de Saint Mandrier</t>
  </si>
  <si>
    <t>Camping Le Champ Neuf</t>
  </si>
  <si>
    <t>Camping La Rocca</t>
  </si>
  <si>
    <t>Camping au Bord de l'Aisne</t>
  </si>
  <si>
    <t>Camping Les Fougères - Le Domaine du Marais</t>
  </si>
  <si>
    <t>Camping les 3 Sablières</t>
  </si>
  <si>
    <t>Camping Domaine des Salins</t>
  </si>
  <si>
    <t>Château de Lacomté</t>
  </si>
  <si>
    <t>Camping Les Dunes</t>
  </si>
  <si>
    <t>Camping Tikayan Domaine du Golfe de Saint Tropez</t>
  </si>
  <si>
    <t>Camping L'Avelanède</t>
  </si>
  <si>
    <t>Camping Santa Maria di Leuca</t>
  </si>
  <si>
    <t>Camping Park Umag</t>
  </si>
  <si>
    <t>Camping LA TOUR FONDUE</t>
  </si>
  <si>
    <t>Camping Les Playes</t>
  </si>
  <si>
    <t>Camping Liesbos</t>
  </si>
  <si>
    <t>Camping de Zeehoeve</t>
  </si>
  <si>
    <t>Frise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</si>
  <si>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</si>
  <si>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</si>
  <si>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</si>
  <si>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</si>
  <si>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</si>
  <si>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</si>
  <si>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</si>
  <si>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</si>
  <si>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</si>
  <si>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</si>
  <si>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</si>
  <si>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</si>
  <si>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</si>
  <si>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</si>
  <si>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</si>
  <si>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</si>
  <si>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Le Bois du Coderc</t>
  </si>
  <si>
    <t>Camping La Draille</t>
  </si>
  <si>
    <t>Camping Les Airelles</t>
  </si>
  <si>
    <t>Camping L'Ile d'Or</t>
  </si>
  <si>
    <t>Camping Edy</t>
  </si>
  <si>
    <t>Il Villaggio di Giuele - Eurocamping Calvisio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</si>
  <si>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</si>
  <si>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</si>
  <si>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</si>
  <si>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</si>
  <si>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</si>
  <si>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</si>
  <si>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Mare Monti</t>
  </si>
  <si>
    <t>Camping La Farigoulette</t>
  </si>
  <si>
    <t>St. Michael Camping Village iNTERNATiONAL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</si>
  <si>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</si>
  <si>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</si>
  <si>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</si>
  <si>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</si>
  <si>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</si>
  <si>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 xml:space="preserve">Camping Siesta </t>
  </si>
  <si>
    <t>Anvers</t>
  </si>
  <si>
    <t>SUN CAMPING</t>
  </si>
  <si>
    <t>Recreatiepark De Achterste Hoef</t>
  </si>
  <si>
    <t>Zaragoza Camping</t>
  </si>
  <si>
    <t>Aragon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</si>
  <si>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</si>
  <si>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</si>
  <si>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</si>
  <si>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</si>
  <si>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</si>
  <si>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</si>
  <si>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</si>
  <si>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</si>
  <si>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</si>
  <si>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</si>
  <si>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</si>
  <si>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't Weergors</t>
  </si>
  <si>
    <t>Cambrils Park Family Resort ****</t>
  </si>
  <si>
    <t>Camping &amp; Resort Sangulí Salou</t>
  </si>
  <si>
    <t>Camping des Alouettes</t>
  </si>
  <si>
    <t>Haute-Vienne</t>
  </si>
  <si>
    <t>Domaine des Mimosas</t>
  </si>
  <si>
    <t>Camping Playa de Poniente</t>
  </si>
  <si>
    <t>Camping Sandaya Ondres Océan</t>
  </si>
  <si>
    <t>Camping Village Le Capanne</t>
  </si>
  <si>
    <t>Camping den Blanken</t>
  </si>
  <si>
    <t>Gueldre</t>
  </si>
  <si>
    <t>Camping Sandaya Cypsela Resort</t>
  </si>
  <si>
    <t>Baia di Gallipoli Camping Village</t>
  </si>
  <si>
    <t>RCN de Flaasbloem</t>
  </si>
  <si>
    <t>RCN Toppershoedje</t>
  </si>
  <si>
    <t>RCN Vakantiepark de Schotsman</t>
  </si>
  <si>
    <t>Domaine La Roche D'Ully ****</t>
  </si>
  <si>
    <t>Naturéo Seignosse</t>
  </si>
  <si>
    <t>CAMPING LES FOULONS</t>
  </si>
  <si>
    <t>Camping Baia Verde</t>
  </si>
  <si>
    <t>Flower Camping des Lacs</t>
  </si>
  <si>
    <t>Camping La Presqu'île de Champaubert</t>
  </si>
  <si>
    <t>Camping Domein de Schuur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</si>
  <si>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</si>
  <si>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</si>
  <si>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</si>
  <si>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</si>
  <si>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</si>
  <si>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</si>
  <si>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</si>
  <si>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</si>
  <si>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</si>
  <si>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Siblu – Bonne Anse Plage</t>
  </si>
  <si>
    <t>Camping Le Garrigon</t>
  </si>
  <si>
    <t>Val de Landrouet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</si>
  <si>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</si>
  <si>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</si>
  <si>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</si>
  <si>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</si>
  <si>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</si>
  <si>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</si>
  <si>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</si>
  <si>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</si>
  <si>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</si>
  <si>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</si>
  <si>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</si>
  <si>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</si>
  <si>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</si>
  <si>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</si>
  <si>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</si>
  <si>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</si>
  <si>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</si>
  <si>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</si>
  <si>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</si>
  <si>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</si>
  <si>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Municipal Les Iles de Silon</t>
  </si>
  <si>
    <t>Camping Fusina</t>
  </si>
  <si>
    <t>Huttopia Arcachon</t>
  </si>
  <si>
    <t>Camping Pen Palud</t>
  </si>
  <si>
    <t>Camping Le Brégoux</t>
  </si>
  <si>
    <t>Camping Le Marqueval</t>
  </si>
  <si>
    <t>Camping La Camassade</t>
  </si>
  <si>
    <t>Camping des Glaciers</t>
  </si>
  <si>
    <t>Suisse</t>
  </si>
  <si>
    <t>Valais</t>
  </si>
  <si>
    <t>Entremont</t>
  </si>
  <si>
    <t>Camping Sainte-Victoire</t>
  </si>
  <si>
    <t>Camping de Ceyreste</t>
  </si>
  <si>
    <t>Camping Au Petit Port de l'Houmeau</t>
  </si>
  <si>
    <t>Camping LE CABELLOU PLAGE*****</t>
  </si>
  <si>
    <t>Camping Homair - La Pommeraie de l'Océan</t>
  </si>
  <si>
    <t>Camping La Clé de Saône</t>
  </si>
  <si>
    <t>Camping Les Moulettes</t>
  </si>
  <si>
    <t>Camping La Brande</t>
  </si>
  <si>
    <t>Camping Baie de Saint Pol</t>
  </si>
  <si>
    <t>Camping de la Pelouse</t>
  </si>
  <si>
    <t>Camping La Ferme de Lann Hoedic</t>
  </si>
  <si>
    <t>Le Petit Trianon</t>
  </si>
  <si>
    <t>Camping Club La Côte des Roses - MS Vacances</t>
  </si>
  <si>
    <t>Camping Signol*****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</si>
  <si>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</si>
  <si>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</si>
  <si>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</si>
  <si>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</si>
  <si>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</si>
  <si>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Kervoen</t>
  </si>
  <si>
    <t>Camping De La Côte</t>
  </si>
  <si>
    <t>Camping de l'Allée</t>
  </si>
  <si>
    <t>Camping Les Terrasses de Bertheaume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</si>
  <si>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</si>
  <si>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</si>
  <si>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</si>
  <si>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</si>
  <si>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</si>
  <si>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</si>
  <si>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Camping de la Croix Saint Martin</t>
  </si>
  <si>
    <t>Allier</t>
  </si>
  <si>
    <t>Flower Camping l'Ile des Trois Rois</t>
  </si>
  <si>
    <t>Camping Pegomas</t>
  </si>
  <si>
    <t>Camping Le Village du Port</t>
  </si>
  <si>
    <t>Camping Ile de Boulancourt</t>
  </si>
  <si>
    <t>Camping LA FOUGERAIE</t>
  </si>
  <si>
    <t>Camping Le Moulin de Cadillac</t>
  </si>
  <si>
    <t>Camping Emeraude - Sea Green by Sunêlia</t>
  </si>
  <si>
    <t>Camping de la Baie de Somme</t>
  </si>
  <si>
    <t>Camping Samoza</t>
  </si>
  <si>
    <t>Camping Ommerland</t>
  </si>
  <si>
    <t>Camping ERREKA - Sea Green by Sunêlia</t>
  </si>
  <si>
    <t>Camping La Régate</t>
  </si>
  <si>
    <t>Camping Yelloh! Village Saint Pabu Plage</t>
  </si>
  <si>
    <t>Les Pirates de Carnac</t>
  </si>
  <si>
    <t>CAMPING LES TRUFFIERES***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</si>
  <si>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</si>
  <si>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</si>
  <si>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</si>
  <si>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</si>
  <si>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</si>
  <si>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</si>
  <si>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</si>
  <si>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</si>
  <si>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</si>
  <si>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</si>
  <si>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</si>
  <si>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</si>
  <si>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</si>
  <si>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</si>
  <si>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</si>
  <si>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</si>
  <si>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Les Castors</t>
  </si>
  <si>
    <t>Camping Sunêlia La Clémentine</t>
  </si>
  <si>
    <t xml:space="preserve">Camping Le Panoramique </t>
  </si>
  <si>
    <t>Chadotel La Dune des Sables</t>
  </si>
  <si>
    <t>Camping La Ferme de Bouzencourt</t>
  </si>
  <si>
    <t>Camping Bois de Gravière</t>
  </si>
  <si>
    <t>MIRAMARE Village - Apartments - Camping</t>
  </si>
  <si>
    <t>Camping des Gaves</t>
  </si>
  <si>
    <t>Vakantiepark Witven</t>
  </si>
  <si>
    <t>Camping Les Bords du Guiers</t>
  </si>
  <si>
    <t>Camping La Ferme</t>
  </si>
  <si>
    <t>Camping Le Petit Lac</t>
  </si>
  <si>
    <t>Campasun Camping Le Clos du Pin</t>
  </si>
  <si>
    <t>Camping Kerabus</t>
  </si>
  <si>
    <t>Camping Cambrils Caban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</si>
  <si>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</si>
  <si>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</si>
  <si>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</si>
  <si>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</si>
  <si>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</si>
  <si>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Isábena</t>
  </si>
  <si>
    <t>Huesca</t>
  </si>
  <si>
    <t>Camping de L'Ile Verte</t>
  </si>
  <si>
    <t>Camping Les Auches</t>
  </si>
  <si>
    <t>Camping La Goule</t>
  </si>
  <si>
    <t>Domaine des BLACHAS</t>
  </si>
  <si>
    <t>CAMPING LES PLATANES</t>
  </si>
  <si>
    <t>Camping La Vignasse</t>
  </si>
  <si>
    <t>Camping Le Diamant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</si>
  <si>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</si>
  <si>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</si>
  <si>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</si>
  <si>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</si>
  <si>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</si>
  <si>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de la Treille</t>
  </si>
  <si>
    <t>Camping Goyetchea</t>
  </si>
  <si>
    <t>Camping La Fontaine du Hallate en Morbihan</t>
  </si>
  <si>
    <t xml:space="preserve">Plein Air Locations - Camping  Acapulco</t>
  </si>
  <si>
    <t>Plein Air Locations - Camping Les Genêts</t>
  </si>
  <si>
    <t>Camping Le Floride</t>
  </si>
  <si>
    <t>Flower Camping Le Port de Neuvic</t>
  </si>
  <si>
    <t>Camping Park Er Lann ***</t>
  </si>
  <si>
    <t>Tiliguerta Glamping &amp; Camping Village</t>
  </si>
  <si>
    <t>Sud Sardegna</t>
  </si>
  <si>
    <t>Camping Les Eychecadous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</si>
  <si>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</si>
  <si>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</si>
  <si>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</si>
  <si>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</si>
  <si>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</si>
  <si>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</si>
  <si>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Les Vernières</t>
  </si>
  <si>
    <t>Flower Camping Le Conleau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</si>
  <si>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</si>
  <si>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</si>
  <si>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</si>
  <si>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</si>
  <si>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</si>
  <si>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de la Haute Sioule</t>
  </si>
  <si>
    <t>Camping RIO VERO</t>
  </si>
  <si>
    <t>Huttopia Dieulefit</t>
  </si>
  <si>
    <t>Camping L'Hippocampe - Les Chalets de la Mer</t>
  </si>
  <si>
    <t>Familiecamping De Molenhoek</t>
  </si>
  <si>
    <t>Siblu Duinzicht</t>
  </si>
  <si>
    <t>Camping Valkenburg - Maastricht</t>
  </si>
  <si>
    <t>Siblu – Camping De Oase</t>
  </si>
  <si>
    <t>Camping Aan Veluwe</t>
  </si>
  <si>
    <t>Recreatiepark De Koornmolen</t>
  </si>
  <si>
    <t>Recreatiepark Beringerzand</t>
  </si>
  <si>
    <t>Vakantieoord De Bronzen Emmer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</si>
  <si>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</si>
  <si>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</si>
  <si>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</si>
  <si>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</si>
  <si>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</si>
  <si>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</si>
  <si>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Rhénanie-Palatinat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</si>
  <si>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</si>
  <si>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</si>
  <si>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</si>
  <si>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</si>
  <si>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</si>
  <si>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</si>
  <si>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</si>
  <si>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</si>
  <si>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</si>
  <si>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Prümtal-Camping Oberweis</t>
  </si>
  <si>
    <t>Camping Riembau</t>
  </si>
  <si>
    <t>Camping Capalonga</t>
  </si>
  <si>
    <t>Flower Camping Le Vorlen</t>
  </si>
  <si>
    <t>Camping L'Arbre d'Or</t>
  </si>
  <si>
    <t>Camping Seiser Alm</t>
  </si>
  <si>
    <t>Haut-Adige</t>
  </si>
  <si>
    <t>Seecamping Mössler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</si>
  <si>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</si>
  <si>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</si>
  <si>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</si>
  <si>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</si>
  <si>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</si>
  <si>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</si>
  <si>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</si>
  <si>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</si>
  <si>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</si>
  <si>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</si>
  <si>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</si>
  <si>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</si>
  <si>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</si>
  <si>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Mas de la Cam</t>
  </si>
  <si>
    <t>Camping Vall d'Or</t>
  </si>
  <si>
    <t>CAMP MondSeeLand</t>
  </si>
  <si>
    <t>Haute-Autriche</t>
  </si>
  <si>
    <t>Vöcklabruck</t>
  </si>
  <si>
    <t>Flower Camping Le Clot du Jay</t>
  </si>
  <si>
    <t>Le Lac des Sapins</t>
  </si>
  <si>
    <t>Rhône</t>
  </si>
  <si>
    <t>Camping La Grenouille</t>
  </si>
  <si>
    <t>Flower Camping Le Saint Michelet</t>
  </si>
  <si>
    <t>Campasun Camping Les Hautes Prairies</t>
  </si>
  <si>
    <t>Wecamp Pirineos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</si>
  <si>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</si>
  <si>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</si>
  <si>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</si>
  <si>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</si>
  <si>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</si>
  <si>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</si>
  <si>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Camping Seasonova Les Vosges du Nord</t>
  </si>
  <si>
    <t>Bas-Rhin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</si>
  <si>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</si>
  <si>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</si>
  <si>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</si>
  <si>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</si>
  <si>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</si>
  <si>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</si>
  <si>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</si>
  <si>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</si>
  <si>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</si>
  <si>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</si>
  <si>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</si>
  <si>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</si>
  <si>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</si>
  <si>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</si>
  <si>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</si>
  <si>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</si>
  <si>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Renéville</t>
  </si>
  <si>
    <t>Camping de Kersentic</t>
  </si>
  <si>
    <t>Camping The Quiet Site</t>
  </si>
  <si>
    <t>Angleterre</t>
  </si>
  <si>
    <t>Cumbria</t>
  </si>
  <si>
    <t>Camping Cisano</t>
  </si>
  <si>
    <t>Camping**** et Base de Loisirs La Plaine Tonique</t>
  </si>
  <si>
    <t>Les Ilots d'Or</t>
  </si>
  <si>
    <t>Flower Camping Omaha Beach</t>
  </si>
  <si>
    <t>Ostseecampingplatz Familie Heide</t>
  </si>
  <si>
    <t>Camping Capo Vieste</t>
  </si>
  <si>
    <t>Foggia</t>
  </si>
  <si>
    <t xml:space="preserve">Camping  des Landes d'Armagnac</t>
  </si>
  <si>
    <t>Langstone Manor Holiday Park</t>
  </si>
  <si>
    <t>Devon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</si>
  <si>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</si>
  <si>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</si>
  <si>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</si>
  <si>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</si>
  <si>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</si>
  <si>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</si>
  <si>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</si>
  <si>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</si>
  <si>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</si>
  <si>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</si>
  <si>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</si>
  <si>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</si>
  <si>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</si>
  <si>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</si>
  <si>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</si>
  <si>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</si>
  <si>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</si>
  <si>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</si>
  <si>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</si>
  <si>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Les Mancellières</t>
  </si>
  <si>
    <t>Camping Eden Villages Bela Basque</t>
  </si>
  <si>
    <t>Camping Le Blayais et l'Alicat</t>
  </si>
  <si>
    <t>Camping OSTREA</t>
  </si>
  <si>
    <t>Camping Les Amiaux</t>
  </si>
  <si>
    <t>Camping La Sapinette</t>
  </si>
  <si>
    <t>Flower Camping Des 2 Rivières</t>
  </si>
  <si>
    <t>Camping Lago Resort</t>
  </si>
  <si>
    <t>Nysted Camping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</si>
  <si>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</si>
  <si>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</si>
  <si>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</si>
  <si>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</si>
  <si>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</si>
  <si>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</si>
  <si>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</si>
  <si>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</si>
  <si>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</si>
  <si>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</si>
  <si>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</si>
  <si>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</si>
  <si>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</si>
  <si>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</si>
  <si>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</si>
  <si>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</si>
  <si>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</si>
  <si>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</si>
  <si>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</si>
  <si>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</si>
  <si>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</si>
  <si>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</si>
  <si>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</si>
  <si>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</si>
  <si>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</si>
  <si>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 xml:space="preserve">CAMPING LA CERISE </t>
  </si>
  <si>
    <t>Camping Tikayan La Célestine</t>
  </si>
  <si>
    <t>Camping Ettelbruck</t>
  </si>
  <si>
    <t>Canton Diekirch</t>
  </si>
  <si>
    <t>Camping Val de Boutonne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</si>
  <si>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</si>
  <si>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</si>
  <si>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</si>
  <si>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</si>
  <si>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</si>
  <si>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</si>
  <si>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</si>
  <si>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</si>
  <si>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</si>
  <si>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</si>
  <si>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Castille-La Manche</t>
  </si>
  <si>
    <t>Albacete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</si>
  <si>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</si>
  <si>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</si>
  <si>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</si>
  <si>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</si>
  <si>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</si>
  <si>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</si>
  <si>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</si>
  <si>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Camping La Ferme du Bord de Mer</t>
  </si>
  <si>
    <t>Camping Nature Le Valenty</t>
  </si>
  <si>
    <t>Camping Village La Chiocciola</t>
  </si>
  <si>
    <t>Arezzo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</si>
  <si>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</si>
  <si>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</si>
  <si>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</si>
  <si>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</si>
  <si>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</si>
  <si>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</si>
  <si>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Le Picard</t>
  </si>
  <si>
    <t>Camping Panorama del Chianti</t>
  </si>
  <si>
    <t>Camping Qualité l'Eden de la Vanoise</t>
  </si>
  <si>
    <t>Camping Le Bivouac</t>
  </si>
  <si>
    <t>Camping Le Plô Aveyron</t>
  </si>
  <si>
    <t>TAIGA Almeria Playa</t>
  </si>
  <si>
    <t>Drau Camping Sachsenburg</t>
  </si>
  <si>
    <t>Camping La Grangeonne</t>
  </si>
  <si>
    <t>Camping Les 2 Plages</t>
  </si>
  <si>
    <t>Camping Lido</t>
  </si>
  <si>
    <t>Camping L'Arquet - La Côte Bleue</t>
  </si>
  <si>
    <t>Camping La Grange Neuve - Face à La Réserve Africaine de Sigean</t>
  </si>
  <si>
    <t>Camping Les Grillons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</si>
  <si>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</si>
  <si>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</si>
  <si>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</si>
  <si>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</si>
  <si>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</si>
  <si>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</si>
  <si>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</si>
  <si>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Erlebniscamping Lausitz</t>
  </si>
  <si>
    <t>Brandebourg</t>
  </si>
  <si>
    <t>Camping du Brec</t>
  </si>
  <si>
    <t>YELLOH! VILLAGE - LES BALEARES SON BOU</t>
  </si>
  <si>
    <t>Camping Lentemaheerd</t>
  </si>
  <si>
    <t>Groningue</t>
  </si>
  <si>
    <t>Flower Camping La Forêt</t>
  </si>
  <si>
    <t>Marne</t>
  </si>
  <si>
    <t>Camping de la Bucherie</t>
  </si>
  <si>
    <t>Trendcamping Wolfach</t>
  </si>
  <si>
    <t>Vallicella Glamping Resort</t>
  </si>
  <si>
    <t>Camping Laspaúles</t>
  </si>
  <si>
    <t xml:space="preserve">Flower Camping du Lac de Saint Point  Lamartine - Saône et Loire - Bourgogne du Sud </t>
  </si>
  <si>
    <t>Camping les Brugues</t>
  </si>
  <si>
    <t>Strandparc Nulde</t>
  </si>
  <si>
    <t>Camping Joncar Mar</t>
  </si>
  <si>
    <t>Flower Camping La Beaume</t>
  </si>
  <si>
    <t>Waldbad Isny GmbH &amp; Co. KG</t>
  </si>
  <si>
    <t>Camping Les Ilots de Saint Val</t>
  </si>
  <si>
    <t>Flower Camping Le Bois d'Amour</t>
  </si>
  <si>
    <t>Camping Terme 3000</t>
  </si>
  <si>
    <t>Camping Plitvice</t>
  </si>
  <si>
    <t>Comitat de Lika-Senj</t>
  </si>
  <si>
    <t>Camping Castillo de Baños</t>
  </si>
  <si>
    <t>Flower Camping Le Rochelongue</t>
  </si>
  <si>
    <t>Country Park Crécy La Chapelle</t>
  </si>
  <si>
    <t>Camping Begur</t>
  </si>
  <si>
    <t>Camping **La Clé des Champs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</si>
  <si>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</si>
  <si>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</si>
  <si>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</si>
  <si>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</si>
  <si>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</si>
  <si>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</si>
  <si>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</si>
  <si>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</si>
  <si>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</si>
  <si>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</si>
  <si>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</si>
  <si>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</si>
  <si>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</si>
  <si>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</si>
  <si>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La Masseria</t>
  </si>
  <si>
    <t>Camping Le Diben</t>
  </si>
  <si>
    <t>Camping La Grande Vallée</t>
  </si>
  <si>
    <t>Camping Berkel</t>
  </si>
  <si>
    <t>Camping Les Chapelains</t>
  </si>
  <si>
    <t>Camping De Grienduil</t>
  </si>
  <si>
    <t>Utrecht</t>
  </si>
  <si>
    <t>Camping La Vallée Heureuse</t>
  </si>
  <si>
    <t>Domaine du Trappeur</t>
  </si>
  <si>
    <t>Camping du Bord de Mer</t>
  </si>
  <si>
    <t>Camping Le Domaine des Jonquilles</t>
  </si>
  <si>
    <t>Alannia Costa Blanca</t>
  </si>
  <si>
    <t xml:space="preserve">Flower Camping  Village Platin-Redoute</t>
  </si>
  <si>
    <t>Camping La Petite Motte</t>
  </si>
  <si>
    <t>Camping Le Rey</t>
  </si>
  <si>
    <t>Camping Sandaya L'Estanquet</t>
  </si>
  <si>
    <t>Camping Hélios</t>
  </si>
  <si>
    <t>Campo di Liccia</t>
  </si>
  <si>
    <t>Camping Homair - Le Soleil de la Méditerranée</t>
  </si>
  <si>
    <t>Camping Les Arbousiers</t>
  </si>
  <si>
    <t>Ushuaïa Villages - Camping du Sabot ***</t>
  </si>
  <si>
    <t>Camping LA FONTAINE</t>
  </si>
  <si>
    <t>Camping Les Bouleaux</t>
  </si>
  <si>
    <t>Flower Aloha Camping Club</t>
  </si>
  <si>
    <t>Camping Le Pastory</t>
  </si>
  <si>
    <t>CAMPING LES ECRINS</t>
  </si>
  <si>
    <t>Camping Les Rives du lac Cantalès</t>
  </si>
  <si>
    <t>Camping LA CIGALINE</t>
  </si>
  <si>
    <t>Flower Camping La Pointe du Talud</t>
  </si>
  <si>
    <t>CAMPING LA FALOISE</t>
  </si>
  <si>
    <t>La Forêt Stella-Plage</t>
  </si>
  <si>
    <t>Camping VERTE VALLEE</t>
  </si>
  <si>
    <t>Flower Camping du Lac de la Seigneurie</t>
  </si>
  <si>
    <t>Territoire-de-Belfort</t>
  </si>
  <si>
    <t>DOMAINE LE CLOS DES CAPITELLES</t>
  </si>
  <si>
    <t>NANTES CAMPING</t>
  </si>
  <si>
    <t>Camping Naturiste La Tuquette</t>
  </si>
  <si>
    <t>Camping Sandaya Soulac Plage</t>
  </si>
  <si>
    <t>Homair - Camping La Baie des Anges</t>
  </si>
  <si>
    <t>Camping d'Auberoche</t>
  </si>
  <si>
    <t>Camping &amp; Bungalows Estanyet</t>
  </si>
  <si>
    <t>Siblu - La Pointe</t>
  </si>
  <si>
    <t>Camping River</t>
  </si>
  <si>
    <t>Camping Les Pérouses du Phare</t>
  </si>
  <si>
    <t>Camping Royal</t>
  </si>
  <si>
    <t>Novare</t>
  </si>
  <si>
    <t>Camping Paradies Franken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</si>
  <si>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</si>
  <si>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</si>
  <si>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</si>
  <si>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</si>
  <si>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</si>
  <si>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</si>
  <si>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Vital CAMP Bayerbach</t>
  </si>
  <si>
    <t>TAIGA Lake Caspe</t>
  </si>
  <si>
    <t>Camping Bor</t>
  </si>
  <si>
    <t>Comitat de Primorje-Gorski Kotar</t>
  </si>
  <si>
    <t>Camping Les Prairies de L'Etang</t>
  </si>
  <si>
    <t>Camping les Genêts du Morvan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</si>
  <si>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</si>
  <si>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</si>
  <si>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</si>
  <si>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</si>
  <si>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</si>
  <si>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</si>
  <si>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</si>
  <si>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Danemark-du-Sud</t>
  </si>
  <si>
    <t>Henne Strand</t>
  </si>
  <si>
    <t>Domaine des Pins</t>
  </si>
  <si>
    <t>Camping La Pépinière</t>
  </si>
  <si>
    <t>Camping de La Falaise</t>
  </si>
  <si>
    <t>Nicoll's Camp/Pins</t>
  </si>
  <si>
    <t>Camping de la Gères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</si>
  <si>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</si>
  <si>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</si>
  <si>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</si>
  <si>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</si>
  <si>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</si>
  <si>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</si>
  <si>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</si>
  <si>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Sandaya Belle Plage</t>
  </si>
  <si>
    <t>Camping Le Chêne du Lac</t>
  </si>
  <si>
    <t>Camping LA CHENAIE</t>
  </si>
  <si>
    <t xml:space="preserve">Camping CAP LEUCATE  MSS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</si>
  <si>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</si>
  <si>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</si>
  <si>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</si>
  <si>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</si>
  <si>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</si>
  <si>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</si>
  <si>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</si>
  <si>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l'Orée des Bois</t>
  </si>
  <si>
    <t>Camping Le Moulin Brûlé</t>
  </si>
  <si>
    <t>Camping Les 12 Cols</t>
  </si>
  <si>
    <t>Huttopia Pays de Condrieu</t>
  </si>
  <si>
    <t>Camping Seasonova Etennemare</t>
  </si>
  <si>
    <t>Sandaya Domaine la Franqui</t>
  </si>
  <si>
    <t>Iron Gate Marina 3B</t>
  </si>
  <si>
    <t>Camping Eden Villages Palmyre Loisirs</t>
  </si>
  <si>
    <t>Camping Paradis La Pomme de Pin</t>
  </si>
  <si>
    <t>Camping de la Moselle</t>
  </si>
  <si>
    <t>Camping CROMENACH</t>
  </si>
  <si>
    <t>Camping TY NENEZ</t>
  </si>
  <si>
    <t>Camping KERLAY</t>
  </si>
  <si>
    <t>Camping des Cerisiers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</si>
  <si>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</si>
  <si>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</si>
  <si>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</si>
  <si>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</si>
  <si>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</si>
  <si>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</si>
  <si>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</si>
  <si>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</si>
  <si>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</si>
  <si>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</si>
  <si>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</si>
  <si>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de l'Ill - Colmar</t>
  </si>
  <si>
    <t>Camping Kanopée Village</t>
  </si>
  <si>
    <t>Camping Sandaya Mont Saint-Michel</t>
  </si>
  <si>
    <t>Camping Homair - Dunes et Soleil</t>
  </si>
  <si>
    <t>Camping Les Alizés</t>
  </si>
  <si>
    <t>CAMPING DE L'AUZANCE</t>
  </si>
  <si>
    <t>Village de Vacances Aux Portes des Monts d'Aubrac</t>
  </si>
  <si>
    <t>Camping La Padrelle</t>
  </si>
  <si>
    <t>Camping La Mouette Rieuse</t>
  </si>
  <si>
    <t>Camping Les Samaras</t>
  </si>
  <si>
    <t>Domaine du Château - Epinal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</si>
  <si>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</si>
  <si>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</si>
  <si>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</si>
  <si>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</si>
  <si>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</si>
  <si>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Maupassant</t>
  </si>
  <si>
    <t>Camping Fuentes Carrionas</t>
  </si>
  <si>
    <t>Palencia</t>
  </si>
  <si>
    <t>TAIGA Delta de l'Ebre</t>
  </si>
  <si>
    <t>Insel-Camp Fehmarn</t>
  </si>
  <si>
    <t>Camping Homair - Côté Mer</t>
  </si>
  <si>
    <t>Camping de La Presqu'Ile ***</t>
  </si>
  <si>
    <t>Camping L'Hippocampe</t>
  </si>
  <si>
    <t>Aux Lodges du Mas de Nadal</t>
  </si>
  <si>
    <t>Camping de Montolieu</t>
  </si>
  <si>
    <t>Plein Air Locations - Camping Palmyre Loisirs</t>
  </si>
  <si>
    <t>Camping Papillon Rochefort</t>
  </si>
  <si>
    <t>Namur</t>
  </si>
  <si>
    <t>Camping Bleu Marine</t>
  </si>
  <si>
    <t>Camping &amp; Bungalows Zumaia</t>
  </si>
  <si>
    <t>Camping le Picardy</t>
  </si>
  <si>
    <t>International Camping Village</t>
  </si>
  <si>
    <t>Calabre</t>
  </si>
  <si>
    <t>Cosenza</t>
  </si>
  <si>
    <t>Camping Château de Bouafles</t>
  </si>
  <si>
    <t>Camping Des Familles</t>
  </si>
  <si>
    <t>Camping La Bernède</t>
  </si>
  <si>
    <t>Recreatiepark d'n Mastendol</t>
  </si>
  <si>
    <t>Camping Campo dei Fiori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</si>
  <si>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</si>
  <si>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</si>
  <si>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</si>
  <si>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</si>
  <si>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</si>
  <si>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</si>
  <si>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Jutland central</t>
  </si>
  <si>
    <t>Hedensted Kommune</t>
  </si>
  <si>
    <t>Camping Il Faro</t>
  </si>
  <si>
    <t>Camping Homair - L'Oasis Palavasienne</t>
  </si>
  <si>
    <t>Camping les Ramiers</t>
  </si>
  <si>
    <t>Camping Le Bois Verdon</t>
  </si>
  <si>
    <t>Camping municipal le Pré Coulet</t>
  </si>
  <si>
    <t>Camping Le Clos de Balleroy</t>
  </si>
  <si>
    <t>Camping du Vieux Château</t>
  </si>
  <si>
    <t>Camping Le Pont d'Yeu</t>
  </si>
  <si>
    <t>Camping Class</t>
  </si>
  <si>
    <t>Côme</t>
  </si>
  <si>
    <t>CAMPING LOU GOURDAN</t>
  </si>
  <si>
    <t>Camping Homair - Riva Bella</t>
  </si>
  <si>
    <t>Camping Park Mara</t>
  </si>
  <si>
    <t>Camping Domaine Sainte Veziane</t>
  </si>
  <si>
    <t>Camping Le Bois des Ecureuils</t>
  </si>
  <si>
    <t>Camping Pinar de San José</t>
  </si>
  <si>
    <t>Domaine de Blangy</t>
  </si>
  <si>
    <t>Siblu – Les Rives de Condrieu</t>
  </si>
  <si>
    <t>Camping Les Cent Chênes</t>
  </si>
  <si>
    <t>Domaine la Résinière</t>
  </si>
  <si>
    <t>Camping Bleu Mer</t>
  </si>
  <si>
    <t>Camping le Sabia</t>
  </si>
  <si>
    <t>Camping La Roussie</t>
  </si>
  <si>
    <t>Saxida Wine &amp; Camping Resort</t>
  </si>
  <si>
    <t>LES FLOTS-ATLANTIQUE ** Village 1</t>
  </si>
  <si>
    <t>Domaine de la Forge - Sea Green by Sunêlia</t>
  </si>
  <si>
    <t>Paradies-Camp</t>
  </si>
  <si>
    <t>Homair - Domaine du Clarys</t>
  </si>
  <si>
    <t>Camping Park Baita Dolomiti Village</t>
  </si>
  <si>
    <t>Les Bois de Prayssac</t>
  </si>
  <si>
    <t>Camping la Ferme des 4 Chênes</t>
  </si>
  <si>
    <t>Huttopia Bozel en Vanoise</t>
  </si>
  <si>
    <t>Camping Les Pommiers</t>
  </si>
  <si>
    <t>Camping Trasimeno</t>
  </si>
  <si>
    <t>Campingplatz Landidyll</t>
  </si>
  <si>
    <t>Saxe</t>
  </si>
  <si>
    <t>Pineto Beach Village e Camping</t>
  </si>
  <si>
    <t>Camping Du Lac Terre d'Auge, Pont-L'Evêque</t>
  </si>
  <si>
    <t>Camping Abijune</t>
  </si>
  <si>
    <t>Rimini</t>
  </si>
  <si>
    <t>Långasjönäs Camping &amp; Holiday Village</t>
  </si>
  <si>
    <t>Suède</t>
  </si>
  <si>
    <t>Comté de Blekinge</t>
  </si>
  <si>
    <t>Camping Tikayan Rives du Lac de Sainte Croix</t>
  </si>
  <si>
    <t xml:space="preserve">Flower Camping Tamarins Plage </t>
  </si>
  <si>
    <t>Camping Demoiselles Plage</t>
  </si>
  <si>
    <t>Flower Camping Les Dunes</t>
  </si>
  <si>
    <t>Camping Ugljan Resort</t>
  </si>
  <si>
    <t>Campingplatz HOCHoben</t>
  </si>
  <si>
    <t>Camping Le Cians</t>
  </si>
  <si>
    <t>Camping de L'Eden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</si>
  <si>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</si>
  <si>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</si>
  <si>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</si>
  <si>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</si>
  <si>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</si>
  <si>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Opatija Camping</t>
  </si>
  <si>
    <t>Camping Bergamini</t>
  </si>
  <si>
    <t>Campasun Camping de l’Etang de La Bonde</t>
  </si>
  <si>
    <t>Camping Le Petit Bois</t>
  </si>
  <si>
    <t>Camping Veli Joze</t>
  </si>
  <si>
    <t>Les Gites de Sarlat</t>
  </si>
  <si>
    <t>Camping du Trez</t>
  </si>
  <si>
    <t>Hoeve Linnerveld</t>
  </si>
  <si>
    <t>Pielachtal Camping</t>
  </si>
  <si>
    <t>Bezirk St. Pölten</t>
  </si>
  <si>
    <t>Trasimeno Glamping Resort</t>
  </si>
  <si>
    <t>Camping Tikayan Beauséjour</t>
  </si>
  <si>
    <t>Écodomaine "La Rêverie"</t>
  </si>
  <si>
    <t>Vesterlyng Camping</t>
  </si>
  <si>
    <t>Kalundborg Kommune</t>
  </si>
  <si>
    <t>Camping de Meeuw</t>
  </si>
  <si>
    <t>Camping Homair - Les Rives du Luberon</t>
  </si>
  <si>
    <t>Camping Homair - Les Naïades</t>
  </si>
  <si>
    <t>Camping Homair - Les Lacs du Verdon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</si>
  <si>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</si>
  <si>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</si>
  <si>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</si>
  <si>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</si>
  <si>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</si>
  <si>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</si>
  <si>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</si>
  <si>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</si>
  <si>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</si>
  <si>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</si>
  <si>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</si>
  <si>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LOU PK2</t>
  </si>
  <si>
    <t>Camping Montorfano</t>
  </si>
  <si>
    <t>Macugnaga Natural Camping</t>
  </si>
  <si>
    <t>Camping Cala Pola</t>
  </si>
  <si>
    <t xml:space="preserve">Moselcampingplatz Alf </t>
  </si>
  <si>
    <t>Camping l’Eglantier</t>
  </si>
  <si>
    <t>Domaine les Epinettes</t>
  </si>
  <si>
    <t>camping Le Petit Canada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</si>
  <si>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</si>
  <si>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</si>
  <si>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</si>
  <si>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</si>
  <si>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</si>
  <si>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</si>
  <si>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</si>
  <si>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</si>
  <si>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</si>
  <si>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</si>
  <si>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</si>
  <si>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</si>
  <si>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</si>
  <si>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Green Park</t>
  </si>
  <si>
    <t>Camping Homair - Paris Est</t>
  </si>
  <si>
    <t>Val-de-Marne</t>
  </si>
  <si>
    <t>Camping La Marmotte Sites et paysages</t>
  </si>
  <si>
    <t>U Pinarellu</t>
  </si>
  <si>
    <t xml:space="preserve"> Camping Untxin Socoa </t>
  </si>
  <si>
    <t>MeerReise Camping</t>
  </si>
  <si>
    <t>Camping Côté Vercors</t>
  </si>
  <si>
    <t>Camping Sandaya Le Carbonnier</t>
  </si>
  <si>
    <t>Camping La Vallée</t>
  </si>
  <si>
    <t>Flower Camping International de Jablines***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</si>
  <si>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</si>
  <si>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</si>
  <si>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</si>
  <si>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</si>
  <si>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</si>
  <si>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Costabella</t>
  </si>
  <si>
    <t>Camping und Pension Bergheimat</t>
  </si>
  <si>
    <t xml:space="preserve">Camping Sérendipité </t>
  </si>
  <si>
    <t>TinyParks Cast Away</t>
  </si>
  <si>
    <t>Résidence les Hauts du Maquis - Terres de France</t>
  </si>
  <si>
    <t>Camping Seasonova La Pointe de Roscoff</t>
  </si>
  <si>
    <t>Papillon Kinrooi</t>
  </si>
  <si>
    <t>Camping Sandaya Valencia</t>
  </si>
  <si>
    <t>Valence</t>
  </si>
  <si>
    <t>Flower Camping Du Canal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</si>
  <si>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</si>
  <si>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</si>
  <si>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</si>
  <si>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</si>
  <si>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</si>
  <si>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</si>
  <si>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</si>
  <si>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Camping Essenza Alpina</t>
  </si>
  <si>
    <t>Camping Los Arenales</t>
  </si>
  <si>
    <t>Ciudad Real</t>
  </si>
  <si>
    <t xml:space="preserve">Flower Camping Les Iles </t>
  </si>
  <si>
    <t>Homair - Camping Le Castellas</t>
  </si>
  <si>
    <t xml:space="preserve">Prima Camping Resort Ostsee-Boddenblick </t>
  </si>
  <si>
    <t>Camping Framura</t>
  </si>
  <si>
    <t xml:space="preserve">Dune Agriturismo </t>
  </si>
  <si>
    <t>Domaine de Val d'Amboise - Terres de France</t>
  </si>
  <si>
    <t>VVF Camping Saint-Bonnet-en-Champsaur</t>
  </si>
  <si>
    <t>Wecamp Sao Miguel</t>
  </si>
  <si>
    <t>Portugal</t>
  </si>
  <si>
    <t>Beja</t>
  </si>
  <si>
    <t xml:space="preserve">Camping Bedura Park </t>
  </si>
  <si>
    <t>TAIGA Tarifa Valdevaqueros</t>
  </si>
  <si>
    <t xml:space="preserve">Camping Costa del Sol Glamping Village </t>
  </si>
  <si>
    <t>Il Girasole Village</t>
  </si>
  <si>
    <t>Ascoli Piceno</t>
  </si>
  <si>
    <t xml:space="preserve"> Camping Le Côte d'Opale </t>
  </si>
  <si>
    <t>Camping Homair - Lou Souleï</t>
  </si>
  <si>
    <t xml:space="preserve">Domaine La Clairière de Saint Romain </t>
  </si>
  <si>
    <t>Huttopia Caminos de Galicia</t>
  </si>
  <si>
    <t>Galice</t>
  </si>
  <si>
    <t>Pontevedra</t>
  </si>
  <si>
    <t>Campingresort Hinterstoder</t>
  </si>
  <si>
    <t>Bezirk Kirchdorf</t>
  </si>
  <si>
    <t>Campings Liberté - Verdon</t>
  </si>
  <si>
    <t>Camping De La Bradière</t>
  </si>
  <si>
    <t>Le Mas d'Ayen</t>
  </si>
  <si>
    <t>Camping Mar Estang By Vacool</t>
  </si>
  <si>
    <t>Agricamping La Pietra e l'Ulivo</t>
  </si>
  <si>
    <t>Campingplatz Dümmersee</t>
  </si>
  <si>
    <t>Villaggio Turistico La Cecinella</t>
  </si>
  <si>
    <t>Camping Homair - La Presqu'Ile du Barcarès</t>
  </si>
  <si>
    <t>Baia Holiday Garda See</t>
  </si>
  <si>
    <t>Camping Homair - Le Domaine du Clarys</t>
  </si>
  <si>
    <t>Indre</t>
  </si>
  <si>
    <t>Camping Las Cabañas</t>
  </si>
  <si>
    <t>Teruel</t>
  </si>
  <si>
    <t>La Forêt Paloma</t>
  </si>
  <si>
    <t>Camping Homair - Le Parc de la Fecht</t>
  </si>
  <si>
    <t>Camping Homair - Domaine de la Sainte Baume</t>
  </si>
  <si>
    <t>Camping Homair - Domaine du Logis</t>
  </si>
  <si>
    <t>Camping Le Ban de Laviot</t>
  </si>
  <si>
    <t>Camping Armalygal</t>
  </si>
  <si>
    <t>UserName</t>
  </si>
  <si>
    <t>superuser.jeromeNax</t>
  </si>
  <si>
    <t>Extraction Date</t>
  </si>
  <si>
    <t>15/09/2026 11:42:39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</si>
  <si>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</si>
  <si>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</si>
  <si>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</si>
  <si>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</si>
  <si>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</si>
  <si>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</si>
  <si>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</si>
  <si>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14/09/2026 00h00 - 14/09/2026 23h59</t>
  </si>
  <si>
    <t>Database PsLineIn</t>
  </si>
  <si>
    <t>3638</t>
  </si>
  <si>
    <t>Database PsLineOut</t>
  </si>
  <si>
    <t>2339</t>
  </si>
  <si>
    <t>Database Extraction Duration</t>
  </si>
  <si>
    <t>2,609 seconds</t>
  </si>
  <si>
    <t>C# Calcul Duration</t>
  </si>
  <si>
    <t>0,06 seconds</t>
  </si>
  <si>
    <t>C# ExcelFormating Duration</t>
  </si>
  <si>
    <t>2,281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</si>
</sst>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773</v>
      </c>
      <c r="D3" s="5">
        <v>97</v>
      </c>
      <c r="E3" s="6">
        <v>1528</v>
      </c>
      <c r="F3" s="5">
        <v>747</v>
      </c>
      <c r="G3" s="5">
        <v>55</v>
      </c>
      <c r="H3" s="5">
        <v>383</v>
      </c>
      <c r="I3" s="5">
        <v>105</v>
      </c>
      <c r="J3" s="5">
        <v>147</v>
      </c>
      <c r="K3" s="5">
        <v>83</v>
      </c>
      <c r="L3" s="7">
        <v>0</v>
      </c>
      <c r="M3" s="5">
        <v>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1416</v>
      </c>
      <c r="U3" s="5">
        <v>694</v>
      </c>
      <c r="V3" s="5">
        <v>52</v>
      </c>
      <c r="W3" s="5">
        <v>352</v>
      </c>
      <c r="X3" s="5">
        <v>96</v>
      </c>
      <c r="Y3" s="5">
        <v>136</v>
      </c>
      <c r="Z3" s="5">
        <v>79</v>
      </c>
      <c r="AA3" s="7">
        <v>0</v>
      </c>
      <c r="AB3" s="5">
        <v>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1.52</v>
      </c>
      <c r="AK3" s="5">
        <v>1</v>
      </c>
      <c r="AL3" s="5">
        <v>9</v>
      </c>
      <c r="AM3" s="28">
        <v>40.74</v>
      </c>
    </row>
    <row r="4">
      <c r="A4" s="24">
        <v>850</v>
      </c>
      <c r="B4" s="9" t="s">
        <v>28</v>
      </c>
      <c r="C4" s="10">
        <v>56</v>
      </c>
      <c r="D4" s="10">
        <v>51</v>
      </c>
      <c r="E4" s="11">
        <v>79</v>
      </c>
      <c r="F4" s="10">
        <v>79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62</v>
      </c>
      <c r="U4" s="10">
        <v>62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1.41</v>
      </c>
      <c r="AK4" s="10">
        <v>1</v>
      </c>
      <c r="AL4" s="10">
        <v>5</v>
      </c>
      <c r="AM4" s="29">
        <v>19.13</v>
      </c>
    </row>
    <row r="5">
      <c r="A5" s="23">
        <v>892</v>
      </c>
      <c r="B5" s="4" t="s">
        <v>29</v>
      </c>
      <c r="C5" s="5">
        <v>60</v>
      </c>
      <c r="D5" s="5">
        <v>60</v>
      </c>
      <c r="E5" s="6">
        <v>85</v>
      </c>
      <c r="F5" s="5">
        <v>85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67</v>
      </c>
      <c r="U5" s="5">
        <v>67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1.42</v>
      </c>
      <c r="AK5" s="5">
        <v>1</v>
      </c>
      <c r="AL5" s="5">
        <v>5</v>
      </c>
      <c r="AM5" s="28">
        <v>21.28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0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</v>
      </c>
      <c r="U6" s="10">
        <v>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0.34</v>
      </c>
    </row>
    <row r="7">
      <c r="A7" s="23">
        <v>1104</v>
      </c>
      <c r="B7" s="4" t="s">
        <v>31</v>
      </c>
      <c r="C7" s="5">
        <v>82</v>
      </c>
      <c r="D7" s="5">
        <v>6</v>
      </c>
      <c r="E7" s="6">
        <v>263</v>
      </c>
      <c r="F7" s="5">
        <v>73</v>
      </c>
      <c r="G7" s="5">
        <v>46</v>
      </c>
      <c r="H7" s="5">
        <v>23</v>
      </c>
      <c r="I7" s="5">
        <v>42</v>
      </c>
      <c r="J7" s="5">
        <v>68</v>
      </c>
      <c r="K7" s="5">
        <v>11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259</v>
      </c>
      <c r="U7" s="5">
        <v>71</v>
      </c>
      <c r="V7" s="5">
        <v>46</v>
      </c>
      <c r="W7" s="5">
        <v>22</v>
      </c>
      <c r="X7" s="5">
        <v>42</v>
      </c>
      <c r="Y7" s="5">
        <v>67</v>
      </c>
      <c r="Z7" s="5">
        <v>11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1.39</v>
      </c>
      <c r="AK7" s="5">
        <v>1</v>
      </c>
      <c r="AL7" s="5">
        <v>5</v>
      </c>
      <c r="AM7" s="28">
        <v>3.96</v>
      </c>
    </row>
    <row r="8">
      <c r="A8" s="24">
        <v>1139</v>
      </c>
      <c r="B8" s="9" t="s">
        <v>32</v>
      </c>
      <c r="C8" s="10">
        <v>21</v>
      </c>
      <c r="D8" s="10">
        <v>21</v>
      </c>
      <c r="E8" s="11">
        <v>22</v>
      </c>
      <c r="F8" s="12">
        <v>0</v>
      </c>
      <c r="G8" s="12">
        <v>0</v>
      </c>
      <c r="H8" s="12">
        <v>0</v>
      </c>
      <c r="I8" s="10">
        <v>22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22</v>
      </c>
      <c r="U8" s="12">
        <v>0</v>
      </c>
      <c r="V8" s="12">
        <v>0</v>
      </c>
      <c r="W8" s="12">
        <v>0</v>
      </c>
      <c r="X8" s="10">
        <v>22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1.05</v>
      </c>
      <c r="AK8" s="10">
        <v>1</v>
      </c>
      <c r="AL8" s="10">
        <v>2</v>
      </c>
      <c r="AM8" s="29">
        <v>5.42</v>
      </c>
    </row>
    <row r="9">
      <c r="A9" s="23">
        <v>1141</v>
      </c>
      <c r="B9" s="4" t="s">
        <v>33</v>
      </c>
      <c r="C9" s="5">
        <v>3</v>
      </c>
      <c r="D9" s="5">
        <v>3</v>
      </c>
      <c r="E9" s="6">
        <v>4</v>
      </c>
      <c r="F9" s="7">
        <v>0</v>
      </c>
      <c r="G9" s="7">
        <v>0</v>
      </c>
      <c r="H9" s="7">
        <v>0</v>
      </c>
      <c r="I9" s="5">
        <v>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</v>
      </c>
      <c r="U9" s="7">
        <v>0</v>
      </c>
      <c r="V9" s="7">
        <v>0</v>
      </c>
      <c r="W9" s="7">
        <v>0</v>
      </c>
      <c r="X9" s="5">
        <v>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1.33</v>
      </c>
      <c r="AK9" s="5">
        <v>1</v>
      </c>
      <c r="AL9" s="5">
        <v>2</v>
      </c>
      <c r="AM9" s="28">
        <v>1.42</v>
      </c>
    </row>
    <row r="10">
      <c r="A10" s="24">
        <v>1172</v>
      </c>
      <c r="B10" s="9" t="s">
        <v>34</v>
      </c>
      <c r="C10" s="10">
        <v>36</v>
      </c>
      <c r="D10" s="10">
        <v>3</v>
      </c>
      <c r="E10" s="11">
        <v>46</v>
      </c>
      <c r="F10" s="10">
        <v>45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44</v>
      </c>
      <c r="U10" s="10">
        <v>43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1.28</v>
      </c>
      <c r="AK10" s="10">
        <v>1</v>
      </c>
      <c r="AL10" s="10">
        <v>4</v>
      </c>
      <c r="AM10" s="29">
        <v>0.74</v>
      </c>
    </row>
    <row r="11">
      <c r="A11" s="23">
        <v>1199</v>
      </c>
      <c r="B11" s="4" t="s">
        <v>35</v>
      </c>
      <c r="C11" s="5">
        <v>51</v>
      </c>
      <c r="D11" s="5">
        <v>49</v>
      </c>
      <c r="E11" s="6">
        <v>52</v>
      </c>
      <c r="F11" s="7">
        <v>0</v>
      </c>
      <c r="G11" s="7">
        <v>0</v>
      </c>
      <c r="H11" s="5">
        <v>52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52</v>
      </c>
      <c r="U11" s="7">
        <v>0</v>
      </c>
      <c r="V11" s="7">
        <v>0</v>
      </c>
      <c r="W11" s="5">
        <v>52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1.02</v>
      </c>
      <c r="AK11" s="5">
        <v>1</v>
      </c>
      <c r="AL11" s="5">
        <v>2</v>
      </c>
      <c r="AM11" s="28">
        <v>12.51</v>
      </c>
    </row>
    <row r="12">
      <c r="A12" s="24">
        <v>1213</v>
      </c>
      <c r="B12" s="9" t="s">
        <v>36</v>
      </c>
      <c r="C12" s="10">
        <v>150</v>
      </c>
      <c r="D12" s="10">
        <v>145</v>
      </c>
      <c r="E12" s="11">
        <v>354</v>
      </c>
      <c r="F12" s="12">
        <v>0</v>
      </c>
      <c r="G12" s="12">
        <v>0</v>
      </c>
      <c r="H12" s="12">
        <v>0</v>
      </c>
      <c r="I12" s="10">
        <v>354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314</v>
      </c>
      <c r="U12" s="12">
        <v>0</v>
      </c>
      <c r="V12" s="12">
        <v>0</v>
      </c>
      <c r="W12" s="12">
        <v>0</v>
      </c>
      <c r="X12" s="10">
        <v>314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2.36</v>
      </c>
      <c r="AK12" s="10">
        <v>1</v>
      </c>
      <c r="AL12" s="10">
        <v>70</v>
      </c>
      <c r="AM12" s="29">
        <v>77.54</v>
      </c>
    </row>
    <row r="13">
      <c r="A13" s="23">
        <v>1221</v>
      </c>
      <c r="B13" s="4" t="s">
        <v>37</v>
      </c>
      <c r="C13" s="5">
        <v>86</v>
      </c>
      <c r="D13" s="5">
        <v>86</v>
      </c>
      <c r="E13" s="6">
        <v>105</v>
      </c>
      <c r="F13" s="5">
        <v>8</v>
      </c>
      <c r="G13" s="5">
        <v>6</v>
      </c>
      <c r="H13" s="5">
        <v>23</v>
      </c>
      <c r="I13" s="5">
        <v>68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98</v>
      </c>
      <c r="U13" s="5">
        <v>8</v>
      </c>
      <c r="V13" s="5">
        <v>6</v>
      </c>
      <c r="W13" s="5">
        <v>18</v>
      </c>
      <c r="X13" s="5">
        <v>66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4</v>
      </c>
      <c r="AM13" s="28">
        <v>24.74</v>
      </c>
    </row>
    <row r="14">
      <c r="A14" s="24">
        <v>1222</v>
      </c>
      <c r="B14" s="9" t="s">
        <v>38</v>
      </c>
      <c r="C14" s="10">
        <v>144</v>
      </c>
      <c r="D14" s="10">
        <v>136</v>
      </c>
      <c r="E14" s="11">
        <v>251</v>
      </c>
      <c r="F14" s="10">
        <v>251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250</v>
      </c>
      <c r="U14" s="10">
        <v>250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1.74</v>
      </c>
      <c r="AK14" s="10">
        <v>1</v>
      </c>
      <c r="AL14" s="10">
        <v>6</v>
      </c>
      <c r="AM14" s="29">
        <v>83.28</v>
      </c>
    </row>
    <row r="15">
      <c r="A15" s="23">
        <v>1254</v>
      </c>
      <c r="B15" s="4" t="s">
        <v>39</v>
      </c>
      <c r="C15" s="5">
        <v>19</v>
      </c>
      <c r="D15" s="5">
        <v>19</v>
      </c>
      <c r="E15" s="6">
        <v>21</v>
      </c>
      <c r="F15" s="7">
        <v>0</v>
      </c>
      <c r="G15" s="7">
        <v>0</v>
      </c>
      <c r="H15" s="7">
        <v>0</v>
      </c>
      <c r="I15" s="5">
        <v>21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20</v>
      </c>
      <c r="U15" s="7">
        <v>0</v>
      </c>
      <c r="V15" s="7">
        <v>0</v>
      </c>
      <c r="W15" s="7">
        <v>0</v>
      </c>
      <c r="X15" s="5">
        <v>20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1.11</v>
      </c>
      <c r="AK15" s="5">
        <v>1</v>
      </c>
      <c r="AL15" s="5">
        <v>2</v>
      </c>
      <c r="AM15" s="28">
        <v>4.91</v>
      </c>
    </row>
    <row r="16">
      <c r="A16" s="24">
        <v>1293</v>
      </c>
      <c r="B16" s="9" t="s">
        <v>40</v>
      </c>
      <c r="C16" s="10">
        <v>2</v>
      </c>
      <c r="D16" s="10">
        <v>2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0.5</v>
      </c>
    </row>
    <row r="17">
      <c r="A17" s="23">
        <v>1379</v>
      </c>
      <c r="B17" s="4" t="s">
        <v>41</v>
      </c>
      <c r="C17" s="5">
        <v>152</v>
      </c>
      <c r="D17" s="5">
        <v>152</v>
      </c>
      <c r="E17" s="6">
        <v>279</v>
      </c>
      <c r="F17" s="7">
        <v>0</v>
      </c>
      <c r="G17" s="7">
        <v>0</v>
      </c>
      <c r="H17" s="7">
        <v>0</v>
      </c>
      <c r="I17" s="5">
        <v>279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261</v>
      </c>
      <c r="U17" s="7">
        <v>0</v>
      </c>
      <c r="V17" s="7">
        <v>0</v>
      </c>
      <c r="W17" s="7">
        <v>0</v>
      </c>
      <c r="X17" s="5">
        <v>261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1.84</v>
      </c>
      <c r="AK17" s="5">
        <v>1</v>
      </c>
      <c r="AL17" s="5">
        <v>20</v>
      </c>
      <c r="AM17" s="28">
        <v>65.7</v>
      </c>
    </row>
    <row r="18">
      <c r="A18" s="24">
        <v>1422</v>
      </c>
      <c r="B18" s="9" t="s">
        <v>42</v>
      </c>
      <c r="C18" s="10">
        <v>8</v>
      </c>
      <c r="D18" s="10">
        <v>5</v>
      </c>
      <c r="E18" s="11">
        <v>10</v>
      </c>
      <c r="F18" s="12">
        <v>0</v>
      </c>
      <c r="G18" s="12">
        <v>0</v>
      </c>
      <c r="H18" s="10">
        <v>2</v>
      </c>
      <c r="I18" s="10">
        <v>8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9</v>
      </c>
      <c r="U18" s="12">
        <v>0</v>
      </c>
      <c r="V18" s="12">
        <v>0</v>
      </c>
      <c r="W18" s="10">
        <v>2</v>
      </c>
      <c r="X18" s="10">
        <v>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1.25</v>
      </c>
      <c r="AK18" s="10">
        <v>1</v>
      </c>
      <c r="AL18" s="10">
        <v>2</v>
      </c>
      <c r="AM18" s="29">
        <v>1.54</v>
      </c>
    </row>
    <row r="19">
      <c r="A19" s="23">
        <v>1423</v>
      </c>
      <c r="B19" s="4" t="s">
        <v>43</v>
      </c>
      <c r="C19" s="5">
        <v>12</v>
      </c>
      <c r="D19" s="5">
        <v>12</v>
      </c>
      <c r="E19" s="6">
        <v>39</v>
      </c>
      <c r="F19" s="7">
        <v>0</v>
      </c>
      <c r="G19" s="7">
        <v>0</v>
      </c>
      <c r="H19" s="7">
        <v>0</v>
      </c>
      <c r="I19" s="5">
        <v>39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35</v>
      </c>
      <c r="U19" s="7">
        <v>0</v>
      </c>
      <c r="V19" s="7">
        <v>0</v>
      </c>
      <c r="W19" s="7">
        <v>0</v>
      </c>
      <c r="X19" s="5">
        <v>35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3.25</v>
      </c>
      <c r="AK19" s="5">
        <v>1</v>
      </c>
      <c r="AL19" s="5">
        <v>26</v>
      </c>
      <c r="AM19" s="28">
        <v>8.72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25</v>
      </c>
      <c r="D21" s="5">
        <v>1</v>
      </c>
      <c r="E21" s="6">
        <v>32</v>
      </c>
      <c r="F21" s="5">
        <v>3</v>
      </c>
      <c r="G21" s="7">
        <v>0</v>
      </c>
      <c r="H21" s="7">
        <v>0</v>
      </c>
      <c r="I21" s="7">
        <v>0</v>
      </c>
      <c r="J21" s="5">
        <v>29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31</v>
      </c>
      <c r="U21" s="5">
        <v>3</v>
      </c>
      <c r="V21" s="7">
        <v>0</v>
      </c>
      <c r="W21" s="7">
        <v>0</v>
      </c>
      <c r="X21" s="7">
        <v>0</v>
      </c>
      <c r="Y21" s="5">
        <v>28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1.23</v>
      </c>
      <c r="AK21" s="5">
        <v>1</v>
      </c>
      <c r="AL21" s="5">
        <v>2</v>
      </c>
      <c r="AM21" s="28">
        <v>0.35</v>
      </c>
    </row>
    <row r="22">
      <c r="A22" s="24">
        <v>1538</v>
      </c>
      <c r="B22" s="9" t="s">
        <v>46</v>
      </c>
      <c r="C22" s="10">
        <v>31</v>
      </c>
      <c r="D22" s="10">
        <v>31</v>
      </c>
      <c r="E22" s="11">
        <v>44</v>
      </c>
      <c r="F22" s="12">
        <v>0</v>
      </c>
      <c r="G22" s="12">
        <v>0</v>
      </c>
      <c r="H22" s="12">
        <v>0</v>
      </c>
      <c r="I22" s="10">
        <v>44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40</v>
      </c>
      <c r="U22" s="12">
        <v>0</v>
      </c>
      <c r="V22" s="12">
        <v>0</v>
      </c>
      <c r="W22" s="12">
        <v>0</v>
      </c>
      <c r="X22" s="10">
        <v>40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1.42</v>
      </c>
      <c r="AK22" s="10">
        <v>1</v>
      </c>
      <c r="AL22" s="10">
        <v>4</v>
      </c>
      <c r="AM22" s="29">
        <v>10.13</v>
      </c>
    </row>
    <row r="23">
      <c r="A23" s="23">
        <v>1539</v>
      </c>
      <c r="B23" s="4" t="s">
        <v>47</v>
      </c>
      <c r="C23" s="5">
        <v>2</v>
      </c>
      <c r="D23" s="5">
        <v>2</v>
      </c>
      <c r="E23" s="6">
        <v>4</v>
      </c>
      <c r="F23" s="7">
        <v>0</v>
      </c>
      <c r="G23" s="7">
        <v>0</v>
      </c>
      <c r="H23" s="5">
        <v>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</v>
      </c>
      <c r="U23" s="7">
        <v>0</v>
      </c>
      <c r="V23" s="7">
        <v>0</v>
      </c>
      <c r="W23" s="5">
        <v>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</v>
      </c>
      <c r="AK23" s="5">
        <v>2</v>
      </c>
      <c r="AL23" s="5">
        <v>3</v>
      </c>
      <c r="AM23" s="28">
        <v>0.75</v>
      </c>
    </row>
    <row r="24">
      <c r="A24" s="24">
        <v>1552</v>
      </c>
      <c r="B24" s="9" t="s">
        <v>48</v>
      </c>
      <c r="C24" s="10">
        <v>65</v>
      </c>
      <c r="D24" s="10">
        <v>4</v>
      </c>
      <c r="E24" s="11">
        <v>74</v>
      </c>
      <c r="F24" s="10">
        <v>1</v>
      </c>
      <c r="G24" s="12">
        <v>0</v>
      </c>
      <c r="H24" s="10">
        <v>73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71</v>
      </c>
      <c r="U24" s="10">
        <v>1</v>
      </c>
      <c r="V24" s="12">
        <v>0</v>
      </c>
      <c r="W24" s="10">
        <v>70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1.14</v>
      </c>
      <c r="AK24" s="10">
        <v>1</v>
      </c>
      <c r="AL24" s="10">
        <v>3</v>
      </c>
      <c r="AM24" s="29">
        <v>1.01</v>
      </c>
    </row>
    <row r="25">
      <c r="A25" s="23">
        <v>1559</v>
      </c>
      <c r="B25" s="4" t="s">
        <v>49</v>
      </c>
      <c r="C25" s="5">
        <v>74</v>
      </c>
      <c r="D25" s="5">
        <v>73</v>
      </c>
      <c r="E25" s="6">
        <v>108</v>
      </c>
      <c r="F25" s="7">
        <v>0</v>
      </c>
      <c r="G25" s="7">
        <v>0</v>
      </c>
      <c r="H25" s="7">
        <v>0</v>
      </c>
      <c r="I25" s="5">
        <v>108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100</v>
      </c>
      <c r="U25" s="7">
        <v>0</v>
      </c>
      <c r="V25" s="7">
        <v>0</v>
      </c>
      <c r="W25" s="7">
        <v>0</v>
      </c>
      <c r="X25" s="5">
        <v>100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1.46</v>
      </c>
      <c r="AK25" s="5">
        <v>1</v>
      </c>
      <c r="AL25" s="5">
        <v>6</v>
      </c>
      <c r="AM25" s="28">
        <v>24.78</v>
      </c>
    </row>
    <row r="26">
      <c r="A26" s="24">
        <v>1603</v>
      </c>
      <c r="B26" s="9" t="s">
        <v>50</v>
      </c>
      <c r="C26" s="10">
        <v>5</v>
      </c>
      <c r="D26" s="12">
        <v>0</v>
      </c>
      <c r="E26" s="11">
        <v>5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5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5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30">
        <v>0</v>
      </c>
    </row>
    <row r="27">
      <c r="A27" s="23">
        <v>1750</v>
      </c>
      <c r="B27" s="4" t="s">
        <v>51</v>
      </c>
      <c r="C27" s="5">
        <v>7</v>
      </c>
      <c r="D27" s="5">
        <v>3</v>
      </c>
      <c r="E27" s="6">
        <v>8</v>
      </c>
      <c r="F27" s="7">
        <v>0</v>
      </c>
      <c r="G27" s="5">
        <v>8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8</v>
      </c>
      <c r="U27" s="7">
        <v>0</v>
      </c>
      <c r="V27" s="5">
        <v>8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1.14</v>
      </c>
      <c r="AK27" s="5">
        <v>1</v>
      </c>
      <c r="AL27" s="5">
        <v>2</v>
      </c>
      <c r="AM27" s="28">
        <v>0.67</v>
      </c>
    </row>
    <row r="28">
      <c r="A28" s="24">
        <v>1761</v>
      </c>
      <c r="B28" s="9" t="s">
        <v>52</v>
      </c>
      <c r="C28" s="10">
        <v>9</v>
      </c>
      <c r="D28" s="10">
        <v>8</v>
      </c>
      <c r="E28" s="11">
        <v>12</v>
      </c>
      <c r="F28" s="12">
        <v>0</v>
      </c>
      <c r="G28" s="12">
        <v>0</v>
      </c>
      <c r="H28" s="12">
        <v>0</v>
      </c>
      <c r="I28" s="10">
        <v>12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11</v>
      </c>
      <c r="U28" s="12">
        <v>0</v>
      </c>
      <c r="V28" s="12">
        <v>0</v>
      </c>
      <c r="W28" s="12">
        <v>0</v>
      </c>
      <c r="X28" s="10">
        <v>11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1.33</v>
      </c>
      <c r="AK28" s="10">
        <v>1</v>
      </c>
      <c r="AL28" s="10">
        <v>3</v>
      </c>
      <c r="AM28" s="29">
        <v>2.54</v>
      </c>
    </row>
    <row r="29">
      <c r="A29" s="23">
        <v>1779</v>
      </c>
      <c r="B29" s="4" t="s">
        <v>53</v>
      </c>
      <c r="C29" s="5">
        <v>17</v>
      </c>
      <c r="D29" s="5">
        <v>17</v>
      </c>
      <c r="E29" s="6">
        <v>53</v>
      </c>
      <c r="F29" s="7">
        <v>0</v>
      </c>
      <c r="G29" s="7">
        <v>0</v>
      </c>
      <c r="H29" s="7">
        <v>0</v>
      </c>
      <c r="I29" s="5">
        <v>53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49</v>
      </c>
      <c r="U29" s="7">
        <v>0</v>
      </c>
      <c r="V29" s="7">
        <v>0</v>
      </c>
      <c r="W29" s="7">
        <v>0</v>
      </c>
      <c r="X29" s="5">
        <v>49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3.12</v>
      </c>
      <c r="AK29" s="5">
        <v>1</v>
      </c>
      <c r="AL29" s="5">
        <v>34</v>
      </c>
      <c r="AM29" s="28">
        <v>12.57</v>
      </c>
    </row>
    <row r="30">
      <c r="A30" s="24">
        <v>1937</v>
      </c>
      <c r="B30" s="9" t="s">
        <v>54</v>
      </c>
      <c r="C30" s="10">
        <v>15</v>
      </c>
      <c r="D30" s="10">
        <v>10</v>
      </c>
      <c r="E30" s="11">
        <v>19</v>
      </c>
      <c r="F30" s="10">
        <v>19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16</v>
      </c>
      <c r="U30" s="10">
        <v>16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1.27</v>
      </c>
      <c r="AK30" s="10">
        <v>1</v>
      </c>
      <c r="AL30" s="10">
        <v>3</v>
      </c>
      <c r="AM30" s="29">
        <v>2.45</v>
      </c>
    </row>
    <row r="31">
      <c r="A31" s="23">
        <v>1938</v>
      </c>
      <c r="B31" s="4" t="s">
        <v>55</v>
      </c>
      <c r="C31" s="5">
        <v>6</v>
      </c>
      <c r="D31" s="5">
        <v>6</v>
      </c>
      <c r="E31" s="6">
        <v>12</v>
      </c>
      <c r="F31" s="7">
        <v>0</v>
      </c>
      <c r="G31" s="5">
        <v>5</v>
      </c>
      <c r="H31" s="7">
        <v>0</v>
      </c>
      <c r="I31" s="7">
        <v>0</v>
      </c>
      <c r="J31" s="5">
        <v>7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7</v>
      </c>
      <c r="U31" s="7">
        <v>0</v>
      </c>
      <c r="V31" s="5">
        <v>5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</v>
      </c>
      <c r="AK31" s="5">
        <v>1</v>
      </c>
      <c r="AL31" s="5">
        <v>7</v>
      </c>
      <c r="AM31" s="28">
        <v>1.85</v>
      </c>
    </row>
    <row r="32">
      <c r="A32" s="24">
        <v>1939</v>
      </c>
      <c r="B32" s="9" t="s">
        <v>56</v>
      </c>
      <c r="C32" s="10">
        <v>9</v>
      </c>
      <c r="D32" s="10">
        <v>7</v>
      </c>
      <c r="E32" s="11">
        <v>10</v>
      </c>
      <c r="F32" s="12">
        <v>0</v>
      </c>
      <c r="G32" s="12">
        <v>0</v>
      </c>
      <c r="H32" s="10">
        <v>10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10</v>
      </c>
      <c r="U32" s="12">
        <v>0</v>
      </c>
      <c r="V32" s="12">
        <v>0</v>
      </c>
      <c r="W32" s="10">
        <v>10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1.11</v>
      </c>
      <c r="AK32" s="10">
        <v>1</v>
      </c>
      <c r="AL32" s="10">
        <v>2</v>
      </c>
      <c r="AM32" s="29">
        <v>2.17</v>
      </c>
    </row>
    <row r="33">
      <c r="A33" s="23">
        <v>1985</v>
      </c>
      <c r="B33" s="4" t="s">
        <v>57</v>
      </c>
      <c r="C33" s="5">
        <v>12</v>
      </c>
      <c r="D33" s="5">
        <v>10</v>
      </c>
      <c r="E33" s="6">
        <v>13</v>
      </c>
      <c r="F33" s="5">
        <v>13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12</v>
      </c>
      <c r="U33" s="5">
        <v>12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1.08</v>
      </c>
      <c r="AK33" s="5">
        <v>1</v>
      </c>
      <c r="AL33" s="5">
        <v>2</v>
      </c>
      <c r="AM33" s="28">
        <v>2.48</v>
      </c>
    </row>
    <row r="34">
      <c r="A34" s="24">
        <v>1988</v>
      </c>
      <c r="B34" s="9" t="s">
        <v>58</v>
      </c>
      <c r="C34" s="10">
        <v>59</v>
      </c>
      <c r="D34" s="10">
        <v>58</v>
      </c>
      <c r="E34" s="11">
        <v>98</v>
      </c>
      <c r="F34" s="12">
        <v>0</v>
      </c>
      <c r="G34" s="10">
        <v>98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78</v>
      </c>
      <c r="U34" s="12">
        <v>0</v>
      </c>
      <c r="V34" s="10">
        <v>78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1.66</v>
      </c>
      <c r="AK34" s="10">
        <v>1</v>
      </c>
      <c r="AL34" s="10">
        <v>7</v>
      </c>
      <c r="AM34" s="29">
        <v>25.78</v>
      </c>
    </row>
    <row r="35">
      <c r="A35" s="25">
        <v>2063</v>
      </c>
      <c r="B35" s="16" t="s">
        <v>59</v>
      </c>
      <c r="C35" s="17">
        <v>1</v>
      </c>
      <c r="D35" s="17">
        <v>1</v>
      </c>
      <c r="E35" s="18">
        <v>4</v>
      </c>
      <c r="F35" s="19">
        <v>0</v>
      </c>
      <c r="G35" s="19">
        <v>0</v>
      </c>
      <c r="H35" s="19">
        <v>0</v>
      </c>
      <c r="I35" s="17">
        <v>4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4</v>
      </c>
      <c r="U35" s="19">
        <v>0</v>
      </c>
      <c r="V35" s="19">
        <v>0</v>
      </c>
      <c r="W35" s="19">
        <v>0</v>
      </c>
      <c r="X35" s="17">
        <v>4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4</v>
      </c>
      <c r="AJ35" s="20">
        <v>4</v>
      </c>
      <c r="AK35" s="17">
        <v>4</v>
      </c>
      <c r="AL35" s="17">
        <v>4</v>
      </c>
      <c r="AM35" s="31">
        <v>1.04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7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12</v>
      </c>
      <c r="G3" s="5">
        <v>9</v>
      </c>
      <c r="H3" s="5">
        <v>1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11</v>
      </c>
      <c r="V3" s="5">
        <v>8</v>
      </c>
      <c r="W3" s="5">
        <v>1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2.4</v>
      </c>
      <c r="AL3" s="5">
        <v>2</v>
      </c>
      <c r="AM3" s="5">
        <v>5</v>
      </c>
      <c r="AN3" s="28">
        <v>3.55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3</v>
      </c>
      <c r="G4" s="12">
        <v>0</v>
      </c>
      <c r="H4" s="12">
        <v>0</v>
      </c>
      <c r="I4" s="10">
        <v>2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2">
        <v>0</v>
      </c>
      <c r="W4" s="12">
        <v>0</v>
      </c>
      <c r="X4" s="10">
        <v>1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0.25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3</v>
      </c>
      <c r="G5" s="7">
        <v>0</v>
      </c>
      <c r="H5" s="7">
        <v>0</v>
      </c>
      <c r="I5" s="7">
        <v>0</v>
      </c>
      <c r="J5" s="5">
        <v>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3</v>
      </c>
      <c r="AK5" s="8">
        <v>3</v>
      </c>
      <c r="AL5" s="5">
        <v>3</v>
      </c>
      <c r="AM5" s="5">
        <v>3</v>
      </c>
      <c r="AN5" s="28">
        <v>0.25</v>
      </c>
    </row>
    <row r="6">
      <c r="A6" s="24">
        <v>111</v>
      </c>
      <c r="B6" s="9" t="s">
        <v>74</v>
      </c>
      <c r="C6" s="9" t="s">
        <v>67</v>
      </c>
      <c r="D6" s="9" t="s">
        <v>75</v>
      </c>
      <c r="E6" s="9" t="s">
        <v>76</v>
      </c>
      <c r="F6" s="11">
        <v>7</v>
      </c>
      <c r="G6" s="10">
        <v>3</v>
      </c>
      <c r="H6" s="12">
        <v>0</v>
      </c>
      <c r="I6" s="10">
        <v>4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6</v>
      </c>
      <c r="V6" s="10">
        <v>3</v>
      </c>
      <c r="W6" s="12">
        <v>0</v>
      </c>
      <c r="X6" s="10">
        <v>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3.5</v>
      </c>
      <c r="AL6" s="10">
        <v>3</v>
      </c>
      <c r="AM6" s="10">
        <v>4</v>
      </c>
      <c r="AN6" s="30">
        <v>0</v>
      </c>
    </row>
    <row r="7">
      <c r="A7" s="23">
        <v>112</v>
      </c>
      <c r="B7" s="4" t="s">
        <v>77</v>
      </c>
      <c r="C7" s="4" t="s">
        <v>67</v>
      </c>
      <c r="D7" s="4" t="s">
        <v>75</v>
      </c>
      <c r="E7" s="4" t="s">
        <v>76</v>
      </c>
      <c r="F7" s="6">
        <v>5</v>
      </c>
      <c r="G7" s="5">
        <v>3</v>
      </c>
      <c r="H7" s="7">
        <v>0</v>
      </c>
      <c r="I7" s="5">
        <v>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</v>
      </c>
      <c r="V7" s="5">
        <v>3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2.5</v>
      </c>
      <c r="AL7" s="5">
        <v>2</v>
      </c>
      <c r="AM7" s="5">
        <v>3</v>
      </c>
      <c r="AN7" s="43">
        <v>0</v>
      </c>
    </row>
    <row r="8">
      <c r="A8" s="24">
        <v>130</v>
      </c>
      <c r="B8" s="9" t="s">
        <v>78</v>
      </c>
      <c r="C8" s="9" t="s">
        <v>67</v>
      </c>
      <c r="D8" s="9" t="s">
        <v>79</v>
      </c>
      <c r="E8" s="9" t="s">
        <v>80</v>
      </c>
      <c r="F8" s="11">
        <v>1</v>
      </c>
      <c r="G8" s="10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142</v>
      </c>
      <c r="B9" s="4" t="s">
        <v>81</v>
      </c>
      <c r="C9" s="4" t="s">
        <v>67</v>
      </c>
      <c r="D9" s="4" t="s">
        <v>79</v>
      </c>
      <c r="E9" s="4" t="s">
        <v>82</v>
      </c>
      <c r="F9" s="6">
        <v>1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3">
        <v>0</v>
      </c>
    </row>
    <row r="10">
      <c r="A10" s="24">
        <v>145</v>
      </c>
      <c r="B10" s="9" t="s">
        <v>83</v>
      </c>
      <c r="C10" s="9" t="s">
        <v>67</v>
      </c>
      <c r="D10" s="9" t="s">
        <v>75</v>
      </c>
      <c r="E10" s="9" t="s">
        <v>84</v>
      </c>
      <c r="F10" s="11">
        <v>2</v>
      </c>
      <c r="G10" s="12">
        <v>0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29">
        <v>0.25</v>
      </c>
    </row>
    <row r="11">
      <c r="A11" s="23">
        <v>152</v>
      </c>
      <c r="B11" s="4" t="s">
        <v>85</v>
      </c>
      <c r="C11" s="4" t="s">
        <v>67</v>
      </c>
      <c r="D11" s="4" t="s">
        <v>86</v>
      </c>
      <c r="E11" s="4" t="s">
        <v>87</v>
      </c>
      <c r="F11" s="6">
        <v>8</v>
      </c>
      <c r="G11" s="7">
        <v>0</v>
      </c>
      <c r="H11" s="7">
        <v>0</v>
      </c>
      <c r="I11" s="7">
        <v>0</v>
      </c>
      <c r="J11" s="5">
        <v>8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6</v>
      </c>
      <c r="V11" s="7">
        <v>0</v>
      </c>
      <c r="W11" s="7">
        <v>0</v>
      </c>
      <c r="X11" s="7">
        <v>0</v>
      </c>
      <c r="Y11" s="5">
        <v>6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2.67</v>
      </c>
      <c r="AL11" s="5">
        <v>2</v>
      </c>
      <c r="AM11" s="5">
        <v>5</v>
      </c>
      <c r="AN11" s="28">
        <v>1.5</v>
      </c>
    </row>
    <row r="12">
      <c r="A12" s="24">
        <v>154</v>
      </c>
      <c r="B12" s="9" t="s">
        <v>88</v>
      </c>
      <c r="C12" s="9" t="s">
        <v>67</v>
      </c>
      <c r="D12" s="9" t="s">
        <v>79</v>
      </c>
      <c r="E12" s="9" t="s">
        <v>89</v>
      </c>
      <c r="F12" s="11">
        <v>2</v>
      </c>
      <c r="G12" s="10">
        <v>1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0">
        <v>1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0.61</v>
      </c>
    </row>
    <row r="13">
      <c r="A13" s="23">
        <v>162</v>
      </c>
      <c r="B13" s="4" t="s">
        <v>90</v>
      </c>
      <c r="C13" s="4" t="s">
        <v>67</v>
      </c>
      <c r="D13" s="4" t="s">
        <v>91</v>
      </c>
      <c r="E13" s="4" t="s">
        <v>92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43">
        <v>0</v>
      </c>
    </row>
    <row r="14">
      <c r="A14" s="24">
        <v>164</v>
      </c>
      <c r="B14" s="9" t="s">
        <v>93</v>
      </c>
      <c r="C14" s="9" t="s">
        <v>67</v>
      </c>
      <c r="D14" s="9" t="s">
        <v>86</v>
      </c>
      <c r="E14" s="9" t="s">
        <v>94</v>
      </c>
      <c r="F14" s="11">
        <v>2</v>
      </c>
      <c r="G14" s="12">
        <v>0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2">
        <v>0</v>
      </c>
      <c r="W14" s="12">
        <v>0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0.5</v>
      </c>
    </row>
    <row r="15">
      <c r="A15" s="23">
        <v>169</v>
      </c>
      <c r="B15" s="4" t="s">
        <v>95</v>
      </c>
      <c r="C15" s="4" t="s">
        <v>67</v>
      </c>
      <c r="D15" s="4" t="s">
        <v>86</v>
      </c>
      <c r="E15" s="4" t="s">
        <v>94</v>
      </c>
      <c r="F15" s="6">
        <v>2</v>
      </c>
      <c r="G15" s="7">
        <v>0</v>
      </c>
      <c r="H15" s="7">
        <v>0</v>
      </c>
      <c r="I15" s="7">
        <v>0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7">
        <v>0</v>
      </c>
      <c r="W15" s="7">
        <v>0</v>
      </c>
      <c r="X15" s="7">
        <v>0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43">
        <v>0</v>
      </c>
    </row>
    <row r="16">
      <c r="A16" s="24">
        <v>171</v>
      </c>
      <c r="B16" s="9" t="s">
        <v>96</v>
      </c>
      <c r="C16" s="9" t="s">
        <v>67</v>
      </c>
      <c r="D16" s="9" t="s">
        <v>91</v>
      </c>
      <c r="E16" s="9" t="s">
        <v>97</v>
      </c>
      <c r="F16" s="11">
        <v>3</v>
      </c>
      <c r="G16" s="12">
        <v>0</v>
      </c>
      <c r="H16" s="12">
        <v>0</v>
      </c>
      <c r="I16" s="10">
        <v>2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0">
        <v>1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30">
        <v>0</v>
      </c>
    </row>
    <row r="17">
      <c r="A17" s="23">
        <v>175</v>
      </c>
      <c r="B17" s="4" t="s">
        <v>98</v>
      </c>
      <c r="C17" s="4" t="s">
        <v>67</v>
      </c>
      <c r="D17" s="4" t="s">
        <v>99</v>
      </c>
      <c r="E17" s="4" t="s">
        <v>100</v>
      </c>
      <c r="F17" s="6">
        <v>4</v>
      </c>
      <c r="G17" s="7">
        <v>0</v>
      </c>
      <c r="H17" s="7">
        <v>0</v>
      </c>
      <c r="I17" s="7">
        <v>0</v>
      </c>
      <c r="J17" s="5">
        <v>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7">
        <v>0</v>
      </c>
      <c r="W17" s="7">
        <v>0</v>
      </c>
      <c r="X17" s="7">
        <v>0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1</v>
      </c>
    </row>
    <row r="18">
      <c r="A18" s="24">
        <v>179</v>
      </c>
      <c r="B18" s="9" t="s">
        <v>101</v>
      </c>
      <c r="C18" s="9" t="s">
        <v>67</v>
      </c>
      <c r="D18" s="9" t="s">
        <v>86</v>
      </c>
      <c r="E18" s="9" t="s">
        <v>102</v>
      </c>
      <c r="F18" s="11">
        <v>2</v>
      </c>
      <c r="G18" s="10">
        <v>1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1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186</v>
      </c>
      <c r="B19" s="4" t="s">
        <v>103</v>
      </c>
      <c r="C19" s="4" t="s">
        <v>67</v>
      </c>
      <c r="D19" s="4" t="s">
        <v>104</v>
      </c>
      <c r="E19" s="4" t="s">
        <v>105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43">
        <v>0</v>
      </c>
    </row>
    <row r="20">
      <c r="A20" s="24">
        <v>188</v>
      </c>
      <c r="B20" s="9" t="s">
        <v>106</v>
      </c>
      <c r="C20" s="9" t="s">
        <v>67</v>
      </c>
      <c r="D20" s="9" t="s">
        <v>71</v>
      </c>
      <c r="E20" s="9" t="s">
        <v>72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30">
        <v>0</v>
      </c>
    </row>
    <row r="21">
      <c r="A21" s="23">
        <v>190</v>
      </c>
      <c r="B21" s="4" t="s">
        <v>107</v>
      </c>
      <c r="C21" s="4" t="s">
        <v>67</v>
      </c>
      <c r="D21" s="4" t="s">
        <v>108</v>
      </c>
      <c r="E21" s="4" t="s">
        <v>109</v>
      </c>
      <c r="F21" s="6">
        <v>3</v>
      </c>
      <c r="G21" s="5">
        <v>1</v>
      </c>
      <c r="H21" s="5">
        <v>1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1</v>
      </c>
      <c r="W21" s="5">
        <v>1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0.75</v>
      </c>
    </row>
    <row r="22">
      <c r="A22" s="24">
        <v>193</v>
      </c>
      <c r="B22" s="9" t="s">
        <v>110</v>
      </c>
      <c r="C22" s="9" t="s">
        <v>67</v>
      </c>
      <c r="D22" s="9" t="s">
        <v>111</v>
      </c>
      <c r="E22" s="9" t="s">
        <v>112</v>
      </c>
      <c r="F22" s="11">
        <v>1</v>
      </c>
      <c r="G22" s="12">
        <v>0</v>
      </c>
      <c r="H22" s="12">
        <v>0</v>
      </c>
      <c r="I22" s="12">
        <v>0</v>
      </c>
      <c r="J22" s="12">
        <v>0</v>
      </c>
      <c r="K22" s="10">
        <v>1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2">
        <v>0</v>
      </c>
      <c r="Z22" s="10">
        <v>1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200</v>
      </c>
      <c r="B23" s="4" t="s">
        <v>113</v>
      </c>
      <c r="C23" s="4" t="s">
        <v>67</v>
      </c>
      <c r="D23" s="4" t="s">
        <v>108</v>
      </c>
      <c r="E23" s="4" t="s">
        <v>109</v>
      </c>
      <c r="F23" s="6">
        <v>2</v>
      </c>
      <c r="G23" s="5">
        <v>1</v>
      </c>
      <c r="H23" s="7">
        <v>0</v>
      </c>
      <c r="I23" s="5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1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202</v>
      </c>
      <c r="B24" s="9" t="s">
        <v>114</v>
      </c>
      <c r="C24" s="9" t="s">
        <v>67</v>
      </c>
      <c r="D24" s="9" t="s">
        <v>79</v>
      </c>
      <c r="E24" s="9" t="s">
        <v>115</v>
      </c>
      <c r="F24" s="11">
        <v>7</v>
      </c>
      <c r="G24" s="10">
        <v>5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7</v>
      </c>
      <c r="V24" s="10">
        <v>5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1.75</v>
      </c>
      <c r="AL24" s="10">
        <v>1</v>
      </c>
      <c r="AM24" s="10">
        <v>3</v>
      </c>
      <c r="AN24" s="29">
        <v>1.96</v>
      </c>
    </row>
    <row r="25">
      <c r="A25" s="23">
        <v>208</v>
      </c>
      <c r="B25" s="4" t="s">
        <v>116</v>
      </c>
      <c r="C25" s="4" t="s">
        <v>67</v>
      </c>
      <c r="D25" s="4" t="s">
        <v>111</v>
      </c>
      <c r="E25" s="4" t="s">
        <v>112</v>
      </c>
      <c r="F25" s="6">
        <v>7</v>
      </c>
      <c r="G25" s="5">
        <v>5</v>
      </c>
      <c r="H25" s="7">
        <v>0</v>
      </c>
      <c r="I25" s="5">
        <v>1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6</v>
      </c>
      <c r="V25" s="5">
        <v>4</v>
      </c>
      <c r="W25" s="7">
        <v>0</v>
      </c>
      <c r="X25" s="5">
        <v>1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1.75</v>
      </c>
      <c r="AL25" s="5">
        <v>1</v>
      </c>
      <c r="AM25" s="5">
        <v>4</v>
      </c>
      <c r="AN25" s="28">
        <v>0.25</v>
      </c>
    </row>
    <row r="26">
      <c r="A26" s="24">
        <v>210</v>
      </c>
      <c r="B26" s="9" t="s">
        <v>117</v>
      </c>
      <c r="C26" s="9" t="s">
        <v>67</v>
      </c>
      <c r="D26" s="9" t="s">
        <v>71</v>
      </c>
      <c r="E26" s="9" t="s">
        <v>118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214</v>
      </c>
      <c r="B27" s="4" t="s">
        <v>119</v>
      </c>
      <c r="C27" s="4" t="s">
        <v>67</v>
      </c>
      <c r="D27" s="4" t="s">
        <v>75</v>
      </c>
      <c r="E27" s="4" t="s">
        <v>120</v>
      </c>
      <c r="F27" s="6">
        <v>4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4</v>
      </c>
      <c r="AK27" s="8">
        <v>4</v>
      </c>
      <c r="AL27" s="5">
        <v>4</v>
      </c>
      <c r="AM27" s="5">
        <v>4</v>
      </c>
      <c r="AN27" s="43">
        <v>0</v>
      </c>
    </row>
    <row r="28">
      <c r="A28" s="24">
        <v>215</v>
      </c>
      <c r="B28" s="9" t="s">
        <v>121</v>
      </c>
      <c r="C28" s="9" t="s">
        <v>67</v>
      </c>
      <c r="D28" s="9" t="s">
        <v>111</v>
      </c>
      <c r="E28" s="9" t="s">
        <v>122</v>
      </c>
      <c r="F28" s="11">
        <v>1</v>
      </c>
      <c r="G28" s="12">
        <v>0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2">
        <v>0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217</v>
      </c>
      <c r="B29" s="4" t="s">
        <v>123</v>
      </c>
      <c r="C29" s="4" t="s">
        <v>67</v>
      </c>
      <c r="D29" s="4" t="s">
        <v>111</v>
      </c>
      <c r="E29" s="4" t="s">
        <v>122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221</v>
      </c>
      <c r="B30" s="9" t="s">
        <v>124</v>
      </c>
      <c r="C30" s="9" t="s">
        <v>67</v>
      </c>
      <c r="D30" s="9" t="s">
        <v>125</v>
      </c>
      <c r="E30" s="9" t="s">
        <v>126</v>
      </c>
      <c r="F30" s="11">
        <v>3</v>
      </c>
      <c r="G30" s="12">
        <v>0</v>
      </c>
      <c r="H30" s="12">
        <v>0</v>
      </c>
      <c r="I30" s="10">
        <v>2</v>
      </c>
      <c r="J30" s="12">
        <v>0</v>
      </c>
      <c r="K30" s="12">
        <v>0</v>
      </c>
      <c r="L30" s="10">
        <v>1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3</v>
      </c>
      <c r="V30" s="12">
        <v>0</v>
      </c>
      <c r="W30" s="12">
        <v>0</v>
      </c>
      <c r="X30" s="10">
        <v>2</v>
      </c>
      <c r="Y30" s="12">
        <v>0</v>
      </c>
      <c r="Z30" s="12">
        <v>0</v>
      </c>
      <c r="AA30" s="10">
        <v>1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222</v>
      </c>
      <c r="B31" s="4" t="s">
        <v>127</v>
      </c>
      <c r="C31" s="4" t="s">
        <v>67</v>
      </c>
      <c r="D31" s="4" t="s">
        <v>75</v>
      </c>
      <c r="E31" s="4" t="s">
        <v>128</v>
      </c>
      <c r="F31" s="6">
        <v>1</v>
      </c>
      <c r="G31" s="7">
        <v>0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7">
        <v>0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3">
        <v>0</v>
      </c>
    </row>
    <row r="32">
      <c r="A32" s="24">
        <v>226</v>
      </c>
      <c r="B32" s="9" t="s">
        <v>129</v>
      </c>
      <c r="C32" s="9" t="s">
        <v>67</v>
      </c>
      <c r="D32" s="9" t="s">
        <v>111</v>
      </c>
      <c r="E32" s="9" t="s">
        <v>130</v>
      </c>
      <c r="F32" s="11">
        <v>4</v>
      </c>
      <c r="G32" s="10">
        <v>3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4</v>
      </c>
      <c r="V32" s="10">
        <v>3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30">
        <v>0</v>
      </c>
    </row>
    <row r="33">
      <c r="A33" s="23">
        <v>227</v>
      </c>
      <c r="B33" s="4" t="s">
        <v>131</v>
      </c>
      <c r="C33" s="4" t="s">
        <v>67</v>
      </c>
      <c r="D33" s="4" t="s">
        <v>99</v>
      </c>
      <c r="E33" s="4" t="s">
        <v>132</v>
      </c>
      <c r="F33" s="6">
        <v>2</v>
      </c>
      <c r="G33" s="5">
        <v>1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228</v>
      </c>
      <c r="B34" s="9" t="s">
        <v>133</v>
      </c>
      <c r="C34" s="9" t="s">
        <v>67</v>
      </c>
      <c r="D34" s="9" t="s">
        <v>134</v>
      </c>
      <c r="E34" s="9" t="s">
        <v>135</v>
      </c>
      <c r="F34" s="11">
        <v>2</v>
      </c>
      <c r="G34" s="10">
        <v>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230</v>
      </c>
      <c r="B35" s="4" t="s">
        <v>136</v>
      </c>
      <c r="C35" s="4" t="s">
        <v>67</v>
      </c>
      <c r="D35" s="4" t="s">
        <v>79</v>
      </c>
      <c r="E35" s="4" t="s">
        <v>80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43">
        <v>0</v>
      </c>
    </row>
    <row r="36">
      <c r="A36" s="24">
        <v>234</v>
      </c>
      <c r="B36" s="9" t="s">
        <v>137</v>
      </c>
      <c r="C36" s="9" t="s">
        <v>67</v>
      </c>
      <c r="D36" s="9" t="s">
        <v>75</v>
      </c>
      <c r="E36" s="9" t="s">
        <v>84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235</v>
      </c>
      <c r="B37" s="4" t="s">
        <v>138</v>
      </c>
      <c r="C37" s="4" t="s">
        <v>67</v>
      </c>
      <c r="D37" s="4" t="s">
        <v>75</v>
      </c>
      <c r="E37" s="4" t="s">
        <v>84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0.22</v>
      </c>
    </row>
    <row r="38">
      <c r="A38" s="24">
        <v>240</v>
      </c>
      <c r="B38" s="9" t="s">
        <v>139</v>
      </c>
      <c r="C38" s="9" t="s">
        <v>67</v>
      </c>
      <c r="D38" s="9" t="s">
        <v>86</v>
      </c>
      <c r="E38" s="9" t="s">
        <v>140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245</v>
      </c>
      <c r="B39" s="4" t="s">
        <v>141</v>
      </c>
      <c r="C39" s="4" t="s">
        <v>142</v>
      </c>
      <c r="D39" s="4" t="s">
        <v>143</v>
      </c>
      <c r="E39" s="4" t="s">
        <v>144</v>
      </c>
      <c r="F39" s="6">
        <v>3</v>
      </c>
      <c r="G39" s="7">
        <v>0</v>
      </c>
      <c r="H39" s="7">
        <v>0</v>
      </c>
      <c r="I39" s="5">
        <v>1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3</v>
      </c>
      <c r="V39" s="7">
        <v>0</v>
      </c>
      <c r="W39" s="7">
        <v>0</v>
      </c>
      <c r="X39" s="5">
        <v>1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0.82</v>
      </c>
    </row>
    <row r="40">
      <c r="A40" s="24">
        <v>248</v>
      </c>
      <c r="B40" s="9" t="s">
        <v>145</v>
      </c>
      <c r="C40" s="9" t="s">
        <v>67</v>
      </c>
      <c r="D40" s="9" t="s">
        <v>86</v>
      </c>
      <c r="E40" s="9" t="s">
        <v>146</v>
      </c>
      <c r="F40" s="11">
        <v>1</v>
      </c>
      <c r="G40" s="12">
        <v>0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250</v>
      </c>
      <c r="B41" s="4" t="s">
        <v>147</v>
      </c>
      <c r="C41" s="4" t="s">
        <v>67</v>
      </c>
      <c r="D41" s="4" t="s">
        <v>86</v>
      </c>
      <c r="E41" s="4" t="s">
        <v>148</v>
      </c>
      <c r="F41" s="6">
        <v>4</v>
      </c>
      <c r="G41" s="5">
        <v>1</v>
      </c>
      <c r="H41" s="7">
        <v>0</v>
      </c>
      <c r="I41" s="7">
        <v>0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1</v>
      </c>
      <c r="W41" s="7">
        <v>0</v>
      </c>
      <c r="X41" s="7">
        <v>0</v>
      </c>
      <c r="Y41" s="5">
        <v>3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1.33</v>
      </c>
      <c r="AL41" s="5">
        <v>1</v>
      </c>
      <c r="AM41" s="5">
        <v>2</v>
      </c>
      <c r="AN41" s="28">
        <v>1</v>
      </c>
    </row>
    <row r="42">
      <c r="A42" s="24">
        <v>253</v>
      </c>
      <c r="B42" s="9" t="s">
        <v>149</v>
      </c>
      <c r="C42" s="9" t="s">
        <v>67</v>
      </c>
      <c r="D42" s="9" t="s">
        <v>111</v>
      </c>
      <c r="E42" s="9" t="s">
        <v>150</v>
      </c>
      <c r="F42" s="11">
        <v>1</v>
      </c>
      <c r="G42" s="12">
        <v>0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257</v>
      </c>
      <c r="B43" s="4" t="s">
        <v>151</v>
      </c>
      <c r="C43" s="4" t="s">
        <v>67</v>
      </c>
      <c r="D43" s="4" t="s">
        <v>79</v>
      </c>
      <c r="E43" s="4" t="s">
        <v>80</v>
      </c>
      <c r="F43" s="6">
        <v>2</v>
      </c>
      <c r="G43" s="5">
        <v>1</v>
      </c>
      <c r="H43" s="5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1</v>
      </c>
      <c r="W43" s="5">
        <v>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258</v>
      </c>
      <c r="B44" s="9" t="s">
        <v>152</v>
      </c>
      <c r="C44" s="9" t="s">
        <v>67</v>
      </c>
      <c r="D44" s="9" t="s">
        <v>111</v>
      </c>
      <c r="E44" s="9" t="s">
        <v>153</v>
      </c>
      <c r="F44" s="11">
        <v>4</v>
      </c>
      <c r="G44" s="10">
        <v>3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3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0.72</v>
      </c>
    </row>
    <row r="45">
      <c r="A45" s="23">
        <v>259</v>
      </c>
      <c r="B45" s="4" t="s">
        <v>154</v>
      </c>
      <c r="C45" s="4" t="s">
        <v>67</v>
      </c>
      <c r="D45" s="4" t="s">
        <v>111</v>
      </c>
      <c r="E45" s="4" t="s">
        <v>122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0.26</v>
      </c>
    </row>
    <row r="46">
      <c r="A46" s="24">
        <v>264</v>
      </c>
      <c r="B46" s="9" t="s">
        <v>155</v>
      </c>
      <c r="C46" s="9" t="s">
        <v>67</v>
      </c>
      <c r="D46" s="9" t="s">
        <v>104</v>
      </c>
      <c r="E46" s="9" t="s">
        <v>156</v>
      </c>
      <c r="F46" s="11">
        <v>5</v>
      </c>
      <c r="G46" s="10">
        <v>4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5</v>
      </c>
      <c r="V46" s="10">
        <v>4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1</v>
      </c>
      <c r="AM46" s="10">
        <v>3</v>
      </c>
      <c r="AN46" s="29">
        <v>1.11</v>
      </c>
    </row>
    <row r="47">
      <c r="A47" s="23">
        <v>265</v>
      </c>
      <c r="B47" s="4" t="s">
        <v>157</v>
      </c>
      <c r="C47" s="4" t="s">
        <v>67</v>
      </c>
      <c r="D47" s="4" t="s">
        <v>86</v>
      </c>
      <c r="E47" s="4" t="s">
        <v>148</v>
      </c>
      <c r="F47" s="6">
        <v>4</v>
      </c>
      <c r="G47" s="5">
        <v>4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4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28">
        <v>0.25</v>
      </c>
    </row>
    <row r="48">
      <c r="A48" s="24">
        <v>267</v>
      </c>
      <c r="B48" s="9" t="s">
        <v>158</v>
      </c>
      <c r="C48" s="9" t="s">
        <v>67</v>
      </c>
      <c r="D48" s="9" t="s">
        <v>159</v>
      </c>
      <c r="E48" s="9" t="s">
        <v>160</v>
      </c>
      <c r="F48" s="11">
        <v>1</v>
      </c>
      <c r="G48" s="12">
        <v>0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268</v>
      </c>
      <c r="B49" s="4" t="s">
        <v>161</v>
      </c>
      <c r="C49" s="4" t="s">
        <v>67</v>
      </c>
      <c r="D49" s="4" t="s">
        <v>159</v>
      </c>
      <c r="E49" s="4" t="s">
        <v>160</v>
      </c>
      <c r="F49" s="6">
        <v>3</v>
      </c>
      <c r="G49" s="5">
        <v>2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2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0.95</v>
      </c>
    </row>
    <row r="50">
      <c r="A50" s="24">
        <v>269</v>
      </c>
      <c r="B50" s="9" t="s">
        <v>162</v>
      </c>
      <c r="C50" s="9" t="s">
        <v>67</v>
      </c>
      <c r="D50" s="9" t="s">
        <v>125</v>
      </c>
      <c r="E50" s="9" t="s">
        <v>126</v>
      </c>
      <c r="F50" s="11">
        <v>1</v>
      </c>
      <c r="G50" s="12">
        <v>0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272</v>
      </c>
      <c r="B51" s="4" t="s">
        <v>163</v>
      </c>
      <c r="C51" s="4" t="s">
        <v>67</v>
      </c>
      <c r="D51" s="4" t="s">
        <v>68</v>
      </c>
      <c r="E51" s="4" t="s">
        <v>164</v>
      </c>
      <c r="F51" s="6">
        <v>3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3</v>
      </c>
      <c r="AK51" s="8">
        <v>3</v>
      </c>
      <c r="AL51" s="5">
        <v>3</v>
      </c>
      <c r="AM51" s="5">
        <v>3</v>
      </c>
      <c r="AN51" s="43">
        <v>0</v>
      </c>
    </row>
    <row r="52">
      <c r="A52" s="24">
        <v>274</v>
      </c>
      <c r="B52" s="9" t="s">
        <v>165</v>
      </c>
      <c r="C52" s="9" t="s">
        <v>67</v>
      </c>
      <c r="D52" s="9" t="s">
        <v>111</v>
      </c>
      <c r="E52" s="9" t="s">
        <v>150</v>
      </c>
      <c r="F52" s="11">
        <v>8</v>
      </c>
      <c r="G52" s="10">
        <v>5</v>
      </c>
      <c r="H52" s="12">
        <v>0</v>
      </c>
      <c r="I52" s="12">
        <v>0</v>
      </c>
      <c r="J52" s="10">
        <v>3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7</v>
      </c>
      <c r="V52" s="10">
        <v>4</v>
      </c>
      <c r="W52" s="12">
        <v>0</v>
      </c>
      <c r="X52" s="12">
        <v>0</v>
      </c>
      <c r="Y52" s="10">
        <v>3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</v>
      </c>
      <c r="AL52" s="10">
        <v>2</v>
      </c>
      <c r="AM52" s="10">
        <v>2</v>
      </c>
      <c r="AN52" s="29">
        <v>1</v>
      </c>
    </row>
    <row r="53">
      <c r="A53" s="23">
        <v>278</v>
      </c>
      <c r="B53" s="4" t="s">
        <v>166</v>
      </c>
      <c r="C53" s="4" t="s">
        <v>67</v>
      </c>
      <c r="D53" s="4" t="s">
        <v>86</v>
      </c>
      <c r="E53" s="4" t="s">
        <v>87</v>
      </c>
      <c r="F53" s="6">
        <v>2</v>
      </c>
      <c r="G53" s="7">
        <v>0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7">
        <v>0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0.5</v>
      </c>
    </row>
    <row r="54">
      <c r="A54" s="24">
        <v>282</v>
      </c>
      <c r="B54" s="9" t="s">
        <v>167</v>
      </c>
      <c r="C54" s="9" t="s">
        <v>67</v>
      </c>
      <c r="D54" s="9" t="s">
        <v>111</v>
      </c>
      <c r="E54" s="9" t="s">
        <v>153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3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29">
        <v>0.85</v>
      </c>
    </row>
    <row r="55">
      <c r="A55" s="23">
        <v>286</v>
      </c>
      <c r="B55" s="4" t="s">
        <v>168</v>
      </c>
      <c r="C55" s="4" t="s">
        <v>67</v>
      </c>
      <c r="D55" s="4" t="s">
        <v>71</v>
      </c>
      <c r="E55" s="4" t="s">
        <v>169</v>
      </c>
      <c r="F55" s="6">
        <v>3</v>
      </c>
      <c r="G55" s="5">
        <v>1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1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0.5</v>
      </c>
    </row>
    <row r="56">
      <c r="A56" s="24">
        <v>290</v>
      </c>
      <c r="B56" s="9" t="s">
        <v>170</v>
      </c>
      <c r="C56" s="9" t="s">
        <v>67</v>
      </c>
      <c r="D56" s="9" t="s">
        <v>75</v>
      </c>
      <c r="E56" s="9" t="s">
        <v>171</v>
      </c>
      <c r="F56" s="11">
        <v>3</v>
      </c>
      <c r="G56" s="10">
        <v>2</v>
      </c>
      <c r="H56" s="10">
        <v>1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2</v>
      </c>
      <c r="W56" s="10">
        <v>1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0.75</v>
      </c>
    </row>
    <row r="57">
      <c r="A57" s="23">
        <v>295</v>
      </c>
      <c r="B57" s="4" t="s">
        <v>172</v>
      </c>
      <c r="C57" s="4" t="s">
        <v>67</v>
      </c>
      <c r="D57" s="4" t="s">
        <v>75</v>
      </c>
      <c r="E57" s="4" t="s">
        <v>84</v>
      </c>
      <c r="F57" s="6">
        <v>3</v>
      </c>
      <c r="G57" s="5">
        <v>2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2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28">
        <v>0.95</v>
      </c>
    </row>
    <row r="58">
      <c r="A58" s="24">
        <v>297</v>
      </c>
      <c r="B58" s="9" t="s">
        <v>173</v>
      </c>
      <c r="C58" s="9" t="s">
        <v>67</v>
      </c>
      <c r="D58" s="9" t="s">
        <v>104</v>
      </c>
      <c r="E58" s="9" t="s">
        <v>174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299</v>
      </c>
      <c r="B59" s="4" t="s">
        <v>175</v>
      </c>
      <c r="C59" s="4" t="s">
        <v>67</v>
      </c>
      <c r="D59" s="4" t="s">
        <v>86</v>
      </c>
      <c r="E59" s="4" t="s">
        <v>87</v>
      </c>
      <c r="F59" s="6">
        <v>3</v>
      </c>
      <c r="G59" s="7">
        <v>0</v>
      </c>
      <c r="H59" s="7">
        <v>0</v>
      </c>
      <c r="I59" s="7">
        <v>0</v>
      </c>
      <c r="J59" s="5">
        <v>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7">
        <v>0</v>
      </c>
      <c r="W59" s="7">
        <v>0</v>
      </c>
      <c r="X59" s="7">
        <v>0</v>
      </c>
      <c r="Y59" s="5">
        <v>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0.75</v>
      </c>
    </row>
    <row r="60">
      <c r="A60" s="24">
        <v>309</v>
      </c>
      <c r="B60" s="9" t="s">
        <v>176</v>
      </c>
      <c r="C60" s="9" t="s">
        <v>177</v>
      </c>
      <c r="D60" s="9" t="s">
        <v>178</v>
      </c>
      <c r="E60" s="9" t="s">
        <v>179</v>
      </c>
      <c r="F60" s="11">
        <v>3</v>
      </c>
      <c r="G60" s="10">
        <v>1</v>
      </c>
      <c r="H60" s="12">
        <v>0</v>
      </c>
      <c r="I60" s="12">
        <v>0</v>
      </c>
      <c r="J60" s="12">
        <v>0</v>
      </c>
      <c r="K60" s="10">
        <v>2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</v>
      </c>
      <c r="V60" s="10">
        <v>1</v>
      </c>
      <c r="W60" s="12">
        <v>0</v>
      </c>
      <c r="X60" s="12">
        <v>0</v>
      </c>
      <c r="Y60" s="12">
        <v>0</v>
      </c>
      <c r="Z60" s="10">
        <v>2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30">
        <v>0</v>
      </c>
    </row>
    <row r="61">
      <c r="A61" s="23">
        <v>310</v>
      </c>
      <c r="B61" s="4" t="s">
        <v>180</v>
      </c>
      <c r="C61" s="4" t="s">
        <v>67</v>
      </c>
      <c r="D61" s="4" t="s">
        <v>75</v>
      </c>
      <c r="E61" s="4" t="s">
        <v>76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5">
        <v>2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0.6</v>
      </c>
    </row>
    <row r="62">
      <c r="A62" s="24">
        <v>312</v>
      </c>
      <c r="B62" s="9" t="s">
        <v>181</v>
      </c>
      <c r="C62" s="9" t="s">
        <v>67</v>
      </c>
      <c r="D62" s="9" t="s">
        <v>79</v>
      </c>
      <c r="E62" s="9" t="s">
        <v>80</v>
      </c>
      <c r="F62" s="11">
        <v>4</v>
      </c>
      <c r="G62" s="10">
        <v>2</v>
      </c>
      <c r="H62" s="12">
        <v>0</v>
      </c>
      <c r="I62" s="10">
        <v>2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0">
        <v>2</v>
      </c>
      <c r="W62" s="12">
        <v>0</v>
      </c>
      <c r="X62" s="10">
        <v>2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1.1</v>
      </c>
    </row>
    <row r="63">
      <c r="A63" s="23">
        <v>322</v>
      </c>
      <c r="B63" s="4" t="s">
        <v>182</v>
      </c>
      <c r="C63" s="4" t="s">
        <v>67</v>
      </c>
      <c r="D63" s="4" t="s">
        <v>91</v>
      </c>
      <c r="E63" s="4" t="s">
        <v>97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43">
        <v>0</v>
      </c>
    </row>
    <row r="64">
      <c r="A64" s="24">
        <v>324</v>
      </c>
      <c r="B64" s="9" t="s">
        <v>183</v>
      </c>
      <c r="C64" s="9" t="s">
        <v>67</v>
      </c>
      <c r="D64" s="9" t="s">
        <v>91</v>
      </c>
      <c r="E64" s="9" t="s">
        <v>97</v>
      </c>
      <c r="F64" s="11">
        <v>3</v>
      </c>
      <c r="G64" s="10">
        <v>3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3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0.95</v>
      </c>
    </row>
    <row r="65">
      <c r="A65" s="23">
        <v>325</v>
      </c>
      <c r="B65" s="4" t="s">
        <v>184</v>
      </c>
      <c r="C65" s="4" t="s">
        <v>67</v>
      </c>
      <c r="D65" s="4" t="s">
        <v>91</v>
      </c>
      <c r="E65" s="4" t="s">
        <v>97</v>
      </c>
      <c r="F65" s="6">
        <v>2</v>
      </c>
      <c r="G65" s="5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43">
        <v>0</v>
      </c>
    </row>
    <row r="66">
      <c r="A66" s="24">
        <v>326</v>
      </c>
      <c r="B66" s="9" t="s">
        <v>185</v>
      </c>
      <c r="C66" s="9" t="s">
        <v>67</v>
      </c>
      <c r="D66" s="9" t="s">
        <v>91</v>
      </c>
      <c r="E66" s="9" t="s">
        <v>97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328</v>
      </c>
      <c r="B67" s="4" t="s">
        <v>186</v>
      </c>
      <c r="C67" s="4" t="s">
        <v>177</v>
      </c>
      <c r="D67" s="4" t="s">
        <v>178</v>
      </c>
      <c r="E67" s="4" t="s">
        <v>187</v>
      </c>
      <c r="F67" s="6">
        <v>5</v>
      </c>
      <c r="G67" s="5">
        <v>2</v>
      </c>
      <c r="H67" s="7">
        <v>0</v>
      </c>
      <c r="I67" s="7">
        <v>0</v>
      </c>
      <c r="J67" s="5">
        <v>1</v>
      </c>
      <c r="K67" s="5">
        <v>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2</v>
      </c>
      <c r="W67" s="7">
        <v>0</v>
      </c>
      <c r="X67" s="7">
        <v>0</v>
      </c>
      <c r="Y67" s="5">
        <v>1</v>
      </c>
      <c r="Z67" s="5">
        <v>2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1.25</v>
      </c>
      <c r="AL67" s="5">
        <v>1</v>
      </c>
      <c r="AM67" s="5">
        <v>2</v>
      </c>
      <c r="AN67" s="43">
        <v>0</v>
      </c>
    </row>
    <row r="68">
      <c r="A68" s="24">
        <v>329</v>
      </c>
      <c r="B68" s="9" t="s">
        <v>188</v>
      </c>
      <c r="C68" s="9" t="s">
        <v>177</v>
      </c>
      <c r="D68" s="9" t="s">
        <v>178</v>
      </c>
      <c r="E68" s="9" t="s">
        <v>189</v>
      </c>
      <c r="F68" s="11">
        <v>6</v>
      </c>
      <c r="G68" s="10">
        <v>2</v>
      </c>
      <c r="H68" s="12">
        <v>0</v>
      </c>
      <c r="I68" s="10">
        <v>1</v>
      </c>
      <c r="J68" s="12">
        <v>0</v>
      </c>
      <c r="K68" s="10">
        <v>3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6</v>
      </c>
      <c r="V68" s="10">
        <v>2</v>
      </c>
      <c r="W68" s="12">
        <v>0</v>
      </c>
      <c r="X68" s="10">
        <v>1</v>
      </c>
      <c r="Y68" s="12">
        <v>0</v>
      </c>
      <c r="Z68" s="10">
        <v>3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3</v>
      </c>
      <c r="AN68" s="29">
        <v>0.37</v>
      </c>
    </row>
    <row r="69">
      <c r="A69" s="23">
        <v>331</v>
      </c>
      <c r="B69" s="4" t="s">
        <v>190</v>
      </c>
      <c r="C69" s="4" t="s">
        <v>177</v>
      </c>
      <c r="D69" s="4" t="s">
        <v>191</v>
      </c>
      <c r="E69" s="4" t="s">
        <v>192</v>
      </c>
      <c r="F69" s="6">
        <v>2</v>
      </c>
      <c r="G69" s="5">
        <v>1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3">
        <v>0</v>
      </c>
    </row>
    <row r="70">
      <c r="A70" s="24">
        <v>333</v>
      </c>
      <c r="B70" s="9" t="s">
        <v>193</v>
      </c>
      <c r="C70" s="9" t="s">
        <v>177</v>
      </c>
      <c r="D70" s="9" t="s">
        <v>194</v>
      </c>
      <c r="E70" s="9" t="s">
        <v>195</v>
      </c>
      <c r="F70" s="11">
        <v>1</v>
      </c>
      <c r="G70" s="12">
        <v>0</v>
      </c>
      <c r="H70" s="12">
        <v>0</v>
      </c>
      <c r="I70" s="12">
        <v>0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2">
        <v>0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334</v>
      </c>
      <c r="B71" s="4" t="s">
        <v>196</v>
      </c>
      <c r="C71" s="4" t="s">
        <v>177</v>
      </c>
      <c r="D71" s="4" t="s">
        <v>178</v>
      </c>
      <c r="E71" s="4" t="s">
        <v>179</v>
      </c>
      <c r="F71" s="6">
        <v>3</v>
      </c>
      <c r="G71" s="5">
        <v>1</v>
      </c>
      <c r="H71" s="7">
        <v>0</v>
      </c>
      <c r="I71" s="5">
        <v>1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5">
        <v>1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0.87</v>
      </c>
    </row>
    <row r="72">
      <c r="A72" s="24">
        <v>336</v>
      </c>
      <c r="B72" s="9" t="s">
        <v>197</v>
      </c>
      <c r="C72" s="9" t="s">
        <v>177</v>
      </c>
      <c r="D72" s="9" t="s">
        <v>194</v>
      </c>
      <c r="E72" s="9" t="s">
        <v>198</v>
      </c>
      <c r="F72" s="11">
        <v>7</v>
      </c>
      <c r="G72" s="12">
        <v>0</v>
      </c>
      <c r="H72" s="12">
        <v>0</v>
      </c>
      <c r="I72" s="12">
        <v>0</v>
      </c>
      <c r="J72" s="12">
        <v>0</v>
      </c>
      <c r="K72" s="10">
        <v>7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5</v>
      </c>
      <c r="V72" s="12">
        <v>0</v>
      </c>
      <c r="W72" s="12">
        <v>0</v>
      </c>
      <c r="X72" s="12">
        <v>0</v>
      </c>
      <c r="Y72" s="12">
        <v>0</v>
      </c>
      <c r="Z72" s="10">
        <v>5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7</v>
      </c>
      <c r="AK72" s="13">
        <v>7</v>
      </c>
      <c r="AL72" s="10">
        <v>7</v>
      </c>
      <c r="AM72" s="10">
        <v>7</v>
      </c>
      <c r="AN72" s="30">
        <v>0</v>
      </c>
    </row>
    <row r="73">
      <c r="A73" s="23">
        <v>337</v>
      </c>
      <c r="B73" s="4" t="s">
        <v>199</v>
      </c>
      <c r="C73" s="4" t="s">
        <v>177</v>
      </c>
      <c r="D73" s="4" t="s">
        <v>178</v>
      </c>
      <c r="E73" s="4" t="s">
        <v>187</v>
      </c>
      <c r="F73" s="6">
        <v>3</v>
      </c>
      <c r="G73" s="7">
        <v>0</v>
      </c>
      <c r="H73" s="7">
        <v>0</v>
      </c>
      <c r="I73" s="7">
        <v>0</v>
      </c>
      <c r="J73" s="7">
        <v>0</v>
      </c>
      <c r="K73" s="5">
        <v>3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7">
        <v>0</v>
      </c>
      <c r="X73" s="7">
        <v>0</v>
      </c>
      <c r="Y73" s="7">
        <v>0</v>
      </c>
      <c r="Z73" s="5">
        <v>3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43">
        <v>0</v>
      </c>
    </row>
    <row r="74">
      <c r="A74" s="24">
        <v>339</v>
      </c>
      <c r="B74" s="9" t="s">
        <v>200</v>
      </c>
      <c r="C74" s="9" t="s">
        <v>177</v>
      </c>
      <c r="D74" s="9" t="s">
        <v>201</v>
      </c>
      <c r="E74" s="9" t="s">
        <v>202</v>
      </c>
      <c r="F74" s="11">
        <v>1</v>
      </c>
      <c r="G74" s="12">
        <v>0</v>
      </c>
      <c r="H74" s="12">
        <v>0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344</v>
      </c>
      <c r="B75" s="4" t="s">
        <v>203</v>
      </c>
      <c r="C75" s="4" t="s">
        <v>177</v>
      </c>
      <c r="D75" s="4" t="s">
        <v>194</v>
      </c>
      <c r="E75" s="4" t="s">
        <v>204</v>
      </c>
      <c r="F75" s="6">
        <v>6</v>
      </c>
      <c r="G75" s="5">
        <v>1</v>
      </c>
      <c r="H75" s="5">
        <v>1</v>
      </c>
      <c r="I75" s="5">
        <v>1</v>
      </c>
      <c r="J75" s="7">
        <v>0</v>
      </c>
      <c r="K75" s="5">
        <v>3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</v>
      </c>
      <c r="V75" s="5">
        <v>1</v>
      </c>
      <c r="W75" s="5">
        <v>1</v>
      </c>
      <c r="X75" s="5">
        <v>1</v>
      </c>
      <c r="Y75" s="7">
        <v>0</v>
      </c>
      <c r="Z75" s="5">
        <v>3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</v>
      </c>
      <c r="AL75" s="5">
        <v>1</v>
      </c>
      <c r="AM75" s="5">
        <v>2</v>
      </c>
      <c r="AN75" s="28">
        <v>0.35</v>
      </c>
    </row>
    <row r="76">
      <c r="A76" s="24">
        <v>345</v>
      </c>
      <c r="B76" s="9" t="s">
        <v>205</v>
      </c>
      <c r="C76" s="9" t="s">
        <v>177</v>
      </c>
      <c r="D76" s="9" t="s">
        <v>206</v>
      </c>
      <c r="E76" s="9" t="s">
        <v>207</v>
      </c>
      <c r="F76" s="11">
        <v>2</v>
      </c>
      <c r="G76" s="12">
        <v>0</v>
      </c>
      <c r="H76" s="12">
        <v>0</v>
      </c>
      <c r="I76" s="10">
        <v>1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0">
        <v>1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351</v>
      </c>
      <c r="B77" s="4" t="s">
        <v>208</v>
      </c>
      <c r="C77" s="4" t="s">
        <v>67</v>
      </c>
      <c r="D77" s="4" t="s">
        <v>79</v>
      </c>
      <c r="E77" s="4" t="s">
        <v>209</v>
      </c>
      <c r="F77" s="6">
        <v>1</v>
      </c>
      <c r="G77" s="7">
        <v>0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3">
        <v>0</v>
      </c>
    </row>
    <row r="78">
      <c r="A78" s="24">
        <v>355</v>
      </c>
      <c r="B78" s="9" t="s">
        <v>210</v>
      </c>
      <c r="C78" s="9" t="s">
        <v>177</v>
      </c>
      <c r="D78" s="9" t="s">
        <v>194</v>
      </c>
      <c r="E78" s="9" t="s">
        <v>204</v>
      </c>
      <c r="F78" s="11">
        <v>5</v>
      </c>
      <c r="G78" s="12">
        <v>0</v>
      </c>
      <c r="H78" s="12">
        <v>0</v>
      </c>
      <c r="I78" s="12">
        <v>0</v>
      </c>
      <c r="J78" s="12">
        <v>0</v>
      </c>
      <c r="K78" s="10">
        <v>5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5</v>
      </c>
      <c r="V78" s="12">
        <v>0</v>
      </c>
      <c r="W78" s="12">
        <v>0</v>
      </c>
      <c r="X78" s="12">
        <v>0</v>
      </c>
      <c r="Y78" s="12">
        <v>0</v>
      </c>
      <c r="Z78" s="10">
        <v>5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5</v>
      </c>
      <c r="AK78" s="13">
        <v>5</v>
      </c>
      <c r="AL78" s="10">
        <v>5</v>
      </c>
      <c r="AM78" s="10">
        <v>5</v>
      </c>
      <c r="AN78" s="30">
        <v>0</v>
      </c>
    </row>
    <row r="79">
      <c r="A79" s="23">
        <v>358</v>
      </c>
      <c r="B79" s="4" t="s">
        <v>211</v>
      </c>
      <c r="C79" s="4" t="s">
        <v>177</v>
      </c>
      <c r="D79" s="4" t="s">
        <v>178</v>
      </c>
      <c r="E79" s="4" t="s">
        <v>179</v>
      </c>
      <c r="F79" s="6">
        <v>2</v>
      </c>
      <c r="G79" s="5">
        <v>1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0.37</v>
      </c>
    </row>
    <row r="80">
      <c r="A80" s="24">
        <v>359</v>
      </c>
      <c r="B80" s="9" t="s">
        <v>212</v>
      </c>
      <c r="C80" s="9" t="s">
        <v>177</v>
      </c>
      <c r="D80" s="9" t="s">
        <v>194</v>
      </c>
      <c r="E80" s="9" t="s">
        <v>195</v>
      </c>
      <c r="F80" s="11">
        <v>2</v>
      </c>
      <c r="G80" s="12">
        <v>0</v>
      </c>
      <c r="H80" s="12">
        <v>0</v>
      </c>
      <c r="I80" s="10">
        <v>1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1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363</v>
      </c>
      <c r="B81" s="4" t="s">
        <v>213</v>
      </c>
      <c r="C81" s="4" t="s">
        <v>177</v>
      </c>
      <c r="D81" s="4" t="s">
        <v>194</v>
      </c>
      <c r="E81" s="4" t="s">
        <v>214</v>
      </c>
      <c r="F81" s="6">
        <v>2</v>
      </c>
      <c r="G81" s="7">
        <v>0</v>
      </c>
      <c r="H81" s="5">
        <v>1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7">
        <v>0</v>
      </c>
      <c r="W81" s="5">
        <v>1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3">
        <v>0</v>
      </c>
    </row>
    <row r="82">
      <c r="A82" s="24">
        <v>364</v>
      </c>
      <c r="B82" s="9" t="s">
        <v>215</v>
      </c>
      <c r="C82" s="9" t="s">
        <v>177</v>
      </c>
      <c r="D82" s="9" t="s">
        <v>194</v>
      </c>
      <c r="E82" s="9" t="s">
        <v>204</v>
      </c>
      <c r="F82" s="11">
        <v>4</v>
      </c>
      <c r="G82" s="12">
        <v>0</v>
      </c>
      <c r="H82" s="12">
        <v>0</v>
      </c>
      <c r="I82" s="10">
        <v>2</v>
      </c>
      <c r="J82" s="12">
        <v>0</v>
      </c>
      <c r="K82" s="10">
        <v>1</v>
      </c>
      <c r="L82" s="10">
        <v>1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4</v>
      </c>
      <c r="V82" s="12">
        <v>0</v>
      </c>
      <c r="W82" s="12">
        <v>0</v>
      </c>
      <c r="X82" s="10">
        <v>2</v>
      </c>
      <c r="Y82" s="12">
        <v>0</v>
      </c>
      <c r="Z82" s="10">
        <v>1</v>
      </c>
      <c r="AA82" s="10">
        <v>1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1.33</v>
      </c>
      <c r="AL82" s="10">
        <v>1</v>
      </c>
      <c r="AM82" s="10">
        <v>2</v>
      </c>
      <c r="AN82" s="30">
        <v>0</v>
      </c>
    </row>
    <row r="83">
      <c r="A83" s="23">
        <v>367</v>
      </c>
      <c r="B83" s="4" t="s">
        <v>216</v>
      </c>
      <c r="C83" s="4" t="s">
        <v>67</v>
      </c>
      <c r="D83" s="4" t="s">
        <v>111</v>
      </c>
      <c r="E83" s="4" t="s">
        <v>112</v>
      </c>
      <c r="F83" s="6">
        <v>3</v>
      </c>
      <c r="G83" s="7">
        <v>0</v>
      </c>
      <c r="H83" s="7">
        <v>0</v>
      </c>
      <c r="I83" s="5">
        <v>1</v>
      </c>
      <c r="J83" s="7">
        <v>0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7">
        <v>0</v>
      </c>
      <c r="W83" s="7">
        <v>0</v>
      </c>
      <c r="X83" s="5">
        <v>1</v>
      </c>
      <c r="Y83" s="7">
        <v>0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0.85</v>
      </c>
    </row>
    <row r="84">
      <c r="A84" s="24">
        <v>388</v>
      </c>
      <c r="B84" s="9" t="s">
        <v>217</v>
      </c>
      <c r="C84" s="9" t="s">
        <v>67</v>
      </c>
      <c r="D84" s="9" t="s">
        <v>75</v>
      </c>
      <c r="E84" s="9" t="s">
        <v>120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0.52</v>
      </c>
    </row>
    <row r="85">
      <c r="A85" s="23">
        <v>405</v>
      </c>
      <c r="B85" s="4" t="s">
        <v>218</v>
      </c>
      <c r="C85" s="4" t="s">
        <v>67</v>
      </c>
      <c r="D85" s="4" t="s">
        <v>75</v>
      </c>
      <c r="E85" s="4" t="s">
        <v>84</v>
      </c>
      <c r="F85" s="6">
        <v>1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5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5">
        <v>1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3">
        <v>0</v>
      </c>
    </row>
    <row r="86">
      <c r="A86" s="24">
        <v>407</v>
      </c>
      <c r="B86" s="9" t="s">
        <v>219</v>
      </c>
      <c r="C86" s="9" t="s">
        <v>67</v>
      </c>
      <c r="D86" s="9" t="s">
        <v>79</v>
      </c>
      <c r="E86" s="9" t="s">
        <v>115</v>
      </c>
      <c r="F86" s="11">
        <v>3</v>
      </c>
      <c r="G86" s="12">
        <v>0</v>
      </c>
      <c r="H86" s="12">
        <v>0</v>
      </c>
      <c r="I86" s="12">
        <v>0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29">
        <v>0.22</v>
      </c>
    </row>
    <row r="87">
      <c r="A87" s="23">
        <v>414</v>
      </c>
      <c r="B87" s="4" t="s">
        <v>220</v>
      </c>
      <c r="C87" s="4" t="s">
        <v>67</v>
      </c>
      <c r="D87" s="4" t="s">
        <v>111</v>
      </c>
      <c r="E87" s="4" t="s">
        <v>221</v>
      </c>
      <c r="F87" s="6">
        <v>6</v>
      </c>
      <c r="G87" s="5">
        <v>3</v>
      </c>
      <c r="H87" s="7">
        <v>0</v>
      </c>
      <c r="I87" s="5">
        <v>2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5">
        <v>2</v>
      </c>
      <c r="W87" s="7">
        <v>0</v>
      </c>
      <c r="X87" s="5">
        <v>2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2</v>
      </c>
      <c r="AM87" s="5">
        <v>3</v>
      </c>
      <c r="AN87" s="43">
        <v>0</v>
      </c>
    </row>
    <row r="88">
      <c r="A88" s="24">
        <v>415</v>
      </c>
      <c r="B88" s="9" t="s">
        <v>222</v>
      </c>
      <c r="C88" s="9" t="s">
        <v>67</v>
      </c>
      <c r="D88" s="9" t="s">
        <v>75</v>
      </c>
      <c r="E88" s="9" t="s">
        <v>120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416</v>
      </c>
      <c r="B89" s="4" t="s">
        <v>223</v>
      </c>
      <c r="C89" s="4" t="s">
        <v>67</v>
      </c>
      <c r="D89" s="4" t="s">
        <v>75</v>
      </c>
      <c r="E89" s="4" t="s">
        <v>76</v>
      </c>
      <c r="F89" s="6">
        <v>2</v>
      </c>
      <c r="G89" s="5">
        <v>2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28">
        <v>0.35</v>
      </c>
    </row>
    <row r="90">
      <c r="A90" s="24">
        <v>417</v>
      </c>
      <c r="B90" s="9" t="s">
        <v>224</v>
      </c>
      <c r="C90" s="9" t="s">
        <v>67</v>
      </c>
      <c r="D90" s="9" t="s">
        <v>79</v>
      </c>
      <c r="E90" s="9" t="s">
        <v>80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0.35</v>
      </c>
    </row>
    <row r="91">
      <c r="A91" s="23">
        <v>420</v>
      </c>
      <c r="B91" s="4" t="s">
        <v>225</v>
      </c>
      <c r="C91" s="4" t="s">
        <v>67</v>
      </c>
      <c r="D91" s="4" t="s">
        <v>111</v>
      </c>
      <c r="E91" s="4" t="s">
        <v>226</v>
      </c>
      <c r="F91" s="6">
        <v>2</v>
      </c>
      <c r="G91" s="5">
        <v>1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0.26</v>
      </c>
    </row>
    <row r="92">
      <c r="A92" s="24">
        <v>421</v>
      </c>
      <c r="B92" s="9" t="s">
        <v>227</v>
      </c>
      <c r="C92" s="9" t="s">
        <v>67</v>
      </c>
      <c r="D92" s="9" t="s">
        <v>79</v>
      </c>
      <c r="E92" s="9" t="s">
        <v>80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424</v>
      </c>
      <c r="B93" s="4" t="s">
        <v>228</v>
      </c>
      <c r="C93" s="4" t="s">
        <v>67</v>
      </c>
      <c r="D93" s="4" t="s">
        <v>75</v>
      </c>
      <c r="E93" s="4" t="s">
        <v>120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435</v>
      </c>
      <c r="B94" s="9" t="s">
        <v>229</v>
      </c>
      <c r="C94" s="9" t="s">
        <v>67</v>
      </c>
      <c r="D94" s="9" t="s">
        <v>111</v>
      </c>
      <c r="E94" s="9" t="s">
        <v>122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0.26</v>
      </c>
    </row>
    <row r="95">
      <c r="A95" s="23">
        <v>439</v>
      </c>
      <c r="B95" s="4" t="s">
        <v>230</v>
      </c>
      <c r="C95" s="4" t="s">
        <v>67</v>
      </c>
      <c r="D95" s="4" t="s">
        <v>86</v>
      </c>
      <c r="E95" s="4" t="s">
        <v>94</v>
      </c>
      <c r="F95" s="6">
        <v>2</v>
      </c>
      <c r="G95" s="7">
        <v>0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7">
        <v>0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43">
        <v>0</v>
      </c>
    </row>
    <row r="96">
      <c r="A96" s="24">
        <v>441</v>
      </c>
      <c r="B96" s="9" t="s">
        <v>231</v>
      </c>
      <c r="C96" s="9" t="s">
        <v>67</v>
      </c>
      <c r="D96" s="9" t="s">
        <v>134</v>
      </c>
      <c r="E96" s="9" t="s">
        <v>232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0.34</v>
      </c>
    </row>
    <row r="97">
      <c r="A97" s="23">
        <v>445</v>
      </c>
      <c r="B97" s="4" t="s">
        <v>233</v>
      </c>
      <c r="C97" s="4" t="s">
        <v>67</v>
      </c>
      <c r="D97" s="4" t="s">
        <v>79</v>
      </c>
      <c r="E97" s="4" t="s">
        <v>80</v>
      </c>
      <c r="F97" s="6">
        <v>6</v>
      </c>
      <c r="G97" s="5">
        <v>3</v>
      </c>
      <c r="H97" s="7">
        <v>0</v>
      </c>
      <c r="I97" s="5">
        <v>2</v>
      </c>
      <c r="J97" s="7">
        <v>0</v>
      </c>
      <c r="K97" s="7">
        <v>0</v>
      </c>
      <c r="L97" s="5">
        <v>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5">
        <v>3</v>
      </c>
      <c r="W97" s="7">
        <v>0</v>
      </c>
      <c r="X97" s="5">
        <v>2</v>
      </c>
      <c r="Y97" s="7">
        <v>0</v>
      </c>
      <c r="Z97" s="7">
        <v>0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2</v>
      </c>
      <c r="AM97" s="5">
        <v>3</v>
      </c>
      <c r="AN97" s="43">
        <v>0</v>
      </c>
    </row>
    <row r="98">
      <c r="A98" s="24">
        <v>449</v>
      </c>
      <c r="B98" s="9" t="s">
        <v>234</v>
      </c>
      <c r="C98" s="9" t="s">
        <v>67</v>
      </c>
      <c r="D98" s="9" t="s">
        <v>79</v>
      </c>
      <c r="E98" s="9" t="s">
        <v>80</v>
      </c>
      <c r="F98" s="11">
        <v>8</v>
      </c>
      <c r="G98" s="10">
        <v>4</v>
      </c>
      <c r="H98" s="12">
        <v>0</v>
      </c>
      <c r="I98" s="10">
        <v>1</v>
      </c>
      <c r="J98" s="10">
        <v>3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8</v>
      </c>
      <c r="V98" s="10">
        <v>4</v>
      </c>
      <c r="W98" s="12">
        <v>0</v>
      </c>
      <c r="X98" s="10">
        <v>1</v>
      </c>
      <c r="Y98" s="10">
        <v>3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1</v>
      </c>
      <c r="AM98" s="10">
        <v>4</v>
      </c>
      <c r="AN98" s="29">
        <v>2.1</v>
      </c>
    </row>
    <row r="99">
      <c r="A99" s="23">
        <v>450</v>
      </c>
      <c r="B99" s="4" t="s">
        <v>235</v>
      </c>
      <c r="C99" s="4" t="s">
        <v>67</v>
      </c>
      <c r="D99" s="4" t="s">
        <v>79</v>
      </c>
      <c r="E99" s="4" t="s">
        <v>80</v>
      </c>
      <c r="F99" s="6">
        <v>4</v>
      </c>
      <c r="G99" s="5">
        <v>4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</v>
      </c>
      <c r="V99" s="5">
        <v>3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4</v>
      </c>
      <c r="AK99" s="8">
        <v>4</v>
      </c>
      <c r="AL99" s="5">
        <v>4</v>
      </c>
      <c r="AM99" s="5">
        <v>4</v>
      </c>
      <c r="AN99" s="43">
        <v>0</v>
      </c>
    </row>
    <row r="100">
      <c r="A100" s="24">
        <v>458</v>
      </c>
      <c r="B100" s="9" t="s">
        <v>236</v>
      </c>
      <c r="C100" s="9" t="s">
        <v>67</v>
      </c>
      <c r="D100" s="9" t="s">
        <v>111</v>
      </c>
      <c r="E100" s="9" t="s">
        <v>150</v>
      </c>
      <c r="F100" s="11">
        <v>3</v>
      </c>
      <c r="G100" s="10">
        <v>2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0">
        <v>1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2</v>
      </c>
      <c r="AN100" s="29">
        <v>0.5</v>
      </c>
    </row>
    <row r="101">
      <c r="A101" s="23">
        <v>462</v>
      </c>
      <c r="B101" s="4" t="s">
        <v>237</v>
      </c>
      <c r="C101" s="4" t="s">
        <v>67</v>
      </c>
      <c r="D101" s="4" t="s">
        <v>104</v>
      </c>
      <c r="E101" s="4" t="s">
        <v>156</v>
      </c>
      <c r="F101" s="6">
        <v>2</v>
      </c>
      <c r="G101" s="5">
        <v>2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2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43">
        <v>0</v>
      </c>
    </row>
    <row r="102">
      <c r="A102" s="24">
        <v>469</v>
      </c>
      <c r="B102" s="9" t="s">
        <v>238</v>
      </c>
      <c r="C102" s="9" t="s">
        <v>67</v>
      </c>
      <c r="D102" s="9" t="s">
        <v>86</v>
      </c>
      <c r="E102" s="9" t="s">
        <v>239</v>
      </c>
      <c r="F102" s="11">
        <v>1</v>
      </c>
      <c r="G102" s="12">
        <v>0</v>
      </c>
      <c r="H102" s="12">
        <v>0</v>
      </c>
      <c r="I102" s="10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2">
        <v>0</v>
      </c>
      <c r="X102" s="10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470</v>
      </c>
      <c r="B103" s="4" t="s">
        <v>240</v>
      </c>
      <c r="C103" s="4" t="s">
        <v>67</v>
      </c>
      <c r="D103" s="4" t="s">
        <v>75</v>
      </c>
      <c r="E103" s="4" t="s">
        <v>241</v>
      </c>
      <c r="F103" s="6">
        <v>3</v>
      </c>
      <c r="G103" s="5">
        <v>1</v>
      </c>
      <c r="H103" s="7">
        <v>0</v>
      </c>
      <c r="I103" s="5">
        <v>1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1</v>
      </c>
      <c r="W103" s="7">
        <v>0</v>
      </c>
      <c r="X103" s="5">
        <v>1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0.5</v>
      </c>
    </row>
    <row r="104">
      <c r="A104" s="24">
        <v>471</v>
      </c>
      <c r="B104" s="9" t="s">
        <v>242</v>
      </c>
      <c r="C104" s="9" t="s">
        <v>67</v>
      </c>
      <c r="D104" s="9" t="s">
        <v>75</v>
      </c>
      <c r="E104" s="9" t="s">
        <v>171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473</v>
      </c>
      <c r="B105" s="4" t="s">
        <v>243</v>
      </c>
      <c r="C105" s="4" t="s">
        <v>177</v>
      </c>
      <c r="D105" s="4" t="s">
        <v>206</v>
      </c>
      <c r="E105" s="4" t="s">
        <v>207</v>
      </c>
      <c r="F105" s="6">
        <v>1</v>
      </c>
      <c r="G105" s="7">
        <v>0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3">
        <v>0</v>
      </c>
    </row>
    <row r="106">
      <c r="A106" s="24">
        <v>474</v>
      </c>
      <c r="B106" s="9" t="s">
        <v>244</v>
      </c>
      <c r="C106" s="9" t="s">
        <v>67</v>
      </c>
      <c r="D106" s="9" t="s">
        <v>134</v>
      </c>
      <c r="E106" s="9" t="s">
        <v>232</v>
      </c>
      <c r="F106" s="11">
        <v>1</v>
      </c>
      <c r="G106" s="12">
        <v>0</v>
      </c>
      <c r="H106" s="10">
        <v>1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0">
        <v>1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482</v>
      </c>
      <c r="B107" s="4" t="s">
        <v>245</v>
      </c>
      <c r="C107" s="4" t="s">
        <v>67</v>
      </c>
      <c r="D107" s="4" t="s">
        <v>111</v>
      </c>
      <c r="E107" s="4" t="s">
        <v>246</v>
      </c>
      <c r="F107" s="6">
        <v>3</v>
      </c>
      <c r="G107" s="5">
        <v>1</v>
      </c>
      <c r="H107" s="5">
        <v>1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</v>
      </c>
      <c r="V107" s="5">
        <v>1</v>
      </c>
      <c r="W107" s="5">
        <v>1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0.61</v>
      </c>
    </row>
    <row r="108">
      <c r="A108" s="24">
        <v>486</v>
      </c>
      <c r="B108" s="9" t="s">
        <v>247</v>
      </c>
      <c r="C108" s="9" t="s">
        <v>67</v>
      </c>
      <c r="D108" s="9" t="s">
        <v>79</v>
      </c>
      <c r="E108" s="9" t="s">
        <v>80</v>
      </c>
      <c r="F108" s="11">
        <v>5</v>
      </c>
      <c r="G108" s="10">
        <v>4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5</v>
      </c>
      <c r="V108" s="10">
        <v>4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1.67</v>
      </c>
      <c r="AL108" s="10">
        <v>1</v>
      </c>
      <c r="AM108" s="10">
        <v>3</v>
      </c>
      <c r="AN108" s="29">
        <v>0.6</v>
      </c>
    </row>
    <row r="109">
      <c r="A109" s="23">
        <v>489</v>
      </c>
      <c r="B109" s="4" t="s">
        <v>248</v>
      </c>
      <c r="C109" s="4" t="s">
        <v>177</v>
      </c>
      <c r="D109" s="4" t="s">
        <v>178</v>
      </c>
      <c r="E109" s="4" t="s">
        <v>179</v>
      </c>
      <c r="F109" s="6">
        <v>1</v>
      </c>
      <c r="G109" s="7">
        <v>0</v>
      </c>
      <c r="H109" s="5">
        <v>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5">
        <v>1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0.35</v>
      </c>
    </row>
    <row r="110">
      <c r="A110" s="24">
        <v>490</v>
      </c>
      <c r="B110" s="9" t="s">
        <v>249</v>
      </c>
      <c r="C110" s="9" t="s">
        <v>67</v>
      </c>
      <c r="D110" s="9" t="s">
        <v>79</v>
      </c>
      <c r="E110" s="9" t="s">
        <v>80</v>
      </c>
      <c r="F110" s="11">
        <v>7</v>
      </c>
      <c r="G110" s="10">
        <v>2</v>
      </c>
      <c r="H110" s="10">
        <v>1</v>
      </c>
      <c r="I110" s="10">
        <v>1</v>
      </c>
      <c r="J110" s="10">
        <v>1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6</v>
      </c>
      <c r="V110" s="10">
        <v>2</v>
      </c>
      <c r="W110" s="10">
        <v>1</v>
      </c>
      <c r="X110" s="10">
        <v>1</v>
      </c>
      <c r="Y110" s="10">
        <v>1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1.4</v>
      </c>
      <c r="AL110" s="10">
        <v>1</v>
      </c>
      <c r="AM110" s="10">
        <v>2</v>
      </c>
      <c r="AN110" s="30">
        <v>0</v>
      </c>
    </row>
    <row r="111">
      <c r="A111" s="23">
        <v>495</v>
      </c>
      <c r="B111" s="4" t="s">
        <v>250</v>
      </c>
      <c r="C111" s="4" t="s">
        <v>67</v>
      </c>
      <c r="D111" s="4" t="s">
        <v>86</v>
      </c>
      <c r="E111" s="4" t="s">
        <v>87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0.26</v>
      </c>
    </row>
    <row r="112">
      <c r="A112" s="24">
        <v>500</v>
      </c>
      <c r="B112" s="9" t="s">
        <v>251</v>
      </c>
      <c r="C112" s="9" t="s">
        <v>142</v>
      </c>
      <c r="D112" s="9" t="s">
        <v>252</v>
      </c>
      <c r="E112" s="9" t="s">
        <v>253</v>
      </c>
      <c r="F112" s="11">
        <v>6</v>
      </c>
      <c r="G112" s="12">
        <v>0</v>
      </c>
      <c r="H112" s="10">
        <v>2</v>
      </c>
      <c r="I112" s="10">
        <v>1</v>
      </c>
      <c r="J112" s="10">
        <v>3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6</v>
      </c>
      <c r="V112" s="12">
        <v>0</v>
      </c>
      <c r="W112" s="10">
        <v>2</v>
      </c>
      <c r="X112" s="10">
        <v>1</v>
      </c>
      <c r="Y112" s="10">
        <v>3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0.52</v>
      </c>
    </row>
    <row r="113">
      <c r="A113" s="23">
        <v>521</v>
      </c>
      <c r="B113" s="4" t="s">
        <v>254</v>
      </c>
      <c r="C113" s="4" t="s">
        <v>67</v>
      </c>
      <c r="D113" s="4" t="s">
        <v>71</v>
      </c>
      <c r="E113" s="4" t="s">
        <v>118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0.98</v>
      </c>
    </row>
    <row r="114">
      <c r="A114" s="24">
        <v>522</v>
      </c>
      <c r="B114" s="9" t="s">
        <v>255</v>
      </c>
      <c r="C114" s="9" t="s">
        <v>67</v>
      </c>
      <c r="D114" s="9" t="s">
        <v>111</v>
      </c>
      <c r="E114" s="9" t="s">
        <v>153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0.52</v>
      </c>
    </row>
    <row r="115">
      <c r="A115" s="23">
        <v>525</v>
      </c>
      <c r="B115" s="4" t="s">
        <v>256</v>
      </c>
      <c r="C115" s="4" t="s">
        <v>67</v>
      </c>
      <c r="D115" s="4" t="s">
        <v>75</v>
      </c>
      <c r="E115" s="4" t="s">
        <v>76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0.26</v>
      </c>
    </row>
    <row r="116">
      <c r="A116" s="24">
        <v>526</v>
      </c>
      <c r="B116" s="9" t="s">
        <v>257</v>
      </c>
      <c r="C116" s="9" t="s">
        <v>67</v>
      </c>
      <c r="D116" s="9" t="s">
        <v>75</v>
      </c>
      <c r="E116" s="9" t="s">
        <v>76</v>
      </c>
      <c r="F116" s="11">
        <v>4</v>
      </c>
      <c r="G116" s="10">
        <v>4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4</v>
      </c>
      <c r="V116" s="10">
        <v>4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1.34</v>
      </c>
    </row>
    <row r="117">
      <c r="A117" s="23">
        <v>528</v>
      </c>
      <c r="B117" s="4" t="s">
        <v>258</v>
      </c>
      <c r="C117" s="4" t="s">
        <v>67</v>
      </c>
      <c r="D117" s="4" t="s">
        <v>111</v>
      </c>
      <c r="E117" s="4" t="s">
        <v>246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43">
        <v>0</v>
      </c>
    </row>
    <row r="118">
      <c r="A118" s="24">
        <v>529</v>
      </c>
      <c r="B118" s="9" t="s">
        <v>259</v>
      </c>
      <c r="C118" s="9" t="s">
        <v>67</v>
      </c>
      <c r="D118" s="9" t="s">
        <v>79</v>
      </c>
      <c r="E118" s="9" t="s">
        <v>89</v>
      </c>
      <c r="F118" s="11">
        <v>2</v>
      </c>
      <c r="G118" s="10">
        <v>1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1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0">
        <v>0</v>
      </c>
    </row>
    <row r="119">
      <c r="A119" s="23">
        <v>531</v>
      </c>
      <c r="B119" s="4" t="s">
        <v>260</v>
      </c>
      <c r="C119" s="4" t="s">
        <v>67</v>
      </c>
      <c r="D119" s="4" t="s">
        <v>75</v>
      </c>
      <c r="E119" s="4" t="s">
        <v>261</v>
      </c>
      <c r="F119" s="6">
        <v>1</v>
      </c>
      <c r="G119" s="7">
        <v>0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0.29</v>
      </c>
    </row>
    <row r="120">
      <c r="A120" s="24">
        <v>534</v>
      </c>
      <c r="B120" s="9" t="s">
        <v>262</v>
      </c>
      <c r="C120" s="9" t="s">
        <v>67</v>
      </c>
      <c r="D120" s="9" t="s">
        <v>75</v>
      </c>
      <c r="E120" s="9" t="s">
        <v>261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30">
        <v>0</v>
      </c>
    </row>
    <row r="121">
      <c r="A121" s="23">
        <v>542</v>
      </c>
      <c r="B121" s="4" t="s">
        <v>263</v>
      </c>
      <c r="C121" s="4" t="s">
        <v>67</v>
      </c>
      <c r="D121" s="4" t="s">
        <v>75</v>
      </c>
      <c r="E121" s="4" t="s">
        <v>261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543</v>
      </c>
      <c r="B122" s="9" t="s">
        <v>264</v>
      </c>
      <c r="C122" s="9" t="s">
        <v>67</v>
      </c>
      <c r="D122" s="9" t="s">
        <v>75</v>
      </c>
      <c r="E122" s="9" t="s">
        <v>261</v>
      </c>
      <c r="F122" s="11">
        <v>2</v>
      </c>
      <c r="G122" s="12">
        <v>0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2">
        <v>0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29">
        <v>0.5</v>
      </c>
    </row>
    <row r="123">
      <c r="A123" s="23">
        <v>546</v>
      </c>
      <c r="B123" s="4" t="s">
        <v>265</v>
      </c>
      <c r="C123" s="4" t="s">
        <v>67</v>
      </c>
      <c r="D123" s="4" t="s">
        <v>75</v>
      </c>
      <c r="E123" s="4" t="s">
        <v>261</v>
      </c>
      <c r="F123" s="6">
        <v>1</v>
      </c>
      <c r="G123" s="7">
        <v>0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559</v>
      </c>
      <c r="B124" s="9" t="s">
        <v>266</v>
      </c>
      <c r="C124" s="9" t="s">
        <v>67</v>
      </c>
      <c r="D124" s="9" t="s">
        <v>91</v>
      </c>
      <c r="E124" s="9" t="s">
        <v>97</v>
      </c>
      <c r="F124" s="11">
        <v>3</v>
      </c>
      <c r="G124" s="12">
        <v>0</v>
      </c>
      <c r="H124" s="12">
        <v>0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2">
        <v>0</v>
      </c>
      <c r="W124" s="12">
        <v>0</v>
      </c>
      <c r="X124" s="12">
        <v>0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0.75</v>
      </c>
    </row>
    <row r="125">
      <c r="A125" s="23">
        <v>561</v>
      </c>
      <c r="B125" s="4" t="s">
        <v>267</v>
      </c>
      <c r="C125" s="4" t="s">
        <v>67</v>
      </c>
      <c r="D125" s="4" t="s">
        <v>71</v>
      </c>
      <c r="E125" s="4" t="s">
        <v>169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574</v>
      </c>
      <c r="B126" s="9" t="s">
        <v>268</v>
      </c>
      <c r="C126" s="9" t="s">
        <v>67</v>
      </c>
      <c r="D126" s="9" t="s">
        <v>71</v>
      </c>
      <c r="E126" s="9" t="s">
        <v>169</v>
      </c>
      <c r="F126" s="11">
        <v>4</v>
      </c>
      <c r="G126" s="10">
        <v>4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4</v>
      </c>
      <c r="AK126" s="13">
        <v>4</v>
      </c>
      <c r="AL126" s="10">
        <v>4</v>
      </c>
      <c r="AM126" s="10">
        <v>4</v>
      </c>
      <c r="AN126" s="30">
        <v>0</v>
      </c>
    </row>
    <row r="127">
      <c r="A127" s="23">
        <v>579</v>
      </c>
      <c r="B127" s="4" t="s">
        <v>269</v>
      </c>
      <c r="C127" s="4" t="s">
        <v>67</v>
      </c>
      <c r="D127" s="4" t="s">
        <v>71</v>
      </c>
      <c r="E127" s="4" t="s">
        <v>169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593</v>
      </c>
      <c r="B128" s="9" t="s">
        <v>270</v>
      </c>
      <c r="C128" s="9" t="s">
        <v>67</v>
      </c>
      <c r="D128" s="9" t="s">
        <v>71</v>
      </c>
      <c r="E128" s="9" t="s">
        <v>118</v>
      </c>
      <c r="F128" s="11">
        <v>2</v>
      </c>
      <c r="G128" s="10">
        <v>1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1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0.59</v>
      </c>
    </row>
    <row r="129">
      <c r="A129" s="23">
        <v>594</v>
      </c>
      <c r="B129" s="4" t="s">
        <v>271</v>
      </c>
      <c r="C129" s="4" t="s">
        <v>67</v>
      </c>
      <c r="D129" s="4" t="s">
        <v>71</v>
      </c>
      <c r="E129" s="4" t="s">
        <v>118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0.36</v>
      </c>
    </row>
    <row r="130">
      <c r="A130" s="24">
        <v>595</v>
      </c>
      <c r="B130" s="9" t="s">
        <v>272</v>
      </c>
      <c r="C130" s="9" t="s">
        <v>67</v>
      </c>
      <c r="D130" s="9" t="s">
        <v>71</v>
      </c>
      <c r="E130" s="9" t="s">
        <v>118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29">
        <v>0.66</v>
      </c>
    </row>
    <row r="131">
      <c r="A131" s="23">
        <v>597</v>
      </c>
      <c r="B131" s="4" t="s">
        <v>273</v>
      </c>
      <c r="C131" s="4" t="s">
        <v>67</v>
      </c>
      <c r="D131" s="4" t="s">
        <v>71</v>
      </c>
      <c r="E131" s="4" t="s">
        <v>118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3">
        <v>0</v>
      </c>
    </row>
    <row r="132">
      <c r="A132" s="24">
        <v>599</v>
      </c>
      <c r="B132" s="9" t="s">
        <v>274</v>
      </c>
      <c r="C132" s="9" t="s">
        <v>67</v>
      </c>
      <c r="D132" s="9" t="s">
        <v>71</v>
      </c>
      <c r="E132" s="9" t="s">
        <v>118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0">
        <v>0</v>
      </c>
    </row>
    <row r="133">
      <c r="A133" s="23">
        <v>601</v>
      </c>
      <c r="B133" s="4" t="s">
        <v>275</v>
      </c>
      <c r="C133" s="4" t="s">
        <v>67</v>
      </c>
      <c r="D133" s="4" t="s">
        <v>71</v>
      </c>
      <c r="E133" s="4" t="s">
        <v>118</v>
      </c>
      <c r="F133" s="6">
        <v>3</v>
      </c>
      <c r="G133" s="5">
        <v>3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3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0.35</v>
      </c>
    </row>
    <row r="134">
      <c r="A134" s="24">
        <v>605</v>
      </c>
      <c r="B134" s="9" t="s">
        <v>276</v>
      </c>
      <c r="C134" s="9" t="s">
        <v>67</v>
      </c>
      <c r="D134" s="9" t="s">
        <v>71</v>
      </c>
      <c r="E134" s="9" t="s">
        <v>118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29">
        <v>0.96</v>
      </c>
    </row>
    <row r="135">
      <c r="A135" s="23">
        <v>613</v>
      </c>
      <c r="B135" s="4" t="s">
        <v>277</v>
      </c>
      <c r="C135" s="4" t="s">
        <v>67</v>
      </c>
      <c r="D135" s="4" t="s">
        <v>71</v>
      </c>
      <c r="E135" s="4" t="s">
        <v>118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2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0.25</v>
      </c>
    </row>
    <row r="136">
      <c r="A136" s="24">
        <v>659</v>
      </c>
      <c r="B136" s="9" t="s">
        <v>278</v>
      </c>
      <c r="C136" s="9" t="s">
        <v>67</v>
      </c>
      <c r="D136" s="9" t="s">
        <v>75</v>
      </c>
      <c r="E136" s="9" t="s">
        <v>84</v>
      </c>
      <c r="F136" s="11">
        <v>3</v>
      </c>
      <c r="G136" s="12">
        <v>0</v>
      </c>
      <c r="H136" s="12">
        <v>0</v>
      </c>
      <c r="I136" s="12">
        <v>0</v>
      </c>
      <c r="J136" s="10">
        <v>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2">
        <v>0</v>
      </c>
      <c r="W136" s="12">
        <v>0</v>
      </c>
      <c r="X136" s="12">
        <v>0</v>
      </c>
      <c r="Y136" s="10">
        <v>3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1.5</v>
      </c>
      <c r="AL136" s="10">
        <v>1</v>
      </c>
      <c r="AM136" s="10">
        <v>2</v>
      </c>
      <c r="AN136" s="29">
        <v>0.75</v>
      </c>
    </row>
    <row r="137">
      <c r="A137" s="23">
        <v>661</v>
      </c>
      <c r="B137" s="4" t="s">
        <v>279</v>
      </c>
      <c r="C137" s="4" t="s">
        <v>67</v>
      </c>
      <c r="D137" s="4" t="s">
        <v>75</v>
      </c>
      <c r="E137" s="4" t="s">
        <v>84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3">
        <v>0</v>
      </c>
    </row>
    <row r="138">
      <c r="A138" s="24">
        <v>664</v>
      </c>
      <c r="B138" s="9" t="s">
        <v>280</v>
      </c>
      <c r="C138" s="9" t="s">
        <v>67</v>
      </c>
      <c r="D138" s="9" t="s">
        <v>75</v>
      </c>
      <c r="E138" s="9" t="s">
        <v>84</v>
      </c>
      <c r="F138" s="11">
        <v>5</v>
      </c>
      <c r="G138" s="12">
        <v>0</v>
      </c>
      <c r="H138" s="10">
        <v>1</v>
      </c>
      <c r="I138" s="12">
        <v>0</v>
      </c>
      <c r="J138" s="10">
        <v>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5</v>
      </c>
      <c r="V138" s="12">
        <v>0</v>
      </c>
      <c r="W138" s="10">
        <v>1</v>
      </c>
      <c r="X138" s="12">
        <v>0</v>
      </c>
      <c r="Y138" s="10">
        <v>4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1.51</v>
      </c>
    </row>
    <row r="139">
      <c r="A139" s="23">
        <v>667</v>
      </c>
      <c r="B139" s="4" t="s">
        <v>281</v>
      </c>
      <c r="C139" s="4" t="s">
        <v>67</v>
      </c>
      <c r="D139" s="4" t="s">
        <v>75</v>
      </c>
      <c r="E139" s="4" t="s">
        <v>84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3">
        <v>0</v>
      </c>
    </row>
    <row r="140">
      <c r="A140" s="24">
        <v>673</v>
      </c>
      <c r="B140" s="9" t="s">
        <v>282</v>
      </c>
      <c r="C140" s="9" t="s">
        <v>67</v>
      </c>
      <c r="D140" s="9" t="s">
        <v>75</v>
      </c>
      <c r="E140" s="9" t="s">
        <v>84</v>
      </c>
      <c r="F140" s="11">
        <v>3</v>
      </c>
      <c r="G140" s="10">
        <v>2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2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2</v>
      </c>
      <c r="AN140" s="29">
        <v>0.22</v>
      </c>
    </row>
    <row r="141">
      <c r="A141" s="23">
        <v>674</v>
      </c>
      <c r="B141" s="4" t="s">
        <v>283</v>
      </c>
      <c r="C141" s="4" t="s">
        <v>67</v>
      </c>
      <c r="D141" s="4" t="s">
        <v>75</v>
      </c>
      <c r="E141" s="4" t="s">
        <v>84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676</v>
      </c>
      <c r="B142" s="9" t="s">
        <v>284</v>
      </c>
      <c r="C142" s="9" t="s">
        <v>67</v>
      </c>
      <c r="D142" s="9" t="s">
        <v>75</v>
      </c>
      <c r="E142" s="9" t="s">
        <v>84</v>
      </c>
      <c r="F142" s="11">
        <v>3</v>
      </c>
      <c r="G142" s="12">
        <v>0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2">
        <v>0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0.75</v>
      </c>
    </row>
    <row r="143">
      <c r="A143" s="23">
        <v>681</v>
      </c>
      <c r="B143" s="4" t="s">
        <v>285</v>
      </c>
      <c r="C143" s="4" t="s">
        <v>67</v>
      </c>
      <c r="D143" s="4" t="s">
        <v>75</v>
      </c>
      <c r="E143" s="4" t="s">
        <v>84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683</v>
      </c>
      <c r="B144" s="9" t="s">
        <v>286</v>
      </c>
      <c r="C144" s="9" t="s">
        <v>67</v>
      </c>
      <c r="D144" s="9" t="s">
        <v>75</v>
      </c>
      <c r="E144" s="9" t="s">
        <v>84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686</v>
      </c>
      <c r="B145" s="4" t="s">
        <v>287</v>
      </c>
      <c r="C145" s="4" t="s">
        <v>67</v>
      </c>
      <c r="D145" s="4" t="s">
        <v>75</v>
      </c>
      <c r="E145" s="4" t="s">
        <v>84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3">
        <v>0</v>
      </c>
    </row>
    <row r="146">
      <c r="A146" s="24">
        <v>688</v>
      </c>
      <c r="B146" s="9" t="s">
        <v>288</v>
      </c>
      <c r="C146" s="9" t="s">
        <v>67</v>
      </c>
      <c r="D146" s="9" t="s">
        <v>75</v>
      </c>
      <c r="E146" s="9" t="s">
        <v>84</v>
      </c>
      <c r="F146" s="11">
        <v>71</v>
      </c>
      <c r="G146" s="12">
        <v>0</v>
      </c>
      <c r="H146" s="12">
        <v>0</v>
      </c>
      <c r="I146" s="12">
        <v>0</v>
      </c>
      <c r="J146" s="10">
        <v>71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60</v>
      </c>
      <c r="V146" s="12">
        <v>0</v>
      </c>
      <c r="W146" s="12">
        <v>0</v>
      </c>
      <c r="X146" s="12">
        <v>0</v>
      </c>
      <c r="Y146" s="10">
        <v>60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35.5</v>
      </c>
      <c r="AL146" s="10">
        <v>35</v>
      </c>
      <c r="AM146" s="10">
        <v>70</v>
      </c>
      <c r="AN146" s="29">
        <v>15</v>
      </c>
    </row>
    <row r="147">
      <c r="A147" s="23">
        <v>689</v>
      </c>
      <c r="B147" s="4" t="s">
        <v>289</v>
      </c>
      <c r="C147" s="4" t="s">
        <v>67</v>
      </c>
      <c r="D147" s="4" t="s">
        <v>75</v>
      </c>
      <c r="E147" s="4" t="s">
        <v>84</v>
      </c>
      <c r="F147" s="6">
        <v>9</v>
      </c>
      <c r="G147" s="5">
        <v>1</v>
      </c>
      <c r="H147" s="7">
        <v>0</v>
      </c>
      <c r="I147" s="7">
        <v>0</v>
      </c>
      <c r="J147" s="5">
        <v>8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9</v>
      </c>
      <c r="V147" s="5">
        <v>1</v>
      </c>
      <c r="W147" s="7">
        <v>0</v>
      </c>
      <c r="X147" s="7">
        <v>0</v>
      </c>
      <c r="Y147" s="5">
        <v>8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2.25</v>
      </c>
      <c r="AL147" s="5">
        <v>1</v>
      </c>
      <c r="AM147" s="5">
        <v>6</v>
      </c>
      <c r="AN147" s="28">
        <v>2</v>
      </c>
    </row>
    <row r="148">
      <c r="A148" s="24">
        <v>690</v>
      </c>
      <c r="B148" s="9" t="s">
        <v>290</v>
      </c>
      <c r="C148" s="9" t="s">
        <v>67</v>
      </c>
      <c r="D148" s="9" t="s">
        <v>75</v>
      </c>
      <c r="E148" s="9" t="s">
        <v>84</v>
      </c>
      <c r="F148" s="11">
        <v>5</v>
      </c>
      <c r="G148" s="10">
        <v>4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4</v>
      </c>
      <c r="V148" s="10">
        <v>3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1.67</v>
      </c>
      <c r="AL148" s="10">
        <v>1</v>
      </c>
      <c r="AM148" s="10">
        <v>3</v>
      </c>
      <c r="AN148" s="30">
        <v>0</v>
      </c>
    </row>
    <row r="149">
      <c r="A149" s="23">
        <v>698</v>
      </c>
      <c r="B149" s="4" t="s">
        <v>291</v>
      </c>
      <c r="C149" s="4" t="s">
        <v>67</v>
      </c>
      <c r="D149" s="4" t="s">
        <v>75</v>
      </c>
      <c r="E149" s="4" t="s">
        <v>84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704</v>
      </c>
      <c r="B150" s="9" t="s">
        <v>292</v>
      </c>
      <c r="C150" s="9" t="s">
        <v>67</v>
      </c>
      <c r="D150" s="9" t="s">
        <v>75</v>
      </c>
      <c r="E150" s="9" t="s">
        <v>84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707</v>
      </c>
      <c r="B151" s="4" t="s">
        <v>293</v>
      </c>
      <c r="C151" s="4" t="s">
        <v>67</v>
      </c>
      <c r="D151" s="4" t="s">
        <v>75</v>
      </c>
      <c r="E151" s="4" t="s">
        <v>294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718</v>
      </c>
      <c r="B152" s="9" t="s">
        <v>295</v>
      </c>
      <c r="C152" s="9" t="s">
        <v>67</v>
      </c>
      <c r="D152" s="9" t="s">
        <v>75</v>
      </c>
      <c r="E152" s="9" t="s">
        <v>294</v>
      </c>
      <c r="F152" s="11">
        <v>1</v>
      </c>
      <c r="G152" s="12">
        <v>0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724</v>
      </c>
      <c r="B153" s="4" t="s">
        <v>296</v>
      </c>
      <c r="C153" s="4" t="s">
        <v>67</v>
      </c>
      <c r="D153" s="4" t="s">
        <v>75</v>
      </c>
      <c r="E153" s="4" t="s">
        <v>294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0.38</v>
      </c>
    </row>
    <row r="154">
      <c r="A154" s="24">
        <v>727</v>
      </c>
      <c r="B154" s="9" t="s">
        <v>297</v>
      </c>
      <c r="C154" s="9" t="s">
        <v>67</v>
      </c>
      <c r="D154" s="9" t="s">
        <v>75</v>
      </c>
      <c r="E154" s="9" t="s">
        <v>294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0.34</v>
      </c>
    </row>
    <row r="155">
      <c r="A155" s="23">
        <v>729</v>
      </c>
      <c r="B155" s="4" t="s">
        <v>298</v>
      </c>
      <c r="C155" s="4" t="s">
        <v>67</v>
      </c>
      <c r="D155" s="4" t="s">
        <v>75</v>
      </c>
      <c r="E155" s="4" t="s">
        <v>294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759</v>
      </c>
      <c r="B156" s="9" t="s">
        <v>299</v>
      </c>
      <c r="C156" s="9" t="s">
        <v>67</v>
      </c>
      <c r="D156" s="9" t="s">
        <v>75</v>
      </c>
      <c r="E156" s="9" t="s">
        <v>120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30">
        <v>0</v>
      </c>
    </row>
    <row r="157">
      <c r="A157" s="23">
        <v>760</v>
      </c>
      <c r="B157" s="4" t="s">
        <v>300</v>
      </c>
      <c r="C157" s="4" t="s">
        <v>67</v>
      </c>
      <c r="D157" s="4" t="s">
        <v>134</v>
      </c>
      <c r="E157" s="4" t="s">
        <v>135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43">
        <v>0</v>
      </c>
    </row>
    <row r="158">
      <c r="A158" s="24">
        <v>762</v>
      </c>
      <c r="B158" s="9" t="s">
        <v>301</v>
      </c>
      <c r="C158" s="9" t="s">
        <v>67</v>
      </c>
      <c r="D158" s="9" t="s">
        <v>111</v>
      </c>
      <c r="E158" s="9" t="s">
        <v>122</v>
      </c>
      <c r="F158" s="11">
        <v>3</v>
      </c>
      <c r="G158" s="12">
        <v>0</v>
      </c>
      <c r="H158" s="12">
        <v>0</v>
      </c>
      <c r="I158" s="10">
        <v>1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2">
        <v>0</v>
      </c>
      <c r="W158" s="12">
        <v>0</v>
      </c>
      <c r="X158" s="10">
        <v>1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0.5</v>
      </c>
    </row>
    <row r="159">
      <c r="A159" s="23">
        <v>763</v>
      </c>
      <c r="B159" s="4" t="s">
        <v>302</v>
      </c>
      <c r="C159" s="4" t="s">
        <v>67</v>
      </c>
      <c r="D159" s="4" t="s">
        <v>75</v>
      </c>
      <c r="E159" s="4" t="s">
        <v>303</v>
      </c>
      <c r="F159" s="6">
        <v>5</v>
      </c>
      <c r="G159" s="7">
        <v>0</v>
      </c>
      <c r="H159" s="5">
        <v>1</v>
      </c>
      <c r="I159" s="5">
        <v>1</v>
      </c>
      <c r="J159" s="5">
        <v>1</v>
      </c>
      <c r="K159" s="5">
        <v>1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5</v>
      </c>
      <c r="V159" s="7">
        <v>0</v>
      </c>
      <c r="W159" s="5">
        <v>1</v>
      </c>
      <c r="X159" s="5">
        <v>1</v>
      </c>
      <c r="Y159" s="5">
        <v>1</v>
      </c>
      <c r="Z159" s="5">
        <v>1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3">
        <v>0</v>
      </c>
    </row>
    <row r="160">
      <c r="A160" s="24">
        <v>765</v>
      </c>
      <c r="B160" s="9" t="s">
        <v>304</v>
      </c>
      <c r="C160" s="9" t="s">
        <v>67</v>
      </c>
      <c r="D160" s="9" t="s">
        <v>86</v>
      </c>
      <c r="E160" s="9" t="s">
        <v>102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766</v>
      </c>
      <c r="B161" s="4" t="s">
        <v>305</v>
      </c>
      <c r="C161" s="4" t="s">
        <v>67</v>
      </c>
      <c r="D161" s="4" t="s">
        <v>79</v>
      </c>
      <c r="E161" s="4" t="s">
        <v>89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3">
        <v>0</v>
      </c>
    </row>
    <row r="162">
      <c r="A162" s="24">
        <v>782</v>
      </c>
      <c r="B162" s="9" t="s">
        <v>306</v>
      </c>
      <c r="C162" s="9" t="s">
        <v>67</v>
      </c>
      <c r="D162" s="9" t="s">
        <v>75</v>
      </c>
      <c r="E162" s="9" t="s">
        <v>303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807</v>
      </c>
      <c r="B163" s="4" t="s">
        <v>307</v>
      </c>
      <c r="C163" s="4" t="s">
        <v>67</v>
      </c>
      <c r="D163" s="4" t="s">
        <v>75</v>
      </c>
      <c r="E163" s="4" t="s">
        <v>303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0.26</v>
      </c>
    </row>
    <row r="164">
      <c r="A164" s="24">
        <v>821</v>
      </c>
      <c r="B164" s="9" t="s">
        <v>308</v>
      </c>
      <c r="C164" s="9" t="s">
        <v>67</v>
      </c>
      <c r="D164" s="9" t="s">
        <v>75</v>
      </c>
      <c r="E164" s="9" t="s">
        <v>309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0.22</v>
      </c>
    </row>
    <row r="165">
      <c r="A165" s="23">
        <v>831</v>
      </c>
      <c r="B165" s="4" t="s">
        <v>310</v>
      </c>
      <c r="C165" s="4" t="s">
        <v>67</v>
      </c>
      <c r="D165" s="4" t="s">
        <v>75</v>
      </c>
      <c r="E165" s="4" t="s">
        <v>311</v>
      </c>
      <c r="F165" s="6">
        <v>3</v>
      </c>
      <c r="G165" s="7">
        <v>0</v>
      </c>
      <c r="H165" s="7">
        <v>0</v>
      </c>
      <c r="I165" s="7">
        <v>0</v>
      </c>
      <c r="J165" s="5">
        <v>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7">
        <v>0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0.52</v>
      </c>
    </row>
    <row r="166">
      <c r="A166" s="24">
        <v>832</v>
      </c>
      <c r="B166" s="9" t="s">
        <v>312</v>
      </c>
      <c r="C166" s="9" t="s">
        <v>67</v>
      </c>
      <c r="D166" s="9" t="s">
        <v>75</v>
      </c>
      <c r="E166" s="9" t="s">
        <v>311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0.22</v>
      </c>
    </row>
    <row r="167">
      <c r="A167" s="23">
        <v>848</v>
      </c>
      <c r="B167" s="4" t="s">
        <v>313</v>
      </c>
      <c r="C167" s="4" t="s">
        <v>67</v>
      </c>
      <c r="D167" s="4" t="s">
        <v>75</v>
      </c>
      <c r="E167" s="4" t="s">
        <v>311</v>
      </c>
      <c r="F167" s="6">
        <v>4</v>
      </c>
      <c r="G167" s="5">
        <v>1</v>
      </c>
      <c r="H167" s="7">
        <v>0</v>
      </c>
      <c r="I167" s="5">
        <v>1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4</v>
      </c>
      <c r="V167" s="5">
        <v>1</v>
      </c>
      <c r="W167" s="7">
        <v>0</v>
      </c>
      <c r="X167" s="5">
        <v>1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854</v>
      </c>
      <c r="B168" s="9" t="s">
        <v>314</v>
      </c>
      <c r="C168" s="9" t="s">
        <v>67</v>
      </c>
      <c r="D168" s="9" t="s">
        <v>75</v>
      </c>
      <c r="E168" s="9" t="s">
        <v>311</v>
      </c>
      <c r="F168" s="11">
        <v>4</v>
      </c>
      <c r="G168" s="10">
        <v>4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4</v>
      </c>
      <c r="V168" s="10">
        <v>4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0.74</v>
      </c>
    </row>
    <row r="169">
      <c r="A169" s="23">
        <v>862</v>
      </c>
      <c r="B169" s="4" t="s">
        <v>315</v>
      </c>
      <c r="C169" s="4" t="s">
        <v>67</v>
      </c>
      <c r="D169" s="4" t="s">
        <v>75</v>
      </c>
      <c r="E169" s="4" t="s">
        <v>311</v>
      </c>
      <c r="F169" s="6">
        <v>2</v>
      </c>
      <c r="G169" s="5">
        <v>1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1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886</v>
      </c>
      <c r="B170" s="9" t="s">
        <v>316</v>
      </c>
      <c r="C170" s="9" t="s">
        <v>67</v>
      </c>
      <c r="D170" s="9" t="s">
        <v>75</v>
      </c>
      <c r="E170" s="9" t="s">
        <v>311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0.35</v>
      </c>
    </row>
    <row r="171">
      <c r="A171" s="23">
        <v>889</v>
      </c>
      <c r="B171" s="4" t="s">
        <v>317</v>
      </c>
      <c r="C171" s="4" t="s">
        <v>67</v>
      </c>
      <c r="D171" s="4" t="s">
        <v>75</v>
      </c>
      <c r="E171" s="4" t="s">
        <v>311</v>
      </c>
      <c r="F171" s="6">
        <v>4</v>
      </c>
      <c r="G171" s="5">
        <v>4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3</v>
      </c>
      <c r="V171" s="5">
        <v>3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4</v>
      </c>
      <c r="AK171" s="8">
        <v>4</v>
      </c>
      <c r="AL171" s="5">
        <v>4</v>
      </c>
      <c r="AM171" s="5">
        <v>4</v>
      </c>
      <c r="AN171" s="43">
        <v>0</v>
      </c>
    </row>
    <row r="172">
      <c r="A172" s="24">
        <v>892</v>
      </c>
      <c r="B172" s="9" t="s">
        <v>318</v>
      </c>
      <c r="C172" s="9" t="s">
        <v>67</v>
      </c>
      <c r="D172" s="9" t="s">
        <v>75</v>
      </c>
      <c r="E172" s="9" t="s">
        <v>311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896</v>
      </c>
      <c r="B173" s="4" t="s">
        <v>319</v>
      </c>
      <c r="C173" s="4" t="s">
        <v>67</v>
      </c>
      <c r="D173" s="4" t="s">
        <v>75</v>
      </c>
      <c r="E173" s="4" t="s">
        <v>311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3">
        <v>0</v>
      </c>
    </row>
    <row r="174">
      <c r="A174" s="24">
        <v>900</v>
      </c>
      <c r="B174" s="9" t="s">
        <v>320</v>
      </c>
      <c r="C174" s="9" t="s">
        <v>67</v>
      </c>
      <c r="D174" s="9" t="s">
        <v>75</v>
      </c>
      <c r="E174" s="9" t="s">
        <v>311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904</v>
      </c>
      <c r="B175" s="4" t="s">
        <v>321</v>
      </c>
      <c r="C175" s="4" t="s">
        <v>67</v>
      </c>
      <c r="D175" s="4" t="s">
        <v>75</v>
      </c>
      <c r="E175" s="4" t="s">
        <v>311</v>
      </c>
      <c r="F175" s="6">
        <v>2</v>
      </c>
      <c r="G175" s="5">
        <v>1</v>
      </c>
      <c r="H175" s="5">
        <v>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1</v>
      </c>
      <c r="W175" s="5">
        <v>1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3">
        <v>0</v>
      </c>
    </row>
    <row r="176">
      <c r="A176" s="24">
        <v>909</v>
      </c>
      <c r="B176" s="9" t="s">
        <v>322</v>
      </c>
      <c r="C176" s="9" t="s">
        <v>67</v>
      </c>
      <c r="D176" s="9" t="s">
        <v>75</v>
      </c>
      <c r="E176" s="9" t="s">
        <v>311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0.38</v>
      </c>
    </row>
    <row r="177">
      <c r="A177" s="23">
        <v>913</v>
      </c>
      <c r="B177" s="4" t="s">
        <v>323</v>
      </c>
      <c r="C177" s="4" t="s">
        <v>67</v>
      </c>
      <c r="D177" s="4" t="s">
        <v>75</v>
      </c>
      <c r="E177" s="4" t="s">
        <v>311</v>
      </c>
      <c r="F177" s="6">
        <v>4</v>
      </c>
      <c r="G177" s="5">
        <v>4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4</v>
      </c>
      <c r="AK177" s="8">
        <v>4</v>
      </c>
      <c r="AL177" s="5">
        <v>4</v>
      </c>
      <c r="AM177" s="5">
        <v>4</v>
      </c>
      <c r="AN177" s="43">
        <v>0</v>
      </c>
    </row>
    <row r="178">
      <c r="A178" s="24">
        <v>920</v>
      </c>
      <c r="B178" s="9" t="s">
        <v>324</v>
      </c>
      <c r="C178" s="9" t="s">
        <v>67</v>
      </c>
      <c r="D178" s="9" t="s">
        <v>75</v>
      </c>
      <c r="E178" s="9" t="s">
        <v>311</v>
      </c>
      <c r="F178" s="11">
        <v>2</v>
      </c>
      <c r="G178" s="10">
        <v>1</v>
      </c>
      <c r="H178" s="12">
        <v>0</v>
      </c>
      <c r="I178" s="12">
        <v>0</v>
      </c>
      <c r="J178" s="12">
        <v>0</v>
      </c>
      <c r="K178" s="10">
        <v>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1</v>
      </c>
      <c r="W178" s="12">
        <v>0</v>
      </c>
      <c r="X178" s="12">
        <v>0</v>
      </c>
      <c r="Y178" s="12">
        <v>0</v>
      </c>
      <c r="Z178" s="10">
        <v>1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927</v>
      </c>
      <c r="B179" s="4" t="s">
        <v>325</v>
      </c>
      <c r="C179" s="4" t="s">
        <v>67</v>
      </c>
      <c r="D179" s="4" t="s">
        <v>75</v>
      </c>
      <c r="E179" s="4" t="s">
        <v>311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3">
        <v>0</v>
      </c>
    </row>
    <row r="180">
      <c r="A180" s="24">
        <v>928</v>
      </c>
      <c r="B180" s="9" t="s">
        <v>326</v>
      </c>
      <c r="C180" s="9" t="s">
        <v>67</v>
      </c>
      <c r="D180" s="9" t="s">
        <v>75</v>
      </c>
      <c r="E180" s="9" t="s">
        <v>311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930</v>
      </c>
      <c r="B181" s="4" t="s">
        <v>327</v>
      </c>
      <c r="C181" s="4" t="s">
        <v>67</v>
      </c>
      <c r="D181" s="4" t="s">
        <v>75</v>
      </c>
      <c r="E181" s="4" t="s">
        <v>311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935</v>
      </c>
      <c r="B182" s="9" t="s">
        <v>328</v>
      </c>
      <c r="C182" s="9" t="s">
        <v>67</v>
      </c>
      <c r="D182" s="9" t="s">
        <v>75</v>
      </c>
      <c r="E182" s="9" t="s">
        <v>241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941</v>
      </c>
      <c r="B183" s="4" t="s">
        <v>329</v>
      </c>
      <c r="C183" s="4" t="s">
        <v>67</v>
      </c>
      <c r="D183" s="4" t="s">
        <v>75</v>
      </c>
      <c r="E183" s="4" t="s">
        <v>241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960</v>
      </c>
      <c r="B184" s="9" t="s">
        <v>330</v>
      </c>
      <c r="C184" s="9" t="s">
        <v>67</v>
      </c>
      <c r="D184" s="9" t="s">
        <v>75</v>
      </c>
      <c r="E184" s="9" t="s">
        <v>331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0.38</v>
      </c>
    </row>
    <row r="185">
      <c r="A185" s="23">
        <v>972</v>
      </c>
      <c r="B185" s="4" t="s">
        <v>332</v>
      </c>
      <c r="C185" s="4" t="s">
        <v>67</v>
      </c>
      <c r="D185" s="4" t="s">
        <v>75</v>
      </c>
      <c r="E185" s="4" t="s">
        <v>331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3">
        <v>0</v>
      </c>
    </row>
    <row r="186">
      <c r="A186" s="24">
        <v>982</v>
      </c>
      <c r="B186" s="9" t="s">
        <v>333</v>
      </c>
      <c r="C186" s="9" t="s">
        <v>67</v>
      </c>
      <c r="D186" s="9" t="s">
        <v>75</v>
      </c>
      <c r="E186" s="9" t="s">
        <v>331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983</v>
      </c>
      <c r="B187" s="4" t="s">
        <v>334</v>
      </c>
      <c r="C187" s="4" t="s">
        <v>67</v>
      </c>
      <c r="D187" s="4" t="s">
        <v>75</v>
      </c>
      <c r="E187" s="4" t="s">
        <v>331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43">
        <v>0</v>
      </c>
    </row>
    <row r="188">
      <c r="A188" s="24">
        <v>1000</v>
      </c>
      <c r="B188" s="9" t="s">
        <v>335</v>
      </c>
      <c r="C188" s="9" t="s">
        <v>67</v>
      </c>
      <c r="D188" s="9" t="s">
        <v>75</v>
      </c>
      <c r="E188" s="9" t="s">
        <v>331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1005</v>
      </c>
      <c r="B189" s="4" t="s">
        <v>336</v>
      </c>
      <c r="C189" s="4" t="s">
        <v>67</v>
      </c>
      <c r="D189" s="4" t="s">
        <v>75</v>
      </c>
      <c r="E189" s="4" t="s">
        <v>331</v>
      </c>
      <c r="F189" s="6">
        <v>5</v>
      </c>
      <c r="G189" s="7">
        <v>0</v>
      </c>
      <c r="H189" s="7">
        <v>0</v>
      </c>
      <c r="I189" s="5">
        <v>5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</v>
      </c>
      <c r="V189" s="7">
        <v>0</v>
      </c>
      <c r="W189" s="7">
        <v>0</v>
      </c>
      <c r="X189" s="5">
        <v>4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2.5</v>
      </c>
      <c r="AL189" s="5">
        <v>2</v>
      </c>
      <c r="AM189" s="5">
        <v>3</v>
      </c>
      <c r="AN189" s="28">
        <v>1</v>
      </c>
    </row>
    <row r="190">
      <c r="A190" s="24">
        <v>1007</v>
      </c>
      <c r="B190" s="9" t="s">
        <v>337</v>
      </c>
      <c r="C190" s="9" t="s">
        <v>67</v>
      </c>
      <c r="D190" s="9" t="s">
        <v>75</v>
      </c>
      <c r="E190" s="9" t="s">
        <v>331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1011</v>
      </c>
      <c r="B191" s="4" t="s">
        <v>338</v>
      </c>
      <c r="C191" s="4" t="s">
        <v>67</v>
      </c>
      <c r="D191" s="4" t="s">
        <v>75</v>
      </c>
      <c r="E191" s="4" t="s">
        <v>331</v>
      </c>
      <c r="F191" s="6">
        <v>2</v>
      </c>
      <c r="G191" s="7">
        <v>0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7">
        <v>0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0.44</v>
      </c>
    </row>
    <row r="192">
      <c r="A192" s="24">
        <v>1013</v>
      </c>
      <c r="B192" s="9" t="s">
        <v>339</v>
      </c>
      <c r="C192" s="9" t="s">
        <v>67</v>
      </c>
      <c r="D192" s="9" t="s">
        <v>91</v>
      </c>
      <c r="E192" s="9" t="s">
        <v>340</v>
      </c>
      <c r="F192" s="11">
        <v>3</v>
      </c>
      <c r="G192" s="10">
        <v>3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3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30">
        <v>0</v>
      </c>
    </row>
    <row r="193">
      <c r="A193" s="23">
        <v>1015</v>
      </c>
      <c r="B193" s="4" t="s">
        <v>341</v>
      </c>
      <c r="C193" s="4" t="s">
        <v>67</v>
      </c>
      <c r="D193" s="4" t="s">
        <v>75</v>
      </c>
      <c r="E193" s="4" t="s">
        <v>331</v>
      </c>
      <c r="F193" s="6">
        <v>1</v>
      </c>
      <c r="G193" s="7">
        <v>0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3">
        <v>0</v>
      </c>
    </row>
    <row r="194">
      <c r="A194" s="24">
        <v>1026</v>
      </c>
      <c r="B194" s="9" t="s">
        <v>342</v>
      </c>
      <c r="C194" s="9" t="s">
        <v>67</v>
      </c>
      <c r="D194" s="9" t="s">
        <v>79</v>
      </c>
      <c r="E194" s="9" t="s">
        <v>343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1030</v>
      </c>
      <c r="B195" s="4" t="s">
        <v>344</v>
      </c>
      <c r="C195" s="4" t="s">
        <v>67</v>
      </c>
      <c r="D195" s="4" t="s">
        <v>134</v>
      </c>
      <c r="E195" s="4" t="s">
        <v>345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3">
        <v>0</v>
      </c>
    </row>
    <row r="196">
      <c r="A196" s="24">
        <v>1031</v>
      </c>
      <c r="B196" s="9" t="s">
        <v>346</v>
      </c>
      <c r="C196" s="9" t="s">
        <v>67</v>
      </c>
      <c r="D196" s="9" t="s">
        <v>75</v>
      </c>
      <c r="E196" s="9" t="s">
        <v>84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1045</v>
      </c>
      <c r="B197" s="4" t="s">
        <v>347</v>
      </c>
      <c r="C197" s="4" t="s">
        <v>177</v>
      </c>
      <c r="D197" s="4" t="s">
        <v>178</v>
      </c>
      <c r="E197" s="4" t="s">
        <v>189</v>
      </c>
      <c r="F197" s="6">
        <v>4</v>
      </c>
      <c r="G197" s="7">
        <v>0</v>
      </c>
      <c r="H197" s="7">
        <v>0</v>
      </c>
      <c r="I197" s="5">
        <v>1</v>
      </c>
      <c r="J197" s="5">
        <v>1</v>
      </c>
      <c r="K197" s="5">
        <v>2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7">
        <v>0</v>
      </c>
      <c r="W197" s="7">
        <v>0</v>
      </c>
      <c r="X197" s="5">
        <v>1</v>
      </c>
      <c r="Y197" s="5">
        <v>1</v>
      </c>
      <c r="Z197" s="5">
        <v>2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1.33</v>
      </c>
      <c r="AL197" s="5">
        <v>1</v>
      </c>
      <c r="AM197" s="5">
        <v>2</v>
      </c>
      <c r="AN197" s="43">
        <v>0</v>
      </c>
    </row>
    <row r="198">
      <c r="A198" s="24">
        <v>1053</v>
      </c>
      <c r="B198" s="9" t="s">
        <v>348</v>
      </c>
      <c r="C198" s="9" t="s">
        <v>67</v>
      </c>
      <c r="D198" s="9" t="s">
        <v>75</v>
      </c>
      <c r="E198" s="9" t="s">
        <v>76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1058</v>
      </c>
      <c r="B199" s="4" t="s">
        <v>349</v>
      </c>
      <c r="C199" s="4" t="s">
        <v>67</v>
      </c>
      <c r="D199" s="4" t="s">
        <v>99</v>
      </c>
      <c r="E199" s="4" t="s">
        <v>350</v>
      </c>
      <c r="F199" s="6">
        <v>1</v>
      </c>
      <c r="G199" s="7">
        <v>0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3">
        <v>0</v>
      </c>
    </row>
    <row r="200">
      <c r="A200" s="24">
        <v>1059</v>
      </c>
      <c r="B200" s="9" t="s">
        <v>351</v>
      </c>
      <c r="C200" s="9" t="s">
        <v>67</v>
      </c>
      <c r="D200" s="9" t="s">
        <v>91</v>
      </c>
      <c r="E200" s="9" t="s">
        <v>340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1067</v>
      </c>
      <c r="B201" s="4" t="s">
        <v>352</v>
      </c>
      <c r="C201" s="4" t="s">
        <v>67</v>
      </c>
      <c r="D201" s="4" t="s">
        <v>134</v>
      </c>
      <c r="E201" s="4" t="s">
        <v>232</v>
      </c>
      <c r="F201" s="6">
        <v>5</v>
      </c>
      <c r="G201" s="5">
        <v>1</v>
      </c>
      <c r="H201" s="5">
        <v>2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4</v>
      </c>
      <c r="V201" s="5">
        <v>1</v>
      </c>
      <c r="W201" s="5">
        <v>1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1.25</v>
      </c>
      <c r="AL201" s="5">
        <v>1</v>
      </c>
      <c r="AM201" s="5">
        <v>2</v>
      </c>
      <c r="AN201" s="28">
        <v>1.2</v>
      </c>
    </row>
    <row r="202">
      <c r="A202" s="24">
        <v>1072</v>
      </c>
      <c r="B202" s="9" t="s">
        <v>353</v>
      </c>
      <c r="C202" s="9" t="s">
        <v>67</v>
      </c>
      <c r="D202" s="9" t="s">
        <v>134</v>
      </c>
      <c r="E202" s="9" t="s">
        <v>135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0.35</v>
      </c>
    </row>
    <row r="203">
      <c r="A203" s="23">
        <v>1074</v>
      </c>
      <c r="B203" s="4" t="s">
        <v>354</v>
      </c>
      <c r="C203" s="4" t="s">
        <v>67</v>
      </c>
      <c r="D203" s="4" t="s">
        <v>134</v>
      </c>
      <c r="E203" s="4" t="s">
        <v>345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0.26</v>
      </c>
    </row>
    <row r="204">
      <c r="A204" s="24">
        <v>1080</v>
      </c>
      <c r="B204" s="9" t="s">
        <v>355</v>
      </c>
      <c r="C204" s="9" t="s">
        <v>67</v>
      </c>
      <c r="D204" s="9" t="s">
        <v>134</v>
      </c>
      <c r="E204" s="9" t="s">
        <v>135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1083</v>
      </c>
      <c r="B205" s="4" t="s">
        <v>356</v>
      </c>
      <c r="C205" s="4" t="s">
        <v>67</v>
      </c>
      <c r="D205" s="4" t="s">
        <v>134</v>
      </c>
      <c r="E205" s="4" t="s">
        <v>232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3">
        <v>0</v>
      </c>
    </row>
    <row r="206">
      <c r="A206" s="24">
        <v>1084</v>
      </c>
      <c r="B206" s="9" t="s">
        <v>357</v>
      </c>
      <c r="C206" s="9" t="s">
        <v>67</v>
      </c>
      <c r="D206" s="9" t="s">
        <v>134</v>
      </c>
      <c r="E206" s="9" t="s">
        <v>232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1089</v>
      </c>
      <c r="B207" s="4" t="s">
        <v>358</v>
      </c>
      <c r="C207" s="4" t="s">
        <v>67</v>
      </c>
      <c r="D207" s="4" t="s">
        <v>134</v>
      </c>
      <c r="E207" s="4" t="s">
        <v>345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3">
        <v>0</v>
      </c>
    </row>
    <row r="208">
      <c r="A208" s="24">
        <v>1097</v>
      </c>
      <c r="B208" s="9" t="s">
        <v>359</v>
      </c>
      <c r="C208" s="9" t="s">
        <v>67</v>
      </c>
      <c r="D208" s="9" t="s">
        <v>86</v>
      </c>
      <c r="E208" s="9" t="s">
        <v>87</v>
      </c>
      <c r="F208" s="11">
        <v>2</v>
      </c>
      <c r="G208" s="10">
        <v>1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1105</v>
      </c>
      <c r="B209" s="4" t="s">
        <v>360</v>
      </c>
      <c r="C209" s="4" t="s">
        <v>67</v>
      </c>
      <c r="D209" s="4" t="s">
        <v>71</v>
      </c>
      <c r="E209" s="4" t="s">
        <v>361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1125</v>
      </c>
      <c r="B210" s="9" t="s">
        <v>362</v>
      </c>
      <c r="C210" s="9" t="s">
        <v>67</v>
      </c>
      <c r="D210" s="9" t="s">
        <v>75</v>
      </c>
      <c r="E210" s="9" t="s">
        <v>261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0.22</v>
      </c>
    </row>
    <row r="211">
      <c r="A211" s="23">
        <v>1166</v>
      </c>
      <c r="B211" s="4" t="s">
        <v>363</v>
      </c>
      <c r="C211" s="4" t="s">
        <v>67</v>
      </c>
      <c r="D211" s="4" t="s">
        <v>134</v>
      </c>
      <c r="E211" s="4" t="s">
        <v>135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43">
        <v>0</v>
      </c>
    </row>
    <row r="212">
      <c r="A212" s="24">
        <v>1195</v>
      </c>
      <c r="B212" s="9" t="s">
        <v>364</v>
      </c>
      <c r="C212" s="9" t="s">
        <v>67</v>
      </c>
      <c r="D212" s="9" t="s">
        <v>71</v>
      </c>
      <c r="E212" s="9" t="s">
        <v>118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0.36</v>
      </c>
    </row>
    <row r="213">
      <c r="A213" s="23">
        <v>1245</v>
      </c>
      <c r="B213" s="4" t="s">
        <v>365</v>
      </c>
      <c r="C213" s="4" t="s">
        <v>67</v>
      </c>
      <c r="D213" s="4" t="s">
        <v>79</v>
      </c>
      <c r="E213" s="4" t="s">
        <v>80</v>
      </c>
      <c r="F213" s="6">
        <v>2</v>
      </c>
      <c r="G213" s="5">
        <v>1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43">
        <v>0</v>
      </c>
    </row>
    <row r="214">
      <c r="A214" s="24">
        <v>1260</v>
      </c>
      <c r="B214" s="9" t="s">
        <v>366</v>
      </c>
      <c r="C214" s="9" t="s">
        <v>67</v>
      </c>
      <c r="D214" s="9" t="s">
        <v>159</v>
      </c>
      <c r="E214" s="9" t="s">
        <v>367</v>
      </c>
      <c r="F214" s="11">
        <v>7</v>
      </c>
      <c r="G214" s="10">
        <v>3</v>
      </c>
      <c r="H214" s="10">
        <v>1</v>
      </c>
      <c r="I214" s="12">
        <v>0</v>
      </c>
      <c r="J214" s="10">
        <v>3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7</v>
      </c>
      <c r="V214" s="10">
        <v>3</v>
      </c>
      <c r="W214" s="10">
        <v>1</v>
      </c>
      <c r="X214" s="12">
        <v>0</v>
      </c>
      <c r="Y214" s="10">
        <v>3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1.17</v>
      </c>
      <c r="AL214" s="10">
        <v>1</v>
      </c>
      <c r="AM214" s="10">
        <v>2</v>
      </c>
      <c r="AN214" s="29">
        <v>2.02</v>
      </c>
    </row>
    <row r="215">
      <c r="A215" s="23">
        <v>1274</v>
      </c>
      <c r="B215" s="4" t="s">
        <v>368</v>
      </c>
      <c r="C215" s="4" t="s">
        <v>177</v>
      </c>
      <c r="D215" s="4" t="s">
        <v>178</v>
      </c>
      <c r="E215" s="4" t="s">
        <v>179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3">
        <v>0</v>
      </c>
    </row>
    <row r="216">
      <c r="A216" s="24">
        <v>1275</v>
      </c>
      <c r="B216" s="9" t="s">
        <v>369</v>
      </c>
      <c r="C216" s="9" t="s">
        <v>177</v>
      </c>
      <c r="D216" s="9" t="s">
        <v>178</v>
      </c>
      <c r="E216" s="9" t="s">
        <v>179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1331</v>
      </c>
      <c r="B217" s="4" t="s">
        <v>370</v>
      </c>
      <c r="C217" s="4" t="s">
        <v>67</v>
      </c>
      <c r="D217" s="4" t="s">
        <v>86</v>
      </c>
      <c r="E217" s="4" t="s">
        <v>146</v>
      </c>
      <c r="F217" s="6">
        <v>1</v>
      </c>
      <c r="G217" s="7">
        <v>0</v>
      </c>
      <c r="H217" s="7">
        <v>0</v>
      </c>
      <c r="I217" s="5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5">
        <v>1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0.24</v>
      </c>
    </row>
    <row r="218">
      <c r="A218" s="24">
        <v>1337</v>
      </c>
      <c r="B218" s="9" t="s">
        <v>371</v>
      </c>
      <c r="C218" s="9" t="s">
        <v>67</v>
      </c>
      <c r="D218" s="9" t="s">
        <v>79</v>
      </c>
      <c r="E218" s="9" t="s">
        <v>80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0.36</v>
      </c>
    </row>
    <row r="219">
      <c r="A219" s="23">
        <v>1368</v>
      </c>
      <c r="B219" s="4" t="s">
        <v>372</v>
      </c>
      <c r="C219" s="4" t="s">
        <v>67</v>
      </c>
      <c r="D219" s="4" t="s">
        <v>75</v>
      </c>
      <c r="E219" s="4" t="s">
        <v>373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0.37</v>
      </c>
    </row>
    <row r="220">
      <c r="A220" s="24">
        <v>1392</v>
      </c>
      <c r="B220" s="9" t="s">
        <v>374</v>
      </c>
      <c r="C220" s="9" t="s">
        <v>67</v>
      </c>
      <c r="D220" s="9" t="s">
        <v>71</v>
      </c>
      <c r="E220" s="9" t="s">
        <v>118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1438</v>
      </c>
      <c r="B221" s="4" t="s">
        <v>375</v>
      </c>
      <c r="C221" s="4" t="s">
        <v>67</v>
      </c>
      <c r="D221" s="4" t="s">
        <v>75</v>
      </c>
      <c r="E221" s="4" t="s">
        <v>120</v>
      </c>
      <c r="F221" s="6">
        <v>6</v>
      </c>
      <c r="G221" s="5">
        <v>4</v>
      </c>
      <c r="H221" s="7">
        <v>0</v>
      </c>
      <c r="I221" s="7">
        <v>0</v>
      </c>
      <c r="J221" s="7">
        <v>0</v>
      </c>
      <c r="K221" s="5">
        <v>2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6</v>
      </c>
      <c r="V221" s="5">
        <v>4</v>
      </c>
      <c r="W221" s="7">
        <v>0</v>
      </c>
      <c r="X221" s="7">
        <v>0</v>
      </c>
      <c r="Y221" s="7">
        <v>0</v>
      </c>
      <c r="Z221" s="5">
        <v>2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3</v>
      </c>
      <c r="AL221" s="5">
        <v>3</v>
      </c>
      <c r="AM221" s="5">
        <v>4</v>
      </c>
      <c r="AN221" s="28">
        <v>1.76</v>
      </c>
    </row>
    <row r="222">
      <c r="A222" s="24">
        <v>1558</v>
      </c>
      <c r="B222" s="9" t="s">
        <v>376</v>
      </c>
      <c r="C222" s="9" t="s">
        <v>377</v>
      </c>
      <c r="D222" s="9" t="s">
        <v>378</v>
      </c>
      <c r="E222" s="9" t="s">
        <v>379</v>
      </c>
      <c r="F222" s="11">
        <v>2</v>
      </c>
      <c r="G222" s="12">
        <v>0</v>
      </c>
      <c r="H222" s="12">
        <v>0</v>
      </c>
      <c r="I222" s="10">
        <v>2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2">
        <v>0</v>
      </c>
      <c r="W222" s="12">
        <v>0</v>
      </c>
      <c r="X222" s="10">
        <v>2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1561</v>
      </c>
      <c r="B223" s="4" t="s">
        <v>380</v>
      </c>
      <c r="C223" s="4" t="s">
        <v>67</v>
      </c>
      <c r="D223" s="4" t="s">
        <v>125</v>
      </c>
      <c r="E223" s="4" t="s">
        <v>381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3">
        <v>0</v>
      </c>
    </row>
    <row r="224">
      <c r="A224" s="24">
        <v>1606</v>
      </c>
      <c r="B224" s="9" t="s">
        <v>382</v>
      </c>
      <c r="C224" s="9" t="s">
        <v>67</v>
      </c>
      <c r="D224" s="9" t="s">
        <v>134</v>
      </c>
      <c r="E224" s="9" t="s">
        <v>135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1614</v>
      </c>
      <c r="B225" s="4" t="s">
        <v>383</v>
      </c>
      <c r="C225" s="4" t="s">
        <v>67</v>
      </c>
      <c r="D225" s="4" t="s">
        <v>75</v>
      </c>
      <c r="E225" s="4" t="s">
        <v>331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1616</v>
      </c>
      <c r="B226" s="9" t="s">
        <v>384</v>
      </c>
      <c r="C226" s="9" t="s">
        <v>142</v>
      </c>
      <c r="D226" s="9" t="s">
        <v>385</v>
      </c>
      <c r="E226" s="9" t="s">
        <v>386</v>
      </c>
      <c r="F226" s="11">
        <v>1</v>
      </c>
      <c r="G226" s="12">
        <v>0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0.24</v>
      </c>
    </row>
    <row r="227">
      <c r="A227" s="23">
        <v>1619</v>
      </c>
      <c r="B227" s="4" t="s">
        <v>387</v>
      </c>
      <c r="C227" s="4" t="s">
        <v>67</v>
      </c>
      <c r="D227" s="4" t="s">
        <v>125</v>
      </c>
      <c r="E227" s="4" t="s">
        <v>126</v>
      </c>
      <c r="F227" s="6">
        <v>9</v>
      </c>
      <c r="G227" s="5">
        <v>2</v>
      </c>
      <c r="H227" s="7">
        <v>0</v>
      </c>
      <c r="I227" s="5">
        <v>4</v>
      </c>
      <c r="J227" s="7">
        <v>0</v>
      </c>
      <c r="K227" s="7">
        <v>0</v>
      </c>
      <c r="L227" s="5">
        <v>1</v>
      </c>
      <c r="M227" s="7">
        <v>0</v>
      </c>
      <c r="N227" s="5">
        <v>2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7</v>
      </c>
      <c r="V227" s="5">
        <v>2</v>
      </c>
      <c r="W227" s="7">
        <v>0</v>
      </c>
      <c r="X227" s="5">
        <v>3</v>
      </c>
      <c r="Y227" s="7">
        <v>0</v>
      </c>
      <c r="Z227" s="7">
        <v>0</v>
      </c>
      <c r="AA227" s="5">
        <v>1</v>
      </c>
      <c r="AB227" s="7">
        <v>0</v>
      </c>
      <c r="AC227" s="5">
        <v>1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2.25</v>
      </c>
      <c r="AL227" s="5">
        <v>2</v>
      </c>
      <c r="AM227" s="5">
        <v>4</v>
      </c>
      <c r="AN227" s="43">
        <v>0</v>
      </c>
    </row>
    <row r="228">
      <c r="A228" s="24">
        <v>1625</v>
      </c>
      <c r="B228" s="9" t="s">
        <v>388</v>
      </c>
      <c r="C228" s="9" t="s">
        <v>67</v>
      </c>
      <c r="D228" s="9" t="s">
        <v>71</v>
      </c>
      <c r="E228" s="9" t="s">
        <v>169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0.72</v>
      </c>
    </row>
    <row r="229">
      <c r="A229" s="23">
        <v>1629</v>
      </c>
      <c r="B229" s="4" t="s">
        <v>389</v>
      </c>
      <c r="C229" s="4" t="s">
        <v>67</v>
      </c>
      <c r="D229" s="4" t="s">
        <v>111</v>
      </c>
      <c r="E229" s="4" t="s">
        <v>150</v>
      </c>
      <c r="F229" s="6">
        <v>1</v>
      </c>
      <c r="G229" s="7">
        <v>0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0.22</v>
      </c>
    </row>
    <row r="230">
      <c r="A230" s="24">
        <v>1635</v>
      </c>
      <c r="B230" s="9" t="s">
        <v>390</v>
      </c>
      <c r="C230" s="9" t="s">
        <v>67</v>
      </c>
      <c r="D230" s="9" t="s">
        <v>86</v>
      </c>
      <c r="E230" s="9" t="s">
        <v>87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1665</v>
      </c>
      <c r="B231" s="4" t="s">
        <v>391</v>
      </c>
      <c r="C231" s="4" t="s">
        <v>67</v>
      </c>
      <c r="D231" s="4" t="s">
        <v>75</v>
      </c>
      <c r="E231" s="4" t="s">
        <v>84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3">
        <v>0</v>
      </c>
    </row>
    <row r="232">
      <c r="A232" s="24">
        <v>1697</v>
      </c>
      <c r="B232" s="9" t="s">
        <v>392</v>
      </c>
      <c r="C232" s="9" t="s">
        <v>67</v>
      </c>
      <c r="D232" s="9" t="s">
        <v>111</v>
      </c>
      <c r="E232" s="9" t="s">
        <v>153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1711</v>
      </c>
      <c r="B233" s="4" t="s">
        <v>393</v>
      </c>
      <c r="C233" s="4" t="s">
        <v>67</v>
      </c>
      <c r="D233" s="4" t="s">
        <v>104</v>
      </c>
      <c r="E233" s="4" t="s">
        <v>156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7">
        <v>0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28">
        <v>0.52</v>
      </c>
    </row>
    <row r="234">
      <c r="A234" s="24">
        <v>1722</v>
      </c>
      <c r="B234" s="9" t="s">
        <v>394</v>
      </c>
      <c r="C234" s="9" t="s">
        <v>67</v>
      </c>
      <c r="D234" s="9" t="s">
        <v>86</v>
      </c>
      <c r="E234" s="9" t="s">
        <v>94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0.26</v>
      </c>
    </row>
    <row r="235">
      <c r="A235" s="23">
        <v>1723</v>
      </c>
      <c r="B235" s="4" t="s">
        <v>395</v>
      </c>
      <c r="C235" s="4" t="s">
        <v>67</v>
      </c>
      <c r="D235" s="4" t="s">
        <v>86</v>
      </c>
      <c r="E235" s="4" t="s">
        <v>94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1744</v>
      </c>
      <c r="B236" s="9" t="s">
        <v>396</v>
      </c>
      <c r="C236" s="9" t="s">
        <v>67</v>
      </c>
      <c r="D236" s="9" t="s">
        <v>86</v>
      </c>
      <c r="E236" s="9" t="s">
        <v>94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0.24</v>
      </c>
    </row>
    <row r="237">
      <c r="A237" s="23">
        <v>1758</v>
      </c>
      <c r="B237" s="4" t="s">
        <v>397</v>
      </c>
      <c r="C237" s="4" t="s">
        <v>67</v>
      </c>
      <c r="D237" s="4" t="s">
        <v>111</v>
      </c>
      <c r="E237" s="4" t="s">
        <v>221</v>
      </c>
      <c r="F237" s="6">
        <v>8</v>
      </c>
      <c r="G237" s="5">
        <v>5</v>
      </c>
      <c r="H237" s="5">
        <v>1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6</v>
      </c>
      <c r="V237" s="5">
        <v>3</v>
      </c>
      <c r="W237" s="5">
        <v>1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28">
        <v>0.82</v>
      </c>
    </row>
    <row r="238">
      <c r="A238" s="24">
        <v>1760</v>
      </c>
      <c r="B238" s="9" t="s">
        <v>398</v>
      </c>
      <c r="C238" s="9" t="s">
        <v>67</v>
      </c>
      <c r="D238" s="9" t="s">
        <v>86</v>
      </c>
      <c r="E238" s="9" t="s">
        <v>94</v>
      </c>
      <c r="F238" s="11">
        <v>3</v>
      </c>
      <c r="G238" s="10">
        <v>3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30">
        <v>0</v>
      </c>
    </row>
    <row r="239">
      <c r="A239" s="23">
        <v>1762</v>
      </c>
      <c r="B239" s="4" t="s">
        <v>399</v>
      </c>
      <c r="C239" s="4" t="s">
        <v>67</v>
      </c>
      <c r="D239" s="4" t="s">
        <v>111</v>
      </c>
      <c r="E239" s="4" t="s">
        <v>221</v>
      </c>
      <c r="F239" s="6">
        <v>3</v>
      </c>
      <c r="G239" s="5">
        <v>1</v>
      </c>
      <c r="H239" s="7">
        <v>0</v>
      </c>
      <c r="I239" s="5">
        <v>1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1</v>
      </c>
      <c r="W239" s="7">
        <v>0</v>
      </c>
      <c r="X239" s="5">
        <v>1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1768</v>
      </c>
      <c r="B240" s="9" t="s">
        <v>400</v>
      </c>
      <c r="C240" s="9" t="s">
        <v>67</v>
      </c>
      <c r="D240" s="9" t="s">
        <v>86</v>
      </c>
      <c r="E240" s="9" t="s">
        <v>94</v>
      </c>
      <c r="F240" s="11">
        <v>2</v>
      </c>
      <c r="G240" s="12">
        <v>0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2">
        <v>0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0.5</v>
      </c>
    </row>
    <row r="241">
      <c r="A241" s="23">
        <v>1769</v>
      </c>
      <c r="B241" s="4" t="s">
        <v>401</v>
      </c>
      <c r="C241" s="4" t="s">
        <v>67</v>
      </c>
      <c r="D241" s="4" t="s">
        <v>86</v>
      </c>
      <c r="E241" s="4" t="s">
        <v>94</v>
      </c>
      <c r="F241" s="6">
        <v>5</v>
      </c>
      <c r="G241" s="7">
        <v>0</v>
      </c>
      <c r="H241" s="7">
        <v>0</v>
      </c>
      <c r="I241" s="5">
        <v>1</v>
      </c>
      <c r="J241" s="5">
        <v>4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7">
        <v>0</v>
      </c>
      <c r="W241" s="7">
        <v>0</v>
      </c>
      <c r="X241" s="5">
        <v>1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2.5</v>
      </c>
      <c r="AL241" s="5">
        <v>2</v>
      </c>
      <c r="AM241" s="5">
        <v>4</v>
      </c>
      <c r="AN241" s="28">
        <v>1.04</v>
      </c>
    </row>
    <row r="242">
      <c r="A242" s="24">
        <v>1772</v>
      </c>
      <c r="B242" s="9" t="s">
        <v>402</v>
      </c>
      <c r="C242" s="9" t="s">
        <v>67</v>
      </c>
      <c r="D242" s="9" t="s">
        <v>86</v>
      </c>
      <c r="E242" s="9" t="s">
        <v>94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29">
        <v>0.74</v>
      </c>
    </row>
    <row r="243">
      <c r="A243" s="23">
        <v>1775</v>
      </c>
      <c r="B243" s="4" t="s">
        <v>403</v>
      </c>
      <c r="C243" s="4" t="s">
        <v>67</v>
      </c>
      <c r="D243" s="4" t="s">
        <v>86</v>
      </c>
      <c r="E243" s="4" t="s">
        <v>94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3">
        <v>0</v>
      </c>
    </row>
    <row r="244">
      <c r="A244" s="24">
        <v>1777</v>
      </c>
      <c r="B244" s="9" t="s">
        <v>404</v>
      </c>
      <c r="C244" s="9" t="s">
        <v>177</v>
      </c>
      <c r="D244" s="9" t="s">
        <v>178</v>
      </c>
      <c r="E244" s="9" t="s">
        <v>179</v>
      </c>
      <c r="F244" s="11">
        <v>2</v>
      </c>
      <c r="G244" s="10">
        <v>1</v>
      </c>
      <c r="H244" s="12">
        <v>0</v>
      </c>
      <c r="I244" s="12">
        <v>0</v>
      </c>
      <c r="J244" s="12">
        <v>0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1</v>
      </c>
      <c r="W244" s="12">
        <v>0</v>
      </c>
      <c r="X244" s="12">
        <v>0</v>
      </c>
      <c r="Y244" s="12">
        <v>0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1779</v>
      </c>
      <c r="B245" s="4" t="s">
        <v>405</v>
      </c>
      <c r="C245" s="4" t="s">
        <v>142</v>
      </c>
      <c r="D245" s="4" t="s">
        <v>406</v>
      </c>
      <c r="E245" s="4" t="s">
        <v>407</v>
      </c>
      <c r="F245" s="6">
        <v>11</v>
      </c>
      <c r="G245" s="5">
        <v>6</v>
      </c>
      <c r="H245" s="5">
        <v>2</v>
      </c>
      <c r="I245" s="7">
        <v>0</v>
      </c>
      <c r="J245" s="5">
        <v>1</v>
      </c>
      <c r="K245" s="5">
        <v>2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11</v>
      </c>
      <c r="V245" s="5">
        <v>6</v>
      </c>
      <c r="W245" s="5">
        <v>2</v>
      </c>
      <c r="X245" s="7">
        <v>0</v>
      </c>
      <c r="Y245" s="5">
        <v>1</v>
      </c>
      <c r="Z245" s="5">
        <v>2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2.2</v>
      </c>
      <c r="AL245" s="5">
        <v>2</v>
      </c>
      <c r="AM245" s="5">
        <v>5</v>
      </c>
      <c r="AN245" s="43">
        <v>0</v>
      </c>
    </row>
    <row r="246">
      <c r="A246" s="24">
        <v>1806</v>
      </c>
      <c r="B246" s="9" t="s">
        <v>408</v>
      </c>
      <c r="C246" s="9" t="s">
        <v>67</v>
      </c>
      <c r="D246" s="9" t="s">
        <v>159</v>
      </c>
      <c r="E246" s="9" t="s">
        <v>160</v>
      </c>
      <c r="F246" s="11">
        <v>4</v>
      </c>
      <c r="G246" s="10">
        <v>1</v>
      </c>
      <c r="H246" s="10">
        <v>1</v>
      </c>
      <c r="I246" s="10">
        <v>1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1</v>
      </c>
      <c r="W246" s="10">
        <v>1</v>
      </c>
      <c r="X246" s="10">
        <v>1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0.37</v>
      </c>
    </row>
    <row r="247">
      <c r="A247" s="23">
        <v>1808</v>
      </c>
      <c r="B247" s="4" t="s">
        <v>409</v>
      </c>
      <c r="C247" s="4" t="s">
        <v>67</v>
      </c>
      <c r="D247" s="4" t="s">
        <v>86</v>
      </c>
      <c r="E247" s="4" t="s">
        <v>87</v>
      </c>
      <c r="F247" s="6">
        <v>4</v>
      </c>
      <c r="G247" s="5">
        <v>1</v>
      </c>
      <c r="H247" s="7">
        <v>0</v>
      </c>
      <c r="I247" s="7">
        <v>0</v>
      </c>
      <c r="J247" s="5">
        <v>3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4</v>
      </c>
      <c r="V247" s="5">
        <v>1</v>
      </c>
      <c r="W247" s="7">
        <v>0</v>
      </c>
      <c r="X247" s="7">
        <v>0</v>
      </c>
      <c r="Y247" s="5">
        <v>3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1.33</v>
      </c>
      <c r="AL247" s="5">
        <v>1</v>
      </c>
      <c r="AM247" s="5">
        <v>2</v>
      </c>
      <c r="AN247" s="28">
        <v>1</v>
      </c>
    </row>
    <row r="248">
      <c r="A248" s="24">
        <v>1815</v>
      </c>
      <c r="B248" s="9" t="s">
        <v>410</v>
      </c>
      <c r="C248" s="9" t="s">
        <v>67</v>
      </c>
      <c r="D248" s="9" t="s">
        <v>111</v>
      </c>
      <c r="E248" s="9" t="s">
        <v>153</v>
      </c>
      <c r="F248" s="11">
        <v>3</v>
      </c>
      <c r="G248" s="10">
        <v>1</v>
      </c>
      <c r="H248" s="12">
        <v>0</v>
      </c>
      <c r="I248" s="10">
        <v>2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3</v>
      </c>
      <c r="V248" s="10">
        <v>1</v>
      </c>
      <c r="W248" s="12">
        <v>0</v>
      </c>
      <c r="X248" s="10">
        <v>2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29">
        <v>0.75</v>
      </c>
    </row>
    <row r="249">
      <c r="A249" s="23">
        <v>1816</v>
      </c>
      <c r="B249" s="4" t="s">
        <v>411</v>
      </c>
      <c r="C249" s="4" t="s">
        <v>142</v>
      </c>
      <c r="D249" s="4" t="s">
        <v>406</v>
      </c>
      <c r="E249" s="4" t="s">
        <v>412</v>
      </c>
      <c r="F249" s="6">
        <v>6</v>
      </c>
      <c r="G249" s="5">
        <v>2</v>
      </c>
      <c r="H249" s="5">
        <v>1</v>
      </c>
      <c r="I249" s="7">
        <v>0</v>
      </c>
      <c r="J249" s="5">
        <v>2</v>
      </c>
      <c r="K249" s="7">
        <v>0</v>
      </c>
      <c r="L249" s="5">
        <v>1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5">
        <v>2</v>
      </c>
      <c r="W249" s="5">
        <v>1</v>
      </c>
      <c r="X249" s="7">
        <v>0</v>
      </c>
      <c r="Y249" s="5">
        <v>2</v>
      </c>
      <c r="Z249" s="7">
        <v>0</v>
      </c>
      <c r="AA249" s="5">
        <v>1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1.2</v>
      </c>
      <c r="AL249" s="5">
        <v>1</v>
      </c>
      <c r="AM249" s="5">
        <v>2</v>
      </c>
      <c r="AN249" s="28">
        <v>0.96</v>
      </c>
    </row>
    <row r="250">
      <c r="A250" s="24">
        <v>1817</v>
      </c>
      <c r="B250" s="9" t="s">
        <v>413</v>
      </c>
      <c r="C250" s="9" t="s">
        <v>142</v>
      </c>
      <c r="D250" s="9" t="s">
        <v>406</v>
      </c>
      <c r="E250" s="9" t="s">
        <v>414</v>
      </c>
      <c r="F250" s="11">
        <v>2</v>
      </c>
      <c r="G250" s="12">
        <v>0</v>
      </c>
      <c r="H250" s="10">
        <v>1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2">
        <v>0</v>
      </c>
      <c r="W250" s="10">
        <v>1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0.61</v>
      </c>
    </row>
    <row r="251">
      <c r="A251" s="23">
        <v>1820</v>
      </c>
      <c r="B251" s="4" t="s">
        <v>415</v>
      </c>
      <c r="C251" s="4" t="s">
        <v>67</v>
      </c>
      <c r="D251" s="4" t="s">
        <v>104</v>
      </c>
      <c r="E251" s="4" t="s">
        <v>156</v>
      </c>
      <c r="F251" s="6">
        <v>7</v>
      </c>
      <c r="G251" s="5">
        <v>1</v>
      </c>
      <c r="H251" s="7">
        <v>0</v>
      </c>
      <c r="I251" s="7">
        <v>0</v>
      </c>
      <c r="J251" s="5">
        <v>6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5</v>
      </c>
      <c r="V251" s="5">
        <v>1</v>
      </c>
      <c r="W251" s="7">
        <v>0</v>
      </c>
      <c r="X251" s="7">
        <v>0</v>
      </c>
      <c r="Y251" s="5">
        <v>4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3.5</v>
      </c>
      <c r="AL251" s="5">
        <v>3</v>
      </c>
      <c r="AM251" s="5">
        <v>6</v>
      </c>
      <c r="AN251" s="28">
        <v>1</v>
      </c>
    </row>
    <row r="252">
      <c r="A252" s="24">
        <v>1821</v>
      </c>
      <c r="B252" s="9" t="s">
        <v>416</v>
      </c>
      <c r="C252" s="9" t="s">
        <v>177</v>
      </c>
      <c r="D252" s="9" t="s">
        <v>417</v>
      </c>
      <c r="E252" s="9" t="s">
        <v>379</v>
      </c>
      <c r="F252" s="11">
        <v>1</v>
      </c>
      <c r="G252" s="12">
        <v>0</v>
      </c>
      <c r="H252" s="12">
        <v>0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1824</v>
      </c>
      <c r="B253" s="4" t="s">
        <v>418</v>
      </c>
      <c r="C253" s="4" t="s">
        <v>142</v>
      </c>
      <c r="D253" s="4" t="s">
        <v>406</v>
      </c>
      <c r="E253" s="4" t="s">
        <v>412</v>
      </c>
      <c r="F253" s="6">
        <v>11</v>
      </c>
      <c r="G253" s="5">
        <v>2</v>
      </c>
      <c r="H253" s="7">
        <v>0</v>
      </c>
      <c r="I253" s="5">
        <v>8</v>
      </c>
      <c r="J253" s="7">
        <v>0</v>
      </c>
      <c r="K253" s="7">
        <v>0</v>
      </c>
      <c r="L253" s="7">
        <v>0</v>
      </c>
      <c r="M253" s="7">
        <v>0</v>
      </c>
      <c r="N253" s="5">
        <v>1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10</v>
      </c>
      <c r="V253" s="5">
        <v>2</v>
      </c>
      <c r="W253" s="7">
        <v>0</v>
      </c>
      <c r="X253" s="5">
        <v>7</v>
      </c>
      <c r="Y253" s="7">
        <v>0</v>
      </c>
      <c r="Z253" s="7">
        <v>0</v>
      </c>
      <c r="AA253" s="7">
        <v>0</v>
      </c>
      <c r="AB253" s="7">
        <v>0</v>
      </c>
      <c r="AC253" s="5">
        <v>1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3.67</v>
      </c>
      <c r="AL253" s="5">
        <v>2</v>
      </c>
      <c r="AM253" s="5">
        <v>8</v>
      </c>
      <c r="AN253" s="43">
        <v>0</v>
      </c>
    </row>
    <row r="254">
      <c r="A254" s="24">
        <v>1825</v>
      </c>
      <c r="B254" s="9" t="s">
        <v>419</v>
      </c>
      <c r="C254" s="9" t="s">
        <v>142</v>
      </c>
      <c r="D254" s="9" t="s">
        <v>406</v>
      </c>
      <c r="E254" s="9" t="s">
        <v>414</v>
      </c>
      <c r="F254" s="11">
        <v>1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1826</v>
      </c>
      <c r="B255" s="4" t="s">
        <v>420</v>
      </c>
      <c r="C255" s="4" t="s">
        <v>67</v>
      </c>
      <c r="D255" s="4" t="s">
        <v>71</v>
      </c>
      <c r="E255" s="4" t="s">
        <v>169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0.33</v>
      </c>
    </row>
    <row r="256">
      <c r="A256" s="24">
        <v>1827</v>
      </c>
      <c r="B256" s="9" t="s">
        <v>421</v>
      </c>
      <c r="C256" s="9" t="s">
        <v>142</v>
      </c>
      <c r="D256" s="9" t="s">
        <v>406</v>
      </c>
      <c r="E256" s="9" t="s">
        <v>414</v>
      </c>
      <c r="F256" s="11">
        <v>1</v>
      </c>
      <c r="G256" s="12">
        <v>0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1833</v>
      </c>
      <c r="B257" s="4" t="s">
        <v>422</v>
      </c>
      <c r="C257" s="4" t="s">
        <v>67</v>
      </c>
      <c r="D257" s="4" t="s">
        <v>111</v>
      </c>
      <c r="E257" s="4" t="s">
        <v>153</v>
      </c>
      <c r="F257" s="6">
        <v>3</v>
      </c>
      <c r="G257" s="5">
        <v>3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3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0.95</v>
      </c>
    </row>
    <row r="258">
      <c r="A258" s="24">
        <v>1836</v>
      </c>
      <c r="B258" s="9" t="s">
        <v>423</v>
      </c>
      <c r="C258" s="9" t="s">
        <v>67</v>
      </c>
      <c r="D258" s="9" t="s">
        <v>71</v>
      </c>
      <c r="E258" s="9" t="s">
        <v>424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1839</v>
      </c>
      <c r="B259" s="4" t="s">
        <v>425</v>
      </c>
      <c r="C259" s="4" t="s">
        <v>67</v>
      </c>
      <c r="D259" s="4" t="s">
        <v>75</v>
      </c>
      <c r="E259" s="4" t="s">
        <v>120</v>
      </c>
      <c r="F259" s="6">
        <v>6</v>
      </c>
      <c r="G259" s="5">
        <v>6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3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3</v>
      </c>
      <c r="AL259" s="5">
        <v>3</v>
      </c>
      <c r="AM259" s="5">
        <v>4</v>
      </c>
      <c r="AN259" s="28">
        <v>0.72</v>
      </c>
    </row>
    <row r="260">
      <c r="A260" s="24">
        <v>1840</v>
      </c>
      <c r="B260" s="9" t="s">
        <v>426</v>
      </c>
      <c r="C260" s="9" t="s">
        <v>67</v>
      </c>
      <c r="D260" s="9" t="s">
        <v>108</v>
      </c>
      <c r="E260" s="9" t="s">
        <v>109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1841</v>
      </c>
      <c r="B261" s="4" t="s">
        <v>427</v>
      </c>
      <c r="C261" s="4" t="s">
        <v>67</v>
      </c>
      <c r="D261" s="4" t="s">
        <v>91</v>
      </c>
      <c r="E261" s="4" t="s">
        <v>340</v>
      </c>
      <c r="F261" s="6">
        <v>5</v>
      </c>
      <c r="G261" s="5">
        <v>5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5">
        <v>3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5</v>
      </c>
      <c r="AK261" s="8">
        <v>5</v>
      </c>
      <c r="AL261" s="5">
        <v>5</v>
      </c>
      <c r="AM261" s="5">
        <v>5</v>
      </c>
      <c r="AN261" s="28">
        <v>0.75</v>
      </c>
    </row>
    <row r="262">
      <c r="A262" s="24">
        <v>1844</v>
      </c>
      <c r="B262" s="9" t="s">
        <v>428</v>
      </c>
      <c r="C262" s="9" t="s">
        <v>67</v>
      </c>
      <c r="D262" s="9" t="s">
        <v>134</v>
      </c>
      <c r="E262" s="9" t="s">
        <v>429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30">
        <v>0</v>
      </c>
    </row>
    <row r="263">
      <c r="A263" s="23">
        <v>1866</v>
      </c>
      <c r="B263" s="4" t="s">
        <v>430</v>
      </c>
      <c r="C263" s="4" t="s">
        <v>67</v>
      </c>
      <c r="D263" s="4" t="s">
        <v>111</v>
      </c>
      <c r="E263" s="4" t="s">
        <v>150</v>
      </c>
      <c r="F263" s="6">
        <v>4</v>
      </c>
      <c r="G263" s="5">
        <v>4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4</v>
      </c>
      <c r="V263" s="5">
        <v>4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1.24</v>
      </c>
    </row>
    <row r="264">
      <c r="A264" s="24">
        <v>1868</v>
      </c>
      <c r="B264" s="9" t="s">
        <v>431</v>
      </c>
      <c r="C264" s="9" t="s">
        <v>67</v>
      </c>
      <c r="D264" s="9" t="s">
        <v>111</v>
      </c>
      <c r="E264" s="9" t="s">
        <v>150</v>
      </c>
      <c r="F264" s="11">
        <v>5</v>
      </c>
      <c r="G264" s="10">
        <v>5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4</v>
      </c>
      <c r="V264" s="10">
        <v>4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5</v>
      </c>
      <c r="AK264" s="13">
        <v>5</v>
      </c>
      <c r="AL264" s="10">
        <v>5</v>
      </c>
      <c r="AM264" s="10">
        <v>5</v>
      </c>
      <c r="AN264" s="30">
        <v>0</v>
      </c>
    </row>
    <row r="265">
      <c r="A265" s="23">
        <v>1870</v>
      </c>
      <c r="B265" s="4" t="s">
        <v>432</v>
      </c>
      <c r="C265" s="4" t="s">
        <v>67</v>
      </c>
      <c r="D265" s="4" t="s">
        <v>111</v>
      </c>
      <c r="E265" s="4" t="s">
        <v>153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0.26</v>
      </c>
    </row>
    <row r="266">
      <c r="A266" s="24">
        <v>1874</v>
      </c>
      <c r="B266" s="9" t="s">
        <v>433</v>
      </c>
      <c r="C266" s="9" t="s">
        <v>67</v>
      </c>
      <c r="D266" s="9" t="s">
        <v>111</v>
      </c>
      <c r="E266" s="9" t="s">
        <v>153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</v>
      </c>
    </row>
    <row r="267">
      <c r="A267" s="23">
        <v>1875</v>
      </c>
      <c r="B267" s="4" t="s">
        <v>434</v>
      </c>
      <c r="C267" s="4" t="s">
        <v>67</v>
      </c>
      <c r="D267" s="4" t="s">
        <v>111</v>
      </c>
      <c r="E267" s="4" t="s">
        <v>153</v>
      </c>
      <c r="F267" s="6">
        <v>4</v>
      </c>
      <c r="G267" s="5">
        <v>4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4</v>
      </c>
      <c r="V267" s="5">
        <v>4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</v>
      </c>
      <c r="AL267" s="5">
        <v>2</v>
      </c>
      <c r="AM267" s="5">
        <v>3</v>
      </c>
      <c r="AN267" s="28">
        <v>1.1</v>
      </c>
    </row>
    <row r="268">
      <c r="A268" s="24">
        <v>1878</v>
      </c>
      <c r="B268" s="9" t="s">
        <v>435</v>
      </c>
      <c r="C268" s="9" t="s">
        <v>67</v>
      </c>
      <c r="D268" s="9" t="s">
        <v>108</v>
      </c>
      <c r="E268" s="9" t="s">
        <v>109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0.36</v>
      </c>
    </row>
    <row r="269">
      <c r="A269" s="23">
        <v>1880</v>
      </c>
      <c r="B269" s="4" t="s">
        <v>436</v>
      </c>
      <c r="C269" s="4" t="s">
        <v>67</v>
      </c>
      <c r="D269" s="4" t="s">
        <v>134</v>
      </c>
      <c r="E269" s="4" t="s">
        <v>135</v>
      </c>
      <c r="F269" s="6">
        <v>3</v>
      </c>
      <c r="G269" s="5">
        <v>1</v>
      </c>
      <c r="H269" s="7">
        <v>0</v>
      </c>
      <c r="I269" s="5">
        <v>2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1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28">
        <v>0.61</v>
      </c>
    </row>
    <row r="270">
      <c r="A270" s="24">
        <v>1892</v>
      </c>
      <c r="B270" s="9" t="s">
        <v>437</v>
      </c>
      <c r="C270" s="9" t="s">
        <v>67</v>
      </c>
      <c r="D270" s="9" t="s">
        <v>75</v>
      </c>
      <c r="E270" s="9" t="s">
        <v>76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3</v>
      </c>
      <c r="V270" s="10">
        <v>3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3</v>
      </c>
      <c r="AK270" s="13">
        <v>3</v>
      </c>
      <c r="AL270" s="10">
        <v>3</v>
      </c>
      <c r="AM270" s="10">
        <v>3</v>
      </c>
      <c r="AN270" s="29">
        <v>1.05</v>
      </c>
    </row>
    <row r="271">
      <c r="A271" s="23">
        <v>1896</v>
      </c>
      <c r="B271" s="4" t="s">
        <v>438</v>
      </c>
      <c r="C271" s="4" t="s">
        <v>67</v>
      </c>
      <c r="D271" s="4" t="s">
        <v>79</v>
      </c>
      <c r="E271" s="4" t="s">
        <v>80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3">
        <v>0</v>
      </c>
    </row>
    <row r="272">
      <c r="A272" s="24">
        <v>1900</v>
      </c>
      <c r="B272" s="9" t="s">
        <v>439</v>
      </c>
      <c r="C272" s="9" t="s">
        <v>142</v>
      </c>
      <c r="D272" s="9" t="s">
        <v>440</v>
      </c>
      <c r="E272" s="9" t="s">
        <v>441</v>
      </c>
      <c r="F272" s="11">
        <v>2</v>
      </c>
      <c r="G272" s="12">
        <v>0</v>
      </c>
      <c r="H272" s="10">
        <v>1</v>
      </c>
      <c r="I272" s="12">
        <v>0</v>
      </c>
      <c r="J272" s="12">
        <v>0</v>
      </c>
      <c r="K272" s="12">
        <v>0</v>
      </c>
      <c r="L272" s="10">
        <v>1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2">
        <v>0</v>
      </c>
      <c r="W272" s="10">
        <v>1</v>
      </c>
      <c r="X272" s="12">
        <v>0</v>
      </c>
      <c r="Y272" s="12">
        <v>0</v>
      </c>
      <c r="Z272" s="12">
        <v>0</v>
      </c>
      <c r="AA272" s="10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0.59</v>
      </c>
    </row>
    <row r="273">
      <c r="A273" s="23">
        <v>1907</v>
      </c>
      <c r="B273" s="4" t="s">
        <v>442</v>
      </c>
      <c r="C273" s="4" t="s">
        <v>67</v>
      </c>
      <c r="D273" s="4" t="s">
        <v>134</v>
      </c>
      <c r="E273" s="4" t="s">
        <v>135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43">
        <v>0</v>
      </c>
    </row>
    <row r="274">
      <c r="A274" s="24">
        <v>1912</v>
      </c>
      <c r="B274" s="9" t="s">
        <v>443</v>
      </c>
      <c r="C274" s="9" t="s">
        <v>67</v>
      </c>
      <c r="D274" s="9" t="s">
        <v>75</v>
      </c>
      <c r="E274" s="9" t="s">
        <v>120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0.36</v>
      </c>
    </row>
    <row r="275">
      <c r="A275" s="23">
        <v>1931</v>
      </c>
      <c r="B275" s="4" t="s">
        <v>444</v>
      </c>
      <c r="C275" s="4" t="s">
        <v>67</v>
      </c>
      <c r="D275" s="4" t="s">
        <v>75</v>
      </c>
      <c r="E275" s="4" t="s">
        <v>120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43">
        <v>0</v>
      </c>
    </row>
    <row r="276">
      <c r="A276" s="24">
        <v>1941</v>
      </c>
      <c r="B276" s="9" t="s">
        <v>445</v>
      </c>
      <c r="C276" s="9" t="s">
        <v>67</v>
      </c>
      <c r="D276" s="9" t="s">
        <v>75</v>
      </c>
      <c r="E276" s="9" t="s">
        <v>120</v>
      </c>
      <c r="F276" s="11">
        <v>1</v>
      </c>
      <c r="G276" s="12">
        <v>0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2006</v>
      </c>
      <c r="B277" s="4" t="s">
        <v>446</v>
      </c>
      <c r="C277" s="4" t="s">
        <v>67</v>
      </c>
      <c r="D277" s="4" t="s">
        <v>99</v>
      </c>
      <c r="E277" s="4" t="s">
        <v>132</v>
      </c>
      <c r="F277" s="6">
        <v>6</v>
      </c>
      <c r="G277" s="5">
        <v>3</v>
      </c>
      <c r="H277" s="7">
        <v>0</v>
      </c>
      <c r="I277" s="5">
        <v>3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6</v>
      </c>
      <c r="V277" s="5">
        <v>3</v>
      </c>
      <c r="W277" s="7">
        <v>0</v>
      </c>
      <c r="X277" s="5">
        <v>3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2</v>
      </c>
      <c r="AM277" s="5">
        <v>3</v>
      </c>
      <c r="AN277" s="43">
        <v>0</v>
      </c>
    </row>
    <row r="278">
      <c r="A278" s="24">
        <v>2087</v>
      </c>
      <c r="B278" s="9" t="s">
        <v>447</v>
      </c>
      <c r="C278" s="9" t="s">
        <v>67</v>
      </c>
      <c r="D278" s="9" t="s">
        <v>75</v>
      </c>
      <c r="E278" s="9" t="s">
        <v>120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2095</v>
      </c>
      <c r="B279" s="4" t="s">
        <v>448</v>
      </c>
      <c r="C279" s="4" t="s">
        <v>67</v>
      </c>
      <c r="D279" s="4" t="s">
        <v>75</v>
      </c>
      <c r="E279" s="4" t="s">
        <v>120</v>
      </c>
      <c r="F279" s="6">
        <v>12</v>
      </c>
      <c r="G279" s="5">
        <v>4</v>
      </c>
      <c r="H279" s="7">
        <v>0</v>
      </c>
      <c r="I279" s="7">
        <v>0</v>
      </c>
      <c r="J279" s="5">
        <v>1</v>
      </c>
      <c r="K279" s="5">
        <v>7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7</v>
      </c>
      <c r="V279" s="5">
        <v>4</v>
      </c>
      <c r="W279" s="7">
        <v>0</v>
      </c>
      <c r="X279" s="7">
        <v>0</v>
      </c>
      <c r="Y279" s="5">
        <v>1</v>
      </c>
      <c r="Z279" s="5">
        <v>2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2.4</v>
      </c>
      <c r="AL279" s="5">
        <v>1</v>
      </c>
      <c r="AM279" s="5">
        <v>7</v>
      </c>
      <c r="AN279" s="28">
        <v>1</v>
      </c>
    </row>
    <row r="280">
      <c r="A280" s="24">
        <v>2108</v>
      </c>
      <c r="B280" s="9" t="s">
        <v>449</v>
      </c>
      <c r="C280" s="9" t="s">
        <v>67</v>
      </c>
      <c r="D280" s="9" t="s">
        <v>75</v>
      </c>
      <c r="E280" s="9" t="s">
        <v>120</v>
      </c>
      <c r="F280" s="11">
        <v>5</v>
      </c>
      <c r="G280" s="10">
        <v>3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</v>
      </c>
      <c r="V280" s="10">
        <v>3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2.5</v>
      </c>
      <c r="AL280" s="10">
        <v>2</v>
      </c>
      <c r="AM280" s="10">
        <v>3</v>
      </c>
      <c r="AN280" s="30">
        <v>0</v>
      </c>
    </row>
    <row r="281">
      <c r="A281" s="23">
        <v>2201</v>
      </c>
      <c r="B281" s="4" t="s">
        <v>450</v>
      </c>
      <c r="C281" s="4" t="s">
        <v>67</v>
      </c>
      <c r="D281" s="4" t="s">
        <v>86</v>
      </c>
      <c r="E281" s="4" t="s">
        <v>87</v>
      </c>
      <c r="F281" s="6">
        <v>2</v>
      </c>
      <c r="G281" s="7">
        <v>0</v>
      </c>
      <c r="H281" s="7">
        <v>0</v>
      </c>
      <c r="I281" s="5">
        <v>2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7">
        <v>0</v>
      </c>
      <c r="W281" s="7">
        <v>0</v>
      </c>
      <c r="X281" s="5">
        <v>2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0.52</v>
      </c>
    </row>
    <row r="282">
      <c r="A282" s="24">
        <v>2205</v>
      </c>
      <c r="B282" s="9" t="s">
        <v>451</v>
      </c>
      <c r="C282" s="9" t="s">
        <v>67</v>
      </c>
      <c r="D282" s="9" t="s">
        <v>111</v>
      </c>
      <c r="E282" s="9" t="s">
        <v>153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0.37</v>
      </c>
    </row>
    <row r="283">
      <c r="A283" s="23">
        <v>2212</v>
      </c>
      <c r="B283" s="4" t="s">
        <v>452</v>
      </c>
      <c r="C283" s="4" t="s">
        <v>67</v>
      </c>
      <c r="D283" s="4" t="s">
        <v>68</v>
      </c>
      <c r="E283" s="4" t="s">
        <v>453</v>
      </c>
      <c r="F283" s="6">
        <v>2</v>
      </c>
      <c r="G283" s="7">
        <v>0</v>
      </c>
      <c r="H283" s="5">
        <v>1</v>
      </c>
      <c r="I283" s="5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7">
        <v>0</v>
      </c>
      <c r="W283" s="5">
        <v>1</v>
      </c>
      <c r="X283" s="5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3">
        <v>0</v>
      </c>
    </row>
    <row r="284">
      <c r="A284" s="24">
        <v>2213</v>
      </c>
      <c r="B284" s="9" t="s">
        <v>454</v>
      </c>
      <c r="C284" s="9" t="s">
        <v>67</v>
      </c>
      <c r="D284" s="9" t="s">
        <v>79</v>
      </c>
      <c r="E284" s="9" t="s">
        <v>343</v>
      </c>
      <c r="F284" s="11">
        <v>7</v>
      </c>
      <c r="G284" s="10">
        <v>5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6</v>
      </c>
      <c r="V284" s="10">
        <v>4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2.33</v>
      </c>
      <c r="AL284" s="10">
        <v>2</v>
      </c>
      <c r="AM284" s="10">
        <v>3</v>
      </c>
      <c r="AN284" s="29">
        <v>1.66</v>
      </c>
    </row>
    <row r="285">
      <c r="A285" s="23">
        <v>2217</v>
      </c>
      <c r="B285" s="4" t="s">
        <v>455</v>
      </c>
      <c r="C285" s="4" t="s">
        <v>67</v>
      </c>
      <c r="D285" s="4" t="s">
        <v>111</v>
      </c>
      <c r="E285" s="4" t="s">
        <v>122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3">
        <v>0</v>
      </c>
    </row>
    <row r="286">
      <c r="A286" s="24">
        <v>2221</v>
      </c>
      <c r="B286" s="9" t="s">
        <v>456</v>
      </c>
      <c r="C286" s="9" t="s">
        <v>67</v>
      </c>
      <c r="D286" s="9" t="s">
        <v>75</v>
      </c>
      <c r="E286" s="9" t="s">
        <v>76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0.17</v>
      </c>
    </row>
    <row r="287">
      <c r="A287" s="23">
        <v>2223</v>
      </c>
      <c r="B287" s="4" t="s">
        <v>457</v>
      </c>
      <c r="C287" s="4" t="s">
        <v>67</v>
      </c>
      <c r="D287" s="4" t="s">
        <v>71</v>
      </c>
      <c r="E287" s="4" t="s">
        <v>118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0.36</v>
      </c>
    </row>
    <row r="288">
      <c r="A288" s="24">
        <v>2224</v>
      </c>
      <c r="B288" s="9" t="s">
        <v>458</v>
      </c>
      <c r="C288" s="9" t="s">
        <v>67</v>
      </c>
      <c r="D288" s="9" t="s">
        <v>75</v>
      </c>
      <c r="E288" s="9" t="s">
        <v>120</v>
      </c>
      <c r="F288" s="11">
        <v>4</v>
      </c>
      <c r="G288" s="10">
        <v>4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0">
        <v>4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1.33</v>
      </c>
      <c r="AL288" s="10">
        <v>1</v>
      </c>
      <c r="AM288" s="10">
        <v>2</v>
      </c>
      <c r="AN288" s="29">
        <v>1.02</v>
      </c>
    </row>
    <row r="289">
      <c r="A289" s="23">
        <v>2260</v>
      </c>
      <c r="B289" s="4" t="s">
        <v>459</v>
      </c>
      <c r="C289" s="4" t="s">
        <v>67</v>
      </c>
      <c r="D289" s="4" t="s">
        <v>79</v>
      </c>
      <c r="E289" s="4" t="s">
        <v>80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3">
        <v>0</v>
      </c>
    </row>
    <row r="290">
      <c r="A290" s="24">
        <v>2261</v>
      </c>
      <c r="B290" s="9" t="s">
        <v>460</v>
      </c>
      <c r="C290" s="9" t="s">
        <v>142</v>
      </c>
      <c r="D290" s="9" t="s">
        <v>461</v>
      </c>
      <c r="E290" s="9" t="s">
        <v>462</v>
      </c>
      <c r="F290" s="11">
        <v>3</v>
      </c>
      <c r="G290" s="12">
        <v>0</v>
      </c>
      <c r="H290" s="10">
        <v>1</v>
      </c>
      <c r="I290" s="12">
        <v>0</v>
      </c>
      <c r="J290" s="10">
        <v>1</v>
      </c>
      <c r="K290" s="10">
        <v>1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2">
        <v>0</v>
      </c>
      <c r="W290" s="10">
        <v>1</v>
      </c>
      <c r="X290" s="12">
        <v>0</v>
      </c>
      <c r="Y290" s="10">
        <v>1</v>
      </c>
      <c r="Z290" s="10">
        <v>1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2268</v>
      </c>
      <c r="B291" s="4" t="s">
        <v>463</v>
      </c>
      <c r="C291" s="4" t="s">
        <v>67</v>
      </c>
      <c r="D291" s="4" t="s">
        <v>71</v>
      </c>
      <c r="E291" s="4" t="s">
        <v>169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2271</v>
      </c>
      <c r="B292" s="9" t="s">
        <v>464</v>
      </c>
      <c r="C292" s="9" t="s">
        <v>142</v>
      </c>
      <c r="D292" s="9" t="s">
        <v>143</v>
      </c>
      <c r="E292" s="9" t="s">
        <v>465</v>
      </c>
      <c r="F292" s="11">
        <v>3</v>
      </c>
      <c r="G292" s="10">
        <v>1</v>
      </c>
      <c r="H292" s="10">
        <v>1</v>
      </c>
      <c r="I292" s="12">
        <v>0</v>
      </c>
      <c r="J292" s="12">
        <v>0</v>
      </c>
      <c r="K292" s="10">
        <v>1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0">
        <v>1</v>
      </c>
      <c r="W292" s="10">
        <v>1</v>
      </c>
      <c r="X292" s="12">
        <v>0</v>
      </c>
      <c r="Y292" s="12">
        <v>0</v>
      </c>
      <c r="Z292" s="10">
        <v>1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2272</v>
      </c>
      <c r="B293" s="4" t="s">
        <v>466</v>
      </c>
      <c r="C293" s="4" t="s">
        <v>67</v>
      </c>
      <c r="D293" s="4" t="s">
        <v>86</v>
      </c>
      <c r="E293" s="4" t="s">
        <v>87</v>
      </c>
      <c r="F293" s="6">
        <v>3</v>
      </c>
      <c r="G293" s="5">
        <v>2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2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28">
        <v>0.24</v>
      </c>
    </row>
    <row r="294">
      <c r="A294" s="24">
        <v>2301</v>
      </c>
      <c r="B294" s="9" t="s">
        <v>467</v>
      </c>
      <c r="C294" s="9" t="s">
        <v>67</v>
      </c>
      <c r="D294" s="9" t="s">
        <v>79</v>
      </c>
      <c r="E294" s="9" t="s">
        <v>343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2309</v>
      </c>
      <c r="B295" s="4" t="s">
        <v>468</v>
      </c>
      <c r="C295" s="4" t="s">
        <v>142</v>
      </c>
      <c r="D295" s="4" t="s">
        <v>469</v>
      </c>
      <c r="E295" s="4" t="s">
        <v>470</v>
      </c>
      <c r="F295" s="6">
        <v>9</v>
      </c>
      <c r="G295" s="7">
        <v>0</v>
      </c>
      <c r="H295" s="7">
        <v>0</v>
      </c>
      <c r="I295" s="5">
        <v>1</v>
      </c>
      <c r="J295" s="5">
        <v>3</v>
      </c>
      <c r="K295" s="5">
        <v>3</v>
      </c>
      <c r="L295" s="5">
        <v>2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8</v>
      </c>
      <c r="V295" s="7">
        <v>0</v>
      </c>
      <c r="W295" s="7">
        <v>0</v>
      </c>
      <c r="X295" s="5">
        <v>1</v>
      </c>
      <c r="Y295" s="5">
        <v>3</v>
      </c>
      <c r="Z295" s="5">
        <v>3</v>
      </c>
      <c r="AA295" s="5">
        <v>1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2.25</v>
      </c>
      <c r="AL295" s="5">
        <v>2</v>
      </c>
      <c r="AM295" s="5">
        <v>3</v>
      </c>
      <c r="AN295" s="43">
        <v>0</v>
      </c>
    </row>
    <row r="296">
      <c r="A296" s="24">
        <v>2310</v>
      </c>
      <c r="B296" s="9" t="s">
        <v>471</v>
      </c>
      <c r="C296" s="9" t="s">
        <v>142</v>
      </c>
      <c r="D296" s="9" t="s">
        <v>469</v>
      </c>
      <c r="E296" s="9" t="s">
        <v>470</v>
      </c>
      <c r="F296" s="11">
        <v>4</v>
      </c>
      <c r="G296" s="10">
        <v>2</v>
      </c>
      <c r="H296" s="12">
        <v>0</v>
      </c>
      <c r="I296" s="10">
        <v>1</v>
      </c>
      <c r="J296" s="12">
        <v>0</v>
      </c>
      <c r="K296" s="12">
        <v>0</v>
      </c>
      <c r="L296" s="10">
        <v>1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1</v>
      </c>
      <c r="W296" s="12">
        <v>0</v>
      </c>
      <c r="X296" s="10">
        <v>1</v>
      </c>
      <c r="Y296" s="12">
        <v>0</v>
      </c>
      <c r="Z296" s="12">
        <v>0</v>
      </c>
      <c r="AA296" s="10">
        <v>1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1.33</v>
      </c>
      <c r="AL296" s="10">
        <v>1</v>
      </c>
      <c r="AM296" s="10">
        <v>2</v>
      </c>
      <c r="AN296" s="30">
        <v>0</v>
      </c>
    </row>
    <row r="297">
      <c r="A297" s="23">
        <v>2313</v>
      </c>
      <c r="B297" s="4" t="s">
        <v>472</v>
      </c>
      <c r="C297" s="4" t="s">
        <v>67</v>
      </c>
      <c r="D297" s="4" t="s">
        <v>86</v>
      </c>
      <c r="E297" s="4" t="s">
        <v>473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3">
        <v>0</v>
      </c>
    </row>
    <row r="298">
      <c r="A298" s="24">
        <v>2315</v>
      </c>
      <c r="B298" s="9" t="s">
        <v>474</v>
      </c>
      <c r="C298" s="9" t="s">
        <v>142</v>
      </c>
      <c r="D298" s="9" t="s">
        <v>469</v>
      </c>
      <c r="E298" s="9" t="s">
        <v>475</v>
      </c>
      <c r="F298" s="11">
        <v>11</v>
      </c>
      <c r="G298" s="10">
        <v>2</v>
      </c>
      <c r="H298" s="10">
        <v>2</v>
      </c>
      <c r="I298" s="10">
        <v>2</v>
      </c>
      <c r="J298" s="10">
        <v>2</v>
      </c>
      <c r="K298" s="10">
        <v>3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11</v>
      </c>
      <c r="V298" s="10">
        <v>2</v>
      </c>
      <c r="W298" s="10">
        <v>2</v>
      </c>
      <c r="X298" s="10">
        <v>2</v>
      </c>
      <c r="Y298" s="10">
        <v>2</v>
      </c>
      <c r="Z298" s="10">
        <v>3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2.2</v>
      </c>
      <c r="AL298" s="10">
        <v>2</v>
      </c>
      <c r="AM298" s="10">
        <v>3</v>
      </c>
      <c r="AN298" s="30">
        <v>0</v>
      </c>
    </row>
    <row r="299">
      <c r="A299" s="23">
        <v>2316</v>
      </c>
      <c r="B299" s="4" t="s">
        <v>476</v>
      </c>
      <c r="C299" s="4" t="s">
        <v>177</v>
      </c>
      <c r="D299" s="4" t="s">
        <v>178</v>
      </c>
      <c r="E299" s="4" t="s">
        <v>189</v>
      </c>
      <c r="F299" s="6">
        <v>1</v>
      </c>
      <c r="G299" s="7">
        <v>0</v>
      </c>
      <c r="H299" s="7">
        <v>0</v>
      </c>
      <c r="I299" s="7">
        <v>0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3">
        <v>0</v>
      </c>
    </row>
    <row r="300">
      <c r="A300" s="24">
        <v>2320</v>
      </c>
      <c r="B300" s="9" t="s">
        <v>477</v>
      </c>
      <c r="C300" s="9" t="s">
        <v>142</v>
      </c>
      <c r="D300" s="9" t="s">
        <v>469</v>
      </c>
      <c r="E300" s="9" t="s">
        <v>470</v>
      </c>
      <c r="F300" s="11">
        <v>8</v>
      </c>
      <c r="G300" s="10">
        <v>1</v>
      </c>
      <c r="H300" s="10">
        <v>1</v>
      </c>
      <c r="I300" s="10">
        <v>4</v>
      </c>
      <c r="J300" s="10">
        <v>1</v>
      </c>
      <c r="K300" s="10">
        <v>1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8</v>
      </c>
      <c r="V300" s="10">
        <v>1</v>
      </c>
      <c r="W300" s="10">
        <v>1</v>
      </c>
      <c r="X300" s="10">
        <v>4</v>
      </c>
      <c r="Y300" s="10">
        <v>1</v>
      </c>
      <c r="Z300" s="10">
        <v>1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1.33</v>
      </c>
      <c r="AL300" s="10">
        <v>1</v>
      </c>
      <c r="AM300" s="10">
        <v>3</v>
      </c>
      <c r="AN300" s="30">
        <v>0</v>
      </c>
    </row>
    <row r="301">
      <c r="A301" s="23">
        <v>2326</v>
      </c>
      <c r="B301" s="4" t="s">
        <v>478</v>
      </c>
      <c r="C301" s="4" t="s">
        <v>142</v>
      </c>
      <c r="D301" s="4" t="s">
        <v>469</v>
      </c>
      <c r="E301" s="4" t="s">
        <v>475</v>
      </c>
      <c r="F301" s="6">
        <v>4</v>
      </c>
      <c r="G301" s="5">
        <v>1</v>
      </c>
      <c r="H301" s="5">
        <v>1</v>
      </c>
      <c r="I301" s="5">
        <v>1</v>
      </c>
      <c r="J301" s="7">
        <v>0</v>
      </c>
      <c r="K301" s="7">
        <v>0</v>
      </c>
      <c r="L301" s="5">
        <v>1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</v>
      </c>
      <c r="V301" s="5">
        <v>1</v>
      </c>
      <c r="W301" s="5">
        <v>1</v>
      </c>
      <c r="X301" s="5">
        <v>1</v>
      </c>
      <c r="Y301" s="7">
        <v>0</v>
      </c>
      <c r="Z301" s="7">
        <v>0</v>
      </c>
      <c r="AA301" s="5">
        <v>1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3">
        <v>0</v>
      </c>
    </row>
    <row r="302">
      <c r="A302" s="24">
        <v>2332</v>
      </c>
      <c r="B302" s="9" t="s">
        <v>479</v>
      </c>
      <c r="C302" s="9" t="s">
        <v>142</v>
      </c>
      <c r="D302" s="9" t="s">
        <v>480</v>
      </c>
      <c r="E302" s="9" t="s">
        <v>481</v>
      </c>
      <c r="F302" s="11">
        <v>5</v>
      </c>
      <c r="G302" s="10">
        <v>2</v>
      </c>
      <c r="H302" s="12">
        <v>0</v>
      </c>
      <c r="I302" s="12">
        <v>0</v>
      </c>
      <c r="J302" s="10">
        <v>1</v>
      </c>
      <c r="K302" s="12">
        <v>0</v>
      </c>
      <c r="L302" s="10">
        <v>2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5</v>
      </c>
      <c r="V302" s="10">
        <v>2</v>
      </c>
      <c r="W302" s="12">
        <v>0</v>
      </c>
      <c r="X302" s="12">
        <v>0</v>
      </c>
      <c r="Y302" s="10">
        <v>1</v>
      </c>
      <c r="Z302" s="12">
        <v>0</v>
      </c>
      <c r="AA302" s="10">
        <v>2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1.67</v>
      </c>
      <c r="AL302" s="10">
        <v>2</v>
      </c>
      <c r="AM302" s="10">
        <v>2</v>
      </c>
      <c r="AN302" s="29">
        <v>0.25</v>
      </c>
    </row>
    <row r="303">
      <c r="A303" s="23">
        <v>2333</v>
      </c>
      <c r="B303" s="4" t="s">
        <v>482</v>
      </c>
      <c r="C303" s="4" t="s">
        <v>67</v>
      </c>
      <c r="D303" s="4" t="s">
        <v>86</v>
      </c>
      <c r="E303" s="4" t="s">
        <v>140</v>
      </c>
      <c r="F303" s="6">
        <v>3</v>
      </c>
      <c r="G303" s="7">
        <v>0</v>
      </c>
      <c r="H303" s="7">
        <v>0</v>
      </c>
      <c r="I303" s="5">
        <v>2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7">
        <v>0</v>
      </c>
      <c r="W303" s="7">
        <v>0</v>
      </c>
      <c r="X303" s="5">
        <v>2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0.75</v>
      </c>
    </row>
    <row r="304">
      <c r="A304" s="24">
        <v>2334</v>
      </c>
      <c r="B304" s="9" t="s">
        <v>483</v>
      </c>
      <c r="C304" s="9" t="s">
        <v>67</v>
      </c>
      <c r="D304" s="9" t="s">
        <v>159</v>
      </c>
      <c r="E304" s="9" t="s">
        <v>160</v>
      </c>
      <c r="F304" s="11">
        <v>4</v>
      </c>
      <c r="G304" s="10">
        <v>1</v>
      </c>
      <c r="H304" s="10">
        <v>2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</v>
      </c>
      <c r="V304" s="10">
        <v>1</v>
      </c>
      <c r="W304" s="10">
        <v>2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1.33</v>
      </c>
      <c r="AL304" s="10">
        <v>1</v>
      </c>
      <c r="AM304" s="10">
        <v>2</v>
      </c>
      <c r="AN304" s="30">
        <v>0</v>
      </c>
    </row>
    <row r="305">
      <c r="A305" s="23">
        <v>2336</v>
      </c>
      <c r="B305" s="4" t="s">
        <v>484</v>
      </c>
      <c r="C305" s="4" t="s">
        <v>177</v>
      </c>
      <c r="D305" s="4" t="s">
        <v>178</v>
      </c>
      <c r="E305" s="4" t="s">
        <v>189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43">
        <v>0</v>
      </c>
    </row>
    <row r="306">
      <c r="A306" s="24">
        <v>2337</v>
      </c>
      <c r="B306" s="9" t="s">
        <v>485</v>
      </c>
      <c r="C306" s="9" t="s">
        <v>142</v>
      </c>
      <c r="D306" s="9" t="s">
        <v>486</v>
      </c>
      <c r="E306" s="9" t="s">
        <v>487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2338</v>
      </c>
      <c r="B307" s="4" t="s">
        <v>488</v>
      </c>
      <c r="C307" s="4" t="s">
        <v>177</v>
      </c>
      <c r="D307" s="4" t="s">
        <v>489</v>
      </c>
      <c r="E307" s="4" t="s">
        <v>490</v>
      </c>
      <c r="F307" s="6">
        <v>3</v>
      </c>
      <c r="G307" s="7">
        <v>0</v>
      </c>
      <c r="H307" s="7">
        <v>0</v>
      </c>
      <c r="I307" s="7">
        <v>0</v>
      </c>
      <c r="J307" s="5">
        <v>1</v>
      </c>
      <c r="K307" s="5">
        <v>2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7">
        <v>0</v>
      </c>
      <c r="W307" s="7">
        <v>0</v>
      </c>
      <c r="X307" s="7">
        <v>0</v>
      </c>
      <c r="Y307" s="5">
        <v>1</v>
      </c>
      <c r="Z307" s="5">
        <v>2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43">
        <v>0</v>
      </c>
    </row>
    <row r="308">
      <c r="A308" s="24">
        <v>2341</v>
      </c>
      <c r="B308" s="9" t="s">
        <v>491</v>
      </c>
      <c r="C308" s="9" t="s">
        <v>67</v>
      </c>
      <c r="D308" s="9" t="s">
        <v>111</v>
      </c>
      <c r="E308" s="9" t="s">
        <v>221</v>
      </c>
      <c r="F308" s="11">
        <v>2</v>
      </c>
      <c r="G308" s="12">
        <v>0</v>
      </c>
      <c r="H308" s="12">
        <v>0</v>
      </c>
      <c r="I308" s="10">
        <v>2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2">
        <v>0</v>
      </c>
      <c r="W308" s="12">
        <v>0</v>
      </c>
      <c r="X308" s="10">
        <v>2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0">
        <v>0</v>
      </c>
    </row>
    <row r="309">
      <c r="A309" s="23">
        <v>2347</v>
      </c>
      <c r="B309" s="4" t="s">
        <v>492</v>
      </c>
      <c r="C309" s="4" t="s">
        <v>67</v>
      </c>
      <c r="D309" s="4" t="s">
        <v>111</v>
      </c>
      <c r="E309" s="4" t="s">
        <v>122</v>
      </c>
      <c r="F309" s="6">
        <v>1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2349</v>
      </c>
      <c r="B310" s="9" t="s">
        <v>493</v>
      </c>
      <c r="C310" s="9" t="s">
        <v>67</v>
      </c>
      <c r="D310" s="9" t="s">
        <v>91</v>
      </c>
      <c r="E310" s="9" t="s">
        <v>494</v>
      </c>
      <c r="F310" s="11">
        <v>1</v>
      </c>
      <c r="G310" s="12">
        <v>0</v>
      </c>
      <c r="H310" s="10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0">
        <v>1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0.32</v>
      </c>
    </row>
    <row r="311">
      <c r="A311" s="23">
        <v>2353</v>
      </c>
      <c r="B311" s="4" t="s">
        <v>495</v>
      </c>
      <c r="C311" s="4" t="s">
        <v>177</v>
      </c>
      <c r="D311" s="4" t="s">
        <v>489</v>
      </c>
      <c r="E311" s="4" t="s">
        <v>496</v>
      </c>
      <c r="F311" s="6">
        <v>8</v>
      </c>
      <c r="G311" s="7">
        <v>0</v>
      </c>
      <c r="H311" s="5">
        <v>1</v>
      </c>
      <c r="I311" s="7">
        <v>0</v>
      </c>
      <c r="J311" s="7">
        <v>0</v>
      </c>
      <c r="K311" s="5">
        <v>7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8</v>
      </c>
      <c r="V311" s="7">
        <v>0</v>
      </c>
      <c r="W311" s="5">
        <v>1</v>
      </c>
      <c r="X311" s="7">
        <v>0</v>
      </c>
      <c r="Y311" s="7">
        <v>0</v>
      </c>
      <c r="Z311" s="5">
        <v>7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2.67</v>
      </c>
      <c r="AL311" s="5">
        <v>2</v>
      </c>
      <c r="AM311" s="5">
        <v>5</v>
      </c>
      <c r="AN311" s="43">
        <v>0</v>
      </c>
    </row>
    <row r="312">
      <c r="A312" s="24">
        <v>2357</v>
      </c>
      <c r="B312" s="9" t="s">
        <v>497</v>
      </c>
      <c r="C312" s="9" t="s">
        <v>67</v>
      </c>
      <c r="D312" s="9" t="s">
        <v>79</v>
      </c>
      <c r="E312" s="9" t="s">
        <v>115</v>
      </c>
      <c r="F312" s="11">
        <v>1</v>
      </c>
      <c r="G312" s="12">
        <v>0</v>
      </c>
      <c r="H312" s="10">
        <v>1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0">
        <v>1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2359</v>
      </c>
      <c r="B313" s="4" t="s">
        <v>498</v>
      </c>
      <c r="C313" s="4" t="s">
        <v>142</v>
      </c>
      <c r="D313" s="4" t="s">
        <v>469</v>
      </c>
      <c r="E313" s="4" t="s">
        <v>499</v>
      </c>
      <c r="F313" s="6">
        <v>9</v>
      </c>
      <c r="G313" s="5">
        <v>2</v>
      </c>
      <c r="H313" s="5">
        <v>3</v>
      </c>
      <c r="I313" s="7">
        <v>0</v>
      </c>
      <c r="J313" s="5">
        <v>2</v>
      </c>
      <c r="K313" s="5">
        <v>2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9</v>
      </c>
      <c r="V313" s="5">
        <v>2</v>
      </c>
      <c r="W313" s="5">
        <v>3</v>
      </c>
      <c r="X313" s="7">
        <v>0</v>
      </c>
      <c r="Y313" s="5">
        <v>2</v>
      </c>
      <c r="Z313" s="5">
        <v>2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2.25</v>
      </c>
      <c r="AL313" s="5">
        <v>2</v>
      </c>
      <c r="AM313" s="5">
        <v>3</v>
      </c>
      <c r="AN313" s="43">
        <v>0</v>
      </c>
    </row>
    <row r="314">
      <c r="A314" s="24">
        <v>2361</v>
      </c>
      <c r="B314" s="9" t="s">
        <v>500</v>
      </c>
      <c r="C314" s="9" t="s">
        <v>142</v>
      </c>
      <c r="D314" s="9" t="s">
        <v>406</v>
      </c>
      <c r="E314" s="9" t="s">
        <v>407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2365</v>
      </c>
      <c r="B315" s="4" t="s">
        <v>501</v>
      </c>
      <c r="C315" s="4" t="s">
        <v>67</v>
      </c>
      <c r="D315" s="4" t="s">
        <v>134</v>
      </c>
      <c r="E315" s="4" t="s">
        <v>135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3">
        <v>0</v>
      </c>
    </row>
    <row r="316">
      <c r="A316" s="24">
        <v>2366</v>
      </c>
      <c r="B316" s="9" t="s">
        <v>502</v>
      </c>
      <c r="C316" s="9" t="s">
        <v>67</v>
      </c>
      <c r="D316" s="9" t="s">
        <v>134</v>
      </c>
      <c r="E316" s="9" t="s">
        <v>135</v>
      </c>
      <c r="F316" s="11">
        <v>2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0">
        <v>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0">
        <v>1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2372</v>
      </c>
      <c r="B317" s="4" t="s">
        <v>503</v>
      </c>
      <c r="C317" s="4" t="s">
        <v>67</v>
      </c>
      <c r="D317" s="4" t="s">
        <v>104</v>
      </c>
      <c r="E317" s="4" t="s">
        <v>156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3">
        <v>0</v>
      </c>
    </row>
    <row r="318">
      <c r="A318" s="24">
        <v>2374</v>
      </c>
      <c r="B318" s="9" t="s">
        <v>504</v>
      </c>
      <c r="C318" s="9" t="s">
        <v>67</v>
      </c>
      <c r="D318" s="9" t="s">
        <v>111</v>
      </c>
      <c r="E318" s="9" t="s">
        <v>112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0.5</v>
      </c>
    </row>
    <row r="319">
      <c r="A319" s="23">
        <v>2375</v>
      </c>
      <c r="B319" s="4" t="s">
        <v>505</v>
      </c>
      <c r="C319" s="4" t="s">
        <v>142</v>
      </c>
      <c r="D319" s="4" t="s">
        <v>506</v>
      </c>
      <c r="E319" s="4" t="s">
        <v>507</v>
      </c>
      <c r="F319" s="6">
        <v>1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3">
        <v>0</v>
      </c>
    </row>
    <row r="320">
      <c r="A320" s="24">
        <v>2376</v>
      </c>
      <c r="B320" s="9" t="s">
        <v>508</v>
      </c>
      <c r="C320" s="9" t="s">
        <v>142</v>
      </c>
      <c r="D320" s="9" t="s">
        <v>143</v>
      </c>
      <c r="E320" s="9" t="s">
        <v>465</v>
      </c>
      <c r="F320" s="11">
        <v>11</v>
      </c>
      <c r="G320" s="12">
        <v>0</v>
      </c>
      <c r="H320" s="10">
        <v>2</v>
      </c>
      <c r="I320" s="10">
        <v>2</v>
      </c>
      <c r="J320" s="10">
        <v>2</v>
      </c>
      <c r="K320" s="10">
        <v>4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11</v>
      </c>
      <c r="V320" s="12">
        <v>0</v>
      </c>
      <c r="W320" s="10">
        <v>2</v>
      </c>
      <c r="X320" s="10">
        <v>2</v>
      </c>
      <c r="Y320" s="10">
        <v>2</v>
      </c>
      <c r="Z320" s="10">
        <v>4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2.2</v>
      </c>
      <c r="AL320" s="10">
        <v>2</v>
      </c>
      <c r="AM320" s="10">
        <v>4</v>
      </c>
      <c r="AN320" s="30">
        <v>0</v>
      </c>
    </row>
    <row r="321">
      <c r="A321" s="23">
        <v>2380</v>
      </c>
      <c r="B321" s="4" t="s">
        <v>509</v>
      </c>
      <c r="C321" s="4" t="s">
        <v>67</v>
      </c>
      <c r="D321" s="4" t="s">
        <v>71</v>
      </c>
      <c r="E321" s="4" t="s">
        <v>72</v>
      </c>
      <c r="F321" s="6">
        <v>3</v>
      </c>
      <c r="G321" s="5">
        <v>1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3</v>
      </c>
      <c r="V321" s="5">
        <v>1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0.75</v>
      </c>
    </row>
    <row r="322">
      <c r="A322" s="24">
        <v>2381</v>
      </c>
      <c r="B322" s="9" t="s">
        <v>510</v>
      </c>
      <c r="C322" s="9" t="s">
        <v>142</v>
      </c>
      <c r="D322" s="9" t="s">
        <v>469</v>
      </c>
      <c r="E322" s="9" t="s">
        <v>511</v>
      </c>
      <c r="F322" s="11">
        <v>1</v>
      </c>
      <c r="G322" s="12">
        <v>0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0.22</v>
      </c>
    </row>
    <row r="323">
      <c r="A323" s="23">
        <v>2387</v>
      </c>
      <c r="B323" s="4" t="s">
        <v>512</v>
      </c>
      <c r="C323" s="4" t="s">
        <v>177</v>
      </c>
      <c r="D323" s="4" t="s">
        <v>178</v>
      </c>
      <c r="E323" s="4" t="s">
        <v>179</v>
      </c>
      <c r="F323" s="6">
        <v>2</v>
      </c>
      <c r="G323" s="7">
        <v>0</v>
      </c>
      <c r="H323" s="7">
        <v>0</v>
      </c>
      <c r="I323" s="7">
        <v>0</v>
      </c>
      <c r="J323" s="7">
        <v>0</v>
      </c>
      <c r="K323" s="5">
        <v>2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43">
        <v>0</v>
      </c>
    </row>
    <row r="324">
      <c r="A324" s="24">
        <v>2389</v>
      </c>
      <c r="B324" s="9" t="s">
        <v>513</v>
      </c>
      <c r="C324" s="9" t="s">
        <v>67</v>
      </c>
      <c r="D324" s="9" t="s">
        <v>79</v>
      </c>
      <c r="E324" s="9" t="s">
        <v>80</v>
      </c>
      <c r="F324" s="11">
        <v>3</v>
      </c>
      <c r="G324" s="10">
        <v>2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2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2390</v>
      </c>
      <c r="B325" s="4" t="s">
        <v>514</v>
      </c>
      <c r="C325" s="4" t="s">
        <v>67</v>
      </c>
      <c r="D325" s="4" t="s">
        <v>134</v>
      </c>
      <c r="E325" s="4" t="s">
        <v>345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0.22</v>
      </c>
    </row>
    <row r="326">
      <c r="A326" s="24">
        <v>2392</v>
      </c>
      <c r="B326" s="9" t="s">
        <v>515</v>
      </c>
      <c r="C326" s="9" t="s">
        <v>142</v>
      </c>
      <c r="D326" s="9" t="s">
        <v>461</v>
      </c>
      <c r="E326" s="9" t="s">
        <v>516</v>
      </c>
      <c r="F326" s="11">
        <v>2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0">
        <v>2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0">
        <v>2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30">
        <v>0</v>
      </c>
    </row>
    <row r="327">
      <c r="A327" s="23">
        <v>2401</v>
      </c>
      <c r="B327" s="4" t="s">
        <v>517</v>
      </c>
      <c r="C327" s="4" t="s">
        <v>67</v>
      </c>
      <c r="D327" s="4" t="s">
        <v>104</v>
      </c>
      <c r="E327" s="4" t="s">
        <v>156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43">
        <v>0</v>
      </c>
    </row>
    <row r="328">
      <c r="A328" s="24">
        <v>2403</v>
      </c>
      <c r="B328" s="9" t="s">
        <v>518</v>
      </c>
      <c r="C328" s="9" t="s">
        <v>67</v>
      </c>
      <c r="D328" s="9" t="s">
        <v>111</v>
      </c>
      <c r="E328" s="9" t="s">
        <v>112</v>
      </c>
      <c r="F328" s="11">
        <v>1</v>
      </c>
      <c r="G328" s="12">
        <v>0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2406</v>
      </c>
      <c r="B329" s="4" t="s">
        <v>519</v>
      </c>
      <c r="C329" s="4" t="s">
        <v>67</v>
      </c>
      <c r="D329" s="4" t="s">
        <v>75</v>
      </c>
      <c r="E329" s="4" t="s">
        <v>76</v>
      </c>
      <c r="F329" s="6">
        <v>29</v>
      </c>
      <c r="G329" s="5">
        <v>3</v>
      </c>
      <c r="H329" s="7">
        <v>0</v>
      </c>
      <c r="I329" s="7">
        <v>0</v>
      </c>
      <c r="J329" s="5">
        <v>26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27</v>
      </c>
      <c r="V329" s="5">
        <v>3</v>
      </c>
      <c r="W329" s="7">
        <v>0</v>
      </c>
      <c r="X329" s="7">
        <v>0</v>
      </c>
      <c r="Y329" s="5">
        <v>24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3</v>
      </c>
      <c r="AK329" s="8">
        <v>14.5</v>
      </c>
      <c r="AL329" s="5">
        <v>14</v>
      </c>
      <c r="AM329" s="5">
        <v>26</v>
      </c>
      <c r="AN329" s="28">
        <v>7.05</v>
      </c>
    </row>
    <row r="330">
      <c r="A330" s="24">
        <v>2408</v>
      </c>
      <c r="B330" s="9" t="s">
        <v>520</v>
      </c>
      <c r="C330" s="9" t="s">
        <v>67</v>
      </c>
      <c r="D330" s="9" t="s">
        <v>75</v>
      </c>
      <c r="E330" s="9" t="s">
        <v>76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0.26</v>
      </c>
    </row>
    <row r="331">
      <c r="A331" s="23">
        <v>2416</v>
      </c>
      <c r="B331" s="4" t="s">
        <v>521</v>
      </c>
      <c r="C331" s="4" t="s">
        <v>67</v>
      </c>
      <c r="D331" s="4" t="s">
        <v>108</v>
      </c>
      <c r="E331" s="4" t="s">
        <v>522</v>
      </c>
      <c r="F331" s="6">
        <v>3</v>
      </c>
      <c r="G331" s="5">
        <v>2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1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0.24</v>
      </c>
    </row>
    <row r="332">
      <c r="A332" s="24">
        <v>2418</v>
      </c>
      <c r="B332" s="9" t="s">
        <v>523</v>
      </c>
      <c r="C332" s="9" t="s">
        <v>67</v>
      </c>
      <c r="D332" s="9" t="s">
        <v>134</v>
      </c>
      <c r="E332" s="9" t="s">
        <v>135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2427</v>
      </c>
      <c r="B333" s="4" t="s">
        <v>524</v>
      </c>
      <c r="C333" s="4" t="s">
        <v>67</v>
      </c>
      <c r="D333" s="4" t="s">
        <v>75</v>
      </c>
      <c r="E333" s="4" t="s">
        <v>76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0.37</v>
      </c>
    </row>
    <row r="334">
      <c r="A334" s="24">
        <v>2428</v>
      </c>
      <c r="B334" s="9" t="s">
        <v>525</v>
      </c>
      <c r="C334" s="9" t="s">
        <v>67</v>
      </c>
      <c r="D334" s="9" t="s">
        <v>86</v>
      </c>
      <c r="E334" s="9" t="s">
        <v>526</v>
      </c>
      <c r="F334" s="11">
        <v>2</v>
      </c>
      <c r="G334" s="10">
        <v>1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1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2432</v>
      </c>
      <c r="B335" s="4" t="s">
        <v>527</v>
      </c>
      <c r="C335" s="4" t="s">
        <v>67</v>
      </c>
      <c r="D335" s="4" t="s">
        <v>86</v>
      </c>
      <c r="E335" s="4" t="s">
        <v>87</v>
      </c>
      <c r="F335" s="6">
        <v>8</v>
      </c>
      <c r="G335" s="7">
        <v>0</v>
      </c>
      <c r="H335" s="7">
        <v>0</v>
      </c>
      <c r="I335" s="7">
        <v>0</v>
      </c>
      <c r="J335" s="5">
        <v>8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8</v>
      </c>
      <c r="V335" s="7">
        <v>0</v>
      </c>
      <c r="W335" s="7">
        <v>0</v>
      </c>
      <c r="X335" s="7">
        <v>0</v>
      </c>
      <c r="Y335" s="5">
        <v>8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</v>
      </c>
      <c r="AL335" s="5">
        <v>1</v>
      </c>
      <c r="AM335" s="5">
        <v>5</v>
      </c>
      <c r="AN335" s="28">
        <v>1.75</v>
      </c>
    </row>
    <row r="336">
      <c r="A336" s="24">
        <v>2435</v>
      </c>
      <c r="B336" s="9" t="s">
        <v>528</v>
      </c>
      <c r="C336" s="9" t="s">
        <v>67</v>
      </c>
      <c r="D336" s="9" t="s">
        <v>79</v>
      </c>
      <c r="E336" s="9" t="s">
        <v>343</v>
      </c>
      <c r="F336" s="11">
        <v>5</v>
      </c>
      <c r="G336" s="10">
        <v>2</v>
      </c>
      <c r="H336" s="12">
        <v>0</v>
      </c>
      <c r="I336" s="10">
        <v>1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5</v>
      </c>
      <c r="V336" s="10">
        <v>2</v>
      </c>
      <c r="W336" s="12">
        <v>0</v>
      </c>
      <c r="X336" s="10">
        <v>1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1.67</v>
      </c>
      <c r="AL336" s="10">
        <v>2</v>
      </c>
      <c r="AM336" s="10">
        <v>2</v>
      </c>
      <c r="AN336" s="30">
        <v>0</v>
      </c>
    </row>
    <row r="337">
      <c r="A337" s="23">
        <v>2440</v>
      </c>
      <c r="B337" s="4" t="s">
        <v>529</v>
      </c>
      <c r="C337" s="4" t="s">
        <v>67</v>
      </c>
      <c r="D337" s="4" t="s">
        <v>86</v>
      </c>
      <c r="E337" s="4" t="s">
        <v>87</v>
      </c>
      <c r="F337" s="6">
        <v>1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5">
        <v>1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5">
        <v>1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3">
        <v>0</v>
      </c>
    </row>
    <row r="338">
      <c r="A338" s="24">
        <v>2442</v>
      </c>
      <c r="B338" s="9" t="s">
        <v>530</v>
      </c>
      <c r="C338" s="9" t="s">
        <v>67</v>
      </c>
      <c r="D338" s="9" t="s">
        <v>125</v>
      </c>
      <c r="E338" s="9" t="s">
        <v>126</v>
      </c>
      <c r="F338" s="11">
        <v>1</v>
      </c>
      <c r="G338" s="12">
        <v>0</v>
      </c>
      <c r="H338" s="10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0">
        <v>1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2445</v>
      </c>
      <c r="B339" s="4" t="s">
        <v>531</v>
      </c>
      <c r="C339" s="4" t="s">
        <v>67</v>
      </c>
      <c r="D339" s="4" t="s">
        <v>111</v>
      </c>
      <c r="E339" s="4" t="s">
        <v>221</v>
      </c>
      <c r="F339" s="6">
        <v>4</v>
      </c>
      <c r="G339" s="5">
        <v>2</v>
      </c>
      <c r="H339" s="7">
        <v>0</v>
      </c>
      <c r="I339" s="5">
        <v>1</v>
      </c>
      <c r="J339" s="7">
        <v>0</v>
      </c>
      <c r="K339" s="5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2</v>
      </c>
      <c r="W339" s="7">
        <v>0</v>
      </c>
      <c r="X339" s="5">
        <v>1</v>
      </c>
      <c r="Y339" s="7">
        <v>0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0.36</v>
      </c>
    </row>
    <row r="340">
      <c r="A340" s="24">
        <v>2459</v>
      </c>
      <c r="B340" s="9" t="s">
        <v>532</v>
      </c>
      <c r="C340" s="9" t="s">
        <v>67</v>
      </c>
      <c r="D340" s="9" t="s">
        <v>111</v>
      </c>
      <c r="E340" s="9" t="s">
        <v>221</v>
      </c>
      <c r="F340" s="11">
        <v>5</v>
      </c>
      <c r="G340" s="10">
        <v>5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4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2.5</v>
      </c>
      <c r="AL340" s="10">
        <v>2</v>
      </c>
      <c r="AM340" s="10">
        <v>3</v>
      </c>
      <c r="AN340" s="30">
        <v>0</v>
      </c>
    </row>
    <row r="341">
      <c r="A341" s="23">
        <v>2482</v>
      </c>
      <c r="B341" s="4" t="s">
        <v>533</v>
      </c>
      <c r="C341" s="4" t="s">
        <v>67</v>
      </c>
      <c r="D341" s="4" t="s">
        <v>75</v>
      </c>
      <c r="E341" s="4" t="s">
        <v>76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0.32</v>
      </c>
    </row>
    <row r="342">
      <c r="A342" s="24">
        <v>2486</v>
      </c>
      <c r="B342" s="9" t="s">
        <v>534</v>
      </c>
      <c r="C342" s="9" t="s">
        <v>177</v>
      </c>
      <c r="D342" s="9" t="s">
        <v>178</v>
      </c>
      <c r="E342" s="9" t="s">
        <v>179</v>
      </c>
      <c r="F342" s="11">
        <v>7</v>
      </c>
      <c r="G342" s="10">
        <v>3</v>
      </c>
      <c r="H342" s="12">
        <v>0</v>
      </c>
      <c r="I342" s="12">
        <v>0</v>
      </c>
      <c r="J342" s="12">
        <v>0</v>
      </c>
      <c r="K342" s="10">
        <v>4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5</v>
      </c>
      <c r="V342" s="10">
        <v>2</v>
      </c>
      <c r="W342" s="12">
        <v>0</v>
      </c>
      <c r="X342" s="12">
        <v>0</v>
      </c>
      <c r="Y342" s="12">
        <v>0</v>
      </c>
      <c r="Z342" s="10">
        <v>3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2.33</v>
      </c>
      <c r="AL342" s="10">
        <v>2</v>
      </c>
      <c r="AM342" s="10">
        <v>4</v>
      </c>
      <c r="AN342" s="30">
        <v>0</v>
      </c>
    </row>
    <row r="343">
      <c r="A343" s="23">
        <v>2488</v>
      </c>
      <c r="B343" s="4" t="s">
        <v>535</v>
      </c>
      <c r="C343" s="4" t="s">
        <v>142</v>
      </c>
      <c r="D343" s="4" t="s">
        <v>461</v>
      </c>
      <c r="E343" s="4" t="s">
        <v>536</v>
      </c>
      <c r="F343" s="6">
        <v>8</v>
      </c>
      <c r="G343" s="7">
        <v>0</v>
      </c>
      <c r="H343" s="5">
        <v>2</v>
      </c>
      <c r="I343" s="7">
        <v>0</v>
      </c>
      <c r="J343" s="5">
        <v>2</v>
      </c>
      <c r="K343" s="5">
        <v>4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8</v>
      </c>
      <c r="V343" s="7">
        <v>0</v>
      </c>
      <c r="W343" s="5">
        <v>2</v>
      </c>
      <c r="X343" s="7">
        <v>0</v>
      </c>
      <c r="Y343" s="5">
        <v>2</v>
      </c>
      <c r="Z343" s="5">
        <v>4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2.67</v>
      </c>
      <c r="AL343" s="5">
        <v>2</v>
      </c>
      <c r="AM343" s="5">
        <v>4</v>
      </c>
      <c r="AN343" s="43">
        <v>0</v>
      </c>
    </row>
    <row r="344">
      <c r="A344" s="24">
        <v>2489</v>
      </c>
      <c r="B344" s="9" t="s">
        <v>537</v>
      </c>
      <c r="C344" s="9" t="s">
        <v>177</v>
      </c>
      <c r="D344" s="9" t="s">
        <v>538</v>
      </c>
      <c r="E344" s="9" t="s">
        <v>538</v>
      </c>
      <c r="F344" s="11">
        <v>7</v>
      </c>
      <c r="G344" s="12">
        <v>0</v>
      </c>
      <c r="H344" s="12">
        <v>0</v>
      </c>
      <c r="I344" s="10">
        <v>4</v>
      </c>
      <c r="J344" s="10">
        <v>1</v>
      </c>
      <c r="K344" s="10">
        <v>2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6</v>
      </c>
      <c r="V344" s="12">
        <v>0</v>
      </c>
      <c r="W344" s="12">
        <v>0</v>
      </c>
      <c r="X344" s="10">
        <v>3</v>
      </c>
      <c r="Y344" s="10">
        <v>1</v>
      </c>
      <c r="Z344" s="10">
        <v>2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1.4</v>
      </c>
      <c r="AL344" s="10">
        <v>1</v>
      </c>
      <c r="AM344" s="10">
        <v>3</v>
      </c>
      <c r="AN344" s="30">
        <v>0</v>
      </c>
    </row>
    <row r="345">
      <c r="A345" s="23">
        <v>2492</v>
      </c>
      <c r="B345" s="4" t="s">
        <v>539</v>
      </c>
      <c r="C345" s="4" t="s">
        <v>67</v>
      </c>
      <c r="D345" s="4" t="s">
        <v>86</v>
      </c>
      <c r="E345" s="4" t="s">
        <v>473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2495</v>
      </c>
      <c r="B346" s="9" t="s">
        <v>540</v>
      </c>
      <c r="C346" s="9" t="s">
        <v>67</v>
      </c>
      <c r="D346" s="9" t="s">
        <v>86</v>
      </c>
      <c r="E346" s="9" t="s">
        <v>148</v>
      </c>
      <c r="F346" s="11">
        <v>4</v>
      </c>
      <c r="G346" s="10">
        <v>1</v>
      </c>
      <c r="H346" s="12">
        <v>0</v>
      </c>
      <c r="I346" s="10">
        <v>2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1</v>
      </c>
      <c r="W346" s="12">
        <v>0</v>
      </c>
      <c r="X346" s="10">
        <v>2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1.33</v>
      </c>
      <c r="AL346" s="10">
        <v>1</v>
      </c>
      <c r="AM346" s="10">
        <v>2</v>
      </c>
      <c r="AN346" s="30">
        <v>0</v>
      </c>
    </row>
    <row r="347">
      <c r="A347" s="23">
        <v>2496</v>
      </c>
      <c r="B347" s="4" t="s">
        <v>541</v>
      </c>
      <c r="C347" s="4" t="s">
        <v>142</v>
      </c>
      <c r="D347" s="4" t="s">
        <v>469</v>
      </c>
      <c r="E347" s="4" t="s">
        <v>499</v>
      </c>
      <c r="F347" s="6">
        <v>9</v>
      </c>
      <c r="G347" s="5">
        <v>1</v>
      </c>
      <c r="H347" s="5">
        <v>5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1</v>
      </c>
      <c r="W347" s="5">
        <v>5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1.8</v>
      </c>
      <c r="AL347" s="5">
        <v>2</v>
      </c>
      <c r="AM347" s="5">
        <v>3</v>
      </c>
      <c r="AN347" s="28">
        <v>1.2</v>
      </c>
    </row>
    <row r="348">
      <c r="A348" s="24">
        <v>2498</v>
      </c>
      <c r="B348" s="9" t="s">
        <v>542</v>
      </c>
      <c r="C348" s="9" t="s">
        <v>142</v>
      </c>
      <c r="D348" s="9" t="s">
        <v>469</v>
      </c>
      <c r="E348" s="9" t="s">
        <v>499</v>
      </c>
      <c r="F348" s="11">
        <v>4</v>
      </c>
      <c r="G348" s="12">
        <v>0</v>
      </c>
      <c r="H348" s="10">
        <v>1</v>
      </c>
      <c r="I348" s="10">
        <v>1</v>
      </c>
      <c r="J348" s="10">
        <v>1</v>
      </c>
      <c r="K348" s="10">
        <v>1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2">
        <v>0</v>
      </c>
      <c r="W348" s="10">
        <v>1</v>
      </c>
      <c r="X348" s="10">
        <v>1</v>
      </c>
      <c r="Y348" s="10">
        <v>1</v>
      </c>
      <c r="Z348" s="10">
        <v>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2501</v>
      </c>
      <c r="B349" s="4" t="s">
        <v>543</v>
      </c>
      <c r="C349" s="4" t="s">
        <v>67</v>
      </c>
      <c r="D349" s="4" t="s">
        <v>159</v>
      </c>
      <c r="E349" s="4" t="s">
        <v>544</v>
      </c>
      <c r="F349" s="6">
        <v>2</v>
      </c>
      <c r="G349" s="7">
        <v>0</v>
      </c>
      <c r="H349" s="7">
        <v>0</v>
      </c>
      <c r="I349" s="5">
        <v>1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7">
        <v>0</v>
      </c>
      <c r="X349" s="5">
        <v>1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0.5</v>
      </c>
    </row>
    <row r="350">
      <c r="A350" s="24">
        <v>2502</v>
      </c>
      <c r="B350" s="9" t="s">
        <v>545</v>
      </c>
      <c r="C350" s="9" t="s">
        <v>67</v>
      </c>
      <c r="D350" s="9" t="s">
        <v>79</v>
      </c>
      <c r="E350" s="9" t="s">
        <v>82</v>
      </c>
      <c r="F350" s="11">
        <v>2</v>
      </c>
      <c r="G350" s="12">
        <v>0</v>
      </c>
      <c r="H350" s="10">
        <v>1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0">
        <v>1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0.36</v>
      </c>
    </row>
    <row r="351">
      <c r="A351" s="23">
        <v>2512</v>
      </c>
      <c r="B351" s="4" t="s">
        <v>546</v>
      </c>
      <c r="C351" s="4" t="s">
        <v>67</v>
      </c>
      <c r="D351" s="4" t="s">
        <v>86</v>
      </c>
      <c r="E351" s="4" t="s">
        <v>547</v>
      </c>
      <c r="F351" s="6">
        <v>4</v>
      </c>
      <c r="G351" s="7">
        <v>0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7">
        <v>0</v>
      </c>
      <c r="W351" s="7">
        <v>0</v>
      </c>
      <c r="X351" s="7">
        <v>0</v>
      </c>
      <c r="Y351" s="5">
        <v>3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28">
        <v>0.78</v>
      </c>
    </row>
    <row r="352">
      <c r="A352" s="24">
        <v>2519</v>
      </c>
      <c r="B352" s="9" t="s">
        <v>548</v>
      </c>
      <c r="C352" s="9" t="s">
        <v>67</v>
      </c>
      <c r="D352" s="9" t="s">
        <v>86</v>
      </c>
      <c r="E352" s="9" t="s">
        <v>87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0.26</v>
      </c>
    </row>
    <row r="353">
      <c r="A353" s="23">
        <v>2525</v>
      </c>
      <c r="B353" s="4" t="s">
        <v>549</v>
      </c>
      <c r="C353" s="4" t="s">
        <v>67</v>
      </c>
      <c r="D353" s="4" t="s">
        <v>86</v>
      </c>
      <c r="E353" s="4" t="s">
        <v>140</v>
      </c>
      <c r="F353" s="6">
        <v>1</v>
      </c>
      <c r="G353" s="7">
        <v>0</v>
      </c>
      <c r="H353" s="5">
        <v>1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5">
        <v>1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3">
        <v>0</v>
      </c>
    </row>
    <row r="354">
      <c r="A354" s="24">
        <v>2526</v>
      </c>
      <c r="B354" s="9" t="s">
        <v>550</v>
      </c>
      <c r="C354" s="9" t="s">
        <v>177</v>
      </c>
      <c r="D354" s="9" t="s">
        <v>178</v>
      </c>
      <c r="E354" s="9" t="s">
        <v>187</v>
      </c>
      <c r="F354" s="11">
        <v>3</v>
      </c>
      <c r="G354" s="12">
        <v>0</v>
      </c>
      <c r="H354" s="10">
        <v>2</v>
      </c>
      <c r="I354" s="12">
        <v>0</v>
      </c>
      <c r="J354" s="12">
        <v>0</v>
      </c>
      <c r="K354" s="10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0">
        <v>1</v>
      </c>
      <c r="X354" s="12">
        <v>0</v>
      </c>
      <c r="Y354" s="12">
        <v>0</v>
      </c>
      <c r="Z354" s="10">
        <v>1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0.37</v>
      </c>
    </row>
    <row r="355">
      <c r="A355" s="23">
        <v>2540</v>
      </c>
      <c r="B355" s="4" t="s">
        <v>551</v>
      </c>
      <c r="C355" s="4" t="s">
        <v>67</v>
      </c>
      <c r="D355" s="4" t="s">
        <v>108</v>
      </c>
      <c r="E355" s="4" t="s">
        <v>522</v>
      </c>
      <c r="F355" s="6">
        <v>2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43">
        <v>0</v>
      </c>
    </row>
    <row r="356">
      <c r="A356" s="24">
        <v>2544</v>
      </c>
      <c r="B356" s="9" t="s">
        <v>552</v>
      </c>
      <c r="C356" s="9" t="s">
        <v>177</v>
      </c>
      <c r="D356" s="9" t="s">
        <v>489</v>
      </c>
      <c r="E356" s="9" t="s">
        <v>490</v>
      </c>
      <c r="F356" s="11">
        <v>3</v>
      </c>
      <c r="G356" s="12">
        <v>0</v>
      </c>
      <c r="H356" s="12">
        <v>0</v>
      </c>
      <c r="I356" s="12">
        <v>0</v>
      </c>
      <c r="J356" s="12">
        <v>0</v>
      </c>
      <c r="K356" s="10">
        <v>3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2">
        <v>0</v>
      </c>
      <c r="W356" s="12">
        <v>0</v>
      </c>
      <c r="X356" s="12">
        <v>0</v>
      </c>
      <c r="Y356" s="12">
        <v>0</v>
      </c>
      <c r="Z356" s="10">
        <v>3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3</v>
      </c>
      <c r="AK356" s="13">
        <v>3</v>
      </c>
      <c r="AL356" s="10">
        <v>3</v>
      </c>
      <c r="AM356" s="10">
        <v>3</v>
      </c>
      <c r="AN356" s="30">
        <v>0</v>
      </c>
    </row>
    <row r="357">
      <c r="A357" s="23">
        <v>2552</v>
      </c>
      <c r="B357" s="4" t="s">
        <v>553</v>
      </c>
      <c r="C357" s="4" t="s">
        <v>67</v>
      </c>
      <c r="D357" s="4" t="s">
        <v>86</v>
      </c>
      <c r="E357" s="4" t="s">
        <v>87</v>
      </c>
      <c r="F357" s="6">
        <v>14</v>
      </c>
      <c r="G357" s="5">
        <v>7</v>
      </c>
      <c r="H357" s="7">
        <v>0</v>
      </c>
      <c r="I357" s="5">
        <v>2</v>
      </c>
      <c r="J357" s="5">
        <v>4</v>
      </c>
      <c r="K357" s="5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13</v>
      </c>
      <c r="V357" s="5">
        <v>7</v>
      </c>
      <c r="W357" s="7">
        <v>0</v>
      </c>
      <c r="X357" s="5">
        <v>2</v>
      </c>
      <c r="Y357" s="5">
        <v>3</v>
      </c>
      <c r="Z357" s="5">
        <v>1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2.8</v>
      </c>
      <c r="AL357" s="5">
        <v>1</v>
      </c>
      <c r="AM357" s="5">
        <v>7</v>
      </c>
      <c r="AN357" s="28">
        <v>1.04</v>
      </c>
    </row>
    <row r="358">
      <c r="A358" s="24">
        <v>2557</v>
      </c>
      <c r="B358" s="9" t="s">
        <v>554</v>
      </c>
      <c r="C358" s="9" t="s">
        <v>67</v>
      </c>
      <c r="D358" s="9" t="s">
        <v>86</v>
      </c>
      <c r="E358" s="9" t="s">
        <v>473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2559</v>
      </c>
      <c r="B359" s="4" t="s">
        <v>555</v>
      </c>
      <c r="C359" s="4" t="s">
        <v>67</v>
      </c>
      <c r="D359" s="4" t="s">
        <v>86</v>
      </c>
      <c r="E359" s="4" t="s">
        <v>473</v>
      </c>
      <c r="F359" s="6">
        <v>6</v>
      </c>
      <c r="G359" s="5">
        <v>1</v>
      </c>
      <c r="H359" s="7">
        <v>0</v>
      </c>
      <c r="I359" s="7">
        <v>0</v>
      </c>
      <c r="J359" s="5">
        <v>5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6</v>
      </c>
      <c r="V359" s="5">
        <v>1</v>
      </c>
      <c r="W359" s="7">
        <v>0</v>
      </c>
      <c r="X359" s="7">
        <v>0</v>
      </c>
      <c r="Y359" s="5">
        <v>5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1.2</v>
      </c>
      <c r="AL359" s="5">
        <v>1</v>
      </c>
      <c r="AM359" s="5">
        <v>2</v>
      </c>
      <c r="AN359" s="28">
        <v>1</v>
      </c>
    </row>
    <row r="360">
      <c r="A360" s="24">
        <v>2566</v>
      </c>
      <c r="B360" s="9" t="s">
        <v>556</v>
      </c>
      <c r="C360" s="9" t="s">
        <v>67</v>
      </c>
      <c r="D360" s="9" t="s">
        <v>86</v>
      </c>
      <c r="E360" s="9" t="s">
        <v>473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2574</v>
      </c>
      <c r="B361" s="4" t="s">
        <v>557</v>
      </c>
      <c r="C361" s="4" t="s">
        <v>67</v>
      </c>
      <c r="D361" s="4" t="s">
        <v>86</v>
      </c>
      <c r="E361" s="4" t="s">
        <v>473</v>
      </c>
      <c r="F361" s="6">
        <v>3</v>
      </c>
      <c r="G361" s="5">
        <v>3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3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43">
        <v>0</v>
      </c>
    </row>
    <row r="362">
      <c r="A362" s="24">
        <v>2577</v>
      </c>
      <c r="B362" s="9" t="s">
        <v>558</v>
      </c>
      <c r="C362" s="9" t="s">
        <v>67</v>
      </c>
      <c r="D362" s="9" t="s">
        <v>86</v>
      </c>
      <c r="E362" s="9" t="s">
        <v>148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30">
        <v>0</v>
      </c>
    </row>
    <row r="363">
      <c r="A363" s="23">
        <v>2586</v>
      </c>
      <c r="B363" s="4" t="s">
        <v>559</v>
      </c>
      <c r="C363" s="4" t="s">
        <v>177</v>
      </c>
      <c r="D363" s="4" t="s">
        <v>489</v>
      </c>
      <c r="E363" s="4" t="s">
        <v>490</v>
      </c>
      <c r="F363" s="6">
        <v>8</v>
      </c>
      <c r="G363" s="5">
        <v>1</v>
      </c>
      <c r="H363" s="7">
        <v>0</v>
      </c>
      <c r="I363" s="5">
        <v>1</v>
      </c>
      <c r="J363" s="5">
        <v>2</v>
      </c>
      <c r="K363" s="5">
        <v>4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8</v>
      </c>
      <c r="V363" s="5">
        <v>1</v>
      </c>
      <c r="W363" s="7">
        <v>0</v>
      </c>
      <c r="X363" s="5">
        <v>1</v>
      </c>
      <c r="Y363" s="5">
        <v>2</v>
      </c>
      <c r="Z363" s="5">
        <v>4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1</v>
      </c>
      <c r="AM363" s="5">
        <v>4</v>
      </c>
      <c r="AN363" s="43">
        <v>0</v>
      </c>
    </row>
    <row r="364">
      <c r="A364" s="24">
        <v>2587</v>
      </c>
      <c r="B364" s="9" t="s">
        <v>560</v>
      </c>
      <c r="C364" s="9" t="s">
        <v>67</v>
      </c>
      <c r="D364" s="9" t="s">
        <v>86</v>
      </c>
      <c r="E364" s="9" t="s">
        <v>473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2596</v>
      </c>
      <c r="B365" s="4" t="s">
        <v>561</v>
      </c>
      <c r="C365" s="4" t="s">
        <v>142</v>
      </c>
      <c r="D365" s="4" t="s">
        <v>461</v>
      </c>
      <c r="E365" s="4" t="s">
        <v>536</v>
      </c>
      <c r="F365" s="6">
        <v>2</v>
      </c>
      <c r="G365" s="5">
        <v>1</v>
      </c>
      <c r="H365" s="7">
        <v>0</v>
      </c>
      <c r="I365" s="7">
        <v>0</v>
      </c>
      <c r="J365" s="7">
        <v>0</v>
      </c>
      <c r="K365" s="5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7">
        <v>0</v>
      </c>
      <c r="X365" s="7">
        <v>0</v>
      </c>
      <c r="Y365" s="7">
        <v>0</v>
      </c>
      <c r="Z365" s="5">
        <v>1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3">
        <v>0</v>
      </c>
    </row>
    <row r="366">
      <c r="A366" s="24">
        <v>2602</v>
      </c>
      <c r="B366" s="9" t="s">
        <v>562</v>
      </c>
      <c r="C366" s="9" t="s">
        <v>142</v>
      </c>
      <c r="D366" s="9" t="s">
        <v>506</v>
      </c>
      <c r="E366" s="9" t="s">
        <v>507</v>
      </c>
      <c r="F366" s="11">
        <v>7</v>
      </c>
      <c r="G366" s="10">
        <v>1</v>
      </c>
      <c r="H366" s="10">
        <v>1</v>
      </c>
      <c r="I366" s="10">
        <v>1</v>
      </c>
      <c r="J366" s="12">
        <v>0</v>
      </c>
      <c r="K366" s="10">
        <v>2</v>
      </c>
      <c r="L366" s="10">
        <v>2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7</v>
      </c>
      <c r="V366" s="10">
        <v>1</v>
      </c>
      <c r="W366" s="10">
        <v>1</v>
      </c>
      <c r="X366" s="10">
        <v>1</v>
      </c>
      <c r="Y366" s="12">
        <v>0</v>
      </c>
      <c r="Z366" s="10">
        <v>2</v>
      </c>
      <c r="AA366" s="10">
        <v>2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1.4</v>
      </c>
      <c r="AL366" s="10">
        <v>1</v>
      </c>
      <c r="AM366" s="10">
        <v>2</v>
      </c>
      <c r="AN366" s="30">
        <v>0</v>
      </c>
    </row>
    <row r="367">
      <c r="A367" s="23">
        <v>2603</v>
      </c>
      <c r="B367" s="4" t="s">
        <v>563</v>
      </c>
      <c r="C367" s="4" t="s">
        <v>142</v>
      </c>
      <c r="D367" s="4" t="s">
        <v>469</v>
      </c>
      <c r="E367" s="4" t="s">
        <v>564</v>
      </c>
      <c r="F367" s="6">
        <v>8</v>
      </c>
      <c r="G367" s="5">
        <v>1</v>
      </c>
      <c r="H367" s="5">
        <v>1</v>
      </c>
      <c r="I367" s="5">
        <v>1</v>
      </c>
      <c r="J367" s="5">
        <v>2</v>
      </c>
      <c r="K367" s="5">
        <v>3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8</v>
      </c>
      <c r="V367" s="5">
        <v>1</v>
      </c>
      <c r="W367" s="5">
        <v>1</v>
      </c>
      <c r="X367" s="5">
        <v>1</v>
      </c>
      <c r="Y367" s="5">
        <v>2</v>
      </c>
      <c r="Z367" s="5">
        <v>3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1.6</v>
      </c>
      <c r="AL367" s="5">
        <v>1</v>
      </c>
      <c r="AM367" s="5">
        <v>3</v>
      </c>
      <c r="AN367" s="43">
        <v>0</v>
      </c>
    </row>
    <row r="368">
      <c r="A368" s="24">
        <v>2605</v>
      </c>
      <c r="B368" s="9" t="s">
        <v>565</v>
      </c>
      <c r="C368" s="9" t="s">
        <v>67</v>
      </c>
      <c r="D368" s="9" t="s">
        <v>111</v>
      </c>
      <c r="E368" s="9" t="s">
        <v>122</v>
      </c>
      <c r="F368" s="11">
        <v>1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0">
        <v>1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0">
        <v>1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2611</v>
      </c>
      <c r="B369" s="4" t="s">
        <v>566</v>
      </c>
      <c r="C369" s="4" t="s">
        <v>142</v>
      </c>
      <c r="D369" s="4" t="s">
        <v>252</v>
      </c>
      <c r="E369" s="4" t="s">
        <v>253</v>
      </c>
      <c r="F369" s="6">
        <v>5</v>
      </c>
      <c r="G369" s="7">
        <v>0</v>
      </c>
      <c r="H369" s="7">
        <v>0</v>
      </c>
      <c r="I369" s="5">
        <v>3</v>
      </c>
      <c r="J369" s="7">
        <v>0</v>
      </c>
      <c r="K369" s="5">
        <v>2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5</v>
      </c>
      <c r="V369" s="7">
        <v>0</v>
      </c>
      <c r="W369" s="7">
        <v>0</v>
      </c>
      <c r="X369" s="5">
        <v>3</v>
      </c>
      <c r="Y369" s="7">
        <v>0</v>
      </c>
      <c r="Z369" s="5">
        <v>2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1.67</v>
      </c>
      <c r="AL369" s="5">
        <v>2</v>
      </c>
      <c r="AM369" s="5">
        <v>2</v>
      </c>
      <c r="AN369" s="43">
        <v>0</v>
      </c>
    </row>
    <row r="370">
      <c r="A370" s="24">
        <v>2612</v>
      </c>
      <c r="B370" s="9" t="s">
        <v>567</v>
      </c>
      <c r="C370" s="9" t="s">
        <v>177</v>
      </c>
      <c r="D370" s="9" t="s">
        <v>194</v>
      </c>
      <c r="E370" s="9" t="s">
        <v>204</v>
      </c>
      <c r="F370" s="11">
        <v>4</v>
      </c>
      <c r="G370" s="10">
        <v>2</v>
      </c>
      <c r="H370" s="12">
        <v>0</v>
      </c>
      <c r="I370" s="10">
        <v>1</v>
      </c>
      <c r="J370" s="12">
        <v>0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0">
        <v>1</v>
      </c>
      <c r="W370" s="12">
        <v>0</v>
      </c>
      <c r="X370" s="10">
        <v>1</v>
      </c>
      <c r="Y370" s="12">
        <v>0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1.33</v>
      </c>
      <c r="AL370" s="10">
        <v>1</v>
      </c>
      <c r="AM370" s="10">
        <v>2</v>
      </c>
      <c r="AN370" s="30">
        <v>0</v>
      </c>
    </row>
    <row r="371">
      <c r="A371" s="23">
        <v>2613</v>
      </c>
      <c r="B371" s="4" t="s">
        <v>568</v>
      </c>
      <c r="C371" s="4" t="s">
        <v>177</v>
      </c>
      <c r="D371" s="4" t="s">
        <v>178</v>
      </c>
      <c r="E371" s="4" t="s">
        <v>179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3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</v>
      </c>
      <c r="AL371" s="5">
        <v>3</v>
      </c>
      <c r="AM371" s="5">
        <v>3</v>
      </c>
      <c r="AN371" s="43">
        <v>0</v>
      </c>
    </row>
    <row r="372">
      <c r="A372" s="24">
        <v>2614</v>
      </c>
      <c r="B372" s="9" t="s">
        <v>569</v>
      </c>
      <c r="C372" s="9" t="s">
        <v>177</v>
      </c>
      <c r="D372" s="9" t="s">
        <v>178</v>
      </c>
      <c r="E372" s="9" t="s">
        <v>179</v>
      </c>
      <c r="F372" s="11">
        <v>4</v>
      </c>
      <c r="G372" s="10">
        <v>4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0">
        <v>3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4</v>
      </c>
      <c r="AK372" s="13">
        <v>4</v>
      </c>
      <c r="AL372" s="10">
        <v>4</v>
      </c>
      <c r="AM372" s="10">
        <v>4</v>
      </c>
      <c r="AN372" s="30">
        <v>0</v>
      </c>
    </row>
    <row r="373">
      <c r="A373" s="23">
        <v>2615</v>
      </c>
      <c r="B373" s="4" t="s">
        <v>570</v>
      </c>
      <c r="C373" s="4" t="s">
        <v>177</v>
      </c>
      <c r="D373" s="4" t="s">
        <v>178</v>
      </c>
      <c r="E373" s="4" t="s">
        <v>179</v>
      </c>
      <c r="F373" s="6">
        <v>4</v>
      </c>
      <c r="G373" s="7">
        <v>0</v>
      </c>
      <c r="H373" s="7">
        <v>0</v>
      </c>
      <c r="I373" s="5">
        <v>1</v>
      </c>
      <c r="J373" s="7">
        <v>0</v>
      </c>
      <c r="K373" s="5">
        <v>3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7">
        <v>0</v>
      </c>
      <c r="W373" s="7">
        <v>0</v>
      </c>
      <c r="X373" s="5">
        <v>1</v>
      </c>
      <c r="Y373" s="7">
        <v>0</v>
      </c>
      <c r="Z373" s="5">
        <v>3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1.33</v>
      </c>
      <c r="AL373" s="5">
        <v>1</v>
      </c>
      <c r="AM373" s="5">
        <v>2</v>
      </c>
      <c r="AN373" s="43">
        <v>0</v>
      </c>
    </row>
    <row r="374">
      <c r="A374" s="24">
        <v>2619</v>
      </c>
      <c r="B374" s="9" t="s">
        <v>571</v>
      </c>
      <c r="C374" s="9" t="s">
        <v>67</v>
      </c>
      <c r="D374" s="9" t="s">
        <v>134</v>
      </c>
      <c r="E374" s="9" t="s">
        <v>135</v>
      </c>
      <c r="F374" s="11">
        <v>4</v>
      </c>
      <c r="G374" s="10">
        <v>4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0">
        <v>4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1.33</v>
      </c>
      <c r="AL374" s="10">
        <v>1</v>
      </c>
      <c r="AM374" s="10">
        <v>2</v>
      </c>
      <c r="AN374" s="29">
        <v>0.68</v>
      </c>
    </row>
    <row r="375">
      <c r="A375" s="23">
        <v>2640</v>
      </c>
      <c r="B375" s="4" t="s">
        <v>572</v>
      </c>
      <c r="C375" s="4" t="s">
        <v>67</v>
      </c>
      <c r="D375" s="4" t="s">
        <v>134</v>
      </c>
      <c r="E375" s="4" t="s">
        <v>429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43">
        <v>0</v>
      </c>
    </row>
    <row r="376">
      <c r="A376" s="24">
        <v>2645</v>
      </c>
      <c r="B376" s="9" t="s">
        <v>573</v>
      </c>
      <c r="C376" s="9" t="s">
        <v>67</v>
      </c>
      <c r="D376" s="9" t="s">
        <v>111</v>
      </c>
      <c r="E376" s="9" t="s">
        <v>112</v>
      </c>
      <c r="F376" s="11">
        <v>2</v>
      </c>
      <c r="G376" s="10">
        <v>1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1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0.36</v>
      </c>
    </row>
    <row r="377">
      <c r="A377" s="23">
        <v>2649</v>
      </c>
      <c r="B377" s="4" t="s">
        <v>574</v>
      </c>
      <c r="C377" s="4" t="s">
        <v>142</v>
      </c>
      <c r="D377" s="4" t="s">
        <v>506</v>
      </c>
      <c r="E377" s="4" t="s">
        <v>507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0.48</v>
      </c>
    </row>
    <row r="378">
      <c r="A378" s="24">
        <v>2658</v>
      </c>
      <c r="B378" s="9" t="s">
        <v>575</v>
      </c>
      <c r="C378" s="9" t="s">
        <v>67</v>
      </c>
      <c r="D378" s="9" t="s">
        <v>86</v>
      </c>
      <c r="E378" s="9" t="s">
        <v>87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2659</v>
      </c>
      <c r="B379" s="4" t="s">
        <v>576</v>
      </c>
      <c r="C379" s="4" t="s">
        <v>67</v>
      </c>
      <c r="D379" s="4" t="s">
        <v>75</v>
      </c>
      <c r="E379" s="4" t="s">
        <v>76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3">
        <v>0</v>
      </c>
    </row>
    <row r="380">
      <c r="A380" s="24">
        <v>2662</v>
      </c>
      <c r="B380" s="9" t="s">
        <v>577</v>
      </c>
      <c r="C380" s="9" t="s">
        <v>67</v>
      </c>
      <c r="D380" s="9" t="s">
        <v>86</v>
      </c>
      <c r="E380" s="9" t="s">
        <v>148</v>
      </c>
      <c r="F380" s="11">
        <v>5</v>
      </c>
      <c r="G380" s="10">
        <v>3</v>
      </c>
      <c r="H380" s="12">
        <v>0</v>
      </c>
      <c r="I380" s="10">
        <v>1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3</v>
      </c>
      <c r="W380" s="12">
        <v>0</v>
      </c>
      <c r="X380" s="10">
        <v>1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1</v>
      </c>
      <c r="AM380" s="10">
        <v>3</v>
      </c>
      <c r="AN380" s="30">
        <v>0</v>
      </c>
    </row>
    <row r="381">
      <c r="A381" s="23">
        <v>2665</v>
      </c>
      <c r="B381" s="4" t="s">
        <v>578</v>
      </c>
      <c r="C381" s="4" t="s">
        <v>67</v>
      </c>
      <c r="D381" s="4" t="s">
        <v>125</v>
      </c>
      <c r="E381" s="4" t="s">
        <v>381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28">
        <v>0.25</v>
      </c>
    </row>
    <row r="382">
      <c r="A382" s="24">
        <v>2669</v>
      </c>
      <c r="B382" s="9" t="s">
        <v>579</v>
      </c>
      <c r="C382" s="9" t="s">
        <v>67</v>
      </c>
      <c r="D382" s="9" t="s">
        <v>75</v>
      </c>
      <c r="E382" s="9" t="s">
        <v>171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2680</v>
      </c>
      <c r="B383" s="4" t="s">
        <v>580</v>
      </c>
      <c r="C383" s="4" t="s">
        <v>142</v>
      </c>
      <c r="D383" s="4" t="s">
        <v>469</v>
      </c>
      <c r="E383" s="4" t="s">
        <v>581</v>
      </c>
      <c r="F383" s="6">
        <v>7</v>
      </c>
      <c r="G383" s="5">
        <v>1</v>
      </c>
      <c r="H383" s="5">
        <v>1</v>
      </c>
      <c r="I383" s="5">
        <v>1</v>
      </c>
      <c r="J383" s="5">
        <v>2</v>
      </c>
      <c r="K383" s="5">
        <v>2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7</v>
      </c>
      <c r="V383" s="5">
        <v>1</v>
      </c>
      <c r="W383" s="5">
        <v>1</v>
      </c>
      <c r="X383" s="5">
        <v>1</v>
      </c>
      <c r="Y383" s="5">
        <v>2</v>
      </c>
      <c r="Z383" s="5">
        <v>2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1.4</v>
      </c>
      <c r="AL383" s="5">
        <v>1</v>
      </c>
      <c r="AM383" s="5">
        <v>2</v>
      </c>
      <c r="AN383" s="43">
        <v>0</v>
      </c>
    </row>
    <row r="384">
      <c r="A384" s="24">
        <v>2684</v>
      </c>
      <c r="B384" s="9" t="s">
        <v>582</v>
      </c>
      <c r="C384" s="9" t="s">
        <v>142</v>
      </c>
      <c r="D384" s="9" t="s">
        <v>583</v>
      </c>
      <c r="E384" s="9" t="s">
        <v>584</v>
      </c>
      <c r="F384" s="11">
        <v>1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2688</v>
      </c>
      <c r="B385" s="4" t="s">
        <v>585</v>
      </c>
      <c r="C385" s="4" t="s">
        <v>67</v>
      </c>
      <c r="D385" s="4" t="s">
        <v>79</v>
      </c>
      <c r="E385" s="4" t="s">
        <v>115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28">
        <v>0.76</v>
      </c>
    </row>
    <row r="386">
      <c r="A386" s="24">
        <v>2692</v>
      </c>
      <c r="B386" s="9" t="s">
        <v>586</v>
      </c>
      <c r="C386" s="9" t="s">
        <v>67</v>
      </c>
      <c r="D386" s="9" t="s">
        <v>79</v>
      </c>
      <c r="E386" s="9" t="s">
        <v>115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0.6</v>
      </c>
    </row>
    <row r="387">
      <c r="A387" s="23">
        <v>2693</v>
      </c>
      <c r="B387" s="4" t="s">
        <v>587</v>
      </c>
      <c r="C387" s="4" t="s">
        <v>67</v>
      </c>
      <c r="D387" s="4" t="s">
        <v>79</v>
      </c>
      <c r="E387" s="4" t="s">
        <v>115</v>
      </c>
      <c r="F387" s="6">
        <v>4</v>
      </c>
      <c r="G387" s="5">
        <v>4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4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4</v>
      </c>
      <c r="AK387" s="8">
        <v>4</v>
      </c>
      <c r="AL387" s="5">
        <v>4</v>
      </c>
      <c r="AM387" s="5">
        <v>4</v>
      </c>
      <c r="AN387" s="28">
        <v>1.32</v>
      </c>
    </row>
    <row r="388">
      <c r="A388" s="24">
        <v>2698</v>
      </c>
      <c r="B388" s="9" t="s">
        <v>588</v>
      </c>
      <c r="C388" s="9" t="s">
        <v>67</v>
      </c>
      <c r="D388" s="9" t="s">
        <v>79</v>
      </c>
      <c r="E388" s="9" t="s">
        <v>115</v>
      </c>
      <c r="F388" s="11">
        <v>16</v>
      </c>
      <c r="G388" s="10">
        <v>1</v>
      </c>
      <c r="H388" s="12">
        <v>0</v>
      </c>
      <c r="I388" s="12">
        <v>0</v>
      </c>
      <c r="J388" s="10">
        <v>15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14</v>
      </c>
      <c r="V388" s="10">
        <v>1</v>
      </c>
      <c r="W388" s="12">
        <v>0</v>
      </c>
      <c r="X388" s="12">
        <v>0</v>
      </c>
      <c r="Y388" s="10">
        <v>13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8</v>
      </c>
      <c r="AL388" s="10">
        <v>8</v>
      </c>
      <c r="AM388" s="10">
        <v>15</v>
      </c>
      <c r="AN388" s="29">
        <v>3.38</v>
      </c>
    </row>
    <row r="389">
      <c r="A389" s="23">
        <v>2700</v>
      </c>
      <c r="B389" s="4" t="s">
        <v>589</v>
      </c>
      <c r="C389" s="4" t="s">
        <v>67</v>
      </c>
      <c r="D389" s="4" t="s">
        <v>79</v>
      </c>
      <c r="E389" s="4" t="s">
        <v>115</v>
      </c>
      <c r="F389" s="6">
        <v>1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5">
        <v>1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5">
        <v>1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3">
        <v>0</v>
      </c>
    </row>
    <row r="390">
      <c r="A390" s="24">
        <v>2703</v>
      </c>
      <c r="B390" s="9" t="s">
        <v>590</v>
      </c>
      <c r="C390" s="9" t="s">
        <v>67</v>
      </c>
      <c r="D390" s="9" t="s">
        <v>79</v>
      </c>
      <c r="E390" s="9" t="s">
        <v>115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0.37</v>
      </c>
    </row>
    <row r="391">
      <c r="A391" s="23">
        <v>2704</v>
      </c>
      <c r="B391" s="4" t="s">
        <v>591</v>
      </c>
      <c r="C391" s="4" t="s">
        <v>67</v>
      </c>
      <c r="D391" s="4" t="s">
        <v>111</v>
      </c>
      <c r="E391" s="4" t="s">
        <v>150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5">
        <v>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0.64</v>
      </c>
    </row>
    <row r="392">
      <c r="A392" s="24">
        <v>2705</v>
      </c>
      <c r="B392" s="9" t="s">
        <v>592</v>
      </c>
      <c r="C392" s="9" t="s">
        <v>67</v>
      </c>
      <c r="D392" s="9" t="s">
        <v>79</v>
      </c>
      <c r="E392" s="9" t="s">
        <v>115</v>
      </c>
      <c r="F392" s="11">
        <v>3</v>
      </c>
      <c r="G392" s="12">
        <v>0</v>
      </c>
      <c r="H392" s="12">
        <v>0</v>
      </c>
      <c r="I392" s="12">
        <v>0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2">
        <v>0</v>
      </c>
      <c r="W392" s="12">
        <v>0</v>
      </c>
      <c r="X392" s="12">
        <v>0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3</v>
      </c>
      <c r="AK392" s="13">
        <v>3</v>
      </c>
      <c r="AL392" s="10">
        <v>3</v>
      </c>
      <c r="AM392" s="10">
        <v>3</v>
      </c>
      <c r="AN392" s="29">
        <v>0.78</v>
      </c>
    </row>
    <row r="393">
      <c r="A393" s="23">
        <v>2708</v>
      </c>
      <c r="B393" s="4" t="s">
        <v>593</v>
      </c>
      <c r="C393" s="4" t="s">
        <v>67</v>
      </c>
      <c r="D393" s="4" t="s">
        <v>79</v>
      </c>
      <c r="E393" s="4" t="s">
        <v>115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0.32</v>
      </c>
    </row>
    <row r="394">
      <c r="A394" s="24">
        <v>2711</v>
      </c>
      <c r="B394" s="9" t="s">
        <v>594</v>
      </c>
      <c r="C394" s="9" t="s">
        <v>67</v>
      </c>
      <c r="D394" s="9" t="s">
        <v>86</v>
      </c>
      <c r="E394" s="9" t="s">
        <v>526</v>
      </c>
      <c r="F394" s="11">
        <v>1</v>
      </c>
      <c r="G394" s="12">
        <v>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2713</v>
      </c>
      <c r="B395" s="4" t="s">
        <v>595</v>
      </c>
      <c r="C395" s="4" t="s">
        <v>67</v>
      </c>
      <c r="D395" s="4" t="s">
        <v>79</v>
      </c>
      <c r="E395" s="4" t="s">
        <v>115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0.6</v>
      </c>
    </row>
    <row r="396">
      <c r="A396" s="24">
        <v>2715</v>
      </c>
      <c r="B396" s="9" t="s">
        <v>596</v>
      </c>
      <c r="C396" s="9" t="s">
        <v>67</v>
      </c>
      <c r="D396" s="9" t="s">
        <v>79</v>
      </c>
      <c r="E396" s="9" t="s">
        <v>115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2730</v>
      </c>
      <c r="B397" s="4" t="s">
        <v>597</v>
      </c>
      <c r="C397" s="4" t="s">
        <v>67</v>
      </c>
      <c r="D397" s="4" t="s">
        <v>111</v>
      </c>
      <c r="E397" s="4" t="s">
        <v>112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28">
        <v>0.36</v>
      </c>
    </row>
    <row r="398">
      <c r="A398" s="24">
        <v>2731</v>
      </c>
      <c r="B398" s="9" t="s">
        <v>598</v>
      </c>
      <c r="C398" s="9" t="s">
        <v>67</v>
      </c>
      <c r="D398" s="9" t="s">
        <v>159</v>
      </c>
      <c r="E398" s="9" t="s">
        <v>160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2740</v>
      </c>
      <c r="B399" s="4" t="s">
        <v>599</v>
      </c>
      <c r="C399" s="4" t="s">
        <v>142</v>
      </c>
      <c r="D399" s="4" t="s">
        <v>600</v>
      </c>
      <c r="E399" s="4" t="s">
        <v>601</v>
      </c>
      <c r="F399" s="6">
        <v>7</v>
      </c>
      <c r="G399" s="5">
        <v>2</v>
      </c>
      <c r="H399" s="7">
        <v>0</v>
      </c>
      <c r="I399" s="5">
        <v>2</v>
      </c>
      <c r="J399" s="5">
        <v>2</v>
      </c>
      <c r="K399" s="7">
        <v>0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7</v>
      </c>
      <c r="V399" s="5">
        <v>2</v>
      </c>
      <c r="W399" s="7">
        <v>0</v>
      </c>
      <c r="X399" s="5">
        <v>2</v>
      </c>
      <c r="Y399" s="5">
        <v>2</v>
      </c>
      <c r="Z399" s="7">
        <v>0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1.4</v>
      </c>
      <c r="AL399" s="5">
        <v>1</v>
      </c>
      <c r="AM399" s="5">
        <v>2</v>
      </c>
      <c r="AN399" s="28">
        <v>0.24</v>
      </c>
    </row>
    <row r="400">
      <c r="A400" s="24">
        <v>2742</v>
      </c>
      <c r="B400" s="9" t="s">
        <v>602</v>
      </c>
      <c r="C400" s="9" t="s">
        <v>67</v>
      </c>
      <c r="D400" s="9" t="s">
        <v>71</v>
      </c>
      <c r="E400" s="9" t="s">
        <v>169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30">
        <v>0</v>
      </c>
    </row>
    <row r="401">
      <c r="A401" s="23">
        <v>2757</v>
      </c>
      <c r="B401" s="4" t="s">
        <v>603</v>
      </c>
      <c r="C401" s="4" t="s">
        <v>67</v>
      </c>
      <c r="D401" s="4" t="s">
        <v>75</v>
      </c>
      <c r="E401" s="4" t="s">
        <v>76</v>
      </c>
      <c r="F401" s="6">
        <v>5</v>
      </c>
      <c r="G401" s="5">
        <v>5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5</v>
      </c>
      <c r="V401" s="5">
        <v>5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2.5</v>
      </c>
      <c r="AL401" s="5">
        <v>2</v>
      </c>
      <c r="AM401" s="5">
        <v>4</v>
      </c>
      <c r="AN401" s="28">
        <v>1.65</v>
      </c>
    </row>
    <row r="402">
      <c r="A402" s="24">
        <v>2768</v>
      </c>
      <c r="B402" s="9" t="s">
        <v>604</v>
      </c>
      <c r="C402" s="9" t="s">
        <v>67</v>
      </c>
      <c r="D402" s="9" t="s">
        <v>91</v>
      </c>
      <c r="E402" s="9" t="s">
        <v>340</v>
      </c>
      <c r="F402" s="11">
        <v>2</v>
      </c>
      <c r="G402" s="10">
        <v>1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1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0.5</v>
      </c>
    </row>
    <row r="403">
      <c r="A403" s="23">
        <v>2772</v>
      </c>
      <c r="B403" s="4" t="s">
        <v>605</v>
      </c>
      <c r="C403" s="4" t="s">
        <v>67</v>
      </c>
      <c r="D403" s="4" t="s">
        <v>111</v>
      </c>
      <c r="E403" s="4" t="s">
        <v>153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0.34</v>
      </c>
    </row>
    <row r="404">
      <c r="A404" s="24">
        <v>2777</v>
      </c>
      <c r="B404" s="9" t="s">
        <v>606</v>
      </c>
      <c r="C404" s="9" t="s">
        <v>67</v>
      </c>
      <c r="D404" s="9" t="s">
        <v>75</v>
      </c>
      <c r="E404" s="9" t="s">
        <v>76</v>
      </c>
      <c r="F404" s="11">
        <v>7</v>
      </c>
      <c r="G404" s="10">
        <v>4</v>
      </c>
      <c r="H404" s="12">
        <v>0</v>
      </c>
      <c r="I404" s="12">
        <v>0</v>
      </c>
      <c r="J404" s="10">
        <v>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5</v>
      </c>
      <c r="V404" s="10">
        <v>3</v>
      </c>
      <c r="W404" s="12">
        <v>0</v>
      </c>
      <c r="X404" s="12">
        <v>0</v>
      </c>
      <c r="Y404" s="10">
        <v>2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2.33</v>
      </c>
      <c r="AL404" s="10">
        <v>2</v>
      </c>
      <c r="AM404" s="10">
        <v>3</v>
      </c>
      <c r="AN404" s="29">
        <v>0.75</v>
      </c>
    </row>
    <row r="405">
      <c r="A405" s="23">
        <v>2780</v>
      </c>
      <c r="B405" s="4" t="s">
        <v>607</v>
      </c>
      <c r="C405" s="4" t="s">
        <v>67</v>
      </c>
      <c r="D405" s="4" t="s">
        <v>75</v>
      </c>
      <c r="E405" s="4" t="s">
        <v>84</v>
      </c>
      <c r="F405" s="6">
        <v>3</v>
      </c>
      <c r="G405" s="5">
        <v>2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5">
        <v>2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3">
        <v>0</v>
      </c>
    </row>
    <row r="406">
      <c r="A406" s="24">
        <v>2792</v>
      </c>
      <c r="B406" s="9" t="s">
        <v>608</v>
      </c>
      <c r="C406" s="9" t="s">
        <v>67</v>
      </c>
      <c r="D406" s="9" t="s">
        <v>99</v>
      </c>
      <c r="E406" s="9" t="s">
        <v>132</v>
      </c>
      <c r="F406" s="11">
        <v>10</v>
      </c>
      <c r="G406" s="10">
        <v>4</v>
      </c>
      <c r="H406" s="12">
        <v>0</v>
      </c>
      <c r="I406" s="10">
        <v>2</v>
      </c>
      <c r="J406" s="10">
        <v>4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</v>
      </c>
      <c r="V406" s="10">
        <v>3</v>
      </c>
      <c r="W406" s="12">
        <v>0</v>
      </c>
      <c r="X406" s="10">
        <v>2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4</v>
      </c>
      <c r="AN406" s="29">
        <v>1.1</v>
      </c>
    </row>
    <row r="407">
      <c r="A407" s="23">
        <v>2804</v>
      </c>
      <c r="B407" s="4" t="s">
        <v>609</v>
      </c>
      <c r="C407" s="4" t="s">
        <v>67</v>
      </c>
      <c r="D407" s="4" t="s">
        <v>91</v>
      </c>
      <c r="E407" s="4" t="s">
        <v>97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2814</v>
      </c>
      <c r="B408" s="9" t="s">
        <v>610</v>
      </c>
      <c r="C408" s="9" t="s">
        <v>67</v>
      </c>
      <c r="D408" s="9" t="s">
        <v>111</v>
      </c>
      <c r="E408" s="9" t="s">
        <v>153</v>
      </c>
      <c r="F408" s="11">
        <v>3</v>
      </c>
      <c r="G408" s="10">
        <v>3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0.95</v>
      </c>
    </row>
    <row r="409">
      <c r="A409" s="23">
        <v>2829</v>
      </c>
      <c r="B409" s="4" t="s">
        <v>611</v>
      </c>
      <c r="C409" s="4" t="s">
        <v>67</v>
      </c>
      <c r="D409" s="4" t="s">
        <v>79</v>
      </c>
      <c r="E409" s="4" t="s">
        <v>82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43">
        <v>0</v>
      </c>
    </row>
    <row r="410">
      <c r="A410" s="24">
        <v>2831</v>
      </c>
      <c r="B410" s="9" t="s">
        <v>612</v>
      </c>
      <c r="C410" s="9" t="s">
        <v>67</v>
      </c>
      <c r="D410" s="9" t="s">
        <v>75</v>
      </c>
      <c r="E410" s="9" t="s">
        <v>120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2832</v>
      </c>
      <c r="B411" s="4" t="s">
        <v>613</v>
      </c>
      <c r="C411" s="4" t="s">
        <v>67</v>
      </c>
      <c r="D411" s="4" t="s">
        <v>108</v>
      </c>
      <c r="E411" s="4" t="s">
        <v>109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43">
        <v>0</v>
      </c>
    </row>
    <row r="412">
      <c r="A412" s="24">
        <v>2840</v>
      </c>
      <c r="B412" s="9" t="s">
        <v>614</v>
      </c>
      <c r="C412" s="9" t="s">
        <v>67</v>
      </c>
      <c r="D412" s="9" t="s">
        <v>91</v>
      </c>
      <c r="E412" s="9" t="s">
        <v>494</v>
      </c>
      <c r="F412" s="11">
        <v>4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0">
        <v>2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0">
        <v>2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1.33</v>
      </c>
      <c r="AL412" s="10">
        <v>1</v>
      </c>
      <c r="AM412" s="10">
        <v>2</v>
      </c>
      <c r="AN412" s="30">
        <v>0</v>
      </c>
    </row>
    <row r="413">
      <c r="A413" s="23">
        <v>2841</v>
      </c>
      <c r="B413" s="4" t="s">
        <v>615</v>
      </c>
      <c r="C413" s="4" t="s">
        <v>67</v>
      </c>
      <c r="D413" s="4" t="s">
        <v>75</v>
      </c>
      <c r="E413" s="4" t="s">
        <v>171</v>
      </c>
      <c r="F413" s="6">
        <v>2</v>
      </c>
      <c r="G413" s="7">
        <v>0</v>
      </c>
      <c r="H413" s="7">
        <v>0</v>
      </c>
      <c r="I413" s="5">
        <v>1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7">
        <v>0</v>
      </c>
      <c r="W413" s="7">
        <v>0</v>
      </c>
      <c r="X413" s="5">
        <v>1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2844</v>
      </c>
      <c r="B414" s="9" t="s">
        <v>616</v>
      </c>
      <c r="C414" s="9" t="s">
        <v>67</v>
      </c>
      <c r="D414" s="9" t="s">
        <v>79</v>
      </c>
      <c r="E414" s="9" t="s">
        <v>115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2846</v>
      </c>
      <c r="B415" s="4" t="s">
        <v>617</v>
      </c>
      <c r="C415" s="4" t="s">
        <v>142</v>
      </c>
      <c r="D415" s="4" t="s">
        <v>143</v>
      </c>
      <c r="E415" s="4" t="s">
        <v>144</v>
      </c>
      <c r="F415" s="6">
        <v>3</v>
      </c>
      <c r="G415" s="7">
        <v>0</v>
      </c>
      <c r="H415" s="7">
        <v>0</v>
      </c>
      <c r="I415" s="5">
        <v>1</v>
      </c>
      <c r="J415" s="5">
        <v>1</v>
      </c>
      <c r="K415" s="7">
        <v>0</v>
      </c>
      <c r="L415" s="7">
        <v>0</v>
      </c>
      <c r="M415" s="7">
        <v>0</v>
      </c>
      <c r="N415" s="5">
        <v>1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7">
        <v>0</v>
      </c>
      <c r="W415" s="7">
        <v>0</v>
      </c>
      <c r="X415" s="5">
        <v>1</v>
      </c>
      <c r="Y415" s="5">
        <v>1</v>
      </c>
      <c r="Z415" s="7">
        <v>0</v>
      </c>
      <c r="AA415" s="7">
        <v>0</v>
      </c>
      <c r="AB415" s="7">
        <v>0</v>
      </c>
      <c r="AC415" s="5">
        <v>1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2862</v>
      </c>
      <c r="B416" s="9" t="s">
        <v>618</v>
      </c>
      <c r="C416" s="9" t="s">
        <v>67</v>
      </c>
      <c r="D416" s="9" t="s">
        <v>134</v>
      </c>
      <c r="E416" s="9" t="s">
        <v>232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2874</v>
      </c>
      <c r="B417" s="4" t="s">
        <v>619</v>
      </c>
      <c r="C417" s="4" t="s">
        <v>67</v>
      </c>
      <c r="D417" s="4" t="s">
        <v>134</v>
      </c>
      <c r="E417" s="4" t="s">
        <v>135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43">
        <v>0</v>
      </c>
    </row>
    <row r="418">
      <c r="A418" s="24">
        <v>2876</v>
      </c>
      <c r="B418" s="9" t="s">
        <v>620</v>
      </c>
      <c r="C418" s="9" t="s">
        <v>67</v>
      </c>
      <c r="D418" s="9" t="s">
        <v>134</v>
      </c>
      <c r="E418" s="9" t="s">
        <v>135</v>
      </c>
      <c r="F418" s="11">
        <v>6</v>
      </c>
      <c r="G418" s="10">
        <v>6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6</v>
      </c>
      <c r="V418" s="10">
        <v>6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</v>
      </c>
      <c r="AL418" s="10">
        <v>3</v>
      </c>
      <c r="AM418" s="10">
        <v>3</v>
      </c>
      <c r="AN418" s="29">
        <v>1.05</v>
      </c>
    </row>
    <row r="419">
      <c r="A419" s="23">
        <v>2880</v>
      </c>
      <c r="B419" s="4" t="s">
        <v>621</v>
      </c>
      <c r="C419" s="4" t="s">
        <v>67</v>
      </c>
      <c r="D419" s="4" t="s">
        <v>79</v>
      </c>
      <c r="E419" s="4" t="s">
        <v>82</v>
      </c>
      <c r="F419" s="6">
        <v>1</v>
      </c>
      <c r="G419" s="7">
        <v>0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0.26</v>
      </c>
    </row>
    <row r="420">
      <c r="A420" s="24">
        <v>2883</v>
      </c>
      <c r="B420" s="9" t="s">
        <v>622</v>
      </c>
      <c r="C420" s="9" t="s">
        <v>67</v>
      </c>
      <c r="D420" s="9" t="s">
        <v>86</v>
      </c>
      <c r="E420" s="9" t="s">
        <v>148</v>
      </c>
      <c r="F420" s="11">
        <v>3</v>
      </c>
      <c r="G420" s="10">
        <v>1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1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0.52</v>
      </c>
    </row>
    <row r="421">
      <c r="A421" s="23">
        <v>2888</v>
      </c>
      <c r="B421" s="4" t="s">
        <v>623</v>
      </c>
      <c r="C421" s="4" t="s">
        <v>67</v>
      </c>
      <c r="D421" s="4" t="s">
        <v>75</v>
      </c>
      <c r="E421" s="4" t="s">
        <v>76</v>
      </c>
      <c r="F421" s="6">
        <v>5</v>
      </c>
      <c r="G421" s="5">
        <v>5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5</v>
      </c>
      <c r="V421" s="5">
        <v>5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2.5</v>
      </c>
      <c r="AL421" s="5">
        <v>2</v>
      </c>
      <c r="AM421" s="5">
        <v>4</v>
      </c>
      <c r="AN421" s="28">
        <v>0.37</v>
      </c>
    </row>
    <row r="422">
      <c r="A422" s="24">
        <v>2889</v>
      </c>
      <c r="B422" s="9" t="s">
        <v>624</v>
      </c>
      <c r="C422" s="9" t="s">
        <v>67</v>
      </c>
      <c r="D422" s="9" t="s">
        <v>75</v>
      </c>
      <c r="E422" s="9" t="s">
        <v>171</v>
      </c>
      <c r="F422" s="11">
        <v>2</v>
      </c>
      <c r="G422" s="12">
        <v>0</v>
      </c>
      <c r="H422" s="12">
        <v>0</v>
      </c>
      <c r="I422" s="10">
        <v>1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2">
        <v>0</v>
      </c>
      <c r="W422" s="12">
        <v>0</v>
      </c>
      <c r="X422" s="10">
        <v>1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2902</v>
      </c>
      <c r="B423" s="4" t="s">
        <v>625</v>
      </c>
      <c r="C423" s="4" t="s">
        <v>67</v>
      </c>
      <c r="D423" s="4" t="s">
        <v>75</v>
      </c>
      <c r="E423" s="4" t="s">
        <v>76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0.37</v>
      </c>
    </row>
    <row r="424">
      <c r="A424" s="24">
        <v>2907</v>
      </c>
      <c r="B424" s="9" t="s">
        <v>626</v>
      </c>
      <c r="C424" s="9" t="s">
        <v>67</v>
      </c>
      <c r="D424" s="9" t="s">
        <v>125</v>
      </c>
      <c r="E424" s="9" t="s">
        <v>381</v>
      </c>
      <c r="F424" s="11">
        <v>3</v>
      </c>
      <c r="G424" s="10">
        <v>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3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3</v>
      </c>
      <c r="AK424" s="13">
        <v>3</v>
      </c>
      <c r="AL424" s="10">
        <v>3</v>
      </c>
      <c r="AM424" s="10">
        <v>3</v>
      </c>
      <c r="AN424" s="30">
        <v>0</v>
      </c>
    </row>
    <row r="425">
      <c r="A425" s="23">
        <v>2909</v>
      </c>
      <c r="B425" s="4" t="s">
        <v>627</v>
      </c>
      <c r="C425" s="4" t="s">
        <v>142</v>
      </c>
      <c r="D425" s="4" t="s">
        <v>486</v>
      </c>
      <c r="E425" s="4" t="s">
        <v>628</v>
      </c>
      <c r="F425" s="6">
        <v>2</v>
      </c>
      <c r="G425" s="5">
        <v>1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5">
        <v>1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43">
        <v>0</v>
      </c>
    </row>
    <row r="426">
      <c r="A426" s="24">
        <v>2910</v>
      </c>
      <c r="B426" s="9" t="s">
        <v>629</v>
      </c>
      <c r="C426" s="9" t="s">
        <v>67</v>
      </c>
      <c r="D426" s="9" t="s">
        <v>75</v>
      </c>
      <c r="E426" s="9" t="s">
        <v>373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2912</v>
      </c>
      <c r="B427" s="4" t="s">
        <v>630</v>
      </c>
      <c r="C427" s="4" t="s">
        <v>67</v>
      </c>
      <c r="D427" s="4" t="s">
        <v>75</v>
      </c>
      <c r="E427" s="4" t="s">
        <v>373</v>
      </c>
      <c r="F427" s="6">
        <v>3</v>
      </c>
      <c r="G427" s="7">
        <v>0</v>
      </c>
      <c r="H427" s="7">
        <v>0</v>
      </c>
      <c r="I427" s="7">
        <v>0</v>
      </c>
      <c r="J427" s="5">
        <v>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7">
        <v>0</v>
      </c>
      <c r="W427" s="7">
        <v>0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0.5</v>
      </c>
    </row>
    <row r="428">
      <c r="A428" s="24">
        <v>2915</v>
      </c>
      <c r="B428" s="9" t="s">
        <v>631</v>
      </c>
      <c r="C428" s="9" t="s">
        <v>632</v>
      </c>
      <c r="D428" s="9" t="s">
        <v>633</v>
      </c>
      <c r="E428" s="9" t="s">
        <v>379</v>
      </c>
      <c r="F428" s="11">
        <v>3</v>
      </c>
      <c r="G428" s="10">
        <v>1</v>
      </c>
      <c r="H428" s="10">
        <v>1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0">
        <v>1</v>
      </c>
      <c r="W428" s="10">
        <v>1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0.82</v>
      </c>
    </row>
    <row r="429">
      <c r="A429" s="23">
        <v>2918</v>
      </c>
      <c r="B429" s="4" t="s">
        <v>634</v>
      </c>
      <c r="C429" s="4" t="s">
        <v>632</v>
      </c>
      <c r="D429" s="4" t="s">
        <v>635</v>
      </c>
      <c r="E429" s="4" t="s">
        <v>379</v>
      </c>
      <c r="F429" s="6">
        <v>1</v>
      </c>
      <c r="G429" s="7">
        <v>0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3">
        <v>0</v>
      </c>
    </row>
    <row r="430">
      <c r="A430" s="24">
        <v>2920</v>
      </c>
      <c r="B430" s="9" t="s">
        <v>636</v>
      </c>
      <c r="C430" s="9" t="s">
        <v>632</v>
      </c>
      <c r="D430" s="9" t="s">
        <v>637</v>
      </c>
      <c r="E430" s="9" t="s">
        <v>379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2922</v>
      </c>
      <c r="B431" s="4" t="s">
        <v>638</v>
      </c>
      <c r="C431" s="4" t="s">
        <v>67</v>
      </c>
      <c r="D431" s="4" t="s">
        <v>75</v>
      </c>
      <c r="E431" s="4" t="s">
        <v>373</v>
      </c>
      <c r="F431" s="6">
        <v>2</v>
      </c>
      <c r="G431" s="5">
        <v>1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1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2930</v>
      </c>
      <c r="B432" s="9" t="s">
        <v>639</v>
      </c>
      <c r="C432" s="9" t="s">
        <v>67</v>
      </c>
      <c r="D432" s="9" t="s">
        <v>75</v>
      </c>
      <c r="E432" s="9" t="s">
        <v>76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0.26</v>
      </c>
    </row>
    <row r="433">
      <c r="A433" s="23">
        <v>2935</v>
      </c>
      <c r="B433" s="4" t="s">
        <v>640</v>
      </c>
      <c r="C433" s="4" t="s">
        <v>67</v>
      </c>
      <c r="D433" s="4" t="s">
        <v>75</v>
      </c>
      <c r="E433" s="4" t="s">
        <v>373</v>
      </c>
      <c r="F433" s="6">
        <v>2</v>
      </c>
      <c r="G433" s="7">
        <v>0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28">
        <v>0.25</v>
      </c>
    </row>
    <row r="434">
      <c r="A434" s="24">
        <v>2942</v>
      </c>
      <c r="B434" s="9" t="s">
        <v>641</v>
      </c>
      <c r="C434" s="9" t="s">
        <v>632</v>
      </c>
      <c r="D434" s="9" t="s">
        <v>635</v>
      </c>
      <c r="E434" s="9" t="s">
        <v>379</v>
      </c>
      <c r="F434" s="11">
        <v>2</v>
      </c>
      <c r="G434" s="12">
        <v>0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2">
        <v>0</v>
      </c>
      <c r="W434" s="12">
        <v>0</v>
      </c>
      <c r="X434" s="12">
        <v>0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29">
        <v>0.48</v>
      </c>
    </row>
    <row r="435">
      <c r="A435" s="23">
        <v>2945</v>
      </c>
      <c r="B435" s="4" t="s">
        <v>642</v>
      </c>
      <c r="C435" s="4" t="s">
        <v>632</v>
      </c>
      <c r="D435" s="4" t="s">
        <v>643</v>
      </c>
      <c r="E435" s="4" t="s">
        <v>379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2948</v>
      </c>
      <c r="B436" s="9" t="s">
        <v>644</v>
      </c>
      <c r="C436" s="9" t="s">
        <v>645</v>
      </c>
      <c r="D436" s="9" t="s">
        <v>646</v>
      </c>
      <c r="E436" s="9" t="s">
        <v>647</v>
      </c>
      <c r="F436" s="11">
        <v>4</v>
      </c>
      <c r="G436" s="12">
        <v>0</v>
      </c>
      <c r="H436" s="12">
        <v>0</v>
      </c>
      <c r="I436" s="12">
        <v>0</v>
      </c>
      <c r="J436" s="10">
        <v>4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2">
        <v>0</v>
      </c>
      <c r="W436" s="12">
        <v>0</v>
      </c>
      <c r="X436" s="12">
        <v>0</v>
      </c>
      <c r="Y436" s="10">
        <v>4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</v>
      </c>
      <c r="AL436" s="10">
        <v>2</v>
      </c>
      <c r="AM436" s="10">
        <v>3</v>
      </c>
      <c r="AN436" s="29">
        <v>0.75</v>
      </c>
    </row>
    <row r="437">
      <c r="A437" s="23">
        <v>2950</v>
      </c>
      <c r="B437" s="4" t="s">
        <v>648</v>
      </c>
      <c r="C437" s="4" t="s">
        <v>645</v>
      </c>
      <c r="D437" s="4" t="s">
        <v>649</v>
      </c>
      <c r="E437" s="4" t="s">
        <v>650</v>
      </c>
      <c r="F437" s="6">
        <v>1</v>
      </c>
      <c r="G437" s="7">
        <v>0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43">
        <v>0</v>
      </c>
    </row>
    <row r="438">
      <c r="A438" s="24">
        <v>2957</v>
      </c>
      <c r="B438" s="9" t="s">
        <v>651</v>
      </c>
      <c r="C438" s="9" t="s">
        <v>645</v>
      </c>
      <c r="D438" s="9" t="s">
        <v>646</v>
      </c>
      <c r="E438" s="9" t="s">
        <v>652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2961</v>
      </c>
      <c r="B439" s="4" t="s">
        <v>653</v>
      </c>
      <c r="C439" s="4" t="s">
        <v>177</v>
      </c>
      <c r="D439" s="4" t="s">
        <v>194</v>
      </c>
      <c r="E439" s="4" t="s">
        <v>195</v>
      </c>
      <c r="F439" s="6">
        <v>2</v>
      </c>
      <c r="G439" s="5">
        <v>1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1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2963</v>
      </c>
      <c r="B440" s="9" t="s">
        <v>654</v>
      </c>
      <c r="C440" s="9" t="s">
        <v>142</v>
      </c>
      <c r="D440" s="9" t="s">
        <v>143</v>
      </c>
      <c r="E440" s="9" t="s">
        <v>465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2967</v>
      </c>
      <c r="B441" s="4" t="s">
        <v>655</v>
      </c>
      <c r="C441" s="4" t="s">
        <v>656</v>
      </c>
      <c r="D441" s="4" t="s">
        <v>657</v>
      </c>
      <c r="E441" s="4" t="s">
        <v>658</v>
      </c>
      <c r="F441" s="6">
        <v>6</v>
      </c>
      <c r="G441" s="7">
        <v>0</v>
      </c>
      <c r="H441" s="5">
        <v>1</v>
      </c>
      <c r="I441" s="7">
        <v>0</v>
      </c>
      <c r="J441" s="5">
        <v>5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5</v>
      </c>
      <c r="V441" s="7">
        <v>0</v>
      </c>
      <c r="W441" s="5">
        <v>1</v>
      </c>
      <c r="X441" s="7">
        <v>0</v>
      </c>
      <c r="Y441" s="5">
        <v>4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3</v>
      </c>
      <c r="AN441" s="28">
        <v>1.1</v>
      </c>
    </row>
    <row r="442">
      <c r="A442" s="24">
        <v>2983</v>
      </c>
      <c r="B442" s="9" t="s">
        <v>659</v>
      </c>
      <c r="C442" s="9" t="s">
        <v>67</v>
      </c>
      <c r="D442" s="9" t="s">
        <v>86</v>
      </c>
      <c r="E442" s="9" t="s">
        <v>140</v>
      </c>
      <c r="F442" s="11">
        <v>2</v>
      </c>
      <c r="G442" s="10">
        <v>1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1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0.24</v>
      </c>
    </row>
    <row r="443">
      <c r="A443" s="23">
        <v>2989</v>
      </c>
      <c r="B443" s="4" t="s">
        <v>660</v>
      </c>
      <c r="C443" s="4" t="s">
        <v>67</v>
      </c>
      <c r="D443" s="4" t="s">
        <v>75</v>
      </c>
      <c r="E443" s="4" t="s">
        <v>303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43">
        <v>0</v>
      </c>
    </row>
    <row r="444">
      <c r="A444" s="24">
        <v>2995</v>
      </c>
      <c r="B444" s="9" t="s">
        <v>661</v>
      </c>
      <c r="C444" s="9" t="s">
        <v>67</v>
      </c>
      <c r="D444" s="9" t="s">
        <v>75</v>
      </c>
      <c r="E444" s="9" t="s">
        <v>309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0.24</v>
      </c>
    </row>
    <row r="445">
      <c r="A445" s="23">
        <v>3001</v>
      </c>
      <c r="B445" s="4" t="s">
        <v>662</v>
      </c>
      <c r="C445" s="4" t="s">
        <v>632</v>
      </c>
      <c r="D445" s="4" t="s">
        <v>643</v>
      </c>
      <c r="E445" s="4" t="s">
        <v>379</v>
      </c>
      <c r="F445" s="6">
        <v>3</v>
      </c>
      <c r="G445" s="5">
        <v>1</v>
      </c>
      <c r="H445" s="7">
        <v>0</v>
      </c>
      <c r="I445" s="5">
        <v>1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</v>
      </c>
      <c r="V445" s="5">
        <v>1</v>
      </c>
      <c r="W445" s="7">
        <v>0</v>
      </c>
      <c r="X445" s="5">
        <v>1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3002</v>
      </c>
      <c r="B446" s="9" t="s">
        <v>663</v>
      </c>
      <c r="C446" s="9" t="s">
        <v>67</v>
      </c>
      <c r="D446" s="9" t="s">
        <v>86</v>
      </c>
      <c r="E446" s="9" t="s">
        <v>102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3</v>
      </c>
      <c r="AL446" s="10">
        <v>3</v>
      </c>
      <c r="AM446" s="10">
        <v>3</v>
      </c>
      <c r="AN446" s="30">
        <v>0</v>
      </c>
    </row>
    <row r="447">
      <c r="A447" s="23">
        <v>3004</v>
      </c>
      <c r="B447" s="4" t="s">
        <v>664</v>
      </c>
      <c r="C447" s="4" t="s">
        <v>67</v>
      </c>
      <c r="D447" s="4" t="s">
        <v>104</v>
      </c>
      <c r="E447" s="4" t="s">
        <v>156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3">
        <v>0</v>
      </c>
    </row>
    <row r="448">
      <c r="A448" s="24">
        <v>3005</v>
      </c>
      <c r="B448" s="9" t="s">
        <v>665</v>
      </c>
      <c r="C448" s="9" t="s">
        <v>67</v>
      </c>
      <c r="D448" s="9" t="s">
        <v>86</v>
      </c>
      <c r="E448" s="9" t="s">
        <v>87</v>
      </c>
      <c r="F448" s="11">
        <v>3</v>
      </c>
      <c r="G448" s="12">
        <v>0</v>
      </c>
      <c r="H448" s="12">
        <v>0</v>
      </c>
      <c r="I448" s="12">
        <v>0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3</v>
      </c>
      <c r="V448" s="12">
        <v>0</v>
      </c>
      <c r="W448" s="12">
        <v>0</v>
      </c>
      <c r="X448" s="12">
        <v>0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3</v>
      </c>
      <c r="AK448" s="13">
        <v>3</v>
      </c>
      <c r="AL448" s="10">
        <v>3</v>
      </c>
      <c r="AM448" s="10">
        <v>3</v>
      </c>
      <c r="AN448" s="29">
        <v>0.75</v>
      </c>
    </row>
    <row r="449">
      <c r="A449" s="23">
        <v>3012</v>
      </c>
      <c r="B449" s="4" t="s">
        <v>666</v>
      </c>
      <c r="C449" s="4" t="s">
        <v>67</v>
      </c>
      <c r="D449" s="4" t="s">
        <v>79</v>
      </c>
      <c r="E449" s="4" t="s">
        <v>80</v>
      </c>
      <c r="F449" s="6">
        <v>6</v>
      </c>
      <c r="G449" s="5">
        <v>6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5">
        <v>2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</v>
      </c>
      <c r="AL449" s="5">
        <v>3</v>
      </c>
      <c r="AM449" s="5">
        <v>5</v>
      </c>
      <c r="AN449" s="28">
        <v>0.3</v>
      </c>
    </row>
    <row r="450">
      <c r="A450" s="24">
        <v>3036</v>
      </c>
      <c r="B450" s="9" t="s">
        <v>667</v>
      </c>
      <c r="C450" s="9" t="s">
        <v>67</v>
      </c>
      <c r="D450" s="9" t="s">
        <v>86</v>
      </c>
      <c r="E450" s="9" t="s">
        <v>473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0.38</v>
      </c>
    </row>
    <row r="451">
      <c r="A451" s="23">
        <v>3050</v>
      </c>
      <c r="B451" s="4" t="s">
        <v>668</v>
      </c>
      <c r="C451" s="4" t="s">
        <v>67</v>
      </c>
      <c r="D451" s="4" t="s">
        <v>104</v>
      </c>
      <c r="E451" s="4" t="s">
        <v>669</v>
      </c>
      <c r="F451" s="6">
        <v>4</v>
      </c>
      <c r="G451" s="7">
        <v>0</v>
      </c>
      <c r="H451" s="7">
        <v>0</v>
      </c>
      <c r="I451" s="7">
        <v>0</v>
      </c>
      <c r="J451" s="5">
        <v>4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</v>
      </c>
      <c r="V451" s="7">
        <v>0</v>
      </c>
      <c r="W451" s="7">
        <v>0</v>
      </c>
      <c r="X451" s="7">
        <v>0</v>
      </c>
      <c r="Y451" s="5">
        <v>4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1.33</v>
      </c>
      <c r="AL451" s="5">
        <v>1</v>
      </c>
      <c r="AM451" s="5">
        <v>2</v>
      </c>
      <c r="AN451" s="28">
        <v>1</v>
      </c>
    </row>
    <row r="452">
      <c r="A452" s="24">
        <v>3054</v>
      </c>
      <c r="B452" s="9" t="s">
        <v>670</v>
      </c>
      <c r="C452" s="9" t="s">
        <v>67</v>
      </c>
      <c r="D452" s="9" t="s">
        <v>111</v>
      </c>
      <c r="E452" s="9" t="s">
        <v>153</v>
      </c>
      <c r="F452" s="11">
        <v>3</v>
      </c>
      <c r="G452" s="10">
        <v>1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1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0.5</v>
      </c>
    </row>
    <row r="453">
      <c r="A453" s="23">
        <v>3067</v>
      </c>
      <c r="B453" s="4" t="s">
        <v>182</v>
      </c>
      <c r="C453" s="4" t="s">
        <v>67</v>
      </c>
      <c r="D453" s="4" t="s">
        <v>79</v>
      </c>
      <c r="E453" s="4" t="s">
        <v>343</v>
      </c>
      <c r="F453" s="6">
        <v>13</v>
      </c>
      <c r="G453" s="5">
        <v>10</v>
      </c>
      <c r="H453" s="7">
        <v>0</v>
      </c>
      <c r="I453" s="5">
        <v>3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12</v>
      </c>
      <c r="V453" s="5">
        <v>10</v>
      </c>
      <c r="W453" s="7">
        <v>0</v>
      </c>
      <c r="X453" s="5">
        <v>2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2.6</v>
      </c>
      <c r="AL453" s="5">
        <v>2</v>
      </c>
      <c r="AM453" s="5">
        <v>6</v>
      </c>
      <c r="AN453" s="28">
        <v>2.84</v>
      </c>
    </row>
    <row r="454">
      <c r="A454" s="24">
        <v>3090</v>
      </c>
      <c r="B454" s="9" t="s">
        <v>671</v>
      </c>
      <c r="C454" s="9" t="s">
        <v>67</v>
      </c>
      <c r="D454" s="9" t="s">
        <v>108</v>
      </c>
      <c r="E454" s="9" t="s">
        <v>672</v>
      </c>
      <c r="F454" s="11">
        <v>21</v>
      </c>
      <c r="G454" s="12">
        <v>0</v>
      </c>
      <c r="H454" s="12">
        <v>0</v>
      </c>
      <c r="I454" s="12">
        <v>0</v>
      </c>
      <c r="J454" s="10">
        <v>21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20</v>
      </c>
      <c r="V454" s="12">
        <v>0</v>
      </c>
      <c r="W454" s="12">
        <v>0</v>
      </c>
      <c r="X454" s="12">
        <v>0</v>
      </c>
      <c r="Y454" s="10">
        <v>20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10.5</v>
      </c>
      <c r="AL454" s="10">
        <v>10</v>
      </c>
      <c r="AM454" s="10">
        <v>20</v>
      </c>
      <c r="AN454" s="29">
        <v>4.75</v>
      </c>
    </row>
    <row r="455">
      <c r="A455" s="23">
        <v>3092</v>
      </c>
      <c r="B455" s="4" t="s">
        <v>673</v>
      </c>
      <c r="C455" s="4" t="s">
        <v>67</v>
      </c>
      <c r="D455" s="4" t="s">
        <v>71</v>
      </c>
      <c r="E455" s="4" t="s">
        <v>118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0.35</v>
      </c>
    </row>
    <row r="456">
      <c r="A456" s="24">
        <v>3093</v>
      </c>
      <c r="B456" s="9" t="s">
        <v>674</v>
      </c>
      <c r="C456" s="9" t="s">
        <v>67</v>
      </c>
      <c r="D456" s="9" t="s">
        <v>134</v>
      </c>
      <c r="E456" s="9" t="s">
        <v>135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3100</v>
      </c>
      <c r="B457" s="4" t="s">
        <v>675</v>
      </c>
      <c r="C457" s="4" t="s">
        <v>632</v>
      </c>
      <c r="D457" s="4" t="s">
        <v>676</v>
      </c>
      <c r="E457" s="4" t="s">
        <v>379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3">
        <v>0</v>
      </c>
    </row>
    <row r="458">
      <c r="A458" s="24">
        <v>3118</v>
      </c>
      <c r="B458" s="9" t="s">
        <v>677</v>
      </c>
      <c r="C458" s="9" t="s">
        <v>67</v>
      </c>
      <c r="D458" s="9" t="s">
        <v>75</v>
      </c>
      <c r="E458" s="9" t="s">
        <v>84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3119</v>
      </c>
      <c r="B459" s="4" t="s">
        <v>678</v>
      </c>
      <c r="C459" s="4" t="s">
        <v>67</v>
      </c>
      <c r="D459" s="4" t="s">
        <v>134</v>
      </c>
      <c r="E459" s="4" t="s">
        <v>135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3">
        <v>0</v>
      </c>
    </row>
    <row r="460">
      <c r="A460" s="24">
        <v>3127</v>
      </c>
      <c r="B460" s="9" t="s">
        <v>679</v>
      </c>
      <c r="C460" s="9" t="s">
        <v>67</v>
      </c>
      <c r="D460" s="9" t="s">
        <v>75</v>
      </c>
      <c r="E460" s="9" t="s">
        <v>76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0.26</v>
      </c>
    </row>
    <row r="461">
      <c r="A461" s="23">
        <v>3128</v>
      </c>
      <c r="B461" s="4" t="s">
        <v>680</v>
      </c>
      <c r="C461" s="4" t="s">
        <v>177</v>
      </c>
      <c r="D461" s="4" t="s">
        <v>178</v>
      </c>
      <c r="E461" s="4" t="s">
        <v>189</v>
      </c>
      <c r="F461" s="6">
        <v>3</v>
      </c>
      <c r="G461" s="7">
        <v>0</v>
      </c>
      <c r="H461" s="7">
        <v>0</v>
      </c>
      <c r="I461" s="7">
        <v>0</v>
      </c>
      <c r="J461" s="7">
        <v>0</v>
      </c>
      <c r="K461" s="5">
        <v>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7">
        <v>0</v>
      </c>
      <c r="W461" s="7">
        <v>0</v>
      </c>
      <c r="X461" s="7">
        <v>0</v>
      </c>
      <c r="Y461" s="7">
        <v>0</v>
      </c>
      <c r="Z461" s="5">
        <v>3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43">
        <v>0</v>
      </c>
    </row>
    <row r="462">
      <c r="A462" s="24">
        <v>3134</v>
      </c>
      <c r="B462" s="9" t="s">
        <v>681</v>
      </c>
      <c r="C462" s="9" t="s">
        <v>177</v>
      </c>
      <c r="D462" s="9" t="s">
        <v>178</v>
      </c>
      <c r="E462" s="9" t="s">
        <v>189</v>
      </c>
      <c r="F462" s="11">
        <v>1</v>
      </c>
      <c r="G462" s="12">
        <v>0</v>
      </c>
      <c r="H462" s="12">
        <v>0</v>
      </c>
      <c r="I462" s="12">
        <v>0</v>
      </c>
      <c r="J462" s="12">
        <v>0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2">
        <v>0</v>
      </c>
      <c r="Y462" s="12">
        <v>0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3135</v>
      </c>
      <c r="B463" s="4" t="s">
        <v>682</v>
      </c>
      <c r="C463" s="4" t="s">
        <v>177</v>
      </c>
      <c r="D463" s="4" t="s">
        <v>194</v>
      </c>
      <c r="E463" s="4" t="s">
        <v>683</v>
      </c>
      <c r="F463" s="6">
        <v>3</v>
      </c>
      <c r="G463" s="5">
        <v>2</v>
      </c>
      <c r="H463" s="5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2</v>
      </c>
      <c r="W463" s="5">
        <v>1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43">
        <v>0</v>
      </c>
    </row>
    <row r="464">
      <c r="A464" s="24">
        <v>3142</v>
      </c>
      <c r="B464" s="9" t="s">
        <v>684</v>
      </c>
      <c r="C464" s="9" t="s">
        <v>67</v>
      </c>
      <c r="D464" s="9" t="s">
        <v>79</v>
      </c>
      <c r="E464" s="9" t="s">
        <v>80</v>
      </c>
      <c r="F464" s="11">
        <v>10</v>
      </c>
      <c r="G464" s="10">
        <v>2</v>
      </c>
      <c r="H464" s="12">
        <v>0</v>
      </c>
      <c r="I464" s="10">
        <v>7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8</v>
      </c>
      <c r="V464" s="10">
        <v>2</v>
      </c>
      <c r="W464" s="12">
        <v>0</v>
      </c>
      <c r="X464" s="10">
        <v>5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3.33</v>
      </c>
      <c r="AL464" s="10">
        <v>2</v>
      </c>
      <c r="AM464" s="10">
        <v>7</v>
      </c>
      <c r="AN464" s="29">
        <v>0.22</v>
      </c>
    </row>
    <row r="465">
      <c r="A465" s="23">
        <v>3143</v>
      </c>
      <c r="B465" s="4" t="s">
        <v>685</v>
      </c>
      <c r="C465" s="4" t="s">
        <v>67</v>
      </c>
      <c r="D465" s="4" t="s">
        <v>79</v>
      </c>
      <c r="E465" s="4" t="s">
        <v>80</v>
      </c>
      <c r="F465" s="6">
        <v>2</v>
      </c>
      <c r="G465" s="5">
        <v>1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5">
        <v>1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0.44</v>
      </c>
    </row>
    <row r="466">
      <c r="A466" s="24">
        <v>3144</v>
      </c>
      <c r="B466" s="9" t="s">
        <v>686</v>
      </c>
      <c r="C466" s="9" t="s">
        <v>67</v>
      </c>
      <c r="D466" s="9" t="s">
        <v>75</v>
      </c>
      <c r="E466" s="9" t="s">
        <v>171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0.35</v>
      </c>
    </row>
    <row r="467">
      <c r="A467" s="23">
        <v>3186</v>
      </c>
      <c r="B467" s="4" t="s">
        <v>687</v>
      </c>
      <c r="C467" s="4" t="s">
        <v>67</v>
      </c>
      <c r="D467" s="4" t="s">
        <v>75</v>
      </c>
      <c r="E467" s="4" t="s">
        <v>120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3">
        <v>0</v>
      </c>
    </row>
    <row r="468">
      <c r="A468" s="24">
        <v>3187</v>
      </c>
      <c r="B468" s="9" t="s">
        <v>688</v>
      </c>
      <c r="C468" s="9" t="s">
        <v>67</v>
      </c>
      <c r="D468" s="9" t="s">
        <v>75</v>
      </c>
      <c r="E468" s="9" t="s">
        <v>171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3188</v>
      </c>
      <c r="B469" s="4" t="s">
        <v>689</v>
      </c>
      <c r="C469" s="4" t="s">
        <v>67</v>
      </c>
      <c r="D469" s="4" t="s">
        <v>99</v>
      </c>
      <c r="E469" s="4" t="s">
        <v>132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0.5</v>
      </c>
    </row>
    <row r="470">
      <c r="A470" s="24">
        <v>3189</v>
      </c>
      <c r="B470" s="9" t="s">
        <v>690</v>
      </c>
      <c r="C470" s="9" t="s">
        <v>67</v>
      </c>
      <c r="D470" s="9" t="s">
        <v>134</v>
      </c>
      <c r="E470" s="9" t="s">
        <v>232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3190</v>
      </c>
      <c r="B471" s="4" t="s">
        <v>691</v>
      </c>
      <c r="C471" s="4" t="s">
        <v>67</v>
      </c>
      <c r="D471" s="4" t="s">
        <v>134</v>
      </c>
      <c r="E471" s="4" t="s">
        <v>135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43">
        <v>0</v>
      </c>
    </row>
    <row r="472">
      <c r="A472" s="24">
        <v>3196</v>
      </c>
      <c r="B472" s="9" t="s">
        <v>692</v>
      </c>
      <c r="C472" s="9" t="s">
        <v>67</v>
      </c>
      <c r="D472" s="9" t="s">
        <v>79</v>
      </c>
      <c r="E472" s="9" t="s">
        <v>115</v>
      </c>
      <c r="F472" s="11">
        <v>1</v>
      </c>
      <c r="G472" s="12">
        <v>0</v>
      </c>
      <c r="H472" s="10">
        <v>1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0">
        <v>1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3204</v>
      </c>
      <c r="B473" s="4" t="s">
        <v>693</v>
      </c>
      <c r="C473" s="4" t="s">
        <v>67</v>
      </c>
      <c r="D473" s="4" t="s">
        <v>71</v>
      </c>
      <c r="E473" s="4" t="s">
        <v>118</v>
      </c>
      <c r="F473" s="6">
        <v>3</v>
      </c>
      <c r="G473" s="5">
        <v>3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3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0.7</v>
      </c>
    </row>
    <row r="474">
      <c r="A474" s="24">
        <v>3206</v>
      </c>
      <c r="B474" s="9" t="s">
        <v>694</v>
      </c>
      <c r="C474" s="9" t="s">
        <v>177</v>
      </c>
      <c r="D474" s="9" t="s">
        <v>178</v>
      </c>
      <c r="E474" s="9" t="s">
        <v>189</v>
      </c>
      <c r="F474" s="11">
        <v>2</v>
      </c>
      <c r="G474" s="12">
        <v>0</v>
      </c>
      <c r="H474" s="12">
        <v>0</v>
      </c>
      <c r="I474" s="12">
        <v>0</v>
      </c>
      <c r="J474" s="10">
        <v>1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2">
        <v>0</v>
      </c>
      <c r="W474" s="12">
        <v>0</v>
      </c>
      <c r="X474" s="12">
        <v>0</v>
      </c>
      <c r="Y474" s="10">
        <v>1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3216</v>
      </c>
      <c r="B475" s="4" t="s">
        <v>695</v>
      </c>
      <c r="C475" s="4" t="s">
        <v>67</v>
      </c>
      <c r="D475" s="4" t="s">
        <v>91</v>
      </c>
      <c r="E475" s="4" t="s">
        <v>340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3">
        <v>0</v>
      </c>
    </row>
    <row r="476">
      <c r="A476" s="24">
        <v>3219</v>
      </c>
      <c r="B476" s="9" t="s">
        <v>696</v>
      </c>
      <c r="C476" s="9" t="s">
        <v>67</v>
      </c>
      <c r="D476" s="9" t="s">
        <v>79</v>
      </c>
      <c r="E476" s="9" t="s">
        <v>80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3222</v>
      </c>
      <c r="B477" s="4" t="s">
        <v>697</v>
      </c>
      <c r="C477" s="4" t="s">
        <v>67</v>
      </c>
      <c r="D477" s="4" t="s">
        <v>79</v>
      </c>
      <c r="E477" s="4" t="s">
        <v>343</v>
      </c>
      <c r="F477" s="6">
        <v>3</v>
      </c>
      <c r="G477" s="5">
        <v>1</v>
      </c>
      <c r="H477" s="7">
        <v>0</v>
      </c>
      <c r="I477" s="5">
        <v>2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5">
        <v>1</v>
      </c>
      <c r="W477" s="7">
        <v>0</v>
      </c>
      <c r="X477" s="5">
        <v>2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0.88</v>
      </c>
    </row>
    <row r="478">
      <c r="A478" s="24">
        <v>3223</v>
      </c>
      <c r="B478" s="9" t="s">
        <v>698</v>
      </c>
      <c r="C478" s="9" t="s">
        <v>67</v>
      </c>
      <c r="D478" s="9" t="s">
        <v>134</v>
      </c>
      <c r="E478" s="9" t="s">
        <v>135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30">
        <v>0</v>
      </c>
    </row>
    <row r="479">
      <c r="A479" s="23">
        <v>3225</v>
      </c>
      <c r="B479" s="4" t="s">
        <v>699</v>
      </c>
      <c r="C479" s="4" t="s">
        <v>142</v>
      </c>
      <c r="D479" s="4" t="s">
        <v>700</v>
      </c>
      <c r="E479" s="4" t="s">
        <v>701</v>
      </c>
      <c r="F479" s="6">
        <v>1</v>
      </c>
      <c r="G479" s="7">
        <v>0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3">
        <v>0</v>
      </c>
    </row>
    <row r="480">
      <c r="A480" s="24">
        <v>3227</v>
      </c>
      <c r="B480" s="9" t="s">
        <v>702</v>
      </c>
      <c r="C480" s="9" t="s">
        <v>67</v>
      </c>
      <c r="D480" s="9" t="s">
        <v>71</v>
      </c>
      <c r="E480" s="9" t="s">
        <v>118</v>
      </c>
      <c r="F480" s="11">
        <v>3</v>
      </c>
      <c r="G480" s="12">
        <v>0</v>
      </c>
      <c r="H480" s="12">
        <v>0</v>
      </c>
      <c r="I480" s="12">
        <v>0</v>
      </c>
      <c r="J480" s="10">
        <v>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3</v>
      </c>
      <c r="V480" s="12">
        <v>0</v>
      </c>
      <c r="W480" s="12">
        <v>0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3</v>
      </c>
      <c r="AL480" s="10">
        <v>3</v>
      </c>
      <c r="AM480" s="10">
        <v>3</v>
      </c>
      <c r="AN480" s="29">
        <v>0.75</v>
      </c>
    </row>
    <row r="481">
      <c r="A481" s="23">
        <v>3230</v>
      </c>
      <c r="B481" s="4" t="s">
        <v>703</v>
      </c>
      <c r="C481" s="4" t="s">
        <v>67</v>
      </c>
      <c r="D481" s="4" t="s">
        <v>91</v>
      </c>
      <c r="E481" s="4" t="s">
        <v>340</v>
      </c>
      <c r="F481" s="6">
        <v>2</v>
      </c>
      <c r="G481" s="5">
        <v>1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1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3">
        <v>0</v>
      </c>
    </row>
    <row r="482">
      <c r="A482" s="24">
        <v>3231</v>
      </c>
      <c r="B482" s="9" t="s">
        <v>704</v>
      </c>
      <c r="C482" s="9" t="s">
        <v>67</v>
      </c>
      <c r="D482" s="9" t="s">
        <v>134</v>
      </c>
      <c r="E482" s="9" t="s">
        <v>345</v>
      </c>
      <c r="F482" s="11">
        <v>12</v>
      </c>
      <c r="G482" s="10">
        <v>2</v>
      </c>
      <c r="H482" s="12">
        <v>0</v>
      </c>
      <c r="I482" s="12">
        <v>0</v>
      </c>
      <c r="J482" s="10">
        <v>10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10</v>
      </c>
      <c r="V482" s="10">
        <v>1</v>
      </c>
      <c r="W482" s="12">
        <v>0</v>
      </c>
      <c r="X482" s="12">
        <v>0</v>
      </c>
      <c r="Y482" s="10">
        <v>9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6</v>
      </c>
      <c r="AL482" s="10">
        <v>6</v>
      </c>
      <c r="AM482" s="10">
        <v>10</v>
      </c>
      <c r="AN482" s="29">
        <v>2.25</v>
      </c>
    </row>
    <row r="483">
      <c r="A483" s="23">
        <v>3269</v>
      </c>
      <c r="B483" s="4" t="s">
        <v>705</v>
      </c>
      <c r="C483" s="4" t="s">
        <v>67</v>
      </c>
      <c r="D483" s="4" t="s">
        <v>75</v>
      </c>
      <c r="E483" s="4" t="s">
        <v>76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0.34</v>
      </c>
    </row>
    <row r="484">
      <c r="A484" s="24">
        <v>3273</v>
      </c>
      <c r="B484" s="9" t="s">
        <v>706</v>
      </c>
      <c r="C484" s="9" t="s">
        <v>67</v>
      </c>
      <c r="D484" s="9" t="s">
        <v>75</v>
      </c>
      <c r="E484" s="9" t="s">
        <v>76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2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0.52</v>
      </c>
    </row>
    <row r="485">
      <c r="A485" s="23">
        <v>3282</v>
      </c>
      <c r="B485" s="4" t="s">
        <v>707</v>
      </c>
      <c r="C485" s="4" t="s">
        <v>142</v>
      </c>
      <c r="D485" s="4" t="s">
        <v>708</v>
      </c>
      <c r="E485" s="4" t="s">
        <v>379</v>
      </c>
      <c r="F485" s="6">
        <v>2</v>
      </c>
      <c r="G485" s="7">
        <v>0</v>
      </c>
      <c r="H485" s="7">
        <v>0</v>
      </c>
      <c r="I485" s="5">
        <v>2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7">
        <v>0</v>
      </c>
      <c r="W485" s="7">
        <v>0</v>
      </c>
      <c r="X485" s="5">
        <v>2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43">
        <v>0</v>
      </c>
    </row>
    <row r="486">
      <c r="A486" s="24">
        <v>3285</v>
      </c>
      <c r="B486" s="9" t="s">
        <v>709</v>
      </c>
      <c r="C486" s="9" t="s">
        <v>67</v>
      </c>
      <c r="D486" s="9" t="s">
        <v>111</v>
      </c>
      <c r="E486" s="9" t="s">
        <v>122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3286</v>
      </c>
      <c r="B487" s="4" t="s">
        <v>274</v>
      </c>
      <c r="C487" s="4" t="s">
        <v>67</v>
      </c>
      <c r="D487" s="4" t="s">
        <v>111</v>
      </c>
      <c r="E487" s="4" t="s">
        <v>122</v>
      </c>
      <c r="F487" s="6">
        <v>4</v>
      </c>
      <c r="G487" s="7">
        <v>0</v>
      </c>
      <c r="H487" s="7">
        <v>0</v>
      </c>
      <c r="I487" s="7">
        <v>0</v>
      </c>
      <c r="J487" s="5">
        <v>4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4</v>
      </c>
      <c r="V487" s="7">
        <v>0</v>
      </c>
      <c r="W487" s="7">
        <v>0</v>
      </c>
      <c r="X487" s="7">
        <v>0</v>
      </c>
      <c r="Y487" s="5">
        <v>4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4</v>
      </c>
      <c r="AK487" s="8">
        <v>4</v>
      </c>
      <c r="AL487" s="5">
        <v>4</v>
      </c>
      <c r="AM487" s="5">
        <v>4</v>
      </c>
      <c r="AN487" s="28">
        <v>0.96</v>
      </c>
    </row>
    <row r="488">
      <c r="A488" s="24">
        <v>3287</v>
      </c>
      <c r="B488" s="9" t="s">
        <v>710</v>
      </c>
      <c r="C488" s="9" t="s">
        <v>67</v>
      </c>
      <c r="D488" s="9" t="s">
        <v>71</v>
      </c>
      <c r="E488" s="9" t="s">
        <v>118</v>
      </c>
      <c r="F488" s="11">
        <v>6</v>
      </c>
      <c r="G488" s="10">
        <v>4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0">
        <v>2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2</v>
      </c>
      <c r="AM488" s="10">
        <v>3</v>
      </c>
      <c r="AN488" s="29">
        <v>1.16</v>
      </c>
    </row>
    <row r="489">
      <c r="A489" s="23">
        <v>3290</v>
      </c>
      <c r="B489" s="4" t="s">
        <v>711</v>
      </c>
      <c r="C489" s="4" t="s">
        <v>67</v>
      </c>
      <c r="D489" s="4" t="s">
        <v>75</v>
      </c>
      <c r="E489" s="4" t="s">
        <v>76</v>
      </c>
      <c r="F489" s="6">
        <v>5</v>
      </c>
      <c r="G489" s="5">
        <v>3</v>
      </c>
      <c r="H489" s="7">
        <v>0</v>
      </c>
      <c r="I489" s="5">
        <v>2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4</v>
      </c>
      <c r="V489" s="5">
        <v>3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2.5</v>
      </c>
      <c r="AL489" s="5">
        <v>2</v>
      </c>
      <c r="AM489" s="5">
        <v>3</v>
      </c>
      <c r="AN489" s="28">
        <v>1.11</v>
      </c>
    </row>
    <row r="490">
      <c r="A490" s="24">
        <v>3293</v>
      </c>
      <c r="B490" s="9" t="s">
        <v>712</v>
      </c>
      <c r="C490" s="9" t="s">
        <v>67</v>
      </c>
      <c r="D490" s="9" t="s">
        <v>111</v>
      </c>
      <c r="E490" s="9" t="s">
        <v>112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3297</v>
      </c>
      <c r="B491" s="4" t="s">
        <v>713</v>
      </c>
      <c r="C491" s="4" t="s">
        <v>656</v>
      </c>
      <c r="D491" s="4" t="s">
        <v>714</v>
      </c>
      <c r="E491" s="4" t="s">
        <v>715</v>
      </c>
      <c r="F491" s="6">
        <v>2</v>
      </c>
      <c r="G491" s="7">
        <v>0</v>
      </c>
      <c r="H491" s="7">
        <v>0</v>
      </c>
      <c r="I491" s="7">
        <v>0</v>
      </c>
      <c r="J491" s="5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7">
        <v>0</v>
      </c>
      <c r="X491" s="7">
        <v>0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43">
        <v>0</v>
      </c>
    </row>
    <row r="492">
      <c r="A492" s="24">
        <v>3298</v>
      </c>
      <c r="B492" s="9" t="s">
        <v>716</v>
      </c>
      <c r="C492" s="9" t="s">
        <v>67</v>
      </c>
      <c r="D492" s="9" t="s">
        <v>111</v>
      </c>
      <c r="E492" s="9" t="s">
        <v>153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3306</v>
      </c>
      <c r="B493" s="4" t="s">
        <v>717</v>
      </c>
      <c r="C493" s="4" t="s">
        <v>67</v>
      </c>
      <c r="D493" s="4" t="s">
        <v>79</v>
      </c>
      <c r="E493" s="4" t="s">
        <v>115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28">
        <v>0.72</v>
      </c>
    </row>
    <row r="494">
      <c r="A494" s="24">
        <v>3308</v>
      </c>
      <c r="B494" s="9" t="s">
        <v>718</v>
      </c>
      <c r="C494" s="9" t="s">
        <v>67</v>
      </c>
      <c r="D494" s="9" t="s">
        <v>111</v>
      </c>
      <c r="E494" s="9" t="s">
        <v>122</v>
      </c>
      <c r="F494" s="11">
        <v>1</v>
      </c>
      <c r="G494" s="12">
        <v>0</v>
      </c>
      <c r="H494" s="10">
        <v>1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3309</v>
      </c>
      <c r="B495" s="4" t="s">
        <v>719</v>
      </c>
      <c r="C495" s="4" t="s">
        <v>67</v>
      </c>
      <c r="D495" s="4" t="s">
        <v>79</v>
      </c>
      <c r="E495" s="4" t="s">
        <v>80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0.52</v>
      </c>
    </row>
    <row r="496">
      <c r="A496" s="24">
        <v>3310</v>
      </c>
      <c r="B496" s="9" t="s">
        <v>720</v>
      </c>
      <c r="C496" s="9" t="s">
        <v>67</v>
      </c>
      <c r="D496" s="9" t="s">
        <v>134</v>
      </c>
      <c r="E496" s="9" t="s">
        <v>345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3315</v>
      </c>
      <c r="B497" s="4" t="s">
        <v>721</v>
      </c>
      <c r="C497" s="4" t="s">
        <v>67</v>
      </c>
      <c r="D497" s="4" t="s">
        <v>111</v>
      </c>
      <c r="E497" s="4" t="s">
        <v>722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3318</v>
      </c>
      <c r="B498" s="9" t="s">
        <v>723</v>
      </c>
      <c r="C498" s="9" t="s">
        <v>724</v>
      </c>
      <c r="D498" s="9" t="s">
        <v>725</v>
      </c>
      <c r="E498" s="9" t="s">
        <v>379</v>
      </c>
      <c r="F498" s="11">
        <v>5</v>
      </c>
      <c r="G498" s="12">
        <v>0</v>
      </c>
      <c r="H498" s="12">
        <v>0</v>
      </c>
      <c r="I498" s="10">
        <v>2</v>
      </c>
      <c r="J498" s="10">
        <v>3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2">
        <v>0</v>
      </c>
      <c r="W498" s="12">
        <v>0</v>
      </c>
      <c r="X498" s="10">
        <v>2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2.5</v>
      </c>
      <c r="AL498" s="10">
        <v>2</v>
      </c>
      <c r="AM498" s="10">
        <v>3</v>
      </c>
      <c r="AN498" s="30">
        <v>0</v>
      </c>
    </row>
    <row r="499">
      <c r="A499" s="23">
        <v>3325</v>
      </c>
      <c r="B499" s="4" t="s">
        <v>726</v>
      </c>
      <c r="C499" s="4" t="s">
        <v>142</v>
      </c>
      <c r="D499" s="4" t="s">
        <v>143</v>
      </c>
      <c r="E499" s="4" t="s">
        <v>465</v>
      </c>
      <c r="F499" s="6">
        <v>3</v>
      </c>
      <c r="G499" s="7">
        <v>0</v>
      </c>
      <c r="H499" s="7">
        <v>0</v>
      </c>
      <c r="I499" s="5">
        <v>2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7">
        <v>0</v>
      </c>
      <c r="W499" s="7">
        <v>0</v>
      </c>
      <c r="X499" s="5">
        <v>2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0.72</v>
      </c>
    </row>
    <row r="500">
      <c r="A500" s="24">
        <v>3328</v>
      </c>
      <c r="B500" s="9" t="s">
        <v>727</v>
      </c>
      <c r="C500" s="9" t="s">
        <v>142</v>
      </c>
      <c r="D500" s="9" t="s">
        <v>708</v>
      </c>
      <c r="E500" s="9" t="s">
        <v>379</v>
      </c>
      <c r="F500" s="11">
        <v>2</v>
      </c>
      <c r="G500" s="12">
        <v>0</v>
      </c>
      <c r="H500" s="12">
        <v>0</v>
      </c>
      <c r="I500" s="10">
        <v>2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2">
        <v>0</v>
      </c>
      <c r="X500" s="10">
        <v>2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29">
        <v>0.48</v>
      </c>
    </row>
    <row r="501">
      <c r="A501" s="23">
        <v>3329</v>
      </c>
      <c r="B501" s="4" t="s">
        <v>728</v>
      </c>
      <c r="C501" s="4" t="s">
        <v>142</v>
      </c>
      <c r="D501" s="4" t="s">
        <v>486</v>
      </c>
      <c r="E501" s="4" t="s">
        <v>487</v>
      </c>
      <c r="F501" s="6">
        <v>3</v>
      </c>
      <c r="G501" s="5">
        <v>2</v>
      </c>
      <c r="H501" s="7">
        <v>0</v>
      </c>
      <c r="I501" s="7">
        <v>0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2</v>
      </c>
      <c r="W501" s="7">
        <v>0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0.72</v>
      </c>
    </row>
    <row r="502">
      <c r="A502" s="24">
        <v>3330</v>
      </c>
      <c r="B502" s="9" t="s">
        <v>729</v>
      </c>
      <c r="C502" s="9" t="s">
        <v>142</v>
      </c>
      <c r="D502" s="9" t="s">
        <v>440</v>
      </c>
      <c r="E502" s="9" t="s">
        <v>441</v>
      </c>
      <c r="F502" s="11">
        <v>5</v>
      </c>
      <c r="G502" s="12">
        <v>0</v>
      </c>
      <c r="H502" s="12">
        <v>0</v>
      </c>
      <c r="I502" s="10">
        <v>1</v>
      </c>
      <c r="J502" s="10">
        <v>3</v>
      </c>
      <c r="K502" s="12">
        <v>0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4</v>
      </c>
      <c r="V502" s="12">
        <v>0</v>
      </c>
      <c r="W502" s="12">
        <v>0</v>
      </c>
      <c r="X502" s="10">
        <v>1</v>
      </c>
      <c r="Y502" s="10">
        <v>2</v>
      </c>
      <c r="Z502" s="12">
        <v>0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1.25</v>
      </c>
      <c r="AL502" s="10">
        <v>1</v>
      </c>
      <c r="AM502" s="10">
        <v>2</v>
      </c>
      <c r="AN502" s="29">
        <v>0.96</v>
      </c>
    </row>
    <row r="503">
      <c r="A503" s="23">
        <v>3339</v>
      </c>
      <c r="B503" s="4" t="s">
        <v>730</v>
      </c>
      <c r="C503" s="4" t="s">
        <v>67</v>
      </c>
      <c r="D503" s="4" t="s">
        <v>104</v>
      </c>
      <c r="E503" s="4" t="s">
        <v>156</v>
      </c>
      <c r="F503" s="6">
        <v>2</v>
      </c>
      <c r="G503" s="5">
        <v>1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1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3342</v>
      </c>
      <c r="B504" s="9" t="s">
        <v>731</v>
      </c>
      <c r="C504" s="9" t="s">
        <v>67</v>
      </c>
      <c r="D504" s="9" t="s">
        <v>104</v>
      </c>
      <c r="E504" s="9" t="s">
        <v>156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3344</v>
      </c>
      <c r="B505" s="4" t="s">
        <v>732</v>
      </c>
      <c r="C505" s="4" t="s">
        <v>656</v>
      </c>
      <c r="D505" s="4" t="s">
        <v>657</v>
      </c>
      <c r="E505" s="4" t="s">
        <v>733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3">
        <v>0</v>
      </c>
    </row>
    <row r="506">
      <c r="A506" s="24">
        <v>3347</v>
      </c>
      <c r="B506" s="9" t="s">
        <v>734</v>
      </c>
      <c r="C506" s="9" t="s">
        <v>67</v>
      </c>
      <c r="D506" s="9" t="s">
        <v>75</v>
      </c>
      <c r="E506" s="9" t="s">
        <v>76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3353</v>
      </c>
      <c r="B507" s="4" t="s">
        <v>735</v>
      </c>
      <c r="C507" s="4" t="s">
        <v>724</v>
      </c>
      <c r="D507" s="4" t="s">
        <v>736</v>
      </c>
      <c r="E507" s="4" t="s">
        <v>379</v>
      </c>
      <c r="F507" s="6">
        <v>1</v>
      </c>
      <c r="G507" s="7">
        <v>0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7">
        <v>0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0.26</v>
      </c>
    </row>
    <row r="508">
      <c r="A508" s="24">
        <v>3354</v>
      </c>
      <c r="B508" s="9" t="s">
        <v>737</v>
      </c>
      <c r="C508" s="9" t="s">
        <v>724</v>
      </c>
      <c r="D508" s="9" t="s">
        <v>736</v>
      </c>
      <c r="E508" s="9" t="s">
        <v>379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0.26</v>
      </c>
    </row>
    <row r="509">
      <c r="A509" s="23">
        <v>3356</v>
      </c>
      <c r="B509" s="4" t="s">
        <v>738</v>
      </c>
      <c r="C509" s="4" t="s">
        <v>724</v>
      </c>
      <c r="D509" s="4" t="s">
        <v>736</v>
      </c>
      <c r="E509" s="4" t="s">
        <v>379</v>
      </c>
      <c r="F509" s="6">
        <v>2</v>
      </c>
      <c r="G509" s="7">
        <v>0</v>
      </c>
      <c r="H509" s="7">
        <v>0</v>
      </c>
      <c r="I509" s="5">
        <v>1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7">
        <v>0</v>
      </c>
      <c r="W509" s="7">
        <v>0</v>
      </c>
      <c r="X509" s="5">
        <v>1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0.52</v>
      </c>
    </row>
    <row r="510">
      <c r="A510" s="24">
        <v>3358</v>
      </c>
      <c r="B510" s="9" t="s">
        <v>739</v>
      </c>
      <c r="C510" s="9" t="s">
        <v>724</v>
      </c>
      <c r="D510" s="9" t="s">
        <v>736</v>
      </c>
      <c r="E510" s="9" t="s">
        <v>379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0.26</v>
      </c>
    </row>
    <row r="511">
      <c r="A511" s="23">
        <v>3360</v>
      </c>
      <c r="B511" s="4" t="s">
        <v>740</v>
      </c>
      <c r="C511" s="4" t="s">
        <v>724</v>
      </c>
      <c r="D511" s="4" t="s">
        <v>736</v>
      </c>
      <c r="E511" s="4" t="s">
        <v>379</v>
      </c>
      <c r="F511" s="6">
        <v>3</v>
      </c>
      <c r="G511" s="7">
        <v>0</v>
      </c>
      <c r="H511" s="7">
        <v>0</v>
      </c>
      <c r="I511" s="5">
        <v>3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5">
        <v>2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3</v>
      </c>
      <c r="AK511" s="8">
        <v>3</v>
      </c>
      <c r="AL511" s="5">
        <v>3</v>
      </c>
      <c r="AM511" s="5">
        <v>3</v>
      </c>
      <c r="AN511" s="28">
        <v>0.52</v>
      </c>
    </row>
    <row r="512">
      <c r="A512" s="24">
        <v>3365</v>
      </c>
      <c r="B512" s="9" t="s">
        <v>741</v>
      </c>
      <c r="C512" s="9" t="s">
        <v>67</v>
      </c>
      <c r="D512" s="9" t="s">
        <v>99</v>
      </c>
      <c r="E512" s="9" t="s">
        <v>742</v>
      </c>
      <c r="F512" s="11">
        <v>2</v>
      </c>
      <c r="G512" s="12">
        <v>0</v>
      </c>
      <c r="H512" s="10">
        <v>1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2">
        <v>0</v>
      </c>
      <c r="W512" s="10">
        <v>1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0.63</v>
      </c>
    </row>
    <row r="513">
      <c r="A513" s="23">
        <v>3371</v>
      </c>
      <c r="B513" s="4" t="s">
        <v>743</v>
      </c>
      <c r="C513" s="4" t="s">
        <v>142</v>
      </c>
      <c r="D513" s="4" t="s">
        <v>143</v>
      </c>
      <c r="E513" s="4" t="s">
        <v>465</v>
      </c>
      <c r="F513" s="6">
        <v>1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3">
        <v>0</v>
      </c>
    </row>
    <row r="514">
      <c r="A514" s="24">
        <v>3384</v>
      </c>
      <c r="B514" s="9" t="s">
        <v>744</v>
      </c>
      <c r="C514" s="9" t="s">
        <v>142</v>
      </c>
      <c r="D514" s="9" t="s">
        <v>440</v>
      </c>
      <c r="E514" s="9" t="s">
        <v>441</v>
      </c>
      <c r="F514" s="11">
        <v>3</v>
      </c>
      <c r="G514" s="12">
        <v>0</v>
      </c>
      <c r="H514" s="12">
        <v>0</v>
      </c>
      <c r="I514" s="10">
        <v>1</v>
      </c>
      <c r="J514" s="12">
        <v>0</v>
      </c>
      <c r="K514" s="12">
        <v>0</v>
      </c>
      <c r="L514" s="10">
        <v>2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2">
        <v>0</v>
      </c>
      <c r="W514" s="12">
        <v>0</v>
      </c>
      <c r="X514" s="10">
        <v>1</v>
      </c>
      <c r="Y514" s="12">
        <v>0</v>
      </c>
      <c r="Z514" s="12">
        <v>0</v>
      </c>
      <c r="AA514" s="10">
        <v>2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0">
        <v>0</v>
      </c>
    </row>
    <row r="515">
      <c r="A515" s="23">
        <v>3385</v>
      </c>
      <c r="B515" s="4" t="s">
        <v>745</v>
      </c>
      <c r="C515" s="4" t="s">
        <v>724</v>
      </c>
      <c r="D515" s="4" t="s">
        <v>746</v>
      </c>
      <c r="E515" s="4" t="s">
        <v>747</v>
      </c>
      <c r="F515" s="6">
        <v>6</v>
      </c>
      <c r="G515" s="7">
        <v>0</v>
      </c>
      <c r="H515" s="5">
        <v>2</v>
      </c>
      <c r="I515" s="7">
        <v>0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7">
        <v>0</v>
      </c>
      <c r="W515" s="5">
        <v>1</v>
      </c>
      <c r="X515" s="7">
        <v>0</v>
      </c>
      <c r="Y515" s="5">
        <v>4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28">
        <v>1.42</v>
      </c>
    </row>
    <row r="516">
      <c r="A516" s="24">
        <v>3388</v>
      </c>
      <c r="B516" s="9" t="s">
        <v>748</v>
      </c>
      <c r="C516" s="9" t="s">
        <v>67</v>
      </c>
      <c r="D516" s="9" t="s">
        <v>111</v>
      </c>
      <c r="E516" s="9" t="s">
        <v>153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0.26</v>
      </c>
    </row>
    <row r="517">
      <c r="A517" s="23">
        <v>3397</v>
      </c>
      <c r="B517" s="4" t="s">
        <v>749</v>
      </c>
      <c r="C517" s="4" t="s">
        <v>142</v>
      </c>
      <c r="D517" s="4" t="s">
        <v>469</v>
      </c>
      <c r="E517" s="4" t="s">
        <v>581</v>
      </c>
      <c r="F517" s="6">
        <v>3</v>
      </c>
      <c r="G517" s="5">
        <v>1</v>
      </c>
      <c r="H517" s="5">
        <v>1</v>
      </c>
      <c r="I517" s="7">
        <v>0</v>
      </c>
      <c r="J517" s="7">
        <v>0</v>
      </c>
      <c r="K517" s="5">
        <v>1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1</v>
      </c>
      <c r="W517" s="5">
        <v>1</v>
      </c>
      <c r="X517" s="7">
        <v>0</v>
      </c>
      <c r="Y517" s="7">
        <v>0</v>
      </c>
      <c r="Z517" s="5">
        <v>1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3">
        <v>0</v>
      </c>
    </row>
    <row r="518">
      <c r="A518" s="24">
        <v>3406</v>
      </c>
      <c r="B518" s="9" t="s">
        <v>750</v>
      </c>
      <c r="C518" s="9" t="s">
        <v>751</v>
      </c>
      <c r="D518" s="9" t="s">
        <v>752</v>
      </c>
      <c r="E518" s="9" t="s">
        <v>379</v>
      </c>
      <c r="F518" s="11">
        <v>2</v>
      </c>
      <c r="G518" s="12">
        <v>0</v>
      </c>
      <c r="H518" s="12">
        <v>0</v>
      </c>
      <c r="I518" s="10">
        <v>2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2">
        <v>0</v>
      </c>
      <c r="W518" s="12">
        <v>0</v>
      </c>
      <c r="X518" s="10">
        <v>2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30">
        <v>0</v>
      </c>
    </row>
    <row r="519">
      <c r="A519" s="23">
        <v>3431</v>
      </c>
      <c r="B519" s="4" t="s">
        <v>753</v>
      </c>
      <c r="C519" s="4" t="s">
        <v>67</v>
      </c>
      <c r="D519" s="4" t="s">
        <v>125</v>
      </c>
      <c r="E519" s="4" t="s">
        <v>126</v>
      </c>
      <c r="F519" s="6">
        <v>1</v>
      </c>
      <c r="G519" s="7">
        <v>0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3432</v>
      </c>
      <c r="B520" s="9" t="s">
        <v>754</v>
      </c>
      <c r="C520" s="9" t="s">
        <v>142</v>
      </c>
      <c r="D520" s="9" t="s">
        <v>406</v>
      </c>
      <c r="E520" s="9" t="s">
        <v>414</v>
      </c>
      <c r="F520" s="11">
        <v>2</v>
      </c>
      <c r="G520" s="12">
        <v>0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2">
        <v>0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0.5</v>
      </c>
    </row>
    <row r="521">
      <c r="A521" s="23">
        <v>3452</v>
      </c>
      <c r="B521" s="4" t="s">
        <v>755</v>
      </c>
      <c r="C521" s="4" t="s">
        <v>656</v>
      </c>
      <c r="D521" s="4" t="s">
        <v>756</v>
      </c>
      <c r="E521" s="4" t="s">
        <v>757</v>
      </c>
      <c r="F521" s="6">
        <v>1</v>
      </c>
      <c r="G521" s="7">
        <v>0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0.26</v>
      </c>
    </row>
    <row r="522">
      <c r="A522" s="24">
        <v>3458</v>
      </c>
      <c r="B522" s="9" t="s">
        <v>758</v>
      </c>
      <c r="C522" s="9" t="s">
        <v>177</v>
      </c>
      <c r="D522" s="9" t="s">
        <v>194</v>
      </c>
      <c r="E522" s="9" t="s">
        <v>204</v>
      </c>
      <c r="F522" s="11">
        <v>8</v>
      </c>
      <c r="G522" s="10">
        <v>1</v>
      </c>
      <c r="H522" s="12">
        <v>0</v>
      </c>
      <c r="I522" s="12">
        <v>0</v>
      </c>
      <c r="J522" s="10">
        <v>1</v>
      </c>
      <c r="K522" s="10">
        <v>6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8</v>
      </c>
      <c r="V522" s="10">
        <v>1</v>
      </c>
      <c r="W522" s="12">
        <v>0</v>
      </c>
      <c r="X522" s="12">
        <v>0</v>
      </c>
      <c r="Y522" s="10">
        <v>1</v>
      </c>
      <c r="Z522" s="10">
        <v>6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1</v>
      </c>
      <c r="AM522" s="10">
        <v>4</v>
      </c>
      <c r="AN522" s="30">
        <v>0</v>
      </c>
    </row>
    <row r="523">
      <c r="A523" s="23">
        <v>3466</v>
      </c>
      <c r="B523" s="4" t="s">
        <v>759</v>
      </c>
      <c r="C523" s="4" t="s">
        <v>67</v>
      </c>
      <c r="D523" s="4" t="s">
        <v>111</v>
      </c>
      <c r="E523" s="4" t="s">
        <v>760</v>
      </c>
      <c r="F523" s="6">
        <v>4</v>
      </c>
      <c r="G523" s="7">
        <v>0</v>
      </c>
      <c r="H523" s="7">
        <v>0</v>
      </c>
      <c r="I523" s="7">
        <v>0</v>
      </c>
      <c r="J523" s="5">
        <v>4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7">
        <v>0</v>
      </c>
      <c r="W523" s="7">
        <v>0</v>
      </c>
      <c r="X523" s="7">
        <v>0</v>
      </c>
      <c r="Y523" s="5">
        <v>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4</v>
      </c>
      <c r="AK523" s="8">
        <v>4</v>
      </c>
      <c r="AL523" s="5">
        <v>4</v>
      </c>
      <c r="AM523" s="5">
        <v>4</v>
      </c>
      <c r="AN523" s="28">
        <v>0.5</v>
      </c>
    </row>
    <row r="524">
      <c r="A524" s="24">
        <v>3478</v>
      </c>
      <c r="B524" s="9" t="s">
        <v>761</v>
      </c>
      <c r="C524" s="9" t="s">
        <v>67</v>
      </c>
      <c r="D524" s="9" t="s">
        <v>86</v>
      </c>
      <c r="E524" s="9" t="s">
        <v>87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3479</v>
      </c>
      <c r="B525" s="4" t="s">
        <v>762</v>
      </c>
      <c r="C525" s="4" t="s">
        <v>67</v>
      </c>
      <c r="D525" s="4" t="s">
        <v>86</v>
      </c>
      <c r="E525" s="4" t="s">
        <v>87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3484</v>
      </c>
      <c r="B526" s="9" t="s">
        <v>763</v>
      </c>
      <c r="C526" s="9" t="s">
        <v>67</v>
      </c>
      <c r="D526" s="9" t="s">
        <v>86</v>
      </c>
      <c r="E526" s="9" t="s">
        <v>87</v>
      </c>
      <c r="F526" s="11">
        <v>1</v>
      </c>
      <c r="G526" s="12">
        <v>0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3486</v>
      </c>
      <c r="B527" s="4" t="s">
        <v>764</v>
      </c>
      <c r="C527" s="4" t="s">
        <v>67</v>
      </c>
      <c r="D527" s="4" t="s">
        <v>86</v>
      </c>
      <c r="E527" s="4" t="s">
        <v>87</v>
      </c>
      <c r="F527" s="6">
        <v>3</v>
      </c>
      <c r="G527" s="7">
        <v>0</v>
      </c>
      <c r="H527" s="7">
        <v>0</v>
      </c>
      <c r="I527" s="7">
        <v>0</v>
      </c>
      <c r="J527" s="5">
        <v>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0.5</v>
      </c>
    </row>
    <row r="528">
      <c r="A528" s="24">
        <v>3488</v>
      </c>
      <c r="B528" s="9" t="s">
        <v>765</v>
      </c>
      <c r="C528" s="9" t="s">
        <v>67</v>
      </c>
      <c r="D528" s="9" t="s">
        <v>86</v>
      </c>
      <c r="E528" s="9" t="s">
        <v>87</v>
      </c>
      <c r="F528" s="11">
        <v>3</v>
      </c>
      <c r="G528" s="10">
        <v>2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29">
        <v>0.25</v>
      </c>
    </row>
    <row r="529">
      <c r="A529" s="23">
        <v>3490</v>
      </c>
      <c r="B529" s="4" t="s">
        <v>766</v>
      </c>
      <c r="C529" s="4" t="s">
        <v>67</v>
      </c>
      <c r="D529" s="4" t="s">
        <v>86</v>
      </c>
      <c r="E529" s="4" t="s">
        <v>87</v>
      </c>
      <c r="F529" s="6">
        <v>5</v>
      </c>
      <c r="G529" s="7">
        <v>0</v>
      </c>
      <c r="H529" s="7">
        <v>0</v>
      </c>
      <c r="I529" s="7">
        <v>0</v>
      </c>
      <c r="J529" s="5">
        <v>5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7">
        <v>0</v>
      </c>
      <c r="W529" s="7">
        <v>0</v>
      </c>
      <c r="X529" s="7">
        <v>0</v>
      </c>
      <c r="Y529" s="5">
        <v>4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2</v>
      </c>
      <c r="AM529" s="5">
        <v>4</v>
      </c>
      <c r="AN529" s="28">
        <v>1</v>
      </c>
    </row>
    <row r="530">
      <c r="A530" s="24">
        <v>3493</v>
      </c>
      <c r="B530" s="9" t="s">
        <v>767</v>
      </c>
      <c r="C530" s="9" t="s">
        <v>67</v>
      </c>
      <c r="D530" s="9" t="s">
        <v>86</v>
      </c>
      <c r="E530" s="9" t="s">
        <v>87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3494</v>
      </c>
      <c r="B531" s="4" t="s">
        <v>768</v>
      </c>
      <c r="C531" s="4" t="s">
        <v>67</v>
      </c>
      <c r="D531" s="4" t="s">
        <v>86</v>
      </c>
      <c r="E531" s="4" t="s">
        <v>87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3501</v>
      </c>
      <c r="B532" s="9" t="s">
        <v>769</v>
      </c>
      <c r="C532" s="9" t="s">
        <v>67</v>
      </c>
      <c r="D532" s="9" t="s">
        <v>86</v>
      </c>
      <c r="E532" s="9" t="s">
        <v>87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3502</v>
      </c>
      <c r="B533" s="4" t="s">
        <v>770</v>
      </c>
      <c r="C533" s="4" t="s">
        <v>67</v>
      </c>
      <c r="D533" s="4" t="s">
        <v>86</v>
      </c>
      <c r="E533" s="4" t="s">
        <v>87</v>
      </c>
      <c r="F533" s="6">
        <v>3</v>
      </c>
      <c r="G533" s="7">
        <v>0</v>
      </c>
      <c r="H533" s="7">
        <v>0</v>
      </c>
      <c r="I533" s="5">
        <v>1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7">
        <v>0</v>
      </c>
      <c r="W533" s="7">
        <v>0</v>
      </c>
      <c r="X533" s="5">
        <v>1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</v>
      </c>
    </row>
    <row r="534">
      <c r="A534" s="24">
        <v>3510</v>
      </c>
      <c r="B534" s="9" t="s">
        <v>771</v>
      </c>
      <c r="C534" s="9" t="s">
        <v>67</v>
      </c>
      <c r="D534" s="9" t="s">
        <v>86</v>
      </c>
      <c r="E534" s="9" t="s">
        <v>87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0.26</v>
      </c>
    </row>
    <row r="535">
      <c r="A535" s="23">
        <v>3513</v>
      </c>
      <c r="B535" s="4" t="s">
        <v>772</v>
      </c>
      <c r="C535" s="4" t="s">
        <v>652</v>
      </c>
      <c r="D535" s="4" t="s">
        <v>773</v>
      </c>
      <c r="E535" s="4" t="s">
        <v>379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3">
        <v>0</v>
      </c>
    </row>
    <row r="536">
      <c r="A536" s="24">
        <v>3514</v>
      </c>
      <c r="B536" s="9" t="s">
        <v>774</v>
      </c>
      <c r="C536" s="9" t="s">
        <v>652</v>
      </c>
      <c r="D536" s="9" t="s">
        <v>773</v>
      </c>
      <c r="E536" s="9" t="s">
        <v>379</v>
      </c>
      <c r="F536" s="11">
        <v>6</v>
      </c>
      <c r="G536" s="12">
        <v>0</v>
      </c>
      <c r="H536" s="12">
        <v>0</v>
      </c>
      <c r="I536" s="12">
        <v>0</v>
      </c>
      <c r="J536" s="10">
        <v>6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2">
        <v>0</v>
      </c>
      <c r="W536" s="12">
        <v>0</v>
      </c>
      <c r="X536" s="12">
        <v>0</v>
      </c>
      <c r="Y536" s="10">
        <v>5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</v>
      </c>
      <c r="AL536" s="10">
        <v>3</v>
      </c>
      <c r="AM536" s="10">
        <v>5</v>
      </c>
      <c r="AN536" s="29">
        <v>1</v>
      </c>
    </row>
    <row r="537">
      <c r="A537" s="23">
        <v>3515</v>
      </c>
      <c r="B537" s="4" t="s">
        <v>775</v>
      </c>
      <c r="C537" s="4" t="s">
        <v>652</v>
      </c>
      <c r="D537" s="4" t="s">
        <v>776</v>
      </c>
      <c r="E537" s="4" t="s">
        <v>379</v>
      </c>
      <c r="F537" s="6">
        <v>37</v>
      </c>
      <c r="G537" s="7">
        <v>0</v>
      </c>
      <c r="H537" s="5">
        <v>2</v>
      </c>
      <c r="I537" s="7">
        <v>0</v>
      </c>
      <c r="J537" s="5">
        <v>35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35</v>
      </c>
      <c r="V537" s="7">
        <v>0</v>
      </c>
      <c r="W537" s="5">
        <v>2</v>
      </c>
      <c r="X537" s="7">
        <v>0</v>
      </c>
      <c r="Y537" s="5">
        <v>33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12.33</v>
      </c>
      <c r="AL537" s="5">
        <v>2</v>
      </c>
      <c r="AM537" s="5">
        <v>34</v>
      </c>
      <c r="AN537" s="28">
        <v>9.32</v>
      </c>
    </row>
    <row r="538">
      <c r="A538" s="24">
        <v>3521</v>
      </c>
      <c r="B538" s="9" t="s">
        <v>777</v>
      </c>
      <c r="C538" s="9" t="s">
        <v>67</v>
      </c>
      <c r="D538" s="9" t="s">
        <v>86</v>
      </c>
      <c r="E538" s="9" t="s">
        <v>87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0">
        <v>4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29">
        <v>1.02</v>
      </c>
    </row>
    <row r="539">
      <c r="A539" s="23">
        <v>3524</v>
      </c>
      <c r="B539" s="4" t="s">
        <v>778</v>
      </c>
      <c r="C539" s="4" t="s">
        <v>142</v>
      </c>
      <c r="D539" s="4" t="s">
        <v>406</v>
      </c>
      <c r="E539" s="4" t="s">
        <v>779</v>
      </c>
      <c r="F539" s="6">
        <v>13</v>
      </c>
      <c r="G539" s="5">
        <v>1</v>
      </c>
      <c r="H539" s="5">
        <v>5</v>
      </c>
      <c r="I539" s="5">
        <v>4</v>
      </c>
      <c r="J539" s="5">
        <v>1</v>
      </c>
      <c r="K539" s="5">
        <v>2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13</v>
      </c>
      <c r="V539" s="5">
        <v>1</v>
      </c>
      <c r="W539" s="5">
        <v>5</v>
      </c>
      <c r="X539" s="5">
        <v>4</v>
      </c>
      <c r="Y539" s="5">
        <v>1</v>
      </c>
      <c r="Z539" s="5">
        <v>2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2.17</v>
      </c>
      <c r="AL539" s="5">
        <v>1</v>
      </c>
      <c r="AM539" s="5">
        <v>4</v>
      </c>
      <c r="AN539" s="28">
        <v>1.36</v>
      </c>
    </row>
    <row r="540">
      <c r="A540" s="24">
        <v>3529</v>
      </c>
      <c r="B540" s="9" t="s">
        <v>780</v>
      </c>
      <c r="C540" s="9" t="s">
        <v>142</v>
      </c>
      <c r="D540" s="9" t="s">
        <v>252</v>
      </c>
      <c r="E540" s="9" t="s">
        <v>253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3557</v>
      </c>
      <c r="B541" s="4" t="s">
        <v>781</v>
      </c>
      <c r="C541" s="4" t="s">
        <v>67</v>
      </c>
      <c r="D541" s="4" t="s">
        <v>86</v>
      </c>
      <c r="E541" s="4" t="s">
        <v>87</v>
      </c>
      <c r="F541" s="6">
        <v>2</v>
      </c>
      <c r="G541" s="5">
        <v>1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1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0.65</v>
      </c>
    </row>
    <row r="542">
      <c r="A542" s="24">
        <v>3563</v>
      </c>
      <c r="B542" s="9" t="s">
        <v>782</v>
      </c>
      <c r="C542" s="9" t="s">
        <v>67</v>
      </c>
      <c r="D542" s="9" t="s">
        <v>86</v>
      </c>
      <c r="E542" s="9" t="s">
        <v>87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3566</v>
      </c>
      <c r="B543" s="4" t="s">
        <v>783</v>
      </c>
      <c r="C543" s="4" t="s">
        <v>67</v>
      </c>
      <c r="D543" s="4" t="s">
        <v>86</v>
      </c>
      <c r="E543" s="4" t="s">
        <v>87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3573</v>
      </c>
      <c r="B544" s="9" t="s">
        <v>784</v>
      </c>
      <c r="C544" s="9" t="s">
        <v>724</v>
      </c>
      <c r="D544" s="9" t="s">
        <v>785</v>
      </c>
      <c r="E544" s="9" t="s">
        <v>379</v>
      </c>
      <c r="F544" s="11">
        <v>1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3574</v>
      </c>
      <c r="B545" s="4" t="s">
        <v>786</v>
      </c>
      <c r="C545" s="4" t="s">
        <v>67</v>
      </c>
      <c r="D545" s="4" t="s">
        <v>86</v>
      </c>
      <c r="E545" s="4" t="s">
        <v>87</v>
      </c>
      <c r="F545" s="6">
        <v>1</v>
      </c>
      <c r="G545" s="7">
        <v>0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3587</v>
      </c>
      <c r="B546" s="9" t="s">
        <v>787</v>
      </c>
      <c r="C546" s="9" t="s">
        <v>67</v>
      </c>
      <c r="D546" s="9" t="s">
        <v>75</v>
      </c>
      <c r="E546" s="9" t="s">
        <v>76</v>
      </c>
      <c r="F546" s="11">
        <v>2</v>
      </c>
      <c r="G546" s="10">
        <v>1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0.5</v>
      </c>
    </row>
    <row r="547">
      <c r="A547" s="23">
        <v>3591</v>
      </c>
      <c r="B547" s="4" t="s">
        <v>788</v>
      </c>
      <c r="C547" s="4" t="s">
        <v>67</v>
      </c>
      <c r="D547" s="4" t="s">
        <v>71</v>
      </c>
      <c r="E547" s="4" t="s">
        <v>169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3">
        <v>0</v>
      </c>
    </row>
    <row r="548">
      <c r="A548" s="24">
        <v>3592</v>
      </c>
      <c r="B548" s="9" t="s">
        <v>789</v>
      </c>
      <c r="C548" s="9" t="s">
        <v>67</v>
      </c>
      <c r="D548" s="9" t="s">
        <v>86</v>
      </c>
      <c r="E548" s="9" t="s">
        <v>87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0.22</v>
      </c>
    </row>
    <row r="549">
      <c r="A549" s="23">
        <v>3593</v>
      </c>
      <c r="B549" s="4" t="s">
        <v>790</v>
      </c>
      <c r="C549" s="4" t="s">
        <v>142</v>
      </c>
      <c r="D549" s="4" t="s">
        <v>406</v>
      </c>
      <c r="E549" s="4" t="s">
        <v>414</v>
      </c>
      <c r="F549" s="6">
        <v>14</v>
      </c>
      <c r="G549" s="5">
        <v>2</v>
      </c>
      <c r="H549" s="7">
        <v>0</v>
      </c>
      <c r="I549" s="5">
        <v>2</v>
      </c>
      <c r="J549" s="5">
        <v>2</v>
      </c>
      <c r="K549" s="5">
        <v>4</v>
      </c>
      <c r="L549" s="5">
        <v>4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13</v>
      </c>
      <c r="V549" s="5">
        <v>2</v>
      </c>
      <c r="W549" s="7">
        <v>0</v>
      </c>
      <c r="X549" s="5">
        <v>2</v>
      </c>
      <c r="Y549" s="5">
        <v>2</v>
      </c>
      <c r="Z549" s="5">
        <v>4</v>
      </c>
      <c r="AA549" s="5">
        <v>3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2.8</v>
      </c>
      <c r="AL549" s="5">
        <v>2</v>
      </c>
      <c r="AM549" s="5">
        <v>4</v>
      </c>
      <c r="AN549" s="43">
        <v>0</v>
      </c>
    </row>
    <row r="550">
      <c r="A550" s="24">
        <v>3598</v>
      </c>
      <c r="B550" s="9" t="s">
        <v>791</v>
      </c>
      <c r="C550" s="9" t="s">
        <v>67</v>
      </c>
      <c r="D550" s="9" t="s">
        <v>134</v>
      </c>
      <c r="E550" s="9" t="s">
        <v>232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0.7</v>
      </c>
    </row>
    <row r="551">
      <c r="A551" s="23">
        <v>3612</v>
      </c>
      <c r="B551" s="4" t="s">
        <v>792</v>
      </c>
      <c r="C551" s="4" t="s">
        <v>142</v>
      </c>
      <c r="D551" s="4" t="s">
        <v>486</v>
      </c>
      <c r="E551" s="4" t="s">
        <v>487</v>
      </c>
      <c r="F551" s="6">
        <v>6</v>
      </c>
      <c r="G551" s="5">
        <v>2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2</v>
      </c>
      <c r="W551" s="7">
        <v>0</v>
      </c>
      <c r="X551" s="7">
        <v>0</v>
      </c>
      <c r="Y551" s="5">
        <v>4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28">
        <v>1.44</v>
      </c>
    </row>
    <row r="552">
      <c r="A552" s="24">
        <v>3615</v>
      </c>
      <c r="B552" s="9" t="s">
        <v>793</v>
      </c>
      <c r="C552" s="9" t="s">
        <v>67</v>
      </c>
      <c r="D552" s="9" t="s">
        <v>111</v>
      </c>
      <c r="E552" s="9" t="s">
        <v>112</v>
      </c>
      <c r="F552" s="11">
        <v>2</v>
      </c>
      <c r="G552" s="12">
        <v>0</v>
      </c>
      <c r="H552" s="10">
        <v>1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0">
        <v>1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0.5</v>
      </c>
    </row>
    <row r="553">
      <c r="A553" s="23">
        <v>3616</v>
      </c>
      <c r="B553" s="4" t="s">
        <v>794</v>
      </c>
      <c r="C553" s="4" t="s">
        <v>67</v>
      </c>
      <c r="D553" s="4" t="s">
        <v>111</v>
      </c>
      <c r="E553" s="4" t="s">
        <v>122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3629</v>
      </c>
      <c r="B554" s="9" t="s">
        <v>795</v>
      </c>
      <c r="C554" s="9" t="s">
        <v>67</v>
      </c>
      <c r="D554" s="9" t="s">
        <v>75</v>
      </c>
      <c r="E554" s="9" t="s">
        <v>84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3635</v>
      </c>
      <c r="B555" s="4" t="s">
        <v>796</v>
      </c>
      <c r="C555" s="4" t="s">
        <v>67</v>
      </c>
      <c r="D555" s="4" t="s">
        <v>108</v>
      </c>
      <c r="E555" s="4" t="s">
        <v>522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3638</v>
      </c>
      <c r="B556" s="9" t="s">
        <v>797</v>
      </c>
      <c r="C556" s="9" t="s">
        <v>67</v>
      </c>
      <c r="D556" s="9" t="s">
        <v>108</v>
      </c>
      <c r="E556" s="9" t="s">
        <v>798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3642</v>
      </c>
      <c r="B557" s="4" t="s">
        <v>799</v>
      </c>
      <c r="C557" s="4" t="s">
        <v>67</v>
      </c>
      <c r="D557" s="4" t="s">
        <v>75</v>
      </c>
      <c r="E557" s="4" t="s">
        <v>309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0.36</v>
      </c>
    </row>
    <row r="558">
      <c r="A558" s="24">
        <v>3655</v>
      </c>
      <c r="B558" s="9" t="s">
        <v>800</v>
      </c>
      <c r="C558" s="9" t="s">
        <v>67</v>
      </c>
      <c r="D558" s="9" t="s">
        <v>71</v>
      </c>
      <c r="E558" s="9" t="s">
        <v>118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3658</v>
      </c>
      <c r="B559" s="4" t="s">
        <v>801</v>
      </c>
      <c r="C559" s="4" t="s">
        <v>67</v>
      </c>
      <c r="D559" s="4" t="s">
        <v>111</v>
      </c>
      <c r="E559" s="4" t="s">
        <v>112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0.35</v>
      </c>
    </row>
    <row r="560">
      <c r="A560" s="24">
        <v>3661</v>
      </c>
      <c r="B560" s="9" t="s">
        <v>802</v>
      </c>
      <c r="C560" s="9" t="s">
        <v>67</v>
      </c>
      <c r="D560" s="9" t="s">
        <v>111</v>
      </c>
      <c r="E560" s="9" t="s">
        <v>112</v>
      </c>
      <c r="F560" s="11">
        <v>6</v>
      </c>
      <c r="G560" s="10">
        <v>3</v>
      </c>
      <c r="H560" s="12">
        <v>0</v>
      </c>
      <c r="I560" s="12">
        <v>0</v>
      </c>
      <c r="J560" s="12">
        <v>0</v>
      </c>
      <c r="K560" s="10">
        <v>3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6</v>
      </c>
      <c r="V560" s="10">
        <v>3</v>
      </c>
      <c r="W560" s="12">
        <v>0</v>
      </c>
      <c r="X560" s="12">
        <v>0</v>
      </c>
      <c r="Y560" s="12">
        <v>0</v>
      </c>
      <c r="Z560" s="10">
        <v>3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3</v>
      </c>
      <c r="AK560" s="13">
        <v>3</v>
      </c>
      <c r="AL560" s="10">
        <v>3</v>
      </c>
      <c r="AM560" s="10">
        <v>3</v>
      </c>
      <c r="AN560" s="29">
        <v>1.56</v>
      </c>
    </row>
    <row r="561">
      <c r="A561" s="23">
        <v>3662</v>
      </c>
      <c r="B561" s="4" t="s">
        <v>803</v>
      </c>
      <c r="C561" s="4" t="s">
        <v>67</v>
      </c>
      <c r="D561" s="4" t="s">
        <v>111</v>
      </c>
      <c r="E561" s="4" t="s">
        <v>112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3">
        <v>0</v>
      </c>
    </row>
    <row r="562">
      <c r="A562" s="24">
        <v>3677</v>
      </c>
      <c r="B562" s="9" t="s">
        <v>804</v>
      </c>
      <c r="C562" s="9" t="s">
        <v>67</v>
      </c>
      <c r="D562" s="9" t="s">
        <v>134</v>
      </c>
      <c r="E562" s="9" t="s">
        <v>135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3694</v>
      </c>
      <c r="B563" s="4" t="s">
        <v>805</v>
      </c>
      <c r="C563" s="4" t="s">
        <v>67</v>
      </c>
      <c r="D563" s="4" t="s">
        <v>125</v>
      </c>
      <c r="E563" s="4" t="s">
        <v>381</v>
      </c>
      <c r="F563" s="6">
        <v>4</v>
      </c>
      <c r="G563" s="5">
        <v>4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5">
        <v>4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28">
        <v>0.34</v>
      </c>
    </row>
    <row r="564">
      <c r="A564" s="24">
        <v>3695</v>
      </c>
      <c r="B564" s="9" t="s">
        <v>806</v>
      </c>
      <c r="C564" s="9" t="s">
        <v>142</v>
      </c>
      <c r="D564" s="9" t="s">
        <v>486</v>
      </c>
      <c r="E564" s="9" t="s">
        <v>487</v>
      </c>
      <c r="F564" s="11">
        <v>2</v>
      </c>
      <c r="G564" s="10">
        <v>1</v>
      </c>
      <c r="H564" s="12">
        <v>0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1</v>
      </c>
      <c r="W564" s="12">
        <v>0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30">
        <v>0</v>
      </c>
    </row>
    <row r="565">
      <c r="A565" s="23">
        <v>3707</v>
      </c>
      <c r="B565" s="4" t="s">
        <v>807</v>
      </c>
      <c r="C565" s="4" t="s">
        <v>67</v>
      </c>
      <c r="D565" s="4" t="s">
        <v>99</v>
      </c>
      <c r="E565" s="4" t="s">
        <v>808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0.26</v>
      </c>
    </row>
    <row r="566">
      <c r="A566" s="24">
        <v>3711</v>
      </c>
      <c r="B566" s="9" t="s">
        <v>809</v>
      </c>
      <c r="C566" s="9" t="s">
        <v>67</v>
      </c>
      <c r="D566" s="9" t="s">
        <v>86</v>
      </c>
      <c r="E566" s="9" t="s">
        <v>148</v>
      </c>
      <c r="F566" s="11">
        <v>3</v>
      </c>
      <c r="G566" s="10">
        <v>1</v>
      </c>
      <c r="H566" s="10">
        <v>1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1</v>
      </c>
      <c r="W566" s="10">
        <v>1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0.75</v>
      </c>
    </row>
    <row r="567">
      <c r="A567" s="23">
        <v>3724</v>
      </c>
      <c r="B567" s="4" t="s">
        <v>810</v>
      </c>
      <c r="C567" s="4" t="s">
        <v>67</v>
      </c>
      <c r="D567" s="4" t="s">
        <v>91</v>
      </c>
      <c r="E567" s="4" t="s">
        <v>340</v>
      </c>
      <c r="F567" s="6">
        <v>1</v>
      </c>
      <c r="G567" s="7">
        <v>0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0.26</v>
      </c>
    </row>
    <row r="568">
      <c r="A568" s="24">
        <v>3726</v>
      </c>
      <c r="B568" s="9" t="s">
        <v>811</v>
      </c>
      <c r="C568" s="9" t="s">
        <v>67</v>
      </c>
      <c r="D568" s="9" t="s">
        <v>99</v>
      </c>
      <c r="E568" s="9" t="s">
        <v>132</v>
      </c>
      <c r="F568" s="11">
        <v>5</v>
      </c>
      <c r="G568" s="10">
        <v>1</v>
      </c>
      <c r="H568" s="12">
        <v>0</v>
      </c>
      <c r="I568" s="12">
        <v>0</v>
      </c>
      <c r="J568" s="10">
        <v>4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5</v>
      </c>
      <c r="V568" s="10">
        <v>1</v>
      </c>
      <c r="W568" s="12">
        <v>0</v>
      </c>
      <c r="X568" s="12">
        <v>0</v>
      </c>
      <c r="Y568" s="10">
        <v>4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1.25</v>
      </c>
      <c r="AL568" s="10">
        <v>1</v>
      </c>
      <c r="AM568" s="10">
        <v>2</v>
      </c>
      <c r="AN568" s="29">
        <v>1</v>
      </c>
    </row>
    <row r="569">
      <c r="A569" s="23">
        <v>3734</v>
      </c>
      <c r="B569" s="4" t="s">
        <v>812</v>
      </c>
      <c r="C569" s="4" t="s">
        <v>142</v>
      </c>
      <c r="D569" s="4" t="s">
        <v>143</v>
      </c>
      <c r="E569" s="4" t="s">
        <v>465</v>
      </c>
      <c r="F569" s="6">
        <v>7</v>
      </c>
      <c r="G569" s="5">
        <v>1</v>
      </c>
      <c r="H569" s="5">
        <v>1</v>
      </c>
      <c r="I569" s="5">
        <v>2</v>
      </c>
      <c r="J569" s="5">
        <v>1</v>
      </c>
      <c r="K569" s="5">
        <v>1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7</v>
      </c>
      <c r="V569" s="5">
        <v>1</v>
      </c>
      <c r="W569" s="5">
        <v>1</v>
      </c>
      <c r="X569" s="5">
        <v>2</v>
      </c>
      <c r="Y569" s="5">
        <v>1</v>
      </c>
      <c r="Z569" s="5">
        <v>1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3">
        <v>0</v>
      </c>
    </row>
    <row r="570">
      <c r="A570" s="24">
        <v>3736</v>
      </c>
      <c r="B570" s="9" t="s">
        <v>813</v>
      </c>
      <c r="C570" s="9" t="s">
        <v>377</v>
      </c>
      <c r="D570" s="9" t="s">
        <v>814</v>
      </c>
      <c r="E570" s="9" t="s">
        <v>379</v>
      </c>
      <c r="F570" s="11">
        <v>3</v>
      </c>
      <c r="G570" s="12">
        <v>0</v>
      </c>
      <c r="H570" s="10">
        <v>2</v>
      </c>
      <c r="I570" s="10">
        <v>1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2">
        <v>0</v>
      </c>
      <c r="W570" s="10">
        <v>1</v>
      </c>
      <c r="X570" s="10">
        <v>1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0.35</v>
      </c>
    </row>
    <row r="571">
      <c r="A571" s="23">
        <v>3737</v>
      </c>
      <c r="B571" s="4" t="s">
        <v>815</v>
      </c>
      <c r="C571" s="4" t="s">
        <v>377</v>
      </c>
      <c r="D571" s="4" t="s">
        <v>814</v>
      </c>
      <c r="E571" s="4" t="s">
        <v>379</v>
      </c>
      <c r="F571" s="6">
        <v>1</v>
      </c>
      <c r="G571" s="7">
        <v>0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3">
        <v>0</v>
      </c>
    </row>
    <row r="572">
      <c r="A572" s="24">
        <v>3738</v>
      </c>
      <c r="B572" s="9" t="s">
        <v>816</v>
      </c>
      <c r="C572" s="9" t="s">
        <v>377</v>
      </c>
      <c r="D572" s="9" t="s">
        <v>814</v>
      </c>
      <c r="E572" s="9" t="s">
        <v>379</v>
      </c>
      <c r="F572" s="11">
        <v>2</v>
      </c>
      <c r="G572" s="12">
        <v>0</v>
      </c>
      <c r="H572" s="12">
        <v>0</v>
      </c>
      <c r="I572" s="10">
        <v>2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2">
        <v>0</v>
      </c>
      <c r="W572" s="12">
        <v>0</v>
      </c>
      <c r="X572" s="10">
        <v>2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3740</v>
      </c>
      <c r="B573" s="4" t="s">
        <v>817</v>
      </c>
      <c r="C573" s="4" t="s">
        <v>377</v>
      </c>
      <c r="D573" s="4" t="s">
        <v>814</v>
      </c>
      <c r="E573" s="4" t="s">
        <v>379</v>
      </c>
      <c r="F573" s="6">
        <v>3</v>
      </c>
      <c r="G573" s="7">
        <v>0</v>
      </c>
      <c r="H573" s="7">
        <v>0</v>
      </c>
      <c r="I573" s="5">
        <v>2</v>
      </c>
      <c r="J573" s="7">
        <v>0</v>
      </c>
      <c r="K573" s="7">
        <v>0</v>
      </c>
      <c r="L573" s="7">
        <v>0</v>
      </c>
      <c r="M573" s="7">
        <v>0</v>
      </c>
      <c r="N573" s="5">
        <v>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7">
        <v>0</v>
      </c>
      <c r="W573" s="7">
        <v>0</v>
      </c>
      <c r="X573" s="5">
        <v>2</v>
      </c>
      <c r="Y573" s="7">
        <v>0</v>
      </c>
      <c r="Z573" s="7">
        <v>0</v>
      </c>
      <c r="AA573" s="7">
        <v>0</v>
      </c>
      <c r="AB573" s="7">
        <v>0</v>
      </c>
      <c r="AC573" s="5">
        <v>1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3">
        <v>0</v>
      </c>
    </row>
    <row r="574">
      <c r="A574" s="24">
        <v>3741</v>
      </c>
      <c r="B574" s="9" t="s">
        <v>818</v>
      </c>
      <c r="C574" s="9" t="s">
        <v>377</v>
      </c>
      <c r="D574" s="9" t="s">
        <v>814</v>
      </c>
      <c r="E574" s="9" t="s">
        <v>379</v>
      </c>
      <c r="F574" s="11">
        <v>2</v>
      </c>
      <c r="G574" s="12">
        <v>0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30">
        <v>0</v>
      </c>
    </row>
    <row r="575">
      <c r="A575" s="23">
        <v>3745</v>
      </c>
      <c r="B575" s="4" t="s">
        <v>819</v>
      </c>
      <c r="C575" s="4" t="s">
        <v>67</v>
      </c>
      <c r="D575" s="4" t="s">
        <v>86</v>
      </c>
      <c r="E575" s="4" t="s">
        <v>87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0.35</v>
      </c>
    </row>
    <row r="576">
      <c r="A576" s="24">
        <v>3753</v>
      </c>
      <c r="B576" s="9" t="s">
        <v>820</v>
      </c>
      <c r="C576" s="9" t="s">
        <v>67</v>
      </c>
      <c r="D576" s="9" t="s">
        <v>99</v>
      </c>
      <c r="E576" s="9" t="s">
        <v>350</v>
      </c>
      <c r="F576" s="11">
        <v>16</v>
      </c>
      <c r="G576" s="12">
        <v>0</v>
      </c>
      <c r="H576" s="12">
        <v>0</v>
      </c>
      <c r="I576" s="10">
        <v>2</v>
      </c>
      <c r="J576" s="10">
        <v>14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14</v>
      </c>
      <c r="V576" s="12">
        <v>0</v>
      </c>
      <c r="W576" s="12">
        <v>0</v>
      </c>
      <c r="X576" s="10">
        <v>2</v>
      </c>
      <c r="Y576" s="10">
        <v>12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3.2</v>
      </c>
      <c r="AL576" s="10">
        <v>1</v>
      </c>
      <c r="AM576" s="10">
        <v>7</v>
      </c>
      <c r="AN576" s="29">
        <v>3.38</v>
      </c>
    </row>
    <row r="577">
      <c r="A577" s="23">
        <v>3756</v>
      </c>
      <c r="B577" s="4" t="s">
        <v>821</v>
      </c>
      <c r="C577" s="4" t="s">
        <v>67</v>
      </c>
      <c r="D577" s="4" t="s">
        <v>111</v>
      </c>
      <c r="E577" s="4" t="s">
        <v>122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3762</v>
      </c>
      <c r="B578" s="9" t="s">
        <v>822</v>
      </c>
      <c r="C578" s="9" t="s">
        <v>67</v>
      </c>
      <c r="D578" s="9" t="s">
        <v>86</v>
      </c>
      <c r="E578" s="9" t="s">
        <v>473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3786</v>
      </c>
      <c r="B579" s="4" t="s">
        <v>823</v>
      </c>
      <c r="C579" s="4" t="s">
        <v>67</v>
      </c>
      <c r="D579" s="4" t="s">
        <v>86</v>
      </c>
      <c r="E579" s="4" t="s">
        <v>148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3791</v>
      </c>
      <c r="B580" s="9" t="s">
        <v>824</v>
      </c>
      <c r="C580" s="9" t="s">
        <v>142</v>
      </c>
      <c r="D580" s="9" t="s">
        <v>700</v>
      </c>
      <c r="E580" s="9" t="s">
        <v>701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0.22</v>
      </c>
    </row>
    <row r="581">
      <c r="A581" s="23">
        <v>3798</v>
      </c>
      <c r="B581" s="4" t="s">
        <v>825</v>
      </c>
      <c r="C581" s="4" t="s">
        <v>67</v>
      </c>
      <c r="D581" s="4" t="s">
        <v>86</v>
      </c>
      <c r="E581" s="4" t="s">
        <v>87</v>
      </c>
      <c r="F581" s="6">
        <v>2</v>
      </c>
      <c r="G581" s="7">
        <v>0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7">
        <v>0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3800</v>
      </c>
      <c r="B582" s="9" t="s">
        <v>826</v>
      </c>
      <c r="C582" s="9" t="s">
        <v>67</v>
      </c>
      <c r="D582" s="9" t="s">
        <v>99</v>
      </c>
      <c r="E582" s="9" t="s">
        <v>132</v>
      </c>
      <c r="F582" s="11">
        <v>8</v>
      </c>
      <c r="G582" s="10">
        <v>4</v>
      </c>
      <c r="H582" s="12">
        <v>0</v>
      </c>
      <c r="I582" s="10">
        <v>1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7</v>
      </c>
      <c r="V582" s="10">
        <v>4</v>
      </c>
      <c r="W582" s="12">
        <v>0</v>
      </c>
      <c r="X582" s="10">
        <v>1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2.67</v>
      </c>
      <c r="AL582" s="10">
        <v>3</v>
      </c>
      <c r="AM582" s="10">
        <v>4</v>
      </c>
      <c r="AN582" s="29">
        <v>0.52</v>
      </c>
    </row>
    <row r="583">
      <c r="A583" s="23">
        <v>3802</v>
      </c>
      <c r="B583" s="4" t="s">
        <v>827</v>
      </c>
      <c r="C583" s="4" t="s">
        <v>67</v>
      </c>
      <c r="D583" s="4" t="s">
        <v>86</v>
      </c>
      <c r="E583" s="4" t="s">
        <v>87</v>
      </c>
      <c r="F583" s="6">
        <v>4</v>
      </c>
      <c r="G583" s="5">
        <v>3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5">
        <v>3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</v>
      </c>
      <c r="AL583" s="5">
        <v>2</v>
      </c>
      <c r="AM583" s="5">
        <v>3</v>
      </c>
      <c r="AN583" s="28">
        <v>1.39</v>
      </c>
    </row>
    <row r="584">
      <c r="A584" s="24">
        <v>3812</v>
      </c>
      <c r="B584" s="9" t="s">
        <v>828</v>
      </c>
      <c r="C584" s="9" t="s">
        <v>67</v>
      </c>
      <c r="D584" s="9" t="s">
        <v>79</v>
      </c>
      <c r="E584" s="9" t="s">
        <v>209</v>
      </c>
      <c r="F584" s="11">
        <v>3</v>
      </c>
      <c r="G584" s="10">
        <v>3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3</v>
      </c>
      <c r="AK584" s="13">
        <v>3</v>
      </c>
      <c r="AL584" s="10">
        <v>3</v>
      </c>
      <c r="AM584" s="10">
        <v>3</v>
      </c>
      <c r="AN584" s="30">
        <v>0</v>
      </c>
    </row>
    <row r="585">
      <c r="A585" s="23">
        <v>3814</v>
      </c>
      <c r="B585" s="4" t="s">
        <v>829</v>
      </c>
      <c r="C585" s="4" t="s">
        <v>67</v>
      </c>
      <c r="D585" s="4" t="s">
        <v>159</v>
      </c>
      <c r="E585" s="4" t="s">
        <v>830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3">
        <v>0</v>
      </c>
    </row>
    <row r="586">
      <c r="A586" s="24">
        <v>3817</v>
      </c>
      <c r="B586" s="9" t="s">
        <v>831</v>
      </c>
      <c r="C586" s="9" t="s">
        <v>177</v>
      </c>
      <c r="D586" s="9" t="s">
        <v>178</v>
      </c>
      <c r="E586" s="9" t="s">
        <v>832</v>
      </c>
      <c r="F586" s="11">
        <v>3</v>
      </c>
      <c r="G586" s="12">
        <v>0</v>
      </c>
      <c r="H586" s="12">
        <v>0</v>
      </c>
      <c r="I586" s="12">
        <v>0</v>
      </c>
      <c r="J586" s="10">
        <v>1</v>
      </c>
      <c r="K586" s="10">
        <v>2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2">
        <v>0</v>
      </c>
      <c r="W586" s="12">
        <v>0</v>
      </c>
      <c r="X586" s="12">
        <v>0</v>
      </c>
      <c r="Y586" s="10">
        <v>1</v>
      </c>
      <c r="Z586" s="10">
        <v>2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3818</v>
      </c>
      <c r="B587" s="4" t="s">
        <v>833</v>
      </c>
      <c r="C587" s="4" t="s">
        <v>67</v>
      </c>
      <c r="D587" s="4" t="s">
        <v>79</v>
      </c>
      <c r="E587" s="4" t="s">
        <v>343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3826</v>
      </c>
      <c r="B588" s="9" t="s">
        <v>834</v>
      </c>
      <c r="C588" s="9" t="s">
        <v>67</v>
      </c>
      <c r="D588" s="9" t="s">
        <v>79</v>
      </c>
      <c r="E588" s="9" t="s">
        <v>80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0.25</v>
      </c>
    </row>
    <row r="589">
      <c r="A589" s="23">
        <v>3827</v>
      </c>
      <c r="B589" s="4" t="s">
        <v>835</v>
      </c>
      <c r="C589" s="4" t="s">
        <v>67</v>
      </c>
      <c r="D589" s="4" t="s">
        <v>79</v>
      </c>
      <c r="E589" s="4" t="s">
        <v>80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3836</v>
      </c>
      <c r="B590" s="9" t="s">
        <v>836</v>
      </c>
      <c r="C590" s="9" t="s">
        <v>67</v>
      </c>
      <c r="D590" s="9" t="s">
        <v>79</v>
      </c>
      <c r="E590" s="9" t="s">
        <v>80</v>
      </c>
      <c r="F590" s="11">
        <v>10</v>
      </c>
      <c r="G590" s="10">
        <v>7</v>
      </c>
      <c r="H590" s="10">
        <v>1</v>
      </c>
      <c r="I590" s="12">
        <v>0</v>
      </c>
      <c r="J590" s="10">
        <v>1</v>
      </c>
      <c r="K590" s="12">
        <v>0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10</v>
      </c>
      <c r="V590" s="10">
        <v>7</v>
      </c>
      <c r="W590" s="10">
        <v>1</v>
      </c>
      <c r="X590" s="12">
        <v>0</v>
      </c>
      <c r="Y590" s="10">
        <v>1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1.67</v>
      </c>
      <c r="AL590" s="10">
        <v>1</v>
      </c>
      <c r="AM590" s="10">
        <v>3</v>
      </c>
      <c r="AN590" s="29">
        <v>1.33</v>
      </c>
    </row>
    <row r="591">
      <c r="A591" s="23">
        <v>3837</v>
      </c>
      <c r="B591" s="4" t="s">
        <v>837</v>
      </c>
      <c r="C591" s="4" t="s">
        <v>67</v>
      </c>
      <c r="D591" s="4" t="s">
        <v>71</v>
      </c>
      <c r="E591" s="4" t="s">
        <v>118</v>
      </c>
      <c r="F591" s="6">
        <v>4</v>
      </c>
      <c r="G591" s="5">
        <v>4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5">
        <v>4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28">
        <v>1.2</v>
      </c>
    </row>
    <row r="592">
      <c r="A592" s="24">
        <v>3857</v>
      </c>
      <c r="B592" s="9" t="s">
        <v>838</v>
      </c>
      <c r="C592" s="9" t="s">
        <v>67</v>
      </c>
      <c r="D592" s="9" t="s">
        <v>111</v>
      </c>
      <c r="E592" s="9" t="s">
        <v>122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3860</v>
      </c>
      <c r="B593" s="4" t="s">
        <v>839</v>
      </c>
      <c r="C593" s="4" t="s">
        <v>67</v>
      </c>
      <c r="D593" s="4" t="s">
        <v>111</v>
      </c>
      <c r="E593" s="4" t="s">
        <v>122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0.37</v>
      </c>
    </row>
    <row r="594">
      <c r="A594" s="24">
        <v>3861</v>
      </c>
      <c r="B594" s="9" t="s">
        <v>840</v>
      </c>
      <c r="C594" s="9" t="s">
        <v>67</v>
      </c>
      <c r="D594" s="9" t="s">
        <v>111</v>
      </c>
      <c r="E594" s="9" t="s">
        <v>122</v>
      </c>
      <c r="F594" s="11">
        <v>1</v>
      </c>
      <c r="G594" s="12">
        <v>0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3863</v>
      </c>
      <c r="B595" s="4" t="s">
        <v>841</v>
      </c>
      <c r="C595" s="4" t="s">
        <v>67</v>
      </c>
      <c r="D595" s="4" t="s">
        <v>111</v>
      </c>
      <c r="E595" s="4" t="s">
        <v>122</v>
      </c>
      <c r="F595" s="6">
        <v>4</v>
      </c>
      <c r="G595" s="7">
        <v>0</v>
      </c>
      <c r="H595" s="7">
        <v>0</v>
      </c>
      <c r="I595" s="7">
        <v>0</v>
      </c>
      <c r="J595" s="5">
        <v>4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7">
        <v>0</v>
      </c>
      <c r="W595" s="7">
        <v>0</v>
      </c>
      <c r="X595" s="7">
        <v>0</v>
      </c>
      <c r="Y595" s="5">
        <v>3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4</v>
      </c>
      <c r="AK595" s="8">
        <v>4</v>
      </c>
      <c r="AL595" s="5">
        <v>4</v>
      </c>
      <c r="AM595" s="5">
        <v>4</v>
      </c>
      <c r="AN595" s="28">
        <v>0.75</v>
      </c>
    </row>
    <row r="596">
      <c r="A596" s="24">
        <v>3871</v>
      </c>
      <c r="B596" s="9" t="s">
        <v>842</v>
      </c>
      <c r="C596" s="9" t="s">
        <v>67</v>
      </c>
      <c r="D596" s="9" t="s">
        <v>111</v>
      </c>
      <c r="E596" s="9" t="s">
        <v>122</v>
      </c>
      <c r="F596" s="11">
        <v>1</v>
      </c>
      <c r="G596" s="12">
        <v>0</v>
      </c>
      <c r="H596" s="10">
        <v>1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0">
        <v>1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3886</v>
      </c>
      <c r="B597" s="4" t="s">
        <v>843</v>
      </c>
      <c r="C597" s="4" t="s">
        <v>67</v>
      </c>
      <c r="D597" s="4" t="s">
        <v>111</v>
      </c>
      <c r="E597" s="4" t="s">
        <v>122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3">
        <v>0</v>
      </c>
    </row>
    <row r="598">
      <c r="A598" s="24">
        <v>3889</v>
      </c>
      <c r="B598" s="9" t="s">
        <v>844</v>
      </c>
      <c r="C598" s="9" t="s">
        <v>67</v>
      </c>
      <c r="D598" s="9" t="s">
        <v>111</v>
      </c>
      <c r="E598" s="9" t="s">
        <v>122</v>
      </c>
      <c r="F598" s="11">
        <v>3</v>
      </c>
      <c r="G598" s="10">
        <v>1</v>
      </c>
      <c r="H598" s="12">
        <v>0</v>
      </c>
      <c r="I598" s="12">
        <v>0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0">
        <v>1</v>
      </c>
      <c r="W598" s="12">
        <v>0</v>
      </c>
      <c r="X598" s="12">
        <v>0</v>
      </c>
      <c r="Y598" s="10">
        <v>2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0.83</v>
      </c>
    </row>
    <row r="599">
      <c r="A599" s="23">
        <v>3891</v>
      </c>
      <c r="B599" s="4" t="s">
        <v>845</v>
      </c>
      <c r="C599" s="4" t="s">
        <v>67</v>
      </c>
      <c r="D599" s="4" t="s">
        <v>111</v>
      </c>
      <c r="E599" s="4" t="s">
        <v>122</v>
      </c>
      <c r="F599" s="6">
        <v>4</v>
      </c>
      <c r="G599" s="7">
        <v>0</v>
      </c>
      <c r="H599" s="7">
        <v>0</v>
      </c>
      <c r="I599" s="7">
        <v>0</v>
      </c>
      <c r="J599" s="5">
        <v>4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4</v>
      </c>
      <c r="V599" s="7">
        <v>0</v>
      </c>
      <c r="W599" s="7">
        <v>0</v>
      </c>
      <c r="X599" s="7">
        <v>0</v>
      </c>
      <c r="Y599" s="5">
        <v>4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1</v>
      </c>
    </row>
    <row r="600">
      <c r="A600" s="24">
        <v>3892</v>
      </c>
      <c r="B600" s="9" t="s">
        <v>846</v>
      </c>
      <c r="C600" s="9" t="s">
        <v>67</v>
      </c>
      <c r="D600" s="9" t="s">
        <v>134</v>
      </c>
      <c r="E600" s="9" t="s">
        <v>345</v>
      </c>
      <c r="F600" s="11">
        <v>1</v>
      </c>
      <c r="G600" s="12">
        <v>0</v>
      </c>
      <c r="H600" s="10">
        <v>1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0">
        <v>1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0.22</v>
      </c>
    </row>
    <row r="601">
      <c r="A601" s="23">
        <v>3894</v>
      </c>
      <c r="B601" s="4" t="s">
        <v>847</v>
      </c>
      <c r="C601" s="4" t="s">
        <v>67</v>
      </c>
      <c r="D601" s="4" t="s">
        <v>111</v>
      </c>
      <c r="E601" s="4" t="s">
        <v>122</v>
      </c>
      <c r="F601" s="6">
        <v>3</v>
      </c>
      <c r="G601" s="7">
        <v>0</v>
      </c>
      <c r="H601" s="7">
        <v>0</v>
      </c>
      <c r="I601" s="7">
        <v>0</v>
      </c>
      <c r="J601" s="5">
        <v>3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7">
        <v>0</v>
      </c>
      <c r="W601" s="7">
        <v>0</v>
      </c>
      <c r="X601" s="7">
        <v>0</v>
      </c>
      <c r="Y601" s="5">
        <v>3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28">
        <v>0.75</v>
      </c>
    </row>
    <row r="602">
      <c r="A602" s="24">
        <v>3907</v>
      </c>
      <c r="B602" s="9" t="s">
        <v>848</v>
      </c>
      <c r="C602" s="9" t="s">
        <v>67</v>
      </c>
      <c r="D602" s="9" t="s">
        <v>111</v>
      </c>
      <c r="E602" s="9" t="s">
        <v>122</v>
      </c>
      <c r="F602" s="11">
        <v>3</v>
      </c>
      <c r="G602" s="10">
        <v>3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0">
        <v>3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3</v>
      </c>
      <c r="AK602" s="13">
        <v>3</v>
      </c>
      <c r="AL602" s="10">
        <v>3</v>
      </c>
      <c r="AM602" s="10">
        <v>3</v>
      </c>
      <c r="AN602" s="29">
        <v>1.11</v>
      </c>
    </row>
    <row r="603">
      <c r="A603" s="23">
        <v>3910</v>
      </c>
      <c r="B603" s="4" t="s">
        <v>849</v>
      </c>
      <c r="C603" s="4" t="s">
        <v>67</v>
      </c>
      <c r="D603" s="4" t="s">
        <v>111</v>
      </c>
      <c r="E603" s="4" t="s">
        <v>122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0.26</v>
      </c>
    </row>
    <row r="604">
      <c r="A604" s="24">
        <v>3914</v>
      </c>
      <c r="B604" s="9" t="s">
        <v>850</v>
      </c>
      <c r="C604" s="9" t="s">
        <v>67</v>
      </c>
      <c r="D604" s="9" t="s">
        <v>111</v>
      </c>
      <c r="E604" s="9" t="s">
        <v>122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3917</v>
      </c>
      <c r="B605" s="4" t="s">
        <v>851</v>
      </c>
      <c r="C605" s="4" t="s">
        <v>67</v>
      </c>
      <c r="D605" s="4" t="s">
        <v>111</v>
      </c>
      <c r="E605" s="4" t="s">
        <v>122</v>
      </c>
      <c r="F605" s="6">
        <v>5</v>
      </c>
      <c r="G605" s="7">
        <v>0</v>
      </c>
      <c r="H605" s="7">
        <v>0</v>
      </c>
      <c r="I605" s="7">
        <v>0</v>
      </c>
      <c r="J605" s="5">
        <v>5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5</v>
      </c>
      <c r="AK605" s="8">
        <v>5</v>
      </c>
      <c r="AL605" s="5">
        <v>5</v>
      </c>
      <c r="AM605" s="5">
        <v>5</v>
      </c>
      <c r="AN605" s="43">
        <v>0</v>
      </c>
    </row>
    <row r="606">
      <c r="A606" s="24">
        <v>3921</v>
      </c>
      <c r="B606" s="9" t="s">
        <v>852</v>
      </c>
      <c r="C606" s="9" t="s">
        <v>67</v>
      </c>
      <c r="D606" s="9" t="s">
        <v>111</v>
      </c>
      <c r="E606" s="9" t="s">
        <v>122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3922</v>
      </c>
      <c r="B607" s="4" t="s">
        <v>853</v>
      </c>
      <c r="C607" s="4" t="s">
        <v>67</v>
      </c>
      <c r="D607" s="4" t="s">
        <v>111</v>
      </c>
      <c r="E607" s="4" t="s">
        <v>122</v>
      </c>
      <c r="F607" s="6">
        <v>1</v>
      </c>
      <c r="G607" s="7">
        <v>0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3">
        <v>0</v>
      </c>
    </row>
    <row r="608">
      <c r="A608" s="24">
        <v>3931</v>
      </c>
      <c r="B608" s="9" t="s">
        <v>854</v>
      </c>
      <c r="C608" s="9" t="s">
        <v>67</v>
      </c>
      <c r="D608" s="9" t="s">
        <v>111</v>
      </c>
      <c r="E608" s="9" t="s">
        <v>122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3946</v>
      </c>
      <c r="B609" s="4" t="s">
        <v>855</v>
      </c>
      <c r="C609" s="4" t="s">
        <v>67</v>
      </c>
      <c r="D609" s="4" t="s">
        <v>111</v>
      </c>
      <c r="E609" s="4" t="s">
        <v>122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3">
        <v>0</v>
      </c>
    </row>
    <row r="610">
      <c r="A610" s="24">
        <v>3953</v>
      </c>
      <c r="B610" s="9" t="s">
        <v>856</v>
      </c>
      <c r="C610" s="9" t="s">
        <v>67</v>
      </c>
      <c r="D610" s="9" t="s">
        <v>79</v>
      </c>
      <c r="E610" s="9" t="s">
        <v>209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3954</v>
      </c>
      <c r="B611" s="4" t="s">
        <v>857</v>
      </c>
      <c r="C611" s="4" t="s">
        <v>67</v>
      </c>
      <c r="D611" s="4" t="s">
        <v>111</v>
      </c>
      <c r="E611" s="4" t="s">
        <v>221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0.26</v>
      </c>
    </row>
    <row r="612">
      <c r="A612" s="24">
        <v>3970</v>
      </c>
      <c r="B612" s="9" t="s">
        <v>858</v>
      </c>
      <c r="C612" s="9" t="s">
        <v>142</v>
      </c>
      <c r="D612" s="9" t="s">
        <v>486</v>
      </c>
      <c r="E612" s="9" t="s">
        <v>487</v>
      </c>
      <c r="F612" s="11">
        <v>5</v>
      </c>
      <c r="G612" s="12">
        <v>0</v>
      </c>
      <c r="H612" s="12">
        <v>0</v>
      </c>
      <c r="I612" s="10">
        <v>4</v>
      </c>
      <c r="J612" s="12">
        <v>0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4</v>
      </c>
      <c r="V612" s="12">
        <v>0</v>
      </c>
      <c r="W612" s="12">
        <v>0</v>
      </c>
      <c r="X612" s="10">
        <v>3</v>
      </c>
      <c r="Y612" s="12">
        <v>0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2.5</v>
      </c>
      <c r="AL612" s="10">
        <v>2</v>
      </c>
      <c r="AM612" s="10">
        <v>4</v>
      </c>
      <c r="AN612" s="30">
        <v>0</v>
      </c>
    </row>
    <row r="613">
      <c r="A613" s="23">
        <v>3980</v>
      </c>
      <c r="B613" s="4" t="s">
        <v>859</v>
      </c>
      <c r="C613" s="4" t="s">
        <v>177</v>
      </c>
      <c r="D613" s="4" t="s">
        <v>178</v>
      </c>
      <c r="E613" s="4" t="s">
        <v>832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3985</v>
      </c>
      <c r="B614" s="9" t="s">
        <v>860</v>
      </c>
      <c r="C614" s="9" t="s">
        <v>67</v>
      </c>
      <c r="D614" s="9" t="s">
        <v>75</v>
      </c>
      <c r="E614" s="9" t="s">
        <v>261</v>
      </c>
      <c r="F614" s="11">
        <v>2</v>
      </c>
      <c r="G614" s="12">
        <v>0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2">
        <v>0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0.5</v>
      </c>
    </row>
    <row r="615">
      <c r="A615" s="23">
        <v>3991</v>
      </c>
      <c r="B615" s="4" t="s">
        <v>861</v>
      </c>
      <c r="C615" s="4" t="s">
        <v>67</v>
      </c>
      <c r="D615" s="4" t="s">
        <v>86</v>
      </c>
      <c r="E615" s="4" t="s">
        <v>87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3">
        <v>0</v>
      </c>
    </row>
    <row r="616">
      <c r="A616" s="24">
        <v>3994</v>
      </c>
      <c r="B616" s="9" t="s">
        <v>862</v>
      </c>
      <c r="C616" s="9" t="s">
        <v>632</v>
      </c>
      <c r="D616" s="9" t="s">
        <v>863</v>
      </c>
      <c r="E616" s="9" t="s">
        <v>379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4047</v>
      </c>
      <c r="B617" s="4" t="s">
        <v>864</v>
      </c>
      <c r="C617" s="4" t="s">
        <v>67</v>
      </c>
      <c r="D617" s="4" t="s">
        <v>79</v>
      </c>
      <c r="E617" s="4" t="s">
        <v>80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4054</v>
      </c>
      <c r="B618" s="9" t="s">
        <v>865</v>
      </c>
      <c r="C618" s="9" t="s">
        <v>67</v>
      </c>
      <c r="D618" s="9" t="s">
        <v>159</v>
      </c>
      <c r="E618" s="9" t="s">
        <v>160</v>
      </c>
      <c r="F618" s="11">
        <v>3</v>
      </c>
      <c r="G618" s="10">
        <v>2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29">
        <v>0.62</v>
      </c>
    </row>
    <row r="619">
      <c r="A619" s="23">
        <v>4059</v>
      </c>
      <c r="B619" s="4" t="s">
        <v>866</v>
      </c>
      <c r="C619" s="4" t="s">
        <v>142</v>
      </c>
      <c r="D619" s="4" t="s">
        <v>440</v>
      </c>
      <c r="E619" s="4" t="s">
        <v>441</v>
      </c>
      <c r="F619" s="6">
        <v>3</v>
      </c>
      <c r="G619" s="7">
        <v>0</v>
      </c>
      <c r="H619" s="7">
        <v>0</v>
      </c>
      <c r="I619" s="5">
        <v>2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7">
        <v>0</v>
      </c>
      <c r="W619" s="7">
        <v>0</v>
      </c>
      <c r="X619" s="5">
        <v>2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43">
        <v>0</v>
      </c>
    </row>
    <row r="620">
      <c r="A620" s="24">
        <v>4063</v>
      </c>
      <c r="B620" s="9" t="s">
        <v>867</v>
      </c>
      <c r="C620" s="9" t="s">
        <v>67</v>
      </c>
      <c r="D620" s="9" t="s">
        <v>159</v>
      </c>
      <c r="E620" s="9" t="s">
        <v>830</v>
      </c>
      <c r="F620" s="11">
        <v>4</v>
      </c>
      <c r="G620" s="10">
        <v>1</v>
      </c>
      <c r="H620" s="10">
        <v>1</v>
      </c>
      <c r="I620" s="10">
        <v>2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4</v>
      </c>
      <c r="V620" s="10">
        <v>1</v>
      </c>
      <c r="W620" s="10">
        <v>1</v>
      </c>
      <c r="X620" s="10">
        <v>2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0.5</v>
      </c>
    </row>
    <row r="621">
      <c r="A621" s="23">
        <v>4065</v>
      </c>
      <c r="B621" s="4" t="s">
        <v>868</v>
      </c>
      <c r="C621" s="4" t="s">
        <v>67</v>
      </c>
      <c r="D621" s="4" t="s">
        <v>86</v>
      </c>
      <c r="E621" s="4" t="s">
        <v>140</v>
      </c>
      <c r="F621" s="6">
        <v>1</v>
      </c>
      <c r="G621" s="7">
        <v>0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4076</v>
      </c>
      <c r="B622" s="9" t="s">
        <v>869</v>
      </c>
      <c r="C622" s="9" t="s">
        <v>67</v>
      </c>
      <c r="D622" s="9" t="s">
        <v>159</v>
      </c>
      <c r="E622" s="9" t="s">
        <v>160</v>
      </c>
      <c r="F622" s="11">
        <v>3</v>
      </c>
      <c r="G622" s="10">
        <v>2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2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0.97</v>
      </c>
    </row>
    <row r="623">
      <c r="A623" s="23">
        <v>4078</v>
      </c>
      <c r="B623" s="4" t="s">
        <v>870</v>
      </c>
      <c r="C623" s="4" t="s">
        <v>67</v>
      </c>
      <c r="D623" s="4" t="s">
        <v>71</v>
      </c>
      <c r="E623" s="4" t="s">
        <v>118</v>
      </c>
      <c r="F623" s="6">
        <v>2</v>
      </c>
      <c r="G623" s="5">
        <v>1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1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4080</v>
      </c>
      <c r="B624" s="9" t="s">
        <v>871</v>
      </c>
      <c r="C624" s="9" t="s">
        <v>67</v>
      </c>
      <c r="D624" s="9" t="s">
        <v>75</v>
      </c>
      <c r="E624" s="9" t="s">
        <v>331</v>
      </c>
      <c r="F624" s="11">
        <v>14</v>
      </c>
      <c r="G624" s="12">
        <v>0</v>
      </c>
      <c r="H624" s="12">
        <v>0</v>
      </c>
      <c r="I624" s="12">
        <v>0</v>
      </c>
      <c r="J624" s="10">
        <v>14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14</v>
      </c>
      <c r="V624" s="12">
        <v>0</v>
      </c>
      <c r="W624" s="12">
        <v>0</v>
      </c>
      <c r="X624" s="12">
        <v>0</v>
      </c>
      <c r="Y624" s="10">
        <v>14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14</v>
      </c>
      <c r="AK624" s="13">
        <v>14</v>
      </c>
      <c r="AL624" s="10">
        <v>14</v>
      </c>
      <c r="AM624" s="10">
        <v>14</v>
      </c>
      <c r="AN624" s="29">
        <v>3.64</v>
      </c>
    </row>
    <row r="625">
      <c r="A625" s="23">
        <v>4082</v>
      </c>
      <c r="B625" s="4" t="s">
        <v>872</v>
      </c>
      <c r="C625" s="4" t="s">
        <v>67</v>
      </c>
      <c r="D625" s="4" t="s">
        <v>71</v>
      </c>
      <c r="E625" s="4" t="s">
        <v>118</v>
      </c>
      <c r="F625" s="6">
        <v>4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4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1.33</v>
      </c>
      <c r="AL625" s="5">
        <v>1</v>
      </c>
      <c r="AM625" s="5">
        <v>2</v>
      </c>
      <c r="AN625" s="28">
        <v>0.9</v>
      </c>
    </row>
    <row r="626">
      <c r="A626" s="24">
        <v>4104</v>
      </c>
      <c r="B626" s="9" t="s">
        <v>873</v>
      </c>
      <c r="C626" s="9" t="s">
        <v>67</v>
      </c>
      <c r="D626" s="9" t="s">
        <v>79</v>
      </c>
      <c r="E626" s="9" t="s">
        <v>80</v>
      </c>
      <c r="F626" s="11">
        <v>3</v>
      </c>
      <c r="G626" s="10">
        <v>1</v>
      </c>
      <c r="H626" s="12">
        <v>0</v>
      </c>
      <c r="I626" s="10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1</v>
      </c>
      <c r="W626" s="12">
        <v>0</v>
      </c>
      <c r="X626" s="10">
        <v>2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30">
        <v>0</v>
      </c>
    </row>
    <row r="627">
      <c r="A627" s="23">
        <v>4114</v>
      </c>
      <c r="B627" s="4" t="s">
        <v>874</v>
      </c>
      <c r="C627" s="4" t="s">
        <v>67</v>
      </c>
      <c r="D627" s="4" t="s">
        <v>79</v>
      </c>
      <c r="E627" s="4" t="s">
        <v>80</v>
      </c>
      <c r="F627" s="6">
        <v>3</v>
      </c>
      <c r="G627" s="5">
        <v>3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3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43">
        <v>0</v>
      </c>
    </row>
    <row r="628">
      <c r="A628" s="24">
        <v>4116</v>
      </c>
      <c r="B628" s="9" t="s">
        <v>875</v>
      </c>
      <c r="C628" s="9" t="s">
        <v>142</v>
      </c>
      <c r="D628" s="9" t="s">
        <v>583</v>
      </c>
      <c r="E628" s="9" t="s">
        <v>584</v>
      </c>
      <c r="F628" s="11">
        <v>2</v>
      </c>
      <c r="G628" s="12">
        <v>0</v>
      </c>
      <c r="H628" s="12">
        <v>0</v>
      </c>
      <c r="I628" s="10">
        <v>1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2">
        <v>0</v>
      </c>
      <c r="W628" s="12">
        <v>0</v>
      </c>
      <c r="X628" s="10">
        <v>1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4121</v>
      </c>
      <c r="B629" s="4" t="s">
        <v>876</v>
      </c>
      <c r="C629" s="4" t="s">
        <v>377</v>
      </c>
      <c r="D629" s="4" t="s">
        <v>814</v>
      </c>
      <c r="E629" s="4" t="s">
        <v>379</v>
      </c>
      <c r="F629" s="6">
        <v>1</v>
      </c>
      <c r="G629" s="7">
        <v>0</v>
      </c>
      <c r="H629" s="5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5">
        <v>1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3">
        <v>0</v>
      </c>
    </row>
    <row r="630">
      <c r="A630" s="24">
        <v>4123</v>
      </c>
      <c r="B630" s="9" t="s">
        <v>877</v>
      </c>
      <c r="C630" s="9" t="s">
        <v>67</v>
      </c>
      <c r="D630" s="9" t="s">
        <v>79</v>
      </c>
      <c r="E630" s="9" t="s">
        <v>80</v>
      </c>
      <c r="F630" s="11">
        <v>6</v>
      </c>
      <c r="G630" s="10">
        <v>4</v>
      </c>
      <c r="H630" s="12">
        <v>0</v>
      </c>
      <c r="I630" s="10">
        <v>2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5</v>
      </c>
      <c r="V630" s="10">
        <v>3</v>
      </c>
      <c r="W630" s="12">
        <v>0</v>
      </c>
      <c r="X630" s="10">
        <v>2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1.2</v>
      </c>
      <c r="AL630" s="10">
        <v>1</v>
      </c>
      <c r="AM630" s="10">
        <v>2</v>
      </c>
      <c r="AN630" s="29">
        <v>0.36</v>
      </c>
    </row>
    <row r="631">
      <c r="A631" s="23">
        <v>4133</v>
      </c>
      <c r="B631" s="4" t="s">
        <v>878</v>
      </c>
      <c r="C631" s="4" t="s">
        <v>67</v>
      </c>
      <c r="D631" s="4" t="s">
        <v>79</v>
      </c>
      <c r="E631" s="4" t="s">
        <v>80</v>
      </c>
      <c r="F631" s="6">
        <v>7</v>
      </c>
      <c r="G631" s="5">
        <v>5</v>
      </c>
      <c r="H631" s="7">
        <v>0</v>
      </c>
      <c r="I631" s="5">
        <v>1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7</v>
      </c>
      <c r="V631" s="5">
        <v>5</v>
      </c>
      <c r="W631" s="7">
        <v>0</v>
      </c>
      <c r="X631" s="5">
        <v>1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1.75</v>
      </c>
      <c r="AL631" s="5">
        <v>1</v>
      </c>
      <c r="AM631" s="5">
        <v>4</v>
      </c>
      <c r="AN631" s="28">
        <v>0.35</v>
      </c>
    </row>
    <row r="632">
      <c r="A632" s="24">
        <v>4150</v>
      </c>
      <c r="B632" s="9" t="s">
        <v>879</v>
      </c>
      <c r="C632" s="9" t="s">
        <v>632</v>
      </c>
      <c r="D632" s="9" t="s">
        <v>635</v>
      </c>
      <c r="E632" s="9" t="s">
        <v>379</v>
      </c>
      <c r="F632" s="11">
        <v>1</v>
      </c>
      <c r="G632" s="12">
        <v>0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4154</v>
      </c>
      <c r="B633" s="4" t="s">
        <v>880</v>
      </c>
      <c r="C633" s="4" t="s">
        <v>632</v>
      </c>
      <c r="D633" s="4" t="s">
        <v>881</v>
      </c>
      <c r="E633" s="4" t="s">
        <v>379</v>
      </c>
      <c r="F633" s="6">
        <v>4</v>
      </c>
      <c r="G633" s="7">
        <v>0</v>
      </c>
      <c r="H633" s="7">
        <v>0</v>
      </c>
      <c r="I633" s="5">
        <v>4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7">
        <v>0</v>
      </c>
      <c r="W633" s="7">
        <v>0</v>
      </c>
      <c r="X633" s="5">
        <v>4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4</v>
      </c>
      <c r="AK633" s="8">
        <v>4</v>
      </c>
      <c r="AL633" s="5">
        <v>4</v>
      </c>
      <c r="AM633" s="5">
        <v>4</v>
      </c>
      <c r="AN633" s="43">
        <v>0</v>
      </c>
    </row>
    <row r="634">
      <c r="A634" s="24">
        <v>4168</v>
      </c>
      <c r="B634" s="9" t="s">
        <v>882</v>
      </c>
      <c r="C634" s="9" t="s">
        <v>67</v>
      </c>
      <c r="D634" s="9" t="s">
        <v>86</v>
      </c>
      <c r="E634" s="9" t="s">
        <v>102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4175</v>
      </c>
      <c r="B635" s="4" t="s">
        <v>883</v>
      </c>
      <c r="C635" s="4" t="s">
        <v>67</v>
      </c>
      <c r="D635" s="4" t="s">
        <v>86</v>
      </c>
      <c r="E635" s="4" t="s">
        <v>148</v>
      </c>
      <c r="F635" s="6">
        <v>4</v>
      </c>
      <c r="G635" s="5">
        <v>3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5">
        <v>3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1.33</v>
      </c>
      <c r="AL635" s="5">
        <v>1</v>
      </c>
      <c r="AM635" s="5">
        <v>2</v>
      </c>
      <c r="AN635" s="43">
        <v>0</v>
      </c>
    </row>
    <row r="636">
      <c r="A636" s="24">
        <v>4180</v>
      </c>
      <c r="B636" s="9" t="s">
        <v>884</v>
      </c>
      <c r="C636" s="9" t="s">
        <v>67</v>
      </c>
      <c r="D636" s="9" t="s">
        <v>86</v>
      </c>
      <c r="E636" s="9" t="s">
        <v>148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4181</v>
      </c>
      <c r="B637" s="4" t="s">
        <v>885</v>
      </c>
      <c r="C637" s="4" t="s">
        <v>67</v>
      </c>
      <c r="D637" s="4" t="s">
        <v>86</v>
      </c>
      <c r="E637" s="4" t="s">
        <v>102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4182</v>
      </c>
      <c r="B638" s="9" t="s">
        <v>886</v>
      </c>
      <c r="C638" s="9" t="s">
        <v>67</v>
      </c>
      <c r="D638" s="9" t="s">
        <v>86</v>
      </c>
      <c r="E638" s="9" t="s">
        <v>102</v>
      </c>
      <c r="F638" s="11">
        <v>2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4184</v>
      </c>
      <c r="B639" s="4" t="s">
        <v>887</v>
      </c>
      <c r="C639" s="4" t="s">
        <v>67</v>
      </c>
      <c r="D639" s="4" t="s">
        <v>111</v>
      </c>
      <c r="E639" s="4" t="s">
        <v>122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3">
        <v>0</v>
      </c>
    </row>
    <row r="640">
      <c r="A640" s="24">
        <v>4187</v>
      </c>
      <c r="B640" s="9" t="s">
        <v>888</v>
      </c>
      <c r="C640" s="9" t="s">
        <v>632</v>
      </c>
      <c r="D640" s="9" t="s">
        <v>643</v>
      </c>
      <c r="E640" s="9" t="s">
        <v>379</v>
      </c>
      <c r="F640" s="11">
        <v>1</v>
      </c>
      <c r="G640" s="12">
        <v>0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0.22</v>
      </c>
    </row>
    <row r="641">
      <c r="A641" s="23">
        <v>4191</v>
      </c>
      <c r="B641" s="4" t="s">
        <v>889</v>
      </c>
      <c r="C641" s="4" t="s">
        <v>142</v>
      </c>
      <c r="D641" s="4" t="s">
        <v>440</v>
      </c>
      <c r="E641" s="4" t="s">
        <v>441</v>
      </c>
      <c r="F641" s="6">
        <v>17</v>
      </c>
      <c r="G641" s="5">
        <v>1</v>
      </c>
      <c r="H641" s="5">
        <v>1</v>
      </c>
      <c r="I641" s="5">
        <v>3</v>
      </c>
      <c r="J641" s="5">
        <v>9</v>
      </c>
      <c r="K641" s="5">
        <v>2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16</v>
      </c>
      <c r="V641" s="5">
        <v>1</v>
      </c>
      <c r="W641" s="5">
        <v>1</v>
      </c>
      <c r="X641" s="5">
        <v>2</v>
      </c>
      <c r="Y641" s="5">
        <v>9</v>
      </c>
      <c r="Z641" s="5">
        <v>2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1.89</v>
      </c>
      <c r="AL641" s="5">
        <v>1</v>
      </c>
      <c r="AM641" s="5">
        <v>7</v>
      </c>
      <c r="AN641" s="28">
        <v>2.08</v>
      </c>
    </row>
    <row r="642">
      <c r="A642" s="24">
        <v>4198</v>
      </c>
      <c r="B642" s="9" t="s">
        <v>890</v>
      </c>
      <c r="C642" s="9" t="s">
        <v>67</v>
      </c>
      <c r="D642" s="9" t="s">
        <v>75</v>
      </c>
      <c r="E642" s="9" t="s">
        <v>171</v>
      </c>
      <c r="F642" s="11">
        <v>6</v>
      </c>
      <c r="G642" s="10">
        <v>1</v>
      </c>
      <c r="H642" s="12">
        <v>0</v>
      </c>
      <c r="I642" s="12">
        <v>0</v>
      </c>
      <c r="J642" s="10">
        <v>5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4</v>
      </c>
      <c r="V642" s="10">
        <v>1</v>
      </c>
      <c r="W642" s="12">
        <v>0</v>
      </c>
      <c r="X642" s="12">
        <v>0</v>
      </c>
      <c r="Y642" s="10">
        <v>3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29">
        <v>0.78</v>
      </c>
    </row>
    <row r="643">
      <c r="A643" s="23">
        <v>4199</v>
      </c>
      <c r="B643" s="4" t="s">
        <v>891</v>
      </c>
      <c r="C643" s="4" t="s">
        <v>724</v>
      </c>
      <c r="D643" s="4" t="s">
        <v>892</v>
      </c>
      <c r="E643" s="4" t="s">
        <v>379</v>
      </c>
      <c r="F643" s="6">
        <v>3</v>
      </c>
      <c r="G643" s="7">
        <v>0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7">
        <v>0</v>
      </c>
      <c r="W643" s="7">
        <v>0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3</v>
      </c>
      <c r="AK643" s="8">
        <v>3</v>
      </c>
      <c r="AL643" s="5">
        <v>3</v>
      </c>
      <c r="AM643" s="5">
        <v>3</v>
      </c>
      <c r="AN643" s="28">
        <v>0.75</v>
      </c>
    </row>
    <row r="644">
      <c r="A644" s="24">
        <v>4207</v>
      </c>
      <c r="B644" s="9" t="s">
        <v>893</v>
      </c>
      <c r="C644" s="9" t="s">
        <v>67</v>
      </c>
      <c r="D644" s="9" t="s">
        <v>86</v>
      </c>
      <c r="E644" s="9" t="s">
        <v>148</v>
      </c>
      <c r="F644" s="11">
        <v>2</v>
      </c>
      <c r="G644" s="12">
        <v>0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0.52</v>
      </c>
    </row>
    <row r="645">
      <c r="A645" s="23">
        <v>4208</v>
      </c>
      <c r="B645" s="4" t="s">
        <v>894</v>
      </c>
      <c r="C645" s="4" t="s">
        <v>67</v>
      </c>
      <c r="D645" s="4" t="s">
        <v>86</v>
      </c>
      <c r="E645" s="4" t="s">
        <v>148</v>
      </c>
      <c r="F645" s="6">
        <v>5</v>
      </c>
      <c r="G645" s="7">
        <v>0</v>
      </c>
      <c r="H645" s="5">
        <v>1</v>
      </c>
      <c r="I645" s="5">
        <v>1</v>
      </c>
      <c r="J645" s="5">
        <v>1</v>
      </c>
      <c r="K645" s="5">
        <v>1</v>
      </c>
      <c r="L645" s="5">
        <v>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5</v>
      </c>
      <c r="V645" s="7">
        <v>0</v>
      </c>
      <c r="W645" s="5">
        <v>1</v>
      </c>
      <c r="X645" s="5">
        <v>1</v>
      </c>
      <c r="Y645" s="5">
        <v>1</v>
      </c>
      <c r="Z645" s="5">
        <v>1</v>
      </c>
      <c r="AA645" s="5">
        <v>1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3">
        <v>0</v>
      </c>
    </row>
    <row r="646">
      <c r="A646" s="24">
        <v>4210</v>
      </c>
      <c r="B646" s="9" t="s">
        <v>895</v>
      </c>
      <c r="C646" s="9" t="s">
        <v>67</v>
      </c>
      <c r="D646" s="9" t="s">
        <v>86</v>
      </c>
      <c r="E646" s="9" t="s">
        <v>148</v>
      </c>
      <c r="F646" s="11">
        <v>1</v>
      </c>
      <c r="G646" s="12">
        <v>0</v>
      </c>
      <c r="H646" s="12">
        <v>0</v>
      </c>
      <c r="I646" s="10">
        <v>1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0">
        <v>1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4213</v>
      </c>
      <c r="B647" s="4" t="s">
        <v>896</v>
      </c>
      <c r="C647" s="4" t="s">
        <v>724</v>
      </c>
      <c r="D647" s="4" t="s">
        <v>897</v>
      </c>
      <c r="E647" s="4" t="s">
        <v>379</v>
      </c>
      <c r="F647" s="6">
        <v>3</v>
      </c>
      <c r="G647" s="7">
        <v>0</v>
      </c>
      <c r="H647" s="7">
        <v>0</v>
      </c>
      <c r="I647" s="5">
        <v>1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7">
        <v>0</v>
      </c>
      <c r="W647" s="7">
        <v>0</v>
      </c>
      <c r="X647" s="5">
        <v>1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0.52</v>
      </c>
    </row>
    <row r="648">
      <c r="A648" s="24">
        <v>4221</v>
      </c>
      <c r="B648" s="9" t="s">
        <v>898</v>
      </c>
      <c r="C648" s="9" t="s">
        <v>67</v>
      </c>
      <c r="D648" s="9" t="s">
        <v>111</v>
      </c>
      <c r="E648" s="9" t="s">
        <v>122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4226</v>
      </c>
      <c r="B649" s="4" t="s">
        <v>899</v>
      </c>
      <c r="C649" s="4" t="s">
        <v>67</v>
      </c>
      <c r="D649" s="4" t="s">
        <v>75</v>
      </c>
      <c r="E649" s="4" t="s">
        <v>331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3">
        <v>0</v>
      </c>
    </row>
    <row r="650">
      <c r="A650" s="24">
        <v>4228</v>
      </c>
      <c r="B650" s="9" t="s">
        <v>900</v>
      </c>
      <c r="C650" s="9" t="s">
        <v>67</v>
      </c>
      <c r="D650" s="9" t="s">
        <v>79</v>
      </c>
      <c r="E650" s="9" t="s">
        <v>209</v>
      </c>
      <c r="F650" s="11">
        <v>1</v>
      </c>
      <c r="G650" s="12">
        <v>0</v>
      </c>
      <c r="H650" s="10">
        <v>1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0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4243</v>
      </c>
      <c r="B651" s="4" t="s">
        <v>901</v>
      </c>
      <c r="C651" s="4" t="s">
        <v>67</v>
      </c>
      <c r="D651" s="4" t="s">
        <v>79</v>
      </c>
      <c r="E651" s="4" t="s">
        <v>80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43">
        <v>0</v>
      </c>
    </row>
    <row r="652">
      <c r="A652" s="24">
        <v>4251</v>
      </c>
      <c r="B652" s="9" t="s">
        <v>902</v>
      </c>
      <c r="C652" s="9" t="s">
        <v>142</v>
      </c>
      <c r="D652" s="9" t="s">
        <v>406</v>
      </c>
      <c r="E652" s="9" t="s">
        <v>412</v>
      </c>
      <c r="F652" s="11">
        <v>6</v>
      </c>
      <c r="G652" s="10">
        <v>1</v>
      </c>
      <c r="H652" s="12">
        <v>0</v>
      </c>
      <c r="I652" s="10">
        <v>2</v>
      </c>
      <c r="J652" s="10">
        <v>1</v>
      </c>
      <c r="K652" s="12">
        <v>0</v>
      </c>
      <c r="L652" s="10">
        <v>2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6</v>
      </c>
      <c r="V652" s="10">
        <v>1</v>
      </c>
      <c r="W652" s="12">
        <v>0</v>
      </c>
      <c r="X652" s="10">
        <v>2</v>
      </c>
      <c r="Y652" s="10">
        <v>1</v>
      </c>
      <c r="Z652" s="12">
        <v>0</v>
      </c>
      <c r="AA652" s="10">
        <v>2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30">
        <v>0</v>
      </c>
    </row>
    <row r="653">
      <c r="A653" s="23">
        <v>4254</v>
      </c>
      <c r="B653" s="4" t="s">
        <v>903</v>
      </c>
      <c r="C653" s="4" t="s">
        <v>142</v>
      </c>
      <c r="D653" s="4" t="s">
        <v>406</v>
      </c>
      <c r="E653" s="4" t="s">
        <v>414</v>
      </c>
      <c r="F653" s="6">
        <v>2</v>
      </c>
      <c r="G653" s="7">
        <v>0</v>
      </c>
      <c r="H653" s="7">
        <v>0</v>
      </c>
      <c r="I653" s="5">
        <v>2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3">
        <v>0</v>
      </c>
    </row>
    <row r="654">
      <c r="A654" s="24">
        <v>4283</v>
      </c>
      <c r="B654" s="9" t="s">
        <v>904</v>
      </c>
      <c r="C654" s="9" t="s">
        <v>142</v>
      </c>
      <c r="D654" s="9" t="s">
        <v>469</v>
      </c>
      <c r="E654" s="9" t="s">
        <v>470</v>
      </c>
      <c r="F654" s="11">
        <v>4</v>
      </c>
      <c r="G654" s="10">
        <v>2</v>
      </c>
      <c r="H654" s="12">
        <v>0</v>
      </c>
      <c r="I654" s="10">
        <v>1</v>
      </c>
      <c r="J654" s="12">
        <v>0</v>
      </c>
      <c r="K654" s="10">
        <v>1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2</v>
      </c>
      <c r="W654" s="12">
        <v>0</v>
      </c>
      <c r="X654" s="10">
        <v>1</v>
      </c>
      <c r="Y654" s="12">
        <v>0</v>
      </c>
      <c r="Z654" s="10">
        <v>1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4289</v>
      </c>
      <c r="B655" s="4" t="s">
        <v>905</v>
      </c>
      <c r="C655" s="4" t="s">
        <v>67</v>
      </c>
      <c r="D655" s="4" t="s">
        <v>79</v>
      </c>
      <c r="E655" s="4" t="s">
        <v>80</v>
      </c>
      <c r="F655" s="6">
        <v>3</v>
      </c>
      <c r="G655" s="5">
        <v>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3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0.7</v>
      </c>
    </row>
    <row r="656">
      <c r="A656" s="24">
        <v>4291</v>
      </c>
      <c r="B656" s="9" t="s">
        <v>906</v>
      </c>
      <c r="C656" s="9" t="s">
        <v>67</v>
      </c>
      <c r="D656" s="9" t="s">
        <v>99</v>
      </c>
      <c r="E656" s="9" t="s">
        <v>907</v>
      </c>
      <c r="F656" s="11">
        <v>2</v>
      </c>
      <c r="G656" s="10">
        <v>1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4293</v>
      </c>
      <c r="B657" s="4" t="s">
        <v>908</v>
      </c>
      <c r="C657" s="4" t="s">
        <v>67</v>
      </c>
      <c r="D657" s="4" t="s">
        <v>111</v>
      </c>
      <c r="E657" s="4" t="s">
        <v>221</v>
      </c>
      <c r="F657" s="6">
        <v>1</v>
      </c>
      <c r="G657" s="7">
        <v>0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3">
        <v>0</v>
      </c>
    </row>
    <row r="658">
      <c r="A658" s="24">
        <v>4296</v>
      </c>
      <c r="B658" s="9" t="s">
        <v>909</v>
      </c>
      <c r="C658" s="9" t="s">
        <v>67</v>
      </c>
      <c r="D658" s="9" t="s">
        <v>75</v>
      </c>
      <c r="E658" s="9" t="s">
        <v>84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4306</v>
      </c>
      <c r="B659" s="4" t="s">
        <v>910</v>
      </c>
      <c r="C659" s="4" t="s">
        <v>142</v>
      </c>
      <c r="D659" s="4" t="s">
        <v>406</v>
      </c>
      <c r="E659" s="4" t="s">
        <v>779</v>
      </c>
      <c r="F659" s="6">
        <v>9</v>
      </c>
      <c r="G659" s="5">
        <v>2</v>
      </c>
      <c r="H659" s="5">
        <v>1</v>
      </c>
      <c r="I659" s="5">
        <v>4</v>
      </c>
      <c r="J659" s="7">
        <v>0</v>
      </c>
      <c r="K659" s="7">
        <v>0</v>
      </c>
      <c r="L659" s="5">
        <v>2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9</v>
      </c>
      <c r="V659" s="5">
        <v>2</v>
      </c>
      <c r="W659" s="5">
        <v>1</v>
      </c>
      <c r="X659" s="5">
        <v>4</v>
      </c>
      <c r="Y659" s="7">
        <v>0</v>
      </c>
      <c r="Z659" s="7">
        <v>0</v>
      </c>
      <c r="AA659" s="5">
        <v>2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1.8</v>
      </c>
      <c r="AL659" s="5">
        <v>2</v>
      </c>
      <c r="AM659" s="5">
        <v>3</v>
      </c>
      <c r="AN659" s="28">
        <v>0.36</v>
      </c>
    </row>
    <row r="660">
      <c r="A660" s="24">
        <v>4310</v>
      </c>
      <c r="B660" s="9" t="s">
        <v>911</v>
      </c>
      <c r="C660" s="9" t="s">
        <v>67</v>
      </c>
      <c r="D660" s="9" t="s">
        <v>79</v>
      </c>
      <c r="E660" s="9" t="s">
        <v>115</v>
      </c>
      <c r="F660" s="11">
        <v>2</v>
      </c>
      <c r="G660" s="12">
        <v>0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0.52</v>
      </c>
    </row>
    <row r="661">
      <c r="A661" s="23">
        <v>4311</v>
      </c>
      <c r="B661" s="4" t="s">
        <v>912</v>
      </c>
      <c r="C661" s="4" t="s">
        <v>142</v>
      </c>
      <c r="D661" s="4" t="s">
        <v>469</v>
      </c>
      <c r="E661" s="4" t="s">
        <v>475</v>
      </c>
      <c r="F661" s="6">
        <v>4</v>
      </c>
      <c r="G661" s="7">
        <v>0</v>
      </c>
      <c r="H661" s="5">
        <v>1</v>
      </c>
      <c r="I661" s="5">
        <v>1</v>
      </c>
      <c r="J661" s="5">
        <v>1</v>
      </c>
      <c r="K661" s="5">
        <v>1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4</v>
      </c>
      <c r="V661" s="7">
        <v>0</v>
      </c>
      <c r="W661" s="5">
        <v>1</v>
      </c>
      <c r="X661" s="5">
        <v>1</v>
      </c>
      <c r="Y661" s="5">
        <v>1</v>
      </c>
      <c r="Z661" s="5">
        <v>1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3">
        <v>0</v>
      </c>
    </row>
    <row r="662">
      <c r="A662" s="24">
        <v>4323</v>
      </c>
      <c r="B662" s="9" t="s">
        <v>913</v>
      </c>
      <c r="C662" s="9" t="s">
        <v>67</v>
      </c>
      <c r="D662" s="9" t="s">
        <v>86</v>
      </c>
      <c r="E662" s="9" t="s">
        <v>547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29">
        <v>0.74</v>
      </c>
    </row>
    <row r="663">
      <c r="A663" s="23">
        <v>4334</v>
      </c>
      <c r="B663" s="4" t="s">
        <v>914</v>
      </c>
      <c r="C663" s="4" t="s">
        <v>67</v>
      </c>
      <c r="D663" s="4" t="s">
        <v>86</v>
      </c>
      <c r="E663" s="4" t="s">
        <v>547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0.24</v>
      </c>
    </row>
    <row r="664">
      <c r="A664" s="24">
        <v>4337</v>
      </c>
      <c r="B664" s="9" t="s">
        <v>915</v>
      </c>
      <c r="C664" s="9" t="s">
        <v>142</v>
      </c>
      <c r="D664" s="9" t="s">
        <v>406</v>
      </c>
      <c r="E664" s="9" t="s">
        <v>779</v>
      </c>
      <c r="F664" s="11">
        <v>11</v>
      </c>
      <c r="G664" s="12">
        <v>0</v>
      </c>
      <c r="H664" s="10">
        <v>7</v>
      </c>
      <c r="I664" s="10">
        <v>3</v>
      </c>
      <c r="J664" s="12">
        <v>0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10</v>
      </c>
      <c r="V664" s="12">
        <v>0</v>
      </c>
      <c r="W664" s="10">
        <v>6</v>
      </c>
      <c r="X664" s="10">
        <v>3</v>
      </c>
      <c r="Y664" s="12">
        <v>0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2.75</v>
      </c>
      <c r="AL664" s="10">
        <v>2</v>
      </c>
      <c r="AM664" s="10">
        <v>5</v>
      </c>
      <c r="AN664" s="29">
        <v>1.4</v>
      </c>
    </row>
    <row r="665">
      <c r="A665" s="23">
        <v>4343</v>
      </c>
      <c r="B665" s="4" t="s">
        <v>916</v>
      </c>
      <c r="C665" s="4" t="s">
        <v>142</v>
      </c>
      <c r="D665" s="4" t="s">
        <v>469</v>
      </c>
      <c r="E665" s="4" t="s">
        <v>470</v>
      </c>
      <c r="F665" s="6">
        <v>7</v>
      </c>
      <c r="G665" s="5">
        <v>2</v>
      </c>
      <c r="H665" s="7">
        <v>0</v>
      </c>
      <c r="I665" s="5">
        <v>3</v>
      </c>
      <c r="J665" s="5">
        <v>1</v>
      </c>
      <c r="K665" s="7">
        <v>0</v>
      </c>
      <c r="L665" s="5">
        <v>1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6</v>
      </c>
      <c r="V665" s="5">
        <v>2</v>
      </c>
      <c r="W665" s="7">
        <v>0</v>
      </c>
      <c r="X665" s="5">
        <v>2</v>
      </c>
      <c r="Y665" s="5">
        <v>1</v>
      </c>
      <c r="Z665" s="7">
        <v>0</v>
      </c>
      <c r="AA665" s="5">
        <v>1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1.17</v>
      </c>
      <c r="AL665" s="5">
        <v>1</v>
      </c>
      <c r="AM665" s="5">
        <v>2</v>
      </c>
      <c r="AN665" s="43">
        <v>0</v>
      </c>
    </row>
    <row r="666">
      <c r="A666" s="24">
        <v>4345</v>
      </c>
      <c r="B666" s="9" t="s">
        <v>917</v>
      </c>
      <c r="C666" s="9" t="s">
        <v>142</v>
      </c>
      <c r="D666" s="9" t="s">
        <v>469</v>
      </c>
      <c r="E666" s="9" t="s">
        <v>470</v>
      </c>
      <c r="F666" s="11">
        <v>9</v>
      </c>
      <c r="G666" s="10">
        <v>1</v>
      </c>
      <c r="H666" s="10">
        <v>1</v>
      </c>
      <c r="I666" s="10">
        <v>3</v>
      </c>
      <c r="J666" s="10">
        <v>1</v>
      </c>
      <c r="K666" s="10">
        <v>1</v>
      </c>
      <c r="L666" s="10">
        <v>2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8</v>
      </c>
      <c r="V666" s="10">
        <v>1</v>
      </c>
      <c r="W666" s="10">
        <v>1</v>
      </c>
      <c r="X666" s="10">
        <v>3</v>
      </c>
      <c r="Y666" s="10">
        <v>1</v>
      </c>
      <c r="Z666" s="10">
        <v>1</v>
      </c>
      <c r="AA666" s="10">
        <v>1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3</v>
      </c>
      <c r="AN666" s="30">
        <v>0</v>
      </c>
    </row>
    <row r="667">
      <c r="A667" s="23">
        <v>4396</v>
      </c>
      <c r="B667" s="4" t="s">
        <v>918</v>
      </c>
      <c r="C667" s="4" t="s">
        <v>645</v>
      </c>
      <c r="D667" s="4" t="s">
        <v>649</v>
      </c>
      <c r="E667" s="4" t="s">
        <v>919</v>
      </c>
      <c r="F667" s="6">
        <v>1</v>
      </c>
      <c r="G667" s="7">
        <v>0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3">
        <v>0</v>
      </c>
    </row>
    <row r="668">
      <c r="A668" s="24">
        <v>4400</v>
      </c>
      <c r="B668" s="9" t="s">
        <v>920</v>
      </c>
      <c r="C668" s="9" t="s">
        <v>67</v>
      </c>
      <c r="D668" s="9" t="s">
        <v>86</v>
      </c>
      <c r="E668" s="9" t="s">
        <v>87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30">
        <v>0</v>
      </c>
    </row>
    <row r="669">
      <c r="A669" s="23">
        <v>4401</v>
      </c>
      <c r="B669" s="4" t="s">
        <v>921</v>
      </c>
      <c r="C669" s="4" t="s">
        <v>632</v>
      </c>
      <c r="D669" s="4" t="s">
        <v>635</v>
      </c>
      <c r="E669" s="4" t="s">
        <v>379</v>
      </c>
      <c r="F669" s="6">
        <v>2</v>
      </c>
      <c r="G669" s="7">
        <v>0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7">
        <v>0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0.5</v>
      </c>
    </row>
    <row r="670">
      <c r="A670" s="24">
        <v>4402</v>
      </c>
      <c r="B670" s="9" t="s">
        <v>922</v>
      </c>
      <c r="C670" s="9" t="s">
        <v>177</v>
      </c>
      <c r="D670" s="9" t="s">
        <v>923</v>
      </c>
      <c r="E670" s="9" t="s">
        <v>924</v>
      </c>
      <c r="F670" s="11">
        <v>2</v>
      </c>
      <c r="G670" s="10">
        <v>1</v>
      </c>
      <c r="H670" s="12">
        <v>0</v>
      </c>
      <c r="I670" s="10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1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4410</v>
      </c>
      <c r="B671" s="4" t="s">
        <v>925</v>
      </c>
      <c r="C671" s="4" t="s">
        <v>67</v>
      </c>
      <c r="D671" s="4" t="s">
        <v>86</v>
      </c>
      <c r="E671" s="4" t="s">
        <v>473</v>
      </c>
      <c r="F671" s="6">
        <v>3</v>
      </c>
      <c r="G671" s="5">
        <v>3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0.37</v>
      </c>
    </row>
    <row r="672">
      <c r="A672" s="24">
        <v>4411</v>
      </c>
      <c r="B672" s="9" t="s">
        <v>926</v>
      </c>
      <c r="C672" s="9" t="s">
        <v>142</v>
      </c>
      <c r="D672" s="9" t="s">
        <v>927</v>
      </c>
      <c r="E672" s="9" t="s">
        <v>379</v>
      </c>
      <c r="F672" s="11">
        <v>12</v>
      </c>
      <c r="G672" s="10">
        <v>2</v>
      </c>
      <c r="H672" s="10">
        <v>1</v>
      </c>
      <c r="I672" s="12">
        <v>0</v>
      </c>
      <c r="J672" s="10">
        <v>6</v>
      </c>
      <c r="K672" s="10">
        <v>2</v>
      </c>
      <c r="L672" s="10">
        <v>1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11</v>
      </c>
      <c r="V672" s="10">
        <v>2</v>
      </c>
      <c r="W672" s="10">
        <v>1</v>
      </c>
      <c r="X672" s="12">
        <v>0</v>
      </c>
      <c r="Y672" s="10">
        <v>5</v>
      </c>
      <c r="Z672" s="10">
        <v>2</v>
      </c>
      <c r="AA672" s="10">
        <v>1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1.71</v>
      </c>
      <c r="AL672" s="10">
        <v>1</v>
      </c>
      <c r="AM672" s="10">
        <v>5</v>
      </c>
      <c r="AN672" s="29">
        <v>1.42</v>
      </c>
    </row>
    <row r="673">
      <c r="A673" s="23">
        <v>4414</v>
      </c>
      <c r="B673" s="4" t="s">
        <v>928</v>
      </c>
      <c r="C673" s="4" t="s">
        <v>67</v>
      </c>
      <c r="D673" s="4" t="s">
        <v>75</v>
      </c>
      <c r="E673" s="4" t="s">
        <v>128</v>
      </c>
      <c r="F673" s="6">
        <v>1</v>
      </c>
      <c r="G673" s="7">
        <v>0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3">
        <v>0</v>
      </c>
    </row>
    <row r="674">
      <c r="A674" s="24">
        <v>4418</v>
      </c>
      <c r="B674" s="9" t="s">
        <v>929</v>
      </c>
      <c r="C674" s="9" t="s">
        <v>67</v>
      </c>
      <c r="D674" s="9" t="s">
        <v>79</v>
      </c>
      <c r="E674" s="9" t="s">
        <v>80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4422</v>
      </c>
      <c r="B675" s="4" t="s">
        <v>930</v>
      </c>
      <c r="C675" s="4" t="s">
        <v>67</v>
      </c>
      <c r="D675" s="4" t="s">
        <v>111</v>
      </c>
      <c r="E675" s="4" t="s">
        <v>221</v>
      </c>
      <c r="F675" s="6">
        <v>3</v>
      </c>
      <c r="G675" s="5">
        <v>3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2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3</v>
      </c>
      <c r="AK675" s="8">
        <v>3</v>
      </c>
      <c r="AL675" s="5">
        <v>3</v>
      </c>
      <c r="AM675" s="5">
        <v>3</v>
      </c>
      <c r="AN675" s="43">
        <v>0</v>
      </c>
    </row>
    <row r="676">
      <c r="A676" s="24">
        <v>4434</v>
      </c>
      <c r="B676" s="9" t="s">
        <v>931</v>
      </c>
      <c r="C676" s="9" t="s">
        <v>177</v>
      </c>
      <c r="D676" s="9" t="s">
        <v>932</v>
      </c>
      <c r="E676" s="9" t="s">
        <v>933</v>
      </c>
      <c r="F676" s="11">
        <v>4</v>
      </c>
      <c r="G676" s="12">
        <v>0</v>
      </c>
      <c r="H676" s="12">
        <v>0</v>
      </c>
      <c r="I676" s="10">
        <v>2</v>
      </c>
      <c r="J676" s="10">
        <v>1</v>
      </c>
      <c r="K676" s="10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</v>
      </c>
      <c r="V676" s="12">
        <v>0</v>
      </c>
      <c r="W676" s="12">
        <v>0</v>
      </c>
      <c r="X676" s="10">
        <v>2</v>
      </c>
      <c r="Y676" s="10">
        <v>1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4438</v>
      </c>
      <c r="B677" s="4" t="s">
        <v>934</v>
      </c>
      <c r="C677" s="4" t="s">
        <v>67</v>
      </c>
      <c r="D677" s="4" t="s">
        <v>86</v>
      </c>
      <c r="E677" s="4" t="s">
        <v>87</v>
      </c>
      <c r="F677" s="6">
        <v>2</v>
      </c>
      <c r="G677" s="7">
        <v>0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0.5</v>
      </c>
    </row>
    <row r="678">
      <c r="A678" s="24">
        <v>4444</v>
      </c>
      <c r="B678" s="9" t="s">
        <v>935</v>
      </c>
      <c r="C678" s="9" t="s">
        <v>632</v>
      </c>
      <c r="D678" s="9" t="s">
        <v>643</v>
      </c>
      <c r="E678" s="9" t="s">
        <v>379</v>
      </c>
      <c r="F678" s="11">
        <v>2</v>
      </c>
      <c r="G678" s="12">
        <v>0</v>
      </c>
      <c r="H678" s="12">
        <v>0</v>
      </c>
      <c r="I678" s="10">
        <v>1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2">
        <v>0</v>
      </c>
      <c r="W678" s="12">
        <v>0</v>
      </c>
      <c r="X678" s="10">
        <v>1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4456</v>
      </c>
      <c r="B679" s="4" t="s">
        <v>936</v>
      </c>
      <c r="C679" s="4" t="s">
        <v>177</v>
      </c>
      <c r="D679" s="4" t="s">
        <v>178</v>
      </c>
      <c r="E679" s="4" t="s">
        <v>189</v>
      </c>
      <c r="F679" s="6">
        <v>3</v>
      </c>
      <c r="G679" s="7">
        <v>0</v>
      </c>
      <c r="H679" s="7">
        <v>0</v>
      </c>
      <c r="I679" s="5">
        <v>1</v>
      </c>
      <c r="J679" s="7">
        <v>0</v>
      </c>
      <c r="K679" s="5">
        <v>2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7">
        <v>0</v>
      </c>
      <c r="W679" s="7">
        <v>0</v>
      </c>
      <c r="X679" s="5">
        <v>1</v>
      </c>
      <c r="Y679" s="7">
        <v>0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43">
        <v>0</v>
      </c>
    </row>
    <row r="680">
      <c r="A680" s="24">
        <v>4457</v>
      </c>
      <c r="B680" s="9" t="s">
        <v>937</v>
      </c>
      <c r="C680" s="9" t="s">
        <v>177</v>
      </c>
      <c r="D680" s="9" t="s">
        <v>178</v>
      </c>
      <c r="E680" s="9" t="s">
        <v>189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0.34</v>
      </c>
    </row>
    <row r="681">
      <c r="A681" s="23">
        <v>4467</v>
      </c>
      <c r="B681" s="4" t="s">
        <v>938</v>
      </c>
      <c r="C681" s="4" t="s">
        <v>67</v>
      </c>
      <c r="D681" s="4" t="s">
        <v>111</v>
      </c>
      <c r="E681" s="4" t="s">
        <v>939</v>
      </c>
      <c r="F681" s="6">
        <v>7</v>
      </c>
      <c r="G681" s="7">
        <v>0</v>
      </c>
      <c r="H681" s="7">
        <v>0</v>
      </c>
      <c r="I681" s="7">
        <v>0</v>
      </c>
      <c r="J681" s="5">
        <v>7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6</v>
      </c>
      <c r="V681" s="7">
        <v>0</v>
      </c>
      <c r="W681" s="7">
        <v>0</v>
      </c>
      <c r="X681" s="7">
        <v>0</v>
      </c>
      <c r="Y681" s="5">
        <v>6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7</v>
      </c>
      <c r="AK681" s="8">
        <v>7</v>
      </c>
      <c r="AL681" s="5">
        <v>7</v>
      </c>
      <c r="AM681" s="5">
        <v>7</v>
      </c>
      <c r="AN681" s="28">
        <v>1.5</v>
      </c>
    </row>
    <row r="682">
      <c r="A682" s="24">
        <v>4476</v>
      </c>
      <c r="B682" s="9" t="s">
        <v>940</v>
      </c>
      <c r="C682" s="9" t="s">
        <v>67</v>
      </c>
      <c r="D682" s="9" t="s">
        <v>75</v>
      </c>
      <c r="E682" s="9" t="s">
        <v>120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0.26</v>
      </c>
    </row>
    <row r="683">
      <c r="A683" s="23">
        <v>4484</v>
      </c>
      <c r="B683" s="4" t="s">
        <v>941</v>
      </c>
      <c r="C683" s="4" t="s">
        <v>177</v>
      </c>
      <c r="D683" s="4" t="s">
        <v>194</v>
      </c>
      <c r="E683" s="4" t="s">
        <v>195</v>
      </c>
      <c r="F683" s="6">
        <v>8</v>
      </c>
      <c r="G683" s="5">
        <v>5</v>
      </c>
      <c r="H683" s="7">
        <v>0</v>
      </c>
      <c r="I683" s="5">
        <v>2</v>
      </c>
      <c r="J683" s="7">
        <v>0</v>
      </c>
      <c r="K683" s="5">
        <v>1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7</v>
      </c>
      <c r="V683" s="5">
        <v>4</v>
      </c>
      <c r="W683" s="7">
        <v>0</v>
      </c>
      <c r="X683" s="5">
        <v>2</v>
      </c>
      <c r="Y683" s="7">
        <v>0</v>
      </c>
      <c r="Z683" s="5">
        <v>1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2.67</v>
      </c>
      <c r="AL683" s="5">
        <v>2</v>
      </c>
      <c r="AM683" s="5">
        <v>5</v>
      </c>
      <c r="AN683" s="43">
        <v>0</v>
      </c>
    </row>
    <row r="684">
      <c r="A684" s="24">
        <v>4490</v>
      </c>
      <c r="B684" s="9" t="s">
        <v>942</v>
      </c>
      <c r="C684" s="9" t="s">
        <v>67</v>
      </c>
      <c r="D684" s="9" t="s">
        <v>111</v>
      </c>
      <c r="E684" s="9" t="s">
        <v>112</v>
      </c>
      <c r="F684" s="11">
        <v>5</v>
      </c>
      <c r="G684" s="10">
        <v>1</v>
      </c>
      <c r="H684" s="12">
        <v>0</v>
      </c>
      <c r="I684" s="10">
        <v>2</v>
      </c>
      <c r="J684" s="12">
        <v>0</v>
      </c>
      <c r="K684" s="10">
        <v>2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5</v>
      </c>
      <c r="V684" s="10">
        <v>1</v>
      </c>
      <c r="W684" s="12">
        <v>0</v>
      </c>
      <c r="X684" s="10">
        <v>2</v>
      </c>
      <c r="Y684" s="12">
        <v>0</v>
      </c>
      <c r="Z684" s="10">
        <v>2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1.45</v>
      </c>
    </row>
    <row r="685">
      <c r="A685" s="23">
        <v>4500</v>
      </c>
      <c r="B685" s="4" t="s">
        <v>943</v>
      </c>
      <c r="C685" s="4" t="s">
        <v>142</v>
      </c>
      <c r="D685" s="4" t="s">
        <v>469</v>
      </c>
      <c r="E685" s="4" t="s">
        <v>581</v>
      </c>
      <c r="F685" s="6">
        <v>7</v>
      </c>
      <c r="G685" s="7">
        <v>0</v>
      </c>
      <c r="H685" s="5">
        <v>2</v>
      </c>
      <c r="I685" s="7">
        <v>0</v>
      </c>
      <c r="J685" s="5">
        <v>2</v>
      </c>
      <c r="K685" s="5">
        <v>2</v>
      </c>
      <c r="L685" s="5">
        <v>1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7</v>
      </c>
      <c r="V685" s="7">
        <v>0</v>
      </c>
      <c r="W685" s="5">
        <v>2</v>
      </c>
      <c r="X685" s="7">
        <v>0</v>
      </c>
      <c r="Y685" s="5">
        <v>2</v>
      </c>
      <c r="Z685" s="5">
        <v>2</v>
      </c>
      <c r="AA685" s="5">
        <v>1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1.75</v>
      </c>
      <c r="AL685" s="5">
        <v>2</v>
      </c>
      <c r="AM685" s="5">
        <v>2</v>
      </c>
      <c r="AN685" s="43">
        <v>0</v>
      </c>
    </row>
    <row r="686">
      <c r="A686" s="24">
        <v>4501</v>
      </c>
      <c r="B686" s="9" t="s">
        <v>944</v>
      </c>
      <c r="C686" s="9" t="s">
        <v>632</v>
      </c>
      <c r="D686" s="9" t="s">
        <v>945</v>
      </c>
      <c r="E686" s="9" t="s">
        <v>379</v>
      </c>
      <c r="F686" s="11">
        <v>3</v>
      </c>
      <c r="G686" s="12">
        <v>0</v>
      </c>
      <c r="H686" s="12">
        <v>0</v>
      </c>
      <c r="I686" s="12">
        <v>0</v>
      </c>
      <c r="J686" s="10">
        <v>3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2">
        <v>0</v>
      </c>
      <c r="W686" s="12">
        <v>0</v>
      </c>
      <c r="X686" s="12">
        <v>0</v>
      </c>
      <c r="Y686" s="10">
        <v>3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3</v>
      </c>
      <c r="AK686" s="13">
        <v>3</v>
      </c>
      <c r="AL686" s="10">
        <v>3</v>
      </c>
      <c r="AM686" s="10">
        <v>3</v>
      </c>
      <c r="AN686" s="29">
        <v>0.75</v>
      </c>
    </row>
    <row r="687">
      <c r="A687" s="23">
        <v>4511</v>
      </c>
      <c r="B687" s="4" t="s">
        <v>946</v>
      </c>
      <c r="C687" s="4" t="s">
        <v>177</v>
      </c>
      <c r="D687" s="4" t="s">
        <v>178</v>
      </c>
      <c r="E687" s="4" t="s">
        <v>179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4512</v>
      </c>
      <c r="B688" s="9" t="s">
        <v>947</v>
      </c>
      <c r="C688" s="9" t="s">
        <v>142</v>
      </c>
      <c r="D688" s="9" t="s">
        <v>583</v>
      </c>
      <c r="E688" s="9" t="s">
        <v>584</v>
      </c>
      <c r="F688" s="11">
        <v>8</v>
      </c>
      <c r="G688" s="12">
        <v>0</v>
      </c>
      <c r="H688" s="12">
        <v>0</v>
      </c>
      <c r="I688" s="10">
        <v>2</v>
      </c>
      <c r="J688" s="10">
        <v>1</v>
      </c>
      <c r="K688" s="10">
        <v>5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7</v>
      </c>
      <c r="V688" s="12">
        <v>0</v>
      </c>
      <c r="W688" s="12">
        <v>0</v>
      </c>
      <c r="X688" s="10">
        <v>2</v>
      </c>
      <c r="Y688" s="10">
        <v>1</v>
      </c>
      <c r="Z688" s="10">
        <v>4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2.67</v>
      </c>
      <c r="AL688" s="10">
        <v>2</v>
      </c>
      <c r="AM688" s="10">
        <v>5</v>
      </c>
      <c r="AN688" s="29">
        <v>0.25</v>
      </c>
    </row>
    <row r="689">
      <c r="A689" s="23">
        <v>4524</v>
      </c>
      <c r="B689" s="4" t="s">
        <v>948</v>
      </c>
      <c r="C689" s="4" t="s">
        <v>632</v>
      </c>
      <c r="D689" s="4" t="s">
        <v>635</v>
      </c>
      <c r="E689" s="4" t="s">
        <v>379</v>
      </c>
      <c r="F689" s="6">
        <v>2</v>
      </c>
      <c r="G689" s="7">
        <v>0</v>
      </c>
      <c r="H689" s="5">
        <v>2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28">
        <v>0.36</v>
      </c>
    </row>
    <row r="690">
      <c r="A690" s="24">
        <v>4530</v>
      </c>
      <c r="B690" s="9" t="s">
        <v>949</v>
      </c>
      <c r="C690" s="9" t="s">
        <v>632</v>
      </c>
      <c r="D690" s="9" t="s">
        <v>643</v>
      </c>
      <c r="E690" s="9" t="s">
        <v>379</v>
      </c>
      <c r="F690" s="11">
        <v>1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0">
        <v>1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0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4544</v>
      </c>
      <c r="B691" s="4" t="s">
        <v>950</v>
      </c>
      <c r="C691" s="4" t="s">
        <v>632</v>
      </c>
      <c r="D691" s="4" t="s">
        <v>863</v>
      </c>
      <c r="E691" s="4" t="s">
        <v>379</v>
      </c>
      <c r="F691" s="6">
        <v>4</v>
      </c>
      <c r="G691" s="5">
        <v>1</v>
      </c>
      <c r="H691" s="7">
        <v>0</v>
      </c>
      <c r="I691" s="5">
        <v>3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1</v>
      </c>
      <c r="W691" s="7">
        <v>0</v>
      </c>
      <c r="X691" s="5">
        <v>2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1.33</v>
      </c>
      <c r="AL691" s="5">
        <v>1</v>
      </c>
      <c r="AM691" s="5">
        <v>2</v>
      </c>
      <c r="AN691" s="28">
        <v>0.78</v>
      </c>
    </row>
    <row r="692">
      <c r="A692" s="24">
        <v>4546</v>
      </c>
      <c r="B692" s="9" t="s">
        <v>951</v>
      </c>
      <c r="C692" s="9" t="s">
        <v>67</v>
      </c>
      <c r="D692" s="9" t="s">
        <v>104</v>
      </c>
      <c r="E692" s="9" t="s">
        <v>174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2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0.37</v>
      </c>
    </row>
    <row r="693">
      <c r="A693" s="23">
        <v>4548</v>
      </c>
      <c r="B693" s="4" t="s">
        <v>952</v>
      </c>
      <c r="C693" s="4" t="s">
        <v>67</v>
      </c>
      <c r="D693" s="4" t="s">
        <v>111</v>
      </c>
      <c r="E693" s="4" t="s">
        <v>112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3">
        <v>0</v>
      </c>
    </row>
    <row r="694">
      <c r="A694" s="24">
        <v>4549</v>
      </c>
      <c r="B694" s="9" t="s">
        <v>953</v>
      </c>
      <c r="C694" s="9" t="s">
        <v>67</v>
      </c>
      <c r="D694" s="9" t="s">
        <v>86</v>
      </c>
      <c r="E694" s="9" t="s">
        <v>87</v>
      </c>
      <c r="F694" s="11">
        <v>2</v>
      </c>
      <c r="G694" s="10">
        <v>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29">
        <v>0.76</v>
      </c>
    </row>
    <row r="695">
      <c r="A695" s="23">
        <v>4554</v>
      </c>
      <c r="B695" s="4" t="s">
        <v>954</v>
      </c>
      <c r="C695" s="4" t="s">
        <v>142</v>
      </c>
      <c r="D695" s="4" t="s">
        <v>440</v>
      </c>
      <c r="E695" s="4" t="s">
        <v>441</v>
      </c>
      <c r="F695" s="6">
        <v>1</v>
      </c>
      <c r="G695" s="7">
        <v>0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3">
        <v>0</v>
      </c>
    </row>
    <row r="696">
      <c r="A696" s="24">
        <v>4558</v>
      </c>
      <c r="B696" s="9" t="s">
        <v>955</v>
      </c>
      <c r="C696" s="9" t="s">
        <v>67</v>
      </c>
      <c r="D696" s="9" t="s">
        <v>111</v>
      </c>
      <c r="E696" s="9" t="s">
        <v>226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0">
        <v>0</v>
      </c>
    </row>
    <row r="697">
      <c r="A697" s="23">
        <v>4561</v>
      </c>
      <c r="B697" s="4" t="s">
        <v>956</v>
      </c>
      <c r="C697" s="4" t="s">
        <v>67</v>
      </c>
      <c r="D697" s="4" t="s">
        <v>99</v>
      </c>
      <c r="E697" s="4" t="s">
        <v>350</v>
      </c>
      <c r="F697" s="6">
        <v>2</v>
      </c>
      <c r="G697" s="5">
        <v>1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1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3">
        <v>0</v>
      </c>
    </row>
    <row r="698">
      <c r="A698" s="24">
        <v>4564</v>
      </c>
      <c r="B698" s="9" t="s">
        <v>957</v>
      </c>
      <c r="C698" s="9" t="s">
        <v>645</v>
      </c>
      <c r="D698" s="9" t="s">
        <v>649</v>
      </c>
      <c r="E698" s="9" t="s">
        <v>919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4567</v>
      </c>
      <c r="B699" s="4" t="s">
        <v>958</v>
      </c>
      <c r="C699" s="4" t="s">
        <v>67</v>
      </c>
      <c r="D699" s="4" t="s">
        <v>75</v>
      </c>
      <c r="E699" s="4" t="s">
        <v>128</v>
      </c>
      <c r="F699" s="6">
        <v>7</v>
      </c>
      <c r="G699" s="7">
        <v>0</v>
      </c>
      <c r="H699" s="5">
        <v>1</v>
      </c>
      <c r="I699" s="7">
        <v>0</v>
      </c>
      <c r="J699" s="5">
        <v>6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7</v>
      </c>
      <c r="V699" s="7">
        <v>0</v>
      </c>
      <c r="W699" s="5">
        <v>1</v>
      </c>
      <c r="X699" s="7">
        <v>0</v>
      </c>
      <c r="Y699" s="5">
        <v>6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1.4</v>
      </c>
      <c r="AL699" s="5">
        <v>1</v>
      </c>
      <c r="AM699" s="5">
        <v>2</v>
      </c>
      <c r="AN699" s="28">
        <v>1.93</v>
      </c>
    </row>
    <row r="700">
      <c r="A700" s="24">
        <v>4583</v>
      </c>
      <c r="B700" s="9" t="s">
        <v>959</v>
      </c>
      <c r="C700" s="9" t="s">
        <v>67</v>
      </c>
      <c r="D700" s="9" t="s">
        <v>111</v>
      </c>
      <c r="E700" s="9" t="s">
        <v>221</v>
      </c>
      <c r="F700" s="11">
        <v>6</v>
      </c>
      <c r="G700" s="10">
        <v>1</v>
      </c>
      <c r="H700" s="10">
        <v>2</v>
      </c>
      <c r="I700" s="10">
        <v>2</v>
      </c>
      <c r="J700" s="12">
        <v>0</v>
      </c>
      <c r="K700" s="10">
        <v>1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4</v>
      </c>
      <c r="V700" s="10">
        <v>1</v>
      </c>
      <c r="W700" s="10">
        <v>1</v>
      </c>
      <c r="X700" s="10">
        <v>1</v>
      </c>
      <c r="Y700" s="12">
        <v>0</v>
      </c>
      <c r="Z700" s="10">
        <v>1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29">
        <v>0.39</v>
      </c>
    </row>
    <row r="701">
      <c r="A701" s="23">
        <v>4596</v>
      </c>
      <c r="B701" s="4" t="s">
        <v>960</v>
      </c>
      <c r="C701" s="4" t="s">
        <v>177</v>
      </c>
      <c r="D701" s="4" t="s">
        <v>178</v>
      </c>
      <c r="E701" s="4" t="s">
        <v>179</v>
      </c>
      <c r="F701" s="6">
        <v>4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5">
        <v>1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5">
        <v>1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43">
        <v>0</v>
      </c>
    </row>
    <row r="702">
      <c r="A702" s="24">
        <v>4604</v>
      </c>
      <c r="B702" s="9" t="s">
        <v>961</v>
      </c>
      <c r="C702" s="9" t="s">
        <v>67</v>
      </c>
      <c r="D702" s="9" t="s">
        <v>79</v>
      </c>
      <c r="E702" s="9" t="s">
        <v>80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0.36</v>
      </c>
    </row>
    <row r="703">
      <c r="A703" s="23">
        <v>4606</v>
      </c>
      <c r="B703" s="4" t="s">
        <v>962</v>
      </c>
      <c r="C703" s="4" t="s">
        <v>67</v>
      </c>
      <c r="D703" s="4" t="s">
        <v>91</v>
      </c>
      <c r="E703" s="4" t="s">
        <v>494</v>
      </c>
      <c r="F703" s="6">
        <v>4</v>
      </c>
      <c r="G703" s="5">
        <v>2</v>
      </c>
      <c r="H703" s="7">
        <v>0</v>
      </c>
      <c r="I703" s="5">
        <v>2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</v>
      </c>
      <c r="V703" s="5">
        <v>2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28">
        <v>0.36</v>
      </c>
    </row>
    <row r="704">
      <c r="A704" s="24">
        <v>4615</v>
      </c>
      <c r="B704" s="9" t="s">
        <v>963</v>
      </c>
      <c r="C704" s="9" t="s">
        <v>67</v>
      </c>
      <c r="D704" s="9" t="s">
        <v>71</v>
      </c>
      <c r="E704" s="9" t="s">
        <v>72</v>
      </c>
      <c r="F704" s="11">
        <v>3</v>
      </c>
      <c r="G704" s="10">
        <v>3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3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0.76</v>
      </c>
    </row>
    <row r="705">
      <c r="A705" s="23">
        <v>4618</v>
      </c>
      <c r="B705" s="4" t="s">
        <v>964</v>
      </c>
      <c r="C705" s="4" t="s">
        <v>67</v>
      </c>
      <c r="D705" s="4" t="s">
        <v>99</v>
      </c>
      <c r="E705" s="4" t="s">
        <v>742</v>
      </c>
      <c r="F705" s="6">
        <v>2</v>
      </c>
      <c r="G705" s="7">
        <v>0</v>
      </c>
      <c r="H705" s="7">
        <v>0</v>
      </c>
      <c r="I705" s="5">
        <v>1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7">
        <v>0</v>
      </c>
      <c r="W705" s="7">
        <v>0</v>
      </c>
      <c r="X705" s="5">
        <v>1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0.26</v>
      </c>
    </row>
    <row r="706">
      <c r="A706" s="24">
        <v>4619</v>
      </c>
      <c r="B706" s="9" t="s">
        <v>965</v>
      </c>
      <c r="C706" s="9" t="s">
        <v>67</v>
      </c>
      <c r="D706" s="9" t="s">
        <v>99</v>
      </c>
      <c r="E706" s="9" t="s">
        <v>966</v>
      </c>
      <c r="F706" s="11">
        <v>3</v>
      </c>
      <c r="G706" s="12">
        <v>0</v>
      </c>
      <c r="H706" s="12">
        <v>0</v>
      </c>
      <c r="I706" s="10">
        <v>1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2">
        <v>0</v>
      </c>
      <c r="W706" s="12">
        <v>0</v>
      </c>
      <c r="X706" s="10">
        <v>1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29">
        <v>0.25</v>
      </c>
    </row>
    <row r="707">
      <c r="A707" s="23">
        <v>4625</v>
      </c>
      <c r="B707" s="4" t="s">
        <v>967</v>
      </c>
      <c r="C707" s="4" t="s">
        <v>67</v>
      </c>
      <c r="D707" s="4" t="s">
        <v>111</v>
      </c>
      <c r="E707" s="4" t="s">
        <v>153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2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0.98</v>
      </c>
    </row>
    <row r="708">
      <c r="A708" s="24">
        <v>4632</v>
      </c>
      <c r="B708" s="9" t="s">
        <v>968</v>
      </c>
      <c r="C708" s="9" t="s">
        <v>67</v>
      </c>
      <c r="D708" s="9" t="s">
        <v>79</v>
      </c>
      <c r="E708" s="9" t="s">
        <v>82</v>
      </c>
      <c r="F708" s="11">
        <v>2</v>
      </c>
      <c r="G708" s="10">
        <v>1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0">
        <v>1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4637</v>
      </c>
      <c r="B709" s="4" t="s">
        <v>969</v>
      </c>
      <c r="C709" s="4" t="s">
        <v>67</v>
      </c>
      <c r="D709" s="4" t="s">
        <v>134</v>
      </c>
      <c r="E709" s="4" t="s">
        <v>232</v>
      </c>
      <c r="F709" s="6">
        <v>1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3">
        <v>0</v>
      </c>
    </row>
    <row r="710">
      <c r="A710" s="24">
        <v>4668</v>
      </c>
      <c r="B710" s="9" t="s">
        <v>970</v>
      </c>
      <c r="C710" s="9" t="s">
        <v>67</v>
      </c>
      <c r="D710" s="9" t="s">
        <v>91</v>
      </c>
      <c r="E710" s="9" t="s">
        <v>340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4672</v>
      </c>
      <c r="B711" s="4" t="s">
        <v>971</v>
      </c>
      <c r="C711" s="4" t="s">
        <v>67</v>
      </c>
      <c r="D711" s="4" t="s">
        <v>104</v>
      </c>
      <c r="E711" s="4" t="s">
        <v>972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4674</v>
      </c>
      <c r="B712" s="9" t="s">
        <v>973</v>
      </c>
      <c r="C712" s="9" t="s">
        <v>67</v>
      </c>
      <c r="D712" s="9" t="s">
        <v>86</v>
      </c>
      <c r="E712" s="9" t="s">
        <v>87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4675</v>
      </c>
      <c r="B713" s="4" t="s">
        <v>974</v>
      </c>
      <c r="C713" s="4" t="s">
        <v>67</v>
      </c>
      <c r="D713" s="4" t="s">
        <v>159</v>
      </c>
      <c r="E713" s="4" t="s">
        <v>160</v>
      </c>
      <c r="F713" s="6">
        <v>1</v>
      </c>
      <c r="G713" s="7">
        <v>0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7">
        <v>0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4680</v>
      </c>
      <c r="B714" s="9" t="s">
        <v>975</v>
      </c>
      <c r="C714" s="9" t="s">
        <v>67</v>
      </c>
      <c r="D714" s="9" t="s">
        <v>86</v>
      </c>
      <c r="E714" s="9" t="s">
        <v>140</v>
      </c>
      <c r="F714" s="11">
        <v>4</v>
      </c>
      <c r="G714" s="10">
        <v>3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3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29">
        <v>0.25</v>
      </c>
    </row>
    <row r="715">
      <c r="A715" s="23">
        <v>4681</v>
      </c>
      <c r="B715" s="4" t="s">
        <v>976</v>
      </c>
      <c r="C715" s="4" t="s">
        <v>67</v>
      </c>
      <c r="D715" s="4" t="s">
        <v>86</v>
      </c>
      <c r="E715" s="4" t="s">
        <v>140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3">
        <v>0</v>
      </c>
    </row>
    <row r="716">
      <c r="A716" s="24">
        <v>4683</v>
      </c>
      <c r="B716" s="9" t="s">
        <v>977</v>
      </c>
      <c r="C716" s="9" t="s">
        <v>67</v>
      </c>
      <c r="D716" s="9" t="s">
        <v>86</v>
      </c>
      <c r="E716" s="9" t="s">
        <v>140</v>
      </c>
      <c r="F716" s="11">
        <v>2</v>
      </c>
      <c r="G716" s="12">
        <v>0</v>
      </c>
      <c r="H716" s="12">
        <v>0</v>
      </c>
      <c r="I716" s="10">
        <v>2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2">
        <v>0</v>
      </c>
      <c r="X716" s="10">
        <v>2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0.52</v>
      </c>
    </row>
    <row r="717">
      <c r="A717" s="23">
        <v>4684</v>
      </c>
      <c r="B717" s="4" t="s">
        <v>978</v>
      </c>
      <c r="C717" s="4" t="s">
        <v>67</v>
      </c>
      <c r="D717" s="4" t="s">
        <v>86</v>
      </c>
      <c r="E717" s="4" t="s">
        <v>140</v>
      </c>
      <c r="F717" s="6">
        <v>2</v>
      </c>
      <c r="G717" s="5">
        <v>1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5">
        <v>1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4686</v>
      </c>
      <c r="B718" s="9" t="s">
        <v>979</v>
      </c>
      <c r="C718" s="9" t="s">
        <v>67</v>
      </c>
      <c r="D718" s="9" t="s">
        <v>86</v>
      </c>
      <c r="E718" s="9" t="s">
        <v>239</v>
      </c>
      <c r="F718" s="11">
        <v>3</v>
      </c>
      <c r="G718" s="10">
        <v>1</v>
      </c>
      <c r="H718" s="10">
        <v>1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0">
        <v>1</v>
      </c>
      <c r="W718" s="10">
        <v>1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0.6</v>
      </c>
    </row>
    <row r="719">
      <c r="A719" s="23">
        <v>4687</v>
      </c>
      <c r="B719" s="4" t="s">
        <v>980</v>
      </c>
      <c r="C719" s="4" t="s">
        <v>67</v>
      </c>
      <c r="D719" s="4" t="s">
        <v>86</v>
      </c>
      <c r="E719" s="4" t="s">
        <v>239</v>
      </c>
      <c r="F719" s="6">
        <v>1</v>
      </c>
      <c r="G719" s="7">
        <v>0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4689</v>
      </c>
      <c r="B720" s="9" t="s">
        <v>981</v>
      </c>
      <c r="C720" s="9" t="s">
        <v>67</v>
      </c>
      <c r="D720" s="9" t="s">
        <v>134</v>
      </c>
      <c r="E720" s="9" t="s">
        <v>345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4695</v>
      </c>
      <c r="B721" s="4" t="s">
        <v>982</v>
      </c>
      <c r="C721" s="4" t="s">
        <v>67</v>
      </c>
      <c r="D721" s="4" t="s">
        <v>134</v>
      </c>
      <c r="E721" s="4" t="s">
        <v>135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0.36</v>
      </c>
    </row>
    <row r="722">
      <c r="A722" s="24">
        <v>4697</v>
      </c>
      <c r="B722" s="9" t="s">
        <v>983</v>
      </c>
      <c r="C722" s="9" t="s">
        <v>67</v>
      </c>
      <c r="D722" s="9" t="s">
        <v>75</v>
      </c>
      <c r="E722" s="9" t="s">
        <v>84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30">
        <v>0</v>
      </c>
    </row>
    <row r="723">
      <c r="A723" s="23">
        <v>4700</v>
      </c>
      <c r="B723" s="4" t="s">
        <v>984</v>
      </c>
      <c r="C723" s="4" t="s">
        <v>67</v>
      </c>
      <c r="D723" s="4" t="s">
        <v>86</v>
      </c>
      <c r="E723" s="4" t="s">
        <v>146</v>
      </c>
      <c r="F723" s="6">
        <v>1</v>
      </c>
      <c r="G723" s="7">
        <v>0</v>
      </c>
      <c r="H723" s="7">
        <v>0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4705</v>
      </c>
      <c r="B724" s="9" t="s">
        <v>985</v>
      </c>
      <c r="C724" s="9" t="s">
        <v>67</v>
      </c>
      <c r="D724" s="9" t="s">
        <v>159</v>
      </c>
      <c r="E724" s="9" t="s">
        <v>830</v>
      </c>
      <c r="F724" s="11">
        <v>1</v>
      </c>
      <c r="G724" s="12">
        <v>0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2">
        <v>0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4707</v>
      </c>
      <c r="B725" s="4" t="s">
        <v>986</v>
      </c>
      <c r="C725" s="4" t="s">
        <v>67</v>
      </c>
      <c r="D725" s="4" t="s">
        <v>159</v>
      </c>
      <c r="E725" s="4" t="s">
        <v>160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3">
        <v>0</v>
      </c>
    </row>
    <row r="726">
      <c r="A726" s="24">
        <v>4709</v>
      </c>
      <c r="B726" s="9" t="s">
        <v>987</v>
      </c>
      <c r="C726" s="9" t="s">
        <v>67</v>
      </c>
      <c r="D726" s="9" t="s">
        <v>159</v>
      </c>
      <c r="E726" s="9" t="s">
        <v>160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2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30">
        <v>0</v>
      </c>
    </row>
    <row r="727">
      <c r="A727" s="23">
        <v>4712</v>
      </c>
      <c r="B727" s="4" t="s">
        <v>988</v>
      </c>
      <c r="C727" s="4" t="s">
        <v>67</v>
      </c>
      <c r="D727" s="4" t="s">
        <v>79</v>
      </c>
      <c r="E727" s="4" t="s">
        <v>89</v>
      </c>
      <c r="F727" s="6">
        <v>14</v>
      </c>
      <c r="G727" s="5">
        <v>5</v>
      </c>
      <c r="H727" s="5">
        <v>7</v>
      </c>
      <c r="I727" s="7">
        <v>0</v>
      </c>
      <c r="J727" s="7">
        <v>0</v>
      </c>
      <c r="K727" s="7">
        <v>0</v>
      </c>
      <c r="L727" s="5">
        <v>2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9</v>
      </c>
      <c r="V727" s="5">
        <v>5</v>
      </c>
      <c r="W727" s="5">
        <v>2</v>
      </c>
      <c r="X727" s="7">
        <v>0</v>
      </c>
      <c r="Y727" s="7">
        <v>0</v>
      </c>
      <c r="Z727" s="7">
        <v>0</v>
      </c>
      <c r="AA727" s="5">
        <v>2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2.8</v>
      </c>
      <c r="AL727" s="5">
        <v>2</v>
      </c>
      <c r="AM727" s="5">
        <v>7</v>
      </c>
      <c r="AN727" s="28">
        <v>1.48</v>
      </c>
    </row>
    <row r="728">
      <c r="A728" s="24">
        <v>4715</v>
      </c>
      <c r="B728" s="9" t="s">
        <v>989</v>
      </c>
      <c r="C728" s="9" t="s">
        <v>67</v>
      </c>
      <c r="D728" s="9" t="s">
        <v>134</v>
      </c>
      <c r="E728" s="9" t="s">
        <v>135</v>
      </c>
      <c r="F728" s="11">
        <v>4</v>
      </c>
      <c r="G728" s="10">
        <v>4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4</v>
      </c>
      <c r="V728" s="10">
        <v>4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</v>
      </c>
      <c r="AL728" s="10">
        <v>2</v>
      </c>
      <c r="AM728" s="10">
        <v>3</v>
      </c>
      <c r="AN728" s="30">
        <v>0</v>
      </c>
    </row>
    <row r="729">
      <c r="A729" s="23">
        <v>4719</v>
      </c>
      <c r="B729" s="4" t="s">
        <v>990</v>
      </c>
      <c r="C729" s="4" t="s">
        <v>67</v>
      </c>
      <c r="D729" s="4" t="s">
        <v>86</v>
      </c>
      <c r="E729" s="4" t="s">
        <v>473</v>
      </c>
      <c r="F729" s="6">
        <v>2</v>
      </c>
      <c r="G729" s="7">
        <v>0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7">
        <v>0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0.5</v>
      </c>
    </row>
    <row r="730">
      <c r="A730" s="24">
        <v>4744</v>
      </c>
      <c r="B730" s="9" t="s">
        <v>991</v>
      </c>
      <c r="C730" s="9" t="s">
        <v>142</v>
      </c>
      <c r="D730" s="9" t="s">
        <v>143</v>
      </c>
      <c r="E730" s="9" t="s">
        <v>465</v>
      </c>
      <c r="F730" s="11">
        <v>1</v>
      </c>
      <c r="G730" s="12">
        <v>0</v>
      </c>
      <c r="H730" s="12">
        <v>0</v>
      </c>
      <c r="I730" s="10">
        <v>1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0">
        <v>1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30">
        <v>0</v>
      </c>
    </row>
    <row r="731">
      <c r="A731" s="23">
        <v>4752</v>
      </c>
      <c r="B731" s="4" t="s">
        <v>992</v>
      </c>
      <c r="C731" s="4" t="s">
        <v>67</v>
      </c>
      <c r="D731" s="4" t="s">
        <v>111</v>
      </c>
      <c r="E731" s="4" t="s">
        <v>150</v>
      </c>
      <c r="F731" s="6">
        <v>1</v>
      </c>
      <c r="G731" s="7">
        <v>0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4757</v>
      </c>
      <c r="B732" s="9" t="s">
        <v>993</v>
      </c>
      <c r="C732" s="9" t="s">
        <v>67</v>
      </c>
      <c r="D732" s="9" t="s">
        <v>134</v>
      </c>
      <c r="E732" s="9" t="s">
        <v>345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0.35</v>
      </c>
    </row>
    <row r="733">
      <c r="A733" s="23">
        <v>4758</v>
      </c>
      <c r="B733" s="4" t="s">
        <v>994</v>
      </c>
      <c r="C733" s="4" t="s">
        <v>67</v>
      </c>
      <c r="D733" s="4" t="s">
        <v>79</v>
      </c>
      <c r="E733" s="4" t="s">
        <v>82</v>
      </c>
      <c r="F733" s="6">
        <v>1</v>
      </c>
      <c r="G733" s="7">
        <v>0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3">
        <v>0</v>
      </c>
    </row>
    <row r="734">
      <c r="A734" s="24">
        <v>4759</v>
      </c>
      <c r="B734" s="9" t="s">
        <v>995</v>
      </c>
      <c r="C734" s="9" t="s">
        <v>67</v>
      </c>
      <c r="D734" s="9" t="s">
        <v>91</v>
      </c>
      <c r="E734" s="9" t="s">
        <v>494</v>
      </c>
      <c r="F734" s="11">
        <v>3</v>
      </c>
      <c r="G734" s="10">
        <v>3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0">
        <v>3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0.36</v>
      </c>
    </row>
    <row r="735">
      <c r="A735" s="23">
        <v>4765</v>
      </c>
      <c r="B735" s="4" t="s">
        <v>996</v>
      </c>
      <c r="C735" s="4" t="s">
        <v>67</v>
      </c>
      <c r="D735" s="4" t="s">
        <v>79</v>
      </c>
      <c r="E735" s="4" t="s">
        <v>89</v>
      </c>
      <c r="F735" s="6">
        <v>2</v>
      </c>
      <c r="G735" s="7">
        <v>0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7">
        <v>0</v>
      </c>
      <c r="W735" s="7">
        <v>0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0.52</v>
      </c>
    </row>
    <row r="736">
      <c r="A736" s="24">
        <v>4785</v>
      </c>
      <c r="B736" s="9" t="s">
        <v>997</v>
      </c>
      <c r="C736" s="9" t="s">
        <v>998</v>
      </c>
      <c r="D736" s="9" t="s">
        <v>999</v>
      </c>
      <c r="E736" s="9" t="s">
        <v>1000</v>
      </c>
      <c r="F736" s="11">
        <v>3</v>
      </c>
      <c r="G736" s="10">
        <v>1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1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0.5</v>
      </c>
    </row>
    <row r="737">
      <c r="A737" s="23">
        <v>4790</v>
      </c>
      <c r="B737" s="4" t="s">
        <v>1001</v>
      </c>
      <c r="C737" s="4" t="s">
        <v>67</v>
      </c>
      <c r="D737" s="4" t="s">
        <v>79</v>
      </c>
      <c r="E737" s="4" t="s">
        <v>343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0.37</v>
      </c>
    </row>
    <row r="738">
      <c r="A738" s="24">
        <v>4792</v>
      </c>
      <c r="B738" s="9" t="s">
        <v>1002</v>
      </c>
      <c r="C738" s="9" t="s">
        <v>67</v>
      </c>
      <c r="D738" s="9" t="s">
        <v>79</v>
      </c>
      <c r="E738" s="9" t="s">
        <v>343</v>
      </c>
      <c r="F738" s="11">
        <v>6</v>
      </c>
      <c r="G738" s="10">
        <v>5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5</v>
      </c>
      <c r="V738" s="10">
        <v>4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1</v>
      </c>
      <c r="AM738" s="10">
        <v>4</v>
      </c>
      <c r="AN738" s="29">
        <v>1.08</v>
      </c>
    </row>
    <row r="739">
      <c r="A739" s="23">
        <v>4797</v>
      </c>
      <c r="B739" s="4" t="s">
        <v>1003</v>
      </c>
      <c r="C739" s="4" t="s">
        <v>67</v>
      </c>
      <c r="D739" s="4" t="s">
        <v>111</v>
      </c>
      <c r="E739" s="4" t="s">
        <v>153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3">
        <v>0</v>
      </c>
    </row>
    <row r="740">
      <c r="A740" s="24">
        <v>4808</v>
      </c>
      <c r="B740" s="9" t="s">
        <v>1004</v>
      </c>
      <c r="C740" s="9" t="s">
        <v>67</v>
      </c>
      <c r="D740" s="9" t="s">
        <v>134</v>
      </c>
      <c r="E740" s="9" t="s">
        <v>135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30">
        <v>0</v>
      </c>
    </row>
    <row r="741">
      <c r="A741" s="23">
        <v>4809</v>
      </c>
      <c r="B741" s="4" t="s">
        <v>1005</v>
      </c>
      <c r="C741" s="4" t="s">
        <v>67</v>
      </c>
      <c r="D741" s="4" t="s">
        <v>134</v>
      </c>
      <c r="E741" s="4" t="s">
        <v>135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4817</v>
      </c>
      <c r="B742" s="9" t="s">
        <v>1006</v>
      </c>
      <c r="C742" s="9" t="s">
        <v>67</v>
      </c>
      <c r="D742" s="9" t="s">
        <v>104</v>
      </c>
      <c r="E742" s="9" t="s">
        <v>669</v>
      </c>
      <c r="F742" s="11">
        <v>2</v>
      </c>
      <c r="G742" s="12">
        <v>0</v>
      </c>
      <c r="H742" s="10">
        <v>1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0">
        <v>1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4820</v>
      </c>
      <c r="B743" s="4" t="s">
        <v>1007</v>
      </c>
      <c r="C743" s="4" t="s">
        <v>67</v>
      </c>
      <c r="D743" s="4" t="s">
        <v>86</v>
      </c>
      <c r="E743" s="4" t="s">
        <v>146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3">
        <v>0</v>
      </c>
    </row>
    <row r="744">
      <c r="A744" s="24">
        <v>4821</v>
      </c>
      <c r="B744" s="9" t="s">
        <v>1008</v>
      </c>
      <c r="C744" s="9" t="s">
        <v>67</v>
      </c>
      <c r="D744" s="9" t="s">
        <v>111</v>
      </c>
      <c r="E744" s="9" t="s">
        <v>153</v>
      </c>
      <c r="F744" s="11">
        <v>1</v>
      </c>
      <c r="G744" s="12">
        <v>0</v>
      </c>
      <c r="H744" s="10">
        <v>1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0">
        <v>1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4831</v>
      </c>
      <c r="B745" s="4" t="s">
        <v>1009</v>
      </c>
      <c r="C745" s="4" t="s">
        <v>67</v>
      </c>
      <c r="D745" s="4" t="s">
        <v>134</v>
      </c>
      <c r="E745" s="4" t="s">
        <v>135</v>
      </c>
      <c r="F745" s="6">
        <v>2</v>
      </c>
      <c r="G745" s="7">
        <v>0</v>
      </c>
      <c r="H745" s="5">
        <v>1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7">
        <v>0</v>
      </c>
      <c r="W745" s="5">
        <v>1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0.62</v>
      </c>
    </row>
    <row r="746">
      <c r="A746" s="24">
        <v>4835</v>
      </c>
      <c r="B746" s="9" t="s">
        <v>1010</v>
      </c>
      <c r="C746" s="9" t="s">
        <v>67</v>
      </c>
      <c r="D746" s="9" t="s">
        <v>99</v>
      </c>
      <c r="E746" s="9" t="s">
        <v>808</v>
      </c>
      <c r="F746" s="11">
        <v>3</v>
      </c>
      <c r="G746" s="10">
        <v>1</v>
      </c>
      <c r="H746" s="10">
        <v>1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</v>
      </c>
      <c r="V746" s="10">
        <v>1</v>
      </c>
      <c r="W746" s="10">
        <v>1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0.52</v>
      </c>
    </row>
    <row r="747">
      <c r="A747" s="23">
        <v>4836</v>
      </c>
      <c r="B747" s="4" t="s">
        <v>1011</v>
      </c>
      <c r="C747" s="4" t="s">
        <v>67</v>
      </c>
      <c r="D747" s="4" t="s">
        <v>134</v>
      </c>
      <c r="E747" s="4" t="s">
        <v>345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4840</v>
      </c>
      <c r="B748" s="9" t="s">
        <v>1012</v>
      </c>
      <c r="C748" s="9" t="s">
        <v>67</v>
      </c>
      <c r="D748" s="9" t="s">
        <v>111</v>
      </c>
      <c r="E748" s="9" t="s">
        <v>246</v>
      </c>
      <c r="F748" s="11">
        <v>3</v>
      </c>
      <c r="G748" s="12">
        <v>0</v>
      </c>
      <c r="H748" s="12">
        <v>0</v>
      </c>
      <c r="I748" s="10">
        <v>1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2">
        <v>0</v>
      </c>
      <c r="W748" s="12">
        <v>0</v>
      </c>
      <c r="X748" s="10">
        <v>1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2</v>
      </c>
      <c r="AN748" s="29">
        <v>0.78</v>
      </c>
    </row>
    <row r="749">
      <c r="A749" s="23">
        <v>4842</v>
      </c>
      <c r="B749" s="4" t="s">
        <v>1013</v>
      </c>
      <c r="C749" s="4" t="s">
        <v>67</v>
      </c>
      <c r="D749" s="4" t="s">
        <v>75</v>
      </c>
      <c r="E749" s="4" t="s">
        <v>128</v>
      </c>
      <c r="F749" s="6">
        <v>1</v>
      </c>
      <c r="G749" s="7">
        <v>0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0.26</v>
      </c>
    </row>
    <row r="750">
      <c r="A750" s="24">
        <v>4845</v>
      </c>
      <c r="B750" s="9" t="s">
        <v>1014</v>
      </c>
      <c r="C750" s="9" t="s">
        <v>67</v>
      </c>
      <c r="D750" s="9" t="s">
        <v>111</v>
      </c>
      <c r="E750" s="9" t="s">
        <v>153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0.5</v>
      </c>
    </row>
    <row r="751">
      <c r="A751" s="23">
        <v>4852</v>
      </c>
      <c r="B751" s="4" t="s">
        <v>1015</v>
      </c>
      <c r="C751" s="4" t="s">
        <v>67</v>
      </c>
      <c r="D751" s="4" t="s">
        <v>71</v>
      </c>
      <c r="E751" s="4" t="s">
        <v>169</v>
      </c>
      <c r="F751" s="6">
        <v>3</v>
      </c>
      <c r="G751" s="5">
        <v>2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5">
        <v>2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28">
        <v>0.26</v>
      </c>
    </row>
    <row r="752">
      <c r="A752" s="24">
        <v>4853</v>
      </c>
      <c r="B752" s="9" t="s">
        <v>1016</v>
      </c>
      <c r="C752" s="9" t="s">
        <v>67</v>
      </c>
      <c r="D752" s="9" t="s">
        <v>134</v>
      </c>
      <c r="E752" s="9" t="s">
        <v>345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4859</v>
      </c>
      <c r="B753" s="4" t="s">
        <v>1017</v>
      </c>
      <c r="C753" s="4" t="s">
        <v>67</v>
      </c>
      <c r="D753" s="4" t="s">
        <v>111</v>
      </c>
      <c r="E753" s="4" t="s">
        <v>153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4862</v>
      </c>
      <c r="B754" s="9" t="s">
        <v>1018</v>
      </c>
      <c r="C754" s="9" t="s">
        <v>67</v>
      </c>
      <c r="D754" s="9" t="s">
        <v>111</v>
      </c>
      <c r="E754" s="9" t="s">
        <v>153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0.6</v>
      </c>
    </row>
    <row r="755">
      <c r="A755" s="23">
        <v>4864</v>
      </c>
      <c r="B755" s="4" t="s">
        <v>1019</v>
      </c>
      <c r="C755" s="4" t="s">
        <v>67</v>
      </c>
      <c r="D755" s="4" t="s">
        <v>134</v>
      </c>
      <c r="E755" s="4" t="s">
        <v>232</v>
      </c>
      <c r="F755" s="6">
        <v>3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3</v>
      </c>
      <c r="AK755" s="8">
        <v>3</v>
      </c>
      <c r="AL755" s="5">
        <v>3</v>
      </c>
      <c r="AM755" s="5">
        <v>3</v>
      </c>
      <c r="AN755" s="43">
        <v>0</v>
      </c>
    </row>
    <row r="756">
      <c r="A756" s="24">
        <v>4866</v>
      </c>
      <c r="B756" s="9" t="s">
        <v>1020</v>
      </c>
      <c r="C756" s="9" t="s">
        <v>67</v>
      </c>
      <c r="D756" s="9" t="s">
        <v>134</v>
      </c>
      <c r="E756" s="9" t="s">
        <v>135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0.38</v>
      </c>
    </row>
    <row r="757">
      <c r="A757" s="23">
        <v>4868</v>
      </c>
      <c r="B757" s="4" t="s">
        <v>1021</v>
      </c>
      <c r="C757" s="4" t="s">
        <v>67</v>
      </c>
      <c r="D757" s="4" t="s">
        <v>111</v>
      </c>
      <c r="E757" s="4" t="s">
        <v>112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3">
        <v>0</v>
      </c>
    </row>
    <row r="758">
      <c r="A758" s="24">
        <v>4869</v>
      </c>
      <c r="B758" s="9" t="s">
        <v>1022</v>
      </c>
      <c r="C758" s="9" t="s">
        <v>67</v>
      </c>
      <c r="D758" s="9" t="s">
        <v>134</v>
      </c>
      <c r="E758" s="9" t="s">
        <v>345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0">
        <v>0</v>
      </c>
    </row>
    <row r="759">
      <c r="A759" s="23">
        <v>4870</v>
      </c>
      <c r="B759" s="4" t="s">
        <v>1023</v>
      </c>
      <c r="C759" s="4" t="s">
        <v>67</v>
      </c>
      <c r="D759" s="4" t="s">
        <v>134</v>
      </c>
      <c r="E759" s="4" t="s">
        <v>135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3">
        <v>0</v>
      </c>
    </row>
    <row r="760">
      <c r="A760" s="24">
        <v>4875</v>
      </c>
      <c r="B760" s="9" t="s">
        <v>1024</v>
      </c>
      <c r="C760" s="9" t="s">
        <v>67</v>
      </c>
      <c r="D760" s="9" t="s">
        <v>86</v>
      </c>
      <c r="E760" s="9" t="s">
        <v>87</v>
      </c>
      <c r="F760" s="11">
        <v>1</v>
      </c>
      <c r="G760" s="12">
        <v>0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4876</v>
      </c>
      <c r="B761" s="4" t="s">
        <v>1025</v>
      </c>
      <c r="C761" s="4" t="s">
        <v>67</v>
      </c>
      <c r="D761" s="4" t="s">
        <v>111</v>
      </c>
      <c r="E761" s="4" t="s">
        <v>112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3">
        <v>0</v>
      </c>
    </row>
    <row r="762">
      <c r="A762" s="24">
        <v>4878</v>
      </c>
      <c r="B762" s="9" t="s">
        <v>1026</v>
      </c>
      <c r="C762" s="9" t="s">
        <v>67</v>
      </c>
      <c r="D762" s="9" t="s">
        <v>111</v>
      </c>
      <c r="E762" s="9" t="s">
        <v>153</v>
      </c>
      <c r="F762" s="11">
        <v>3</v>
      </c>
      <c r="G762" s="10">
        <v>2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0.63</v>
      </c>
    </row>
    <row r="763">
      <c r="A763" s="23">
        <v>4880</v>
      </c>
      <c r="B763" s="4" t="s">
        <v>1027</v>
      </c>
      <c r="C763" s="4" t="s">
        <v>67</v>
      </c>
      <c r="D763" s="4" t="s">
        <v>134</v>
      </c>
      <c r="E763" s="4" t="s">
        <v>135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4881</v>
      </c>
      <c r="B764" s="9" t="s">
        <v>1028</v>
      </c>
      <c r="C764" s="9" t="s">
        <v>67</v>
      </c>
      <c r="D764" s="9" t="s">
        <v>104</v>
      </c>
      <c r="E764" s="9" t="s">
        <v>1029</v>
      </c>
      <c r="F764" s="11">
        <v>3</v>
      </c>
      <c r="G764" s="10">
        <v>3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0">
        <v>3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3</v>
      </c>
      <c r="AK764" s="13">
        <v>3</v>
      </c>
      <c r="AL764" s="10">
        <v>3</v>
      </c>
      <c r="AM764" s="10">
        <v>3</v>
      </c>
      <c r="AN764" s="29">
        <v>1.08</v>
      </c>
    </row>
    <row r="765">
      <c r="A765" s="23">
        <v>4884</v>
      </c>
      <c r="B765" s="4" t="s">
        <v>1030</v>
      </c>
      <c r="C765" s="4" t="s">
        <v>67</v>
      </c>
      <c r="D765" s="4" t="s">
        <v>86</v>
      </c>
      <c r="E765" s="4" t="s">
        <v>1031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2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43">
        <v>0</v>
      </c>
    </row>
    <row r="766">
      <c r="A766" s="24">
        <v>4901</v>
      </c>
      <c r="B766" s="9" t="s">
        <v>1032</v>
      </c>
      <c r="C766" s="9" t="s">
        <v>67</v>
      </c>
      <c r="D766" s="9" t="s">
        <v>91</v>
      </c>
      <c r="E766" s="9" t="s">
        <v>92</v>
      </c>
      <c r="F766" s="11">
        <v>2</v>
      </c>
      <c r="G766" s="10">
        <v>1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1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4906</v>
      </c>
      <c r="B767" s="4" t="s">
        <v>1033</v>
      </c>
      <c r="C767" s="4" t="s">
        <v>67</v>
      </c>
      <c r="D767" s="4" t="s">
        <v>79</v>
      </c>
      <c r="E767" s="4" t="s">
        <v>343</v>
      </c>
      <c r="F767" s="6">
        <v>2</v>
      </c>
      <c r="G767" s="5">
        <v>1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3">
        <v>0</v>
      </c>
    </row>
    <row r="768">
      <c r="A768" s="24">
        <v>4913</v>
      </c>
      <c r="B768" s="9" t="s">
        <v>1034</v>
      </c>
      <c r="C768" s="9" t="s">
        <v>67</v>
      </c>
      <c r="D768" s="9" t="s">
        <v>75</v>
      </c>
      <c r="E768" s="9" t="s">
        <v>331</v>
      </c>
      <c r="F768" s="11">
        <v>2</v>
      </c>
      <c r="G768" s="10">
        <v>1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1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4915</v>
      </c>
      <c r="B769" s="4" t="s">
        <v>1035</v>
      </c>
      <c r="C769" s="4" t="s">
        <v>67</v>
      </c>
      <c r="D769" s="4" t="s">
        <v>68</v>
      </c>
      <c r="E769" s="4" t="s">
        <v>453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0.74</v>
      </c>
    </row>
    <row r="770">
      <c r="A770" s="24">
        <v>4917</v>
      </c>
      <c r="B770" s="9" t="s">
        <v>1036</v>
      </c>
      <c r="C770" s="9" t="s">
        <v>67</v>
      </c>
      <c r="D770" s="9" t="s">
        <v>104</v>
      </c>
      <c r="E770" s="9" t="s">
        <v>105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30">
        <v>0</v>
      </c>
    </row>
    <row r="771">
      <c r="A771" s="23">
        <v>4921</v>
      </c>
      <c r="B771" s="4" t="s">
        <v>1037</v>
      </c>
      <c r="C771" s="4" t="s">
        <v>67</v>
      </c>
      <c r="D771" s="4" t="s">
        <v>134</v>
      </c>
      <c r="E771" s="4" t="s">
        <v>345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0.22</v>
      </c>
    </row>
    <row r="772">
      <c r="A772" s="24">
        <v>4944</v>
      </c>
      <c r="B772" s="9" t="s">
        <v>1038</v>
      </c>
      <c r="C772" s="9" t="s">
        <v>67</v>
      </c>
      <c r="D772" s="9" t="s">
        <v>134</v>
      </c>
      <c r="E772" s="9" t="s">
        <v>429</v>
      </c>
      <c r="F772" s="11">
        <v>6</v>
      </c>
      <c r="G772" s="10">
        <v>5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6</v>
      </c>
      <c r="V772" s="10">
        <v>5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</v>
      </c>
      <c r="AL772" s="10">
        <v>1</v>
      </c>
      <c r="AM772" s="10">
        <v>4</v>
      </c>
      <c r="AN772" s="29">
        <v>0.58</v>
      </c>
    </row>
    <row r="773">
      <c r="A773" s="23">
        <v>4945</v>
      </c>
      <c r="B773" s="4" t="s">
        <v>1039</v>
      </c>
      <c r="C773" s="4" t="s">
        <v>67</v>
      </c>
      <c r="D773" s="4" t="s">
        <v>159</v>
      </c>
      <c r="E773" s="4" t="s">
        <v>160</v>
      </c>
      <c r="F773" s="6">
        <v>10</v>
      </c>
      <c r="G773" s="5">
        <v>9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9</v>
      </c>
      <c r="V773" s="5">
        <v>8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2.5</v>
      </c>
      <c r="AL773" s="5">
        <v>2</v>
      </c>
      <c r="AM773" s="5">
        <v>5</v>
      </c>
      <c r="AN773" s="28">
        <v>2.1</v>
      </c>
    </row>
    <row r="774">
      <c r="A774" s="24">
        <v>4951</v>
      </c>
      <c r="B774" s="9" t="s">
        <v>1040</v>
      </c>
      <c r="C774" s="9" t="s">
        <v>632</v>
      </c>
      <c r="D774" s="9" t="s">
        <v>945</v>
      </c>
      <c r="E774" s="9" t="s">
        <v>379</v>
      </c>
      <c r="F774" s="11">
        <v>2</v>
      </c>
      <c r="G774" s="12">
        <v>0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2">
        <v>0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0.52</v>
      </c>
    </row>
    <row r="775">
      <c r="A775" s="23">
        <v>4952</v>
      </c>
      <c r="B775" s="4" t="s">
        <v>1041</v>
      </c>
      <c r="C775" s="4" t="s">
        <v>632</v>
      </c>
      <c r="D775" s="4" t="s">
        <v>633</v>
      </c>
      <c r="E775" s="4" t="s">
        <v>379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0.26</v>
      </c>
    </row>
    <row r="776">
      <c r="A776" s="24">
        <v>4955</v>
      </c>
      <c r="B776" s="9" t="s">
        <v>1042</v>
      </c>
      <c r="C776" s="9" t="s">
        <v>67</v>
      </c>
      <c r="D776" s="9" t="s">
        <v>111</v>
      </c>
      <c r="E776" s="9" t="s">
        <v>221</v>
      </c>
      <c r="F776" s="11">
        <v>6</v>
      </c>
      <c r="G776" s="10">
        <v>2</v>
      </c>
      <c r="H776" s="12">
        <v>0</v>
      </c>
      <c r="I776" s="10">
        <v>3</v>
      </c>
      <c r="J776" s="12">
        <v>0</v>
      </c>
      <c r="K776" s="10">
        <v>1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6</v>
      </c>
      <c r="V776" s="10">
        <v>2</v>
      </c>
      <c r="W776" s="12">
        <v>0</v>
      </c>
      <c r="X776" s="10">
        <v>3</v>
      </c>
      <c r="Y776" s="12">
        <v>0</v>
      </c>
      <c r="Z776" s="10">
        <v>1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30">
        <v>0</v>
      </c>
    </row>
    <row r="777">
      <c r="A777" s="23">
        <v>4962</v>
      </c>
      <c r="B777" s="4" t="s">
        <v>1043</v>
      </c>
      <c r="C777" s="4" t="s">
        <v>67</v>
      </c>
      <c r="D777" s="4" t="s">
        <v>75</v>
      </c>
      <c r="E777" s="4" t="s">
        <v>294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4966</v>
      </c>
      <c r="B778" s="9" t="s">
        <v>1044</v>
      </c>
      <c r="C778" s="9" t="s">
        <v>67</v>
      </c>
      <c r="D778" s="9" t="s">
        <v>134</v>
      </c>
      <c r="E778" s="9" t="s">
        <v>232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30">
        <v>0</v>
      </c>
    </row>
    <row r="779">
      <c r="A779" s="23">
        <v>4968</v>
      </c>
      <c r="B779" s="4" t="s">
        <v>1045</v>
      </c>
      <c r="C779" s="4" t="s">
        <v>67</v>
      </c>
      <c r="D779" s="4" t="s">
        <v>134</v>
      </c>
      <c r="E779" s="4" t="s">
        <v>345</v>
      </c>
      <c r="F779" s="6">
        <v>2</v>
      </c>
      <c r="G779" s="5">
        <v>1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1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0.62</v>
      </c>
    </row>
    <row r="780">
      <c r="A780" s="24">
        <v>4975</v>
      </c>
      <c r="B780" s="9" t="s">
        <v>1046</v>
      </c>
      <c r="C780" s="9" t="s">
        <v>67</v>
      </c>
      <c r="D780" s="9" t="s">
        <v>86</v>
      </c>
      <c r="E780" s="9" t="s">
        <v>87</v>
      </c>
      <c r="F780" s="11">
        <v>2</v>
      </c>
      <c r="G780" s="12">
        <v>0</v>
      </c>
      <c r="H780" s="12">
        <v>0</v>
      </c>
      <c r="I780" s="10">
        <v>1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2">
        <v>0</v>
      </c>
      <c r="W780" s="12">
        <v>0</v>
      </c>
      <c r="X780" s="10">
        <v>1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4979</v>
      </c>
      <c r="B781" s="4" t="s">
        <v>1047</v>
      </c>
      <c r="C781" s="4" t="s">
        <v>67</v>
      </c>
      <c r="D781" s="4" t="s">
        <v>86</v>
      </c>
      <c r="E781" s="4" t="s">
        <v>87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43">
        <v>0</v>
      </c>
    </row>
    <row r="782">
      <c r="A782" s="24">
        <v>4980</v>
      </c>
      <c r="B782" s="9" t="s">
        <v>1048</v>
      </c>
      <c r="C782" s="9" t="s">
        <v>67</v>
      </c>
      <c r="D782" s="9" t="s">
        <v>75</v>
      </c>
      <c r="E782" s="9" t="s">
        <v>76</v>
      </c>
      <c r="F782" s="11">
        <v>5</v>
      </c>
      <c r="G782" s="10">
        <v>2</v>
      </c>
      <c r="H782" s="12">
        <v>0</v>
      </c>
      <c r="I782" s="10">
        <v>3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1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2.5</v>
      </c>
      <c r="AL782" s="10">
        <v>2</v>
      </c>
      <c r="AM782" s="10">
        <v>3</v>
      </c>
      <c r="AN782" s="29">
        <v>0.36</v>
      </c>
    </row>
    <row r="783">
      <c r="A783" s="23">
        <v>4986</v>
      </c>
      <c r="B783" s="4" t="s">
        <v>1049</v>
      </c>
      <c r="C783" s="4" t="s">
        <v>67</v>
      </c>
      <c r="D783" s="4" t="s">
        <v>91</v>
      </c>
      <c r="E783" s="4" t="s">
        <v>92</v>
      </c>
      <c r="F783" s="6">
        <v>2</v>
      </c>
      <c r="G783" s="5">
        <v>1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1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0.62</v>
      </c>
    </row>
    <row r="784">
      <c r="A784" s="24">
        <v>4987</v>
      </c>
      <c r="B784" s="9" t="s">
        <v>1050</v>
      </c>
      <c r="C784" s="9" t="s">
        <v>67</v>
      </c>
      <c r="D784" s="9" t="s">
        <v>79</v>
      </c>
      <c r="E784" s="9" t="s">
        <v>80</v>
      </c>
      <c r="F784" s="11">
        <v>5</v>
      </c>
      <c r="G784" s="10">
        <v>2</v>
      </c>
      <c r="H784" s="10">
        <v>3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1</v>
      </c>
      <c r="W784" s="10">
        <v>2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2.5</v>
      </c>
      <c r="AL784" s="10">
        <v>2</v>
      </c>
      <c r="AM784" s="10">
        <v>3</v>
      </c>
      <c r="AN784" s="30">
        <v>0</v>
      </c>
    </row>
    <row r="785">
      <c r="A785" s="23">
        <v>4988</v>
      </c>
      <c r="B785" s="4" t="s">
        <v>1051</v>
      </c>
      <c r="C785" s="4" t="s">
        <v>67</v>
      </c>
      <c r="D785" s="4" t="s">
        <v>79</v>
      </c>
      <c r="E785" s="4" t="s">
        <v>82</v>
      </c>
      <c r="F785" s="6">
        <v>4</v>
      </c>
      <c r="G785" s="5">
        <v>3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1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43">
        <v>0</v>
      </c>
    </row>
    <row r="786">
      <c r="A786" s="24">
        <v>4990</v>
      </c>
      <c r="B786" s="9" t="s">
        <v>1052</v>
      </c>
      <c r="C786" s="9" t="s">
        <v>67</v>
      </c>
      <c r="D786" s="9" t="s">
        <v>79</v>
      </c>
      <c r="E786" s="9" t="s">
        <v>343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2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30">
        <v>0</v>
      </c>
    </row>
    <row r="787">
      <c r="A787" s="23">
        <v>5016</v>
      </c>
      <c r="B787" s="4" t="s">
        <v>1053</v>
      </c>
      <c r="C787" s="4" t="s">
        <v>67</v>
      </c>
      <c r="D787" s="4" t="s">
        <v>91</v>
      </c>
      <c r="E787" s="4" t="s">
        <v>340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3">
        <v>0</v>
      </c>
    </row>
    <row r="788">
      <c r="A788" s="24">
        <v>5023</v>
      </c>
      <c r="B788" s="9" t="s">
        <v>1054</v>
      </c>
      <c r="C788" s="9" t="s">
        <v>177</v>
      </c>
      <c r="D788" s="9" t="s">
        <v>194</v>
      </c>
      <c r="E788" s="9" t="s">
        <v>204</v>
      </c>
      <c r="F788" s="11">
        <v>1</v>
      </c>
      <c r="G788" s="12">
        <v>0</v>
      </c>
      <c r="H788" s="12">
        <v>0</v>
      </c>
      <c r="I788" s="12">
        <v>0</v>
      </c>
      <c r="J788" s="12">
        <v>0</v>
      </c>
      <c r="K788" s="10">
        <v>1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2">
        <v>0</v>
      </c>
      <c r="Z788" s="10">
        <v>1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5024</v>
      </c>
      <c r="B789" s="4" t="s">
        <v>1055</v>
      </c>
      <c r="C789" s="4" t="s">
        <v>142</v>
      </c>
      <c r="D789" s="4" t="s">
        <v>600</v>
      </c>
      <c r="E789" s="4" t="s">
        <v>601</v>
      </c>
      <c r="F789" s="6">
        <v>2</v>
      </c>
      <c r="G789" s="7">
        <v>0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7">
        <v>0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0.5</v>
      </c>
    </row>
    <row r="790">
      <c r="A790" s="24">
        <v>5028</v>
      </c>
      <c r="B790" s="9" t="s">
        <v>1056</v>
      </c>
      <c r="C790" s="9" t="s">
        <v>67</v>
      </c>
      <c r="D790" s="9" t="s">
        <v>111</v>
      </c>
      <c r="E790" s="9" t="s">
        <v>153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1.14</v>
      </c>
    </row>
    <row r="791">
      <c r="A791" s="23">
        <v>5029</v>
      </c>
      <c r="B791" s="4" t="s">
        <v>1057</v>
      </c>
      <c r="C791" s="4" t="s">
        <v>67</v>
      </c>
      <c r="D791" s="4" t="s">
        <v>99</v>
      </c>
      <c r="E791" s="4" t="s">
        <v>132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3">
        <v>0</v>
      </c>
    </row>
    <row r="792">
      <c r="A792" s="24">
        <v>5032</v>
      </c>
      <c r="B792" s="9" t="s">
        <v>1058</v>
      </c>
      <c r="C792" s="9" t="s">
        <v>67</v>
      </c>
      <c r="D792" s="9" t="s">
        <v>91</v>
      </c>
      <c r="E792" s="9" t="s">
        <v>494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5045</v>
      </c>
      <c r="B793" s="4" t="s">
        <v>1059</v>
      </c>
      <c r="C793" s="4" t="s">
        <v>67</v>
      </c>
      <c r="D793" s="4" t="s">
        <v>104</v>
      </c>
      <c r="E793" s="4" t="s">
        <v>669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7">
        <v>0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0.5</v>
      </c>
    </row>
    <row r="794">
      <c r="A794" s="24">
        <v>5048</v>
      </c>
      <c r="B794" s="9" t="s">
        <v>1060</v>
      </c>
      <c r="C794" s="9" t="s">
        <v>67</v>
      </c>
      <c r="D794" s="9" t="s">
        <v>159</v>
      </c>
      <c r="E794" s="9" t="s">
        <v>367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0.26</v>
      </c>
    </row>
    <row r="795">
      <c r="A795" s="23">
        <v>5049</v>
      </c>
      <c r="B795" s="4" t="s">
        <v>1061</v>
      </c>
      <c r="C795" s="4" t="s">
        <v>67</v>
      </c>
      <c r="D795" s="4" t="s">
        <v>134</v>
      </c>
      <c r="E795" s="4" t="s">
        <v>135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0.32</v>
      </c>
    </row>
    <row r="796">
      <c r="A796" s="24">
        <v>5058</v>
      </c>
      <c r="B796" s="9" t="s">
        <v>1062</v>
      </c>
      <c r="C796" s="9" t="s">
        <v>67</v>
      </c>
      <c r="D796" s="9" t="s">
        <v>79</v>
      </c>
      <c r="E796" s="9" t="s">
        <v>80</v>
      </c>
      <c r="F796" s="11">
        <v>2</v>
      </c>
      <c r="G796" s="12">
        <v>0</v>
      </c>
      <c r="H796" s="12">
        <v>0</v>
      </c>
      <c r="I796" s="10">
        <v>1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2">
        <v>0</v>
      </c>
      <c r="W796" s="12">
        <v>0</v>
      </c>
      <c r="X796" s="10">
        <v>1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5063</v>
      </c>
      <c r="B797" s="4" t="s">
        <v>1063</v>
      </c>
      <c r="C797" s="4" t="s">
        <v>67</v>
      </c>
      <c r="D797" s="4" t="s">
        <v>125</v>
      </c>
      <c r="E797" s="4" t="s">
        <v>126</v>
      </c>
      <c r="F797" s="6">
        <v>3</v>
      </c>
      <c r="G797" s="5">
        <v>1</v>
      </c>
      <c r="H797" s="7">
        <v>0</v>
      </c>
      <c r="I797" s="5">
        <v>1</v>
      </c>
      <c r="J797" s="7">
        <v>0</v>
      </c>
      <c r="K797" s="7">
        <v>0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1</v>
      </c>
      <c r="W797" s="7">
        <v>0</v>
      </c>
      <c r="X797" s="5">
        <v>1</v>
      </c>
      <c r="Y797" s="7">
        <v>0</v>
      </c>
      <c r="Z797" s="7">
        <v>0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3">
        <v>0</v>
      </c>
    </row>
    <row r="798">
      <c r="A798" s="24">
        <v>5064</v>
      </c>
      <c r="B798" s="9" t="s">
        <v>1064</v>
      </c>
      <c r="C798" s="9" t="s">
        <v>67</v>
      </c>
      <c r="D798" s="9" t="s">
        <v>75</v>
      </c>
      <c r="E798" s="9" t="s">
        <v>171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5065</v>
      </c>
      <c r="B799" s="4" t="s">
        <v>1065</v>
      </c>
      <c r="C799" s="4" t="s">
        <v>67</v>
      </c>
      <c r="D799" s="4" t="s">
        <v>86</v>
      </c>
      <c r="E799" s="4" t="s">
        <v>140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0.37</v>
      </c>
    </row>
    <row r="800">
      <c r="A800" s="24">
        <v>5071</v>
      </c>
      <c r="B800" s="9" t="s">
        <v>1066</v>
      </c>
      <c r="C800" s="9" t="s">
        <v>67</v>
      </c>
      <c r="D800" s="9" t="s">
        <v>71</v>
      </c>
      <c r="E800" s="9" t="s">
        <v>118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0.36</v>
      </c>
    </row>
    <row r="801">
      <c r="A801" s="23">
        <v>5085</v>
      </c>
      <c r="B801" s="4" t="s">
        <v>1067</v>
      </c>
      <c r="C801" s="4" t="s">
        <v>67</v>
      </c>
      <c r="D801" s="4" t="s">
        <v>159</v>
      </c>
      <c r="E801" s="4" t="s">
        <v>160</v>
      </c>
      <c r="F801" s="6">
        <v>2</v>
      </c>
      <c r="G801" s="5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43">
        <v>0</v>
      </c>
    </row>
    <row r="802">
      <c r="A802" s="24">
        <v>5092</v>
      </c>
      <c r="B802" s="9" t="s">
        <v>1068</v>
      </c>
      <c r="C802" s="9" t="s">
        <v>67</v>
      </c>
      <c r="D802" s="9" t="s">
        <v>86</v>
      </c>
      <c r="E802" s="9" t="s">
        <v>140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5103</v>
      </c>
      <c r="B803" s="4" t="s">
        <v>1069</v>
      </c>
      <c r="C803" s="4" t="s">
        <v>142</v>
      </c>
      <c r="D803" s="4" t="s">
        <v>469</v>
      </c>
      <c r="E803" s="4" t="s">
        <v>581</v>
      </c>
      <c r="F803" s="6">
        <v>4</v>
      </c>
      <c r="G803" s="7">
        <v>0</v>
      </c>
      <c r="H803" s="5">
        <v>1</v>
      </c>
      <c r="I803" s="5">
        <v>2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7">
        <v>0</v>
      </c>
      <c r="W803" s="5">
        <v>1</v>
      </c>
      <c r="X803" s="5">
        <v>2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43">
        <v>0</v>
      </c>
    </row>
    <row r="804">
      <c r="A804" s="24">
        <v>5113</v>
      </c>
      <c r="B804" s="9" t="s">
        <v>1070</v>
      </c>
      <c r="C804" s="9" t="s">
        <v>67</v>
      </c>
      <c r="D804" s="9" t="s">
        <v>111</v>
      </c>
      <c r="E804" s="9" t="s">
        <v>221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5119</v>
      </c>
      <c r="B805" s="4" t="s">
        <v>1071</v>
      </c>
      <c r="C805" s="4" t="s">
        <v>632</v>
      </c>
      <c r="D805" s="4" t="s">
        <v>635</v>
      </c>
      <c r="E805" s="4" t="s">
        <v>379</v>
      </c>
      <c r="F805" s="6">
        <v>2</v>
      </c>
      <c r="G805" s="7">
        <v>0</v>
      </c>
      <c r="H805" s="5">
        <v>1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5">
        <v>1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0.48</v>
      </c>
    </row>
    <row r="806">
      <c r="A806" s="24">
        <v>5129</v>
      </c>
      <c r="B806" s="9" t="s">
        <v>1072</v>
      </c>
      <c r="C806" s="9" t="s">
        <v>67</v>
      </c>
      <c r="D806" s="9" t="s">
        <v>86</v>
      </c>
      <c r="E806" s="9" t="s">
        <v>102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5149</v>
      </c>
      <c r="B807" s="4" t="s">
        <v>1073</v>
      </c>
      <c r="C807" s="4" t="s">
        <v>67</v>
      </c>
      <c r="D807" s="4" t="s">
        <v>86</v>
      </c>
      <c r="E807" s="4" t="s">
        <v>148</v>
      </c>
      <c r="F807" s="6">
        <v>4</v>
      </c>
      <c r="G807" s="5">
        <v>2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</v>
      </c>
      <c r="V807" s="5">
        <v>2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1.33</v>
      </c>
      <c r="AL807" s="5">
        <v>1</v>
      </c>
      <c r="AM807" s="5">
        <v>2</v>
      </c>
      <c r="AN807" s="28">
        <v>0.5</v>
      </c>
    </row>
    <row r="808">
      <c r="A808" s="24">
        <v>5150</v>
      </c>
      <c r="B808" s="9" t="s">
        <v>1074</v>
      </c>
      <c r="C808" s="9" t="s">
        <v>67</v>
      </c>
      <c r="D808" s="9" t="s">
        <v>86</v>
      </c>
      <c r="E808" s="9" t="s">
        <v>148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30">
        <v>0</v>
      </c>
    </row>
    <row r="809">
      <c r="A809" s="23">
        <v>5153</v>
      </c>
      <c r="B809" s="4" t="s">
        <v>1075</v>
      </c>
      <c r="C809" s="4" t="s">
        <v>67</v>
      </c>
      <c r="D809" s="4" t="s">
        <v>86</v>
      </c>
      <c r="E809" s="4" t="s">
        <v>148</v>
      </c>
      <c r="F809" s="6">
        <v>3</v>
      </c>
      <c r="G809" s="5">
        <v>1</v>
      </c>
      <c r="H809" s="7">
        <v>0</v>
      </c>
      <c r="I809" s="5">
        <v>2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5">
        <v>1</v>
      </c>
      <c r="W809" s="7">
        <v>0</v>
      </c>
      <c r="X809" s="5">
        <v>2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5169</v>
      </c>
      <c r="B810" s="9" t="s">
        <v>1076</v>
      </c>
      <c r="C810" s="9" t="s">
        <v>67</v>
      </c>
      <c r="D810" s="9" t="s">
        <v>134</v>
      </c>
      <c r="E810" s="9" t="s">
        <v>345</v>
      </c>
      <c r="F810" s="11">
        <v>3</v>
      </c>
      <c r="G810" s="10">
        <v>3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0">
        <v>3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3</v>
      </c>
      <c r="AL810" s="10">
        <v>3</v>
      </c>
      <c r="AM810" s="10">
        <v>3</v>
      </c>
      <c r="AN810" s="29">
        <v>1.11</v>
      </c>
    </row>
    <row r="811">
      <c r="A811" s="23">
        <v>5171</v>
      </c>
      <c r="B811" s="4" t="s">
        <v>524</v>
      </c>
      <c r="C811" s="4" t="s">
        <v>67</v>
      </c>
      <c r="D811" s="4" t="s">
        <v>79</v>
      </c>
      <c r="E811" s="4" t="s">
        <v>343</v>
      </c>
      <c r="F811" s="6">
        <v>2</v>
      </c>
      <c r="G811" s="7">
        <v>0</v>
      </c>
      <c r="H811" s="7">
        <v>0</v>
      </c>
      <c r="I811" s="5">
        <v>1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5">
        <v>1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3">
        <v>0</v>
      </c>
    </row>
    <row r="812">
      <c r="A812" s="24">
        <v>5186</v>
      </c>
      <c r="B812" s="9" t="s">
        <v>1077</v>
      </c>
      <c r="C812" s="9" t="s">
        <v>177</v>
      </c>
      <c r="D812" s="9" t="s">
        <v>178</v>
      </c>
      <c r="E812" s="9" t="s">
        <v>189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0">
        <v>0</v>
      </c>
    </row>
    <row r="813">
      <c r="A813" s="23">
        <v>5193</v>
      </c>
      <c r="B813" s="4" t="s">
        <v>1078</v>
      </c>
      <c r="C813" s="4" t="s">
        <v>67</v>
      </c>
      <c r="D813" s="4" t="s">
        <v>86</v>
      </c>
      <c r="E813" s="4" t="s">
        <v>87</v>
      </c>
      <c r="F813" s="6">
        <v>4</v>
      </c>
      <c r="G813" s="7">
        <v>0</v>
      </c>
      <c r="H813" s="7">
        <v>0</v>
      </c>
      <c r="I813" s="7">
        <v>0</v>
      </c>
      <c r="J813" s="5">
        <v>4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7">
        <v>0</v>
      </c>
      <c r="W813" s="7">
        <v>0</v>
      </c>
      <c r="X813" s="7">
        <v>0</v>
      </c>
      <c r="Y813" s="5">
        <v>4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1.33</v>
      </c>
      <c r="AL813" s="5">
        <v>1</v>
      </c>
      <c r="AM813" s="5">
        <v>2</v>
      </c>
      <c r="AN813" s="28">
        <v>1</v>
      </c>
    </row>
    <row r="814">
      <c r="A814" s="24">
        <v>5199</v>
      </c>
      <c r="B814" s="9" t="s">
        <v>1079</v>
      </c>
      <c r="C814" s="9" t="s">
        <v>67</v>
      </c>
      <c r="D814" s="9" t="s">
        <v>79</v>
      </c>
      <c r="E814" s="9" t="s">
        <v>80</v>
      </c>
      <c r="F814" s="11">
        <v>3</v>
      </c>
      <c r="G814" s="12">
        <v>0</v>
      </c>
      <c r="H814" s="12">
        <v>0</v>
      </c>
      <c r="I814" s="12">
        <v>0</v>
      </c>
      <c r="J814" s="10">
        <v>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2">
        <v>0</v>
      </c>
      <c r="W814" s="12">
        <v>0</v>
      </c>
      <c r="X814" s="12">
        <v>0</v>
      </c>
      <c r="Y814" s="10">
        <v>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29">
        <v>0.78</v>
      </c>
    </row>
    <row r="815">
      <c r="A815" s="23">
        <v>5200</v>
      </c>
      <c r="B815" s="4" t="s">
        <v>1080</v>
      </c>
      <c r="C815" s="4" t="s">
        <v>67</v>
      </c>
      <c r="D815" s="4" t="s">
        <v>79</v>
      </c>
      <c r="E815" s="4" t="s">
        <v>80</v>
      </c>
      <c r="F815" s="6">
        <v>4</v>
      </c>
      <c r="G815" s="5">
        <v>3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4</v>
      </c>
      <c r="V815" s="5">
        <v>3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43">
        <v>0</v>
      </c>
    </row>
    <row r="816">
      <c r="A816" s="24">
        <v>5204</v>
      </c>
      <c r="B816" s="9" t="s">
        <v>1081</v>
      </c>
      <c r="C816" s="9" t="s">
        <v>177</v>
      </c>
      <c r="D816" s="9" t="s">
        <v>178</v>
      </c>
      <c r="E816" s="9" t="s">
        <v>189</v>
      </c>
      <c r="F816" s="11">
        <v>2</v>
      </c>
      <c r="G816" s="12">
        <v>0</v>
      </c>
      <c r="H816" s="12">
        <v>0</v>
      </c>
      <c r="I816" s="10">
        <v>1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2">
        <v>0</v>
      </c>
      <c r="W816" s="12">
        <v>0</v>
      </c>
      <c r="X816" s="10">
        <v>1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5212</v>
      </c>
      <c r="B817" s="4" t="s">
        <v>1082</v>
      </c>
      <c r="C817" s="4" t="s">
        <v>67</v>
      </c>
      <c r="D817" s="4" t="s">
        <v>75</v>
      </c>
      <c r="E817" s="4" t="s">
        <v>120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0.36</v>
      </c>
    </row>
    <row r="818">
      <c r="A818" s="24">
        <v>5221</v>
      </c>
      <c r="B818" s="9" t="s">
        <v>1083</v>
      </c>
      <c r="C818" s="9" t="s">
        <v>177</v>
      </c>
      <c r="D818" s="9" t="s">
        <v>923</v>
      </c>
      <c r="E818" s="9" t="s">
        <v>1084</v>
      </c>
      <c r="F818" s="11">
        <v>1</v>
      </c>
      <c r="G818" s="12">
        <v>0</v>
      </c>
      <c r="H818" s="12">
        <v>0</v>
      </c>
      <c r="I818" s="12">
        <v>0</v>
      </c>
      <c r="J818" s="12">
        <v>0</v>
      </c>
      <c r="K818" s="10">
        <v>1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2">
        <v>0</v>
      </c>
      <c r="Y818" s="12">
        <v>0</v>
      </c>
      <c r="Z818" s="10">
        <v>1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5223</v>
      </c>
      <c r="B819" s="4" t="s">
        <v>1085</v>
      </c>
      <c r="C819" s="4" t="s">
        <v>67</v>
      </c>
      <c r="D819" s="4" t="s">
        <v>134</v>
      </c>
      <c r="E819" s="4" t="s">
        <v>429</v>
      </c>
      <c r="F819" s="6">
        <v>4</v>
      </c>
      <c r="G819" s="5">
        <v>2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5">
        <v>1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1.33</v>
      </c>
      <c r="AL819" s="5">
        <v>1</v>
      </c>
      <c r="AM819" s="5">
        <v>2</v>
      </c>
      <c r="AN819" s="28">
        <v>0.5</v>
      </c>
    </row>
    <row r="820">
      <c r="A820" s="24">
        <v>5239</v>
      </c>
      <c r="B820" s="9" t="s">
        <v>1086</v>
      </c>
      <c r="C820" s="9" t="s">
        <v>67</v>
      </c>
      <c r="D820" s="9" t="s">
        <v>79</v>
      </c>
      <c r="E820" s="9" t="s">
        <v>209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5247</v>
      </c>
      <c r="B821" s="4" t="s">
        <v>1087</v>
      </c>
      <c r="C821" s="4" t="s">
        <v>67</v>
      </c>
      <c r="D821" s="4" t="s">
        <v>86</v>
      </c>
      <c r="E821" s="4" t="s">
        <v>87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5249</v>
      </c>
      <c r="B822" s="9" t="s">
        <v>1088</v>
      </c>
      <c r="C822" s="9" t="s">
        <v>67</v>
      </c>
      <c r="D822" s="9" t="s">
        <v>86</v>
      </c>
      <c r="E822" s="9" t="s">
        <v>87</v>
      </c>
      <c r="F822" s="11">
        <v>2</v>
      </c>
      <c r="G822" s="10">
        <v>1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1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0.22</v>
      </c>
    </row>
    <row r="823">
      <c r="A823" s="23">
        <v>5259</v>
      </c>
      <c r="B823" s="4" t="s">
        <v>1089</v>
      </c>
      <c r="C823" s="4" t="s">
        <v>67</v>
      </c>
      <c r="D823" s="4" t="s">
        <v>86</v>
      </c>
      <c r="E823" s="4" t="s">
        <v>87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0.26</v>
      </c>
    </row>
    <row r="824">
      <c r="A824" s="24">
        <v>5271</v>
      </c>
      <c r="B824" s="9" t="s">
        <v>1090</v>
      </c>
      <c r="C824" s="9" t="s">
        <v>67</v>
      </c>
      <c r="D824" s="9" t="s">
        <v>86</v>
      </c>
      <c r="E824" s="9" t="s">
        <v>87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5278</v>
      </c>
      <c r="B825" s="4" t="s">
        <v>976</v>
      </c>
      <c r="C825" s="4" t="s">
        <v>67</v>
      </c>
      <c r="D825" s="4" t="s">
        <v>86</v>
      </c>
      <c r="E825" s="4" t="s">
        <v>87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5296</v>
      </c>
      <c r="B826" s="9" t="s">
        <v>1091</v>
      </c>
      <c r="C826" s="9" t="s">
        <v>67</v>
      </c>
      <c r="D826" s="9" t="s">
        <v>79</v>
      </c>
      <c r="E826" s="9" t="s">
        <v>209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5301</v>
      </c>
      <c r="B827" s="4" t="s">
        <v>1092</v>
      </c>
      <c r="C827" s="4" t="s">
        <v>67</v>
      </c>
      <c r="D827" s="4" t="s">
        <v>99</v>
      </c>
      <c r="E827" s="4" t="s">
        <v>1093</v>
      </c>
      <c r="F827" s="6">
        <v>4</v>
      </c>
      <c r="G827" s="7">
        <v>0</v>
      </c>
      <c r="H827" s="7">
        <v>0</v>
      </c>
      <c r="I827" s="5">
        <v>1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7">
        <v>0</v>
      </c>
      <c r="W827" s="7">
        <v>0</v>
      </c>
      <c r="X827" s="5">
        <v>1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0.75</v>
      </c>
    </row>
    <row r="828">
      <c r="A828" s="24">
        <v>5305</v>
      </c>
      <c r="B828" s="9" t="s">
        <v>1094</v>
      </c>
      <c r="C828" s="9" t="s">
        <v>67</v>
      </c>
      <c r="D828" s="9" t="s">
        <v>134</v>
      </c>
      <c r="E828" s="9" t="s">
        <v>135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5308</v>
      </c>
      <c r="B829" s="4" t="s">
        <v>1095</v>
      </c>
      <c r="C829" s="4" t="s">
        <v>142</v>
      </c>
      <c r="D829" s="4" t="s">
        <v>252</v>
      </c>
      <c r="E829" s="4" t="s">
        <v>253</v>
      </c>
      <c r="F829" s="6">
        <v>3</v>
      </c>
      <c r="G829" s="7">
        <v>0</v>
      </c>
      <c r="H829" s="7">
        <v>0</v>
      </c>
      <c r="I829" s="7">
        <v>0</v>
      </c>
      <c r="J829" s="5">
        <v>3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7">
        <v>0</v>
      </c>
      <c r="W829" s="7">
        <v>0</v>
      </c>
      <c r="X829" s="7">
        <v>0</v>
      </c>
      <c r="Y829" s="5">
        <v>3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28">
        <v>0.72</v>
      </c>
    </row>
    <row r="830">
      <c r="A830" s="24">
        <v>5315</v>
      </c>
      <c r="B830" s="9" t="s">
        <v>1096</v>
      </c>
      <c r="C830" s="9" t="s">
        <v>67</v>
      </c>
      <c r="D830" s="9" t="s">
        <v>79</v>
      </c>
      <c r="E830" s="9" t="s">
        <v>343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5328</v>
      </c>
      <c r="B831" s="4" t="s">
        <v>1097</v>
      </c>
      <c r="C831" s="4" t="s">
        <v>67</v>
      </c>
      <c r="D831" s="4" t="s">
        <v>79</v>
      </c>
      <c r="E831" s="4" t="s">
        <v>80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3">
        <v>0</v>
      </c>
    </row>
    <row r="832">
      <c r="A832" s="24">
        <v>5337</v>
      </c>
      <c r="B832" s="9" t="s">
        <v>1098</v>
      </c>
      <c r="C832" s="9" t="s">
        <v>67</v>
      </c>
      <c r="D832" s="9" t="s">
        <v>111</v>
      </c>
      <c r="E832" s="9" t="s">
        <v>221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0.26</v>
      </c>
    </row>
    <row r="833">
      <c r="A833" s="23">
        <v>5353</v>
      </c>
      <c r="B833" s="4" t="s">
        <v>1099</v>
      </c>
      <c r="C833" s="4" t="s">
        <v>67</v>
      </c>
      <c r="D833" s="4" t="s">
        <v>134</v>
      </c>
      <c r="E833" s="4" t="s">
        <v>345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43">
        <v>0</v>
      </c>
    </row>
    <row r="834">
      <c r="A834" s="24">
        <v>5361</v>
      </c>
      <c r="B834" s="9" t="s">
        <v>1100</v>
      </c>
      <c r="C834" s="9" t="s">
        <v>67</v>
      </c>
      <c r="D834" s="9" t="s">
        <v>71</v>
      </c>
      <c r="E834" s="9" t="s">
        <v>118</v>
      </c>
      <c r="F834" s="11">
        <v>4</v>
      </c>
      <c r="G834" s="10">
        <v>2</v>
      </c>
      <c r="H834" s="10">
        <v>1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0">
        <v>2</v>
      </c>
      <c r="W834" s="10">
        <v>1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1.33</v>
      </c>
      <c r="AL834" s="10">
        <v>1</v>
      </c>
      <c r="AM834" s="10">
        <v>2</v>
      </c>
      <c r="AN834" s="29">
        <v>1</v>
      </c>
    </row>
    <row r="835">
      <c r="A835" s="23">
        <v>5362</v>
      </c>
      <c r="B835" s="4" t="s">
        <v>1101</v>
      </c>
      <c r="C835" s="4" t="s">
        <v>67</v>
      </c>
      <c r="D835" s="4" t="s">
        <v>71</v>
      </c>
      <c r="E835" s="4" t="s">
        <v>118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5382</v>
      </c>
      <c r="B836" s="9" t="s">
        <v>1102</v>
      </c>
      <c r="C836" s="9" t="s">
        <v>67</v>
      </c>
      <c r="D836" s="9" t="s">
        <v>75</v>
      </c>
      <c r="E836" s="9" t="s">
        <v>120</v>
      </c>
      <c r="F836" s="11">
        <v>11</v>
      </c>
      <c r="G836" s="10">
        <v>10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9</v>
      </c>
      <c r="V836" s="10">
        <v>8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3.67</v>
      </c>
      <c r="AL836" s="10">
        <v>3</v>
      </c>
      <c r="AM836" s="10">
        <v>7</v>
      </c>
      <c r="AN836" s="30">
        <v>0</v>
      </c>
    </row>
    <row r="837">
      <c r="A837" s="23">
        <v>5398</v>
      </c>
      <c r="B837" s="4" t="s">
        <v>1103</v>
      </c>
      <c r="C837" s="4" t="s">
        <v>67</v>
      </c>
      <c r="D837" s="4" t="s">
        <v>111</v>
      </c>
      <c r="E837" s="4" t="s">
        <v>722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5">
        <v>1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5">
        <v>1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3">
        <v>0</v>
      </c>
    </row>
    <row r="838">
      <c r="A838" s="24">
        <v>5402</v>
      </c>
      <c r="B838" s="9" t="s">
        <v>1104</v>
      </c>
      <c r="C838" s="9" t="s">
        <v>67</v>
      </c>
      <c r="D838" s="9" t="s">
        <v>134</v>
      </c>
      <c r="E838" s="9" t="s">
        <v>345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5427</v>
      </c>
      <c r="B839" s="4" t="s">
        <v>1105</v>
      </c>
      <c r="C839" s="4" t="s">
        <v>142</v>
      </c>
      <c r="D839" s="4" t="s">
        <v>486</v>
      </c>
      <c r="E839" s="4" t="s">
        <v>1106</v>
      </c>
      <c r="F839" s="6">
        <v>4</v>
      </c>
      <c r="G839" s="5">
        <v>1</v>
      </c>
      <c r="H839" s="7">
        <v>0</v>
      </c>
      <c r="I839" s="5">
        <v>1</v>
      </c>
      <c r="J839" s="7">
        <v>0</v>
      </c>
      <c r="K839" s="7">
        <v>0</v>
      </c>
      <c r="L839" s="5">
        <v>2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1</v>
      </c>
      <c r="W839" s="7">
        <v>0</v>
      </c>
      <c r="X839" s="5">
        <v>1</v>
      </c>
      <c r="Y839" s="7">
        <v>0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1.33</v>
      </c>
      <c r="AL839" s="5">
        <v>1</v>
      </c>
      <c r="AM839" s="5">
        <v>2</v>
      </c>
      <c r="AN839" s="43">
        <v>0</v>
      </c>
    </row>
    <row r="840">
      <c r="A840" s="24">
        <v>5438</v>
      </c>
      <c r="B840" s="9" t="s">
        <v>1107</v>
      </c>
      <c r="C840" s="9" t="s">
        <v>67</v>
      </c>
      <c r="D840" s="9" t="s">
        <v>75</v>
      </c>
      <c r="E840" s="9" t="s">
        <v>294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5463</v>
      </c>
      <c r="B841" s="4" t="s">
        <v>1108</v>
      </c>
      <c r="C841" s="4" t="s">
        <v>142</v>
      </c>
      <c r="D841" s="4" t="s">
        <v>480</v>
      </c>
      <c r="E841" s="4" t="s">
        <v>481</v>
      </c>
      <c r="F841" s="6">
        <v>1</v>
      </c>
      <c r="G841" s="7">
        <v>0</v>
      </c>
      <c r="H841" s="7">
        <v>0</v>
      </c>
      <c r="I841" s="7">
        <v>0</v>
      </c>
      <c r="J841" s="7">
        <v>0</v>
      </c>
      <c r="K841" s="5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7">
        <v>0</v>
      </c>
      <c r="Z841" s="5">
        <v>1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3">
        <v>0</v>
      </c>
    </row>
    <row r="842">
      <c r="A842" s="24">
        <v>5475</v>
      </c>
      <c r="B842" s="9" t="s">
        <v>1109</v>
      </c>
      <c r="C842" s="9" t="s">
        <v>67</v>
      </c>
      <c r="D842" s="9" t="s">
        <v>91</v>
      </c>
      <c r="E842" s="9" t="s">
        <v>1110</v>
      </c>
      <c r="F842" s="11">
        <v>6</v>
      </c>
      <c r="G842" s="10">
        <v>2</v>
      </c>
      <c r="H842" s="12">
        <v>0</v>
      </c>
      <c r="I842" s="12">
        <v>0</v>
      </c>
      <c r="J842" s="10">
        <v>4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0">
        <v>1</v>
      </c>
      <c r="W842" s="12">
        <v>0</v>
      </c>
      <c r="X842" s="12">
        <v>0</v>
      </c>
      <c r="Y842" s="10">
        <v>4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3</v>
      </c>
      <c r="AL842" s="10">
        <v>3</v>
      </c>
      <c r="AM842" s="10">
        <v>4</v>
      </c>
      <c r="AN842" s="29">
        <v>1.04</v>
      </c>
    </row>
    <row r="843">
      <c r="A843" s="23">
        <v>5476</v>
      </c>
      <c r="B843" s="4" t="s">
        <v>1111</v>
      </c>
      <c r="C843" s="4" t="s">
        <v>142</v>
      </c>
      <c r="D843" s="4" t="s">
        <v>406</v>
      </c>
      <c r="E843" s="4" t="s">
        <v>412</v>
      </c>
      <c r="F843" s="6">
        <v>12</v>
      </c>
      <c r="G843" s="5">
        <v>1</v>
      </c>
      <c r="H843" s="5">
        <v>2</v>
      </c>
      <c r="I843" s="5">
        <v>3</v>
      </c>
      <c r="J843" s="5">
        <v>1</v>
      </c>
      <c r="K843" s="5">
        <v>4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12</v>
      </c>
      <c r="V843" s="5">
        <v>1</v>
      </c>
      <c r="W843" s="5">
        <v>2</v>
      </c>
      <c r="X843" s="5">
        <v>3</v>
      </c>
      <c r="Y843" s="5">
        <v>1</v>
      </c>
      <c r="Z843" s="5">
        <v>4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1</v>
      </c>
      <c r="AM843" s="5">
        <v>4</v>
      </c>
      <c r="AN843" s="28">
        <v>0.25</v>
      </c>
    </row>
    <row r="844">
      <c r="A844" s="24">
        <v>5477</v>
      </c>
      <c r="B844" s="9" t="s">
        <v>1112</v>
      </c>
      <c r="C844" s="9" t="s">
        <v>142</v>
      </c>
      <c r="D844" s="9" t="s">
        <v>469</v>
      </c>
      <c r="E844" s="9" t="s">
        <v>581</v>
      </c>
      <c r="F844" s="11">
        <v>7</v>
      </c>
      <c r="G844" s="10">
        <v>1</v>
      </c>
      <c r="H844" s="10">
        <v>1</v>
      </c>
      <c r="I844" s="10">
        <v>3</v>
      </c>
      <c r="J844" s="10">
        <v>1</v>
      </c>
      <c r="K844" s="10">
        <v>1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7</v>
      </c>
      <c r="V844" s="10">
        <v>1</v>
      </c>
      <c r="W844" s="10">
        <v>1</v>
      </c>
      <c r="X844" s="10">
        <v>3</v>
      </c>
      <c r="Y844" s="10">
        <v>1</v>
      </c>
      <c r="Z844" s="10">
        <v>1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1.17</v>
      </c>
      <c r="AL844" s="10">
        <v>1</v>
      </c>
      <c r="AM844" s="10">
        <v>2</v>
      </c>
      <c r="AN844" s="29">
        <v>1.75</v>
      </c>
    </row>
    <row r="845">
      <c r="A845" s="23">
        <v>5479</v>
      </c>
      <c r="B845" s="4" t="s">
        <v>1113</v>
      </c>
      <c r="C845" s="4" t="s">
        <v>67</v>
      </c>
      <c r="D845" s="4" t="s">
        <v>86</v>
      </c>
      <c r="E845" s="4" t="s">
        <v>473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0.26</v>
      </c>
    </row>
    <row r="846">
      <c r="A846" s="24">
        <v>5498</v>
      </c>
      <c r="B846" s="9" t="s">
        <v>1114</v>
      </c>
      <c r="C846" s="9" t="s">
        <v>67</v>
      </c>
      <c r="D846" s="9" t="s">
        <v>86</v>
      </c>
      <c r="E846" s="9" t="s">
        <v>140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0">
        <v>0</v>
      </c>
    </row>
    <row r="847">
      <c r="A847" s="23">
        <v>5500</v>
      </c>
      <c r="B847" s="4" t="s">
        <v>1115</v>
      </c>
      <c r="C847" s="4" t="s">
        <v>67</v>
      </c>
      <c r="D847" s="4" t="s">
        <v>134</v>
      </c>
      <c r="E847" s="4" t="s">
        <v>345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5505</v>
      </c>
      <c r="B848" s="9" t="s">
        <v>1116</v>
      </c>
      <c r="C848" s="9" t="s">
        <v>67</v>
      </c>
      <c r="D848" s="9" t="s">
        <v>71</v>
      </c>
      <c r="E848" s="9" t="s">
        <v>118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5507</v>
      </c>
      <c r="B849" s="4" t="s">
        <v>1117</v>
      </c>
      <c r="C849" s="4" t="s">
        <v>67</v>
      </c>
      <c r="D849" s="4" t="s">
        <v>134</v>
      </c>
      <c r="E849" s="4" t="s">
        <v>345</v>
      </c>
      <c r="F849" s="6">
        <v>3</v>
      </c>
      <c r="G849" s="5">
        <v>3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</v>
      </c>
      <c r="V849" s="5">
        <v>3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3</v>
      </c>
      <c r="AK849" s="8">
        <v>3</v>
      </c>
      <c r="AL849" s="5">
        <v>3</v>
      </c>
      <c r="AM849" s="5">
        <v>3</v>
      </c>
      <c r="AN849" s="28">
        <v>1.14</v>
      </c>
    </row>
    <row r="850">
      <c r="A850" s="24">
        <v>5511</v>
      </c>
      <c r="B850" s="9" t="s">
        <v>1118</v>
      </c>
      <c r="C850" s="9" t="s">
        <v>67</v>
      </c>
      <c r="D850" s="9" t="s">
        <v>71</v>
      </c>
      <c r="E850" s="9" t="s">
        <v>169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5512</v>
      </c>
      <c r="B851" s="4" t="s">
        <v>1119</v>
      </c>
      <c r="C851" s="4" t="s">
        <v>67</v>
      </c>
      <c r="D851" s="4" t="s">
        <v>86</v>
      </c>
      <c r="E851" s="4" t="s">
        <v>473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5513</v>
      </c>
      <c r="B852" s="9" t="s">
        <v>1120</v>
      </c>
      <c r="C852" s="9" t="s">
        <v>67</v>
      </c>
      <c r="D852" s="9" t="s">
        <v>86</v>
      </c>
      <c r="E852" s="9" t="s">
        <v>102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29">
        <v>0.38</v>
      </c>
    </row>
    <row r="853">
      <c r="A853" s="23">
        <v>5517</v>
      </c>
      <c r="B853" s="4" t="s">
        <v>1121</v>
      </c>
      <c r="C853" s="4" t="s">
        <v>67</v>
      </c>
      <c r="D853" s="4" t="s">
        <v>86</v>
      </c>
      <c r="E853" s="4" t="s">
        <v>140</v>
      </c>
      <c r="F853" s="6">
        <v>2</v>
      </c>
      <c r="G853" s="5">
        <v>1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1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0.26</v>
      </c>
    </row>
    <row r="854">
      <c r="A854" s="24">
        <v>5546</v>
      </c>
      <c r="B854" s="9" t="s">
        <v>1122</v>
      </c>
      <c r="C854" s="9" t="s">
        <v>177</v>
      </c>
      <c r="D854" s="9" t="s">
        <v>923</v>
      </c>
      <c r="E854" s="9" t="s">
        <v>1084</v>
      </c>
      <c r="F854" s="11">
        <v>5</v>
      </c>
      <c r="G854" s="10">
        <v>2</v>
      </c>
      <c r="H854" s="12">
        <v>0</v>
      </c>
      <c r="I854" s="10">
        <v>2</v>
      </c>
      <c r="J854" s="12">
        <v>0</v>
      </c>
      <c r="K854" s="10">
        <v>1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2</v>
      </c>
      <c r="W854" s="12">
        <v>0</v>
      </c>
      <c r="X854" s="10">
        <v>2</v>
      </c>
      <c r="Y854" s="12">
        <v>0</v>
      </c>
      <c r="Z854" s="10">
        <v>1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1.67</v>
      </c>
      <c r="AL854" s="10">
        <v>2</v>
      </c>
      <c r="AM854" s="10">
        <v>2</v>
      </c>
      <c r="AN854" s="30">
        <v>0</v>
      </c>
    </row>
    <row r="855">
      <c r="A855" s="23">
        <v>5560</v>
      </c>
      <c r="B855" s="4" t="s">
        <v>1123</v>
      </c>
      <c r="C855" s="4" t="s">
        <v>67</v>
      </c>
      <c r="D855" s="4" t="s">
        <v>86</v>
      </c>
      <c r="E855" s="4" t="s">
        <v>473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0.35</v>
      </c>
    </row>
    <row r="856">
      <c r="A856" s="24">
        <v>5561</v>
      </c>
      <c r="B856" s="9" t="s">
        <v>1124</v>
      </c>
      <c r="C856" s="9" t="s">
        <v>67</v>
      </c>
      <c r="D856" s="9" t="s">
        <v>79</v>
      </c>
      <c r="E856" s="9" t="s">
        <v>343</v>
      </c>
      <c r="F856" s="11">
        <v>2</v>
      </c>
      <c r="G856" s="10">
        <v>2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0">
        <v>2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30">
        <v>0</v>
      </c>
    </row>
    <row r="857">
      <c r="A857" s="23">
        <v>5632</v>
      </c>
      <c r="B857" s="4" t="s">
        <v>1125</v>
      </c>
      <c r="C857" s="4" t="s">
        <v>632</v>
      </c>
      <c r="D857" s="4" t="s">
        <v>863</v>
      </c>
      <c r="E857" s="4" t="s">
        <v>379</v>
      </c>
      <c r="F857" s="6">
        <v>2</v>
      </c>
      <c r="G857" s="7">
        <v>0</v>
      </c>
      <c r="H857" s="7">
        <v>0</v>
      </c>
      <c r="I857" s="5">
        <v>2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7">
        <v>0</v>
      </c>
      <c r="W857" s="7">
        <v>0</v>
      </c>
      <c r="X857" s="5">
        <v>2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0.22</v>
      </c>
    </row>
    <row r="858">
      <c r="A858" s="24">
        <v>5633</v>
      </c>
      <c r="B858" s="9" t="s">
        <v>1126</v>
      </c>
      <c r="C858" s="9" t="s">
        <v>632</v>
      </c>
      <c r="D858" s="9" t="s">
        <v>863</v>
      </c>
      <c r="E858" s="9" t="s">
        <v>379</v>
      </c>
      <c r="F858" s="11">
        <v>2</v>
      </c>
      <c r="G858" s="12">
        <v>0</v>
      </c>
      <c r="H858" s="12">
        <v>0</v>
      </c>
      <c r="I858" s="10">
        <v>2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2">
        <v>0</v>
      </c>
      <c r="W858" s="12">
        <v>0</v>
      </c>
      <c r="X858" s="10">
        <v>2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0.52</v>
      </c>
    </row>
    <row r="859">
      <c r="A859" s="23">
        <v>5645</v>
      </c>
      <c r="B859" s="4" t="s">
        <v>1127</v>
      </c>
      <c r="C859" s="4" t="s">
        <v>632</v>
      </c>
      <c r="D859" s="4" t="s">
        <v>676</v>
      </c>
      <c r="E859" s="4" t="s">
        <v>379</v>
      </c>
      <c r="F859" s="6">
        <v>1</v>
      </c>
      <c r="G859" s="7">
        <v>0</v>
      </c>
      <c r="H859" s="5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5">
        <v>1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5742</v>
      </c>
      <c r="B860" s="9" t="s">
        <v>1128</v>
      </c>
      <c r="C860" s="9" t="s">
        <v>632</v>
      </c>
      <c r="D860" s="9" t="s">
        <v>863</v>
      </c>
      <c r="E860" s="9" t="s">
        <v>379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0.26</v>
      </c>
    </row>
    <row r="861">
      <c r="A861" s="23">
        <v>5749</v>
      </c>
      <c r="B861" s="4" t="s">
        <v>1129</v>
      </c>
      <c r="C861" s="4" t="s">
        <v>632</v>
      </c>
      <c r="D861" s="4" t="s">
        <v>945</v>
      </c>
      <c r="E861" s="4" t="s">
        <v>379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5768</v>
      </c>
      <c r="B862" s="9" t="s">
        <v>1130</v>
      </c>
      <c r="C862" s="9" t="s">
        <v>632</v>
      </c>
      <c r="D862" s="9" t="s">
        <v>643</v>
      </c>
      <c r="E862" s="9" t="s">
        <v>379</v>
      </c>
      <c r="F862" s="11">
        <v>4</v>
      </c>
      <c r="G862" s="12">
        <v>0</v>
      </c>
      <c r="H862" s="12">
        <v>0</v>
      </c>
      <c r="I862" s="10">
        <v>3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2">
        <v>0</v>
      </c>
      <c r="W862" s="12">
        <v>0</v>
      </c>
      <c r="X862" s="10">
        <v>3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1.33</v>
      </c>
      <c r="AL862" s="10">
        <v>1</v>
      </c>
      <c r="AM862" s="10">
        <v>2</v>
      </c>
      <c r="AN862" s="29">
        <v>0.25</v>
      </c>
    </row>
    <row r="863">
      <c r="A863" s="23">
        <v>5804</v>
      </c>
      <c r="B863" s="4" t="s">
        <v>1131</v>
      </c>
      <c r="C863" s="4" t="s">
        <v>632</v>
      </c>
      <c r="D863" s="4" t="s">
        <v>676</v>
      </c>
      <c r="E863" s="4" t="s">
        <v>379</v>
      </c>
      <c r="F863" s="6">
        <v>3</v>
      </c>
      <c r="G863" s="7">
        <v>0</v>
      </c>
      <c r="H863" s="7">
        <v>0</v>
      </c>
      <c r="I863" s="5">
        <v>1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7">
        <v>0</v>
      </c>
      <c r="W863" s="7">
        <v>0</v>
      </c>
      <c r="X863" s="5">
        <v>1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28">
        <v>0.5</v>
      </c>
    </row>
    <row r="864">
      <c r="A864" s="24">
        <v>5818</v>
      </c>
      <c r="B864" s="9" t="s">
        <v>1132</v>
      </c>
      <c r="C864" s="9" t="s">
        <v>632</v>
      </c>
      <c r="D864" s="9" t="s">
        <v>637</v>
      </c>
      <c r="E864" s="9" t="s">
        <v>379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5932</v>
      </c>
      <c r="B865" s="4" t="s">
        <v>1133</v>
      </c>
      <c r="C865" s="4" t="s">
        <v>632</v>
      </c>
      <c r="D865" s="4" t="s">
        <v>945</v>
      </c>
      <c r="E865" s="4" t="s">
        <v>379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43">
        <v>0</v>
      </c>
    </row>
    <row r="866">
      <c r="A866" s="24">
        <v>5943</v>
      </c>
      <c r="B866" s="9" t="s">
        <v>1134</v>
      </c>
      <c r="C866" s="9" t="s">
        <v>632</v>
      </c>
      <c r="D866" s="9" t="s">
        <v>863</v>
      </c>
      <c r="E866" s="9" t="s">
        <v>379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5954</v>
      </c>
      <c r="B867" s="4" t="s">
        <v>1135</v>
      </c>
      <c r="C867" s="4" t="s">
        <v>656</v>
      </c>
      <c r="D867" s="4" t="s">
        <v>1136</v>
      </c>
      <c r="E867" s="4" t="s">
        <v>1137</v>
      </c>
      <c r="F867" s="6">
        <v>1</v>
      </c>
      <c r="G867" s="7">
        <v>0</v>
      </c>
      <c r="H867" s="7">
        <v>0</v>
      </c>
      <c r="I867" s="5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3">
        <v>0</v>
      </c>
    </row>
    <row r="868">
      <c r="A868" s="24">
        <v>5959</v>
      </c>
      <c r="B868" s="9" t="s">
        <v>1138</v>
      </c>
      <c r="C868" s="9" t="s">
        <v>724</v>
      </c>
      <c r="D868" s="9" t="s">
        <v>1139</v>
      </c>
      <c r="E868" s="9" t="s">
        <v>379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0.52</v>
      </c>
    </row>
    <row r="869">
      <c r="A869" s="23">
        <v>5974</v>
      </c>
      <c r="B869" s="4" t="s">
        <v>1140</v>
      </c>
      <c r="C869" s="4" t="s">
        <v>1141</v>
      </c>
      <c r="D869" s="4" t="s">
        <v>1142</v>
      </c>
      <c r="E869" s="4" t="s">
        <v>1143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43">
        <v>0</v>
      </c>
    </row>
    <row r="870">
      <c r="A870" s="24">
        <v>5980</v>
      </c>
      <c r="B870" s="9" t="s">
        <v>1144</v>
      </c>
      <c r="C870" s="9" t="s">
        <v>656</v>
      </c>
      <c r="D870" s="9" t="s">
        <v>714</v>
      </c>
      <c r="E870" s="9" t="s">
        <v>715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6000</v>
      </c>
      <c r="B871" s="4" t="s">
        <v>1145</v>
      </c>
      <c r="C871" s="4" t="s">
        <v>67</v>
      </c>
      <c r="D871" s="4" t="s">
        <v>91</v>
      </c>
      <c r="E871" s="4" t="s">
        <v>340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3">
        <v>0</v>
      </c>
    </row>
    <row r="872">
      <c r="A872" s="24">
        <v>6005</v>
      </c>
      <c r="B872" s="9" t="s">
        <v>1146</v>
      </c>
      <c r="C872" s="9" t="s">
        <v>724</v>
      </c>
      <c r="D872" s="9" t="s">
        <v>1139</v>
      </c>
      <c r="E872" s="9" t="s">
        <v>379</v>
      </c>
      <c r="F872" s="11">
        <v>2</v>
      </c>
      <c r="G872" s="10">
        <v>1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0">
        <v>1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6026</v>
      </c>
      <c r="B873" s="4" t="s">
        <v>1147</v>
      </c>
      <c r="C873" s="4" t="s">
        <v>656</v>
      </c>
      <c r="D873" s="4" t="s">
        <v>657</v>
      </c>
      <c r="E873" s="4" t="s">
        <v>1148</v>
      </c>
      <c r="F873" s="6">
        <v>2</v>
      </c>
      <c r="G873" s="7">
        <v>0</v>
      </c>
      <c r="H873" s="7">
        <v>0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7">
        <v>0</v>
      </c>
      <c r="W873" s="7">
        <v>0</v>
      </c>
      <c r="X873" s="7">
        <v>0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28">
        <v>0.5</v>
      </c>
    </row>
    <row r="874">
      <c r="A874" s="24">
        <v>6045</v>
      </c>
      <c r="B874" s="9" t="s">
        <v>1149</v>
      </c>
      <c r="C874" s="9" t="s">
        <v>724</v>
      </c>
      <c r="D874" s="9" t="s">
        <v>1139</v>
      </c>
      <c r="E874" s="9" t="s">
        <v>379</v>
      </c>
      <c r="F874" s="11">
        <v>7</v>
      </c>
      <c r="G874" s="12">
        <v>0</v>
      </c>
      <c r="H874" s="10">
        <v>1</v>
      </c>
      <c r="I874" s="12">
        <v>0</v>
      </c>
      <c r="J874" s="10">
        <v>6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6</v>
      </c>
      <c r="V874" s="12">
        <v>0</v>
      </c>
      <c r="W874" s="10">
        <v>1</v>
      </c>
      <c r="X874" s="12">
        <v>0</v>
      </c>
      <c r="Y874" s="10">
        <v>5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2.33</v>
      </c>
      <c r="AL874" s="10">
        <v>1</v>
      </c>
      <c r="AM874" s="10">
        <v>5</v>
      </c>
      <c r="AN874" s="29">
        <v>1.61</v>
      </c>
    </row>
    <row r="875">
      <c r="A875" s="23">
        <v>6078</v>
      </c>
      <c r="B875" s="4" t="s">
        <v>1150</v>
      </c>
      <c r="C875" s="4" t="s">
        <v>177</v>
      </c>
      <c r="D875" s="4" t="s">
        <v>178</v>
      </c>
      <c r="E875" s="4" t="s">
        <v>179</v>
      </c>
      <c r="F875" s="6">
        <v>2</v>
      </c>
      <c r="G875" s="5">
        <v>1</v>
      </c>
      <c r="H875" s="7">
        <v>0</v>
      </c>
      <c r="I875" s="7">
        <v>0</v>
      </c>
      <c r="J875" s="7">
        <v>0</v>
      </c>
      <c r="K875" s="5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1</v>
      </c>
      <c r="W875" s="7">
        <v>0</v>
      </c>
      <c r="X875" s="7">
        <v>0</v>
      </c>
      <c r="Y875" s="7">
        <v>0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3">
        <v>0</v>
      </c>
    </row>
    <row r="876">
      <c r="A876" s="24">
        <v>6080</v>
      </c>
      <c r="B876" s="9" t="s">
        <v>1151</v>
      </c>
      <c r="C876" s="9" t="s">
        <v>142</v>
      </c>
      <c r="D876" s="9" t="s">
        <v>143</v>
      </c>
      <c r="E876" s="9" t="s">
        <v>465</v>
      </c>
      <c r="F876" s="11">
        <v>1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6082</v>
      </c>
      <c r="B877" s="4" t="s">
        <v>1152</v>
      </c>
      <c r="C877" s="4" t="s">
        <v>67</v>
      </c>
      <c r="D877" s="4" t="s">
        <v>134</v>
      </c>
      <c r="E877" s="4" t="s">
        <v>135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3">
        <v>0</v>
      </c>
    </row>
    <row r="878">
      <c r="A878" s="24">
        <v>6102</v>
      </c>
      <c r="B878" s="9" t="s">
        <v>1153</v>
      </c>
      <c r="C878" s="9" t="s">
        <v>67</v>
      </c>
      <c r="D878" s="9" t="s">
        <v>111</v>
      </c>
      <c r="E878" s="9" t="s">
        <v>112</v>
      </c>
      <c r="F878" s="11">
        <v>3</v>
      </c>
      <c r="G878" s="10">
        <v>3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3</v>
      </c>
      <c r="AL878" s="10">
        <v>3</v>
      </c>
      <c r="AM878" s="10">
        <v>3</v>
      </c>
      <c r="AN878" s="30">
        <v>0</v>
      </c>
    </row>
    <row r="879">
      <c r="A879" s="23">
        <v>6114</v>
      </c>
      <c r="B879" s="4" t="s">
        <v>1154</v>
      </c>
      <c r="C879" s="4" t="s">
        <v>142</v>
      </c>
      <c r="D879" s="4" t="s">
        <v>252</v>
      </c>
      <c r="E879" s="4" t="s">
        <v>1155</v>
      </c>
      <c r="F879" s="6">
        <v>18</v>
      </c>
      <c r="G879" s="7">
        <v>0</v>
      </c>
      <c r="H879" s="5">
        <v>1</v>
      </c>
      <c r="I879" s="5">
        <v>1</v>
      </c>
      <c r="J879" s="5">
        <v>11</v>
      </c>
      <c r="K879" s="5">
        <v>2</v>
      </c>
      <c r="L879" s="5">
        <v>3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17</v>
      </c>
      <c r="V879" s="7">
        <v>0</v>
      </c>
      <c r="W879" s="5">
        <v>1</v>
      </c>
      <c r="X879" s="5">
        <v>1</v>
      </c>
      <c r="Y879" s="5">
        <v>10</v>
      </c>
      <c r="Z879" s="5">
        <v>2</v>
      </c>
      <c r="AA879" s="5">
        <v>3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2.25</v>
      </c>
      <c r="AL879" s="5">
        <v>1</v>
      </c>
      <c r="AM879" s="5">
        <v>6</v>
      </c>
      <c r="AN879" s="28">
        <v>2.34</v>
      </c>
    </row>
    <row r="880">
      <c r="A880" s="24">
        <v>6145</v>
      </c>
      <c r="B880" s="9" t="s">
        <v>1156</v>
      </c>
      <c r="C880" s="9" t="s">
        <v>656</v>
      </c>
      <c r="D880" s="9" t="s">
        <v>714</v>
      </c>
      <c r="E880" s="9" t="s">
        <v>715</v>
      </c>
      <c r="F880" s="11">
        <v>2</v>
      </c>
      <c r="G880" s="12">
        <v>0</v>
      </c>
      <c r="H880" s="10">
        <v>2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0">
        <v>2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30">
        <v>0</v>
      </c>
    </row>
    <row r="881">
      <c r="A881" s="23">
        <v>6156</v>
      </c>
      <c r="B881" s="4" t="s">
        <v>1157</v>
      </c>
      <c r="C881" s="4" t="s">
        <v>67</v>
      </c>
      <c r="D881" s="4" t="s">
        <v>99</v>
      </c>
      <c r="E881" s="4" t="s">
        <v>350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3">
        <v>0</v>
      </c>
    </row>
    <row r="882">
      <c r="A882" s="24">
        <v>6162</v>
      </c>
      <c r="B882" s="9" t="s">
        <v>1158</v>
      </c>
      <c r="C882" s="9" t="s">
        <v>142</v>
      </c>
      <c r="D882" s="9" t="s">
        <v>461</v>
      </c>
      <c r="E882" s="9" t="s">
        <v>516</v>
      </c>
      <c r="F882" s="11">
        <v>2</v>
      </c>
      <c r="G882" s="12">
        <v>0</v>
      </c>
      <c r="H882" s="12">
        <v>0</v>
      </c>
      <c r="I882" s="10">
        <v>1</v>
      </c>
      <c r="J882" s="12">
        <v>0</v>
      </c>
      <c r="K882" s="12">
        <v>0</v>
      </c>
      <c r="L882" s="10">
        <v>1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2">
        <v>0</v>
      </c>
      <c r="W882" s="12">
        <v>0</v>
      </c>
      <c r="X882" s="10">
        <v>1</v>
      </c>
      <c r="Y882" s="12">
        <v>0</v>
      </c>
      <c r="Z882" s="12">
        <v>0</v>
      </c>
      <c r="AA882" s="10">
        <v>1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6171</v>
      </c>
      <c r="B883" s="4" t="s">
        <v>1159</v>
      </c>
      <c r="C883" s="4" t="s">
        <v>67</v>
      </c>
      <c r="D883" s="4" t="s">
        <v>111</v>
      </c>
      <c r="E883" s="4" t="s">
        <v>112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3">
        <v>0</v>
      </c>
    </row>
    <row r="884">
      <c r="A884" s="24">
        <v>6202</v>
      </c>
      <c r="B884" s="9" t="s">
        <v>1160</v>
      </c>
      <c r="C884" s="9" t="s">
        <v>724</v>
      </c>
      <c r="D884" s="9" t="s">
        <v>725</v>
      </c>
      <c r="E884" s="9" t="s">
        <v>379</v>
      </c>
      <c r="F884" s="11">
        <v>3</v>
      </c>
      <c r="G884" s="12">
        <v>0</v>
      </c>
      <c r="H884" s="12">
        <v>0</v>
      </c>
      <c r="I884" s="10">
        <v>1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</v>
      </c>
      <c r="V884" s="12">
        <v>0</v>
      </c>
      <c r="W884" s="12">
        <v>0</v>
      </c>
      <c r="X884" s="10">
        <v>1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0.52</v>
      </c>
    </row>
    <row r="885">
      <c r="A885" s="23">
        <v>6227</v>
      </c>
      <c r="B885" s="4" t="s">
        <v>1161</v>
      </c>
      <c r="C885" s="4" t="s">
        <v>656</v>
      </c>
      <c r="D885" s="4" t="s">
        <v>657</v>
      </c>
      <c r="E885" s="4" t="s">
        <v>1148</v>
      </c>
      <c r="F885" s="6">
        <v>3</v>
      </c>
      <c r="G885" s="7">
        <v>0</v>
      </c>
      <c r="H885" s="7">
        <v>0</v>
      </c>
      <c r="I885" s="5">
        <v>1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7">
        <v>0</v>
      </c>
      <c r="W885" s="7">
        <v>0</v>
      </c>
      <c r="X885" s="5">
        <v>1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0.52</v>
      </c>
    </row>
    <row r="886">
      <c r="A886" s="24">
        <v>6228</v>
      </c>
      <c r="B886" s="9" t="s">
        <v>1162</v>
      </c>
      <c r="C886" s="9" t="s">
        <v>656</v>
      </c>
      <c r="D886" s="9" t="s">
        <v>657</v>
      </c>
      <c r="E886" s="9" t="s">
        <v>1148</v>
      </c>
      <c r="F886" s="11">
        <v>5</v>
      </c>
      <c r="G886" s="12">
        <v>0</v>
      </c>
      <c r="H886" s="12">
        <v>0</v>
      </c>
      <c r="I886" s="12">
        <v>0</v>
      </c>
      <c r="J886" s="10">
        <v>5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</v>
      </c>
      <c r="V886" s="12">
        <v>0</v>
      </c>
      <c r="W886" s="12">
        <v>0</v>
      </c>
      <c r="X886" s="12">
        <v>0</v>
      </c>
      <c r="Y886" s="10">
        <v>4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2</v>
      </c>
      <c r="AM886" s="10">
        <v>2</v>
      </c>
      <c r="AN886" s="29">
        <v>1</v>
      </c>
    </row>
    <row r="887">
      <c r="A887" s="23">
        <v>6269</v>
      </c>
      <c r="B887" s="4" t="s">
        <v>1163</v>
      </c>
      <c r="C887" s="4" t="s">
        <v>67</v>
      </c>
      <c r="D887" s="4" t="s">
        <v>75</v>
      </c>
      <c r="E887" s="4" t="s">
        <v>76</v>
      </c>
      <c r="F887" s="6">
        <v>2</v>
      </c>
      <c r="G887" s="5">
        <v>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5">
        <v>2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</v>
      </c>
      <c r="AL887" s="5">
        <v>2</v>
      </c>
      <c r="AM887" s="5">
        <v>2</v>
      </c>
      <c r="AN887" s="28">
        <v>0.76</v>
      </c>
    </row>
    <row r="888">
      <c r="A888" s="24">
        <v>6286</v>
      </c>
      <c r="B888" s="9" t="s">
        <v>1164</v>
      </c>
      <c r="C888" s="9" t="s">
        <v>67</v>
      </c>
      <c r="D888" s="9" t="s">
        <v>75</v>
      </c>
      <c r="E888" s="9" t="s">
        <v>171</v>
      </c>
      <c r="F888" s="11">
        <v>2</v>
      </c>
      <c r="G888" s="12">
        <v>0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0.5</v>
      </c>
    </row>
    <row r="889">
      <c r="A889" s="23">
        <v>6300</v>
      </c>
      <c r="B889" s="4" t="s">
        <v>1165</v>
      </c>
      <c r="C889" s="4" t="s">
        <v>67</v>
      </c>
      <c r="D889" s="4" t="s">
        <v>86</v>
      </c>
      <c r="E889" s="4" t="s">
        <v>146</v>
      </c>
      <c r="F889" s="6">
        <v>3</v>
      </c>
      <c r="G889" s="7">
        <v>0</v>
      </c>
      <c r="H889" s="7">
        <v>0</v>
      </c>
      <c r="I889" s="5">
        <v>1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5">
        <v>1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28">
        <v>0.5</v>
      </c>
    </row>
    <row r="890">
      <c r="A890" s="24">
        <v>6303</v>
      </c>
      <c r="B890" s="9" t="s">
        <v>1166</v>
      </c>
      <c r="C890" s="9" t="s">
        <v>67</v>
      </c>
      <c r="D890" s="9" t="s">
        <v>111</v>
      </c>
      <c r="E890" s="9" t="s">
        <v>153</v>
      </c>
      <c r="F890" s="11">
        <v>3</v>
      </c>
      <c r="G890" s="10">
        <v>3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0.32</v>
      </c>
    </row>
    <row r="891">
      <c r="A891" s="23">
        <v>6313</v>
      </c>
      <c r="B891" s="4" t="s">
        <v>1167</v>
      </c>
      <c r="C891" s="4" t="s">
        <v>177</v>
      </c>
      <c r="D891" s="4" t="s">
        <v>178</v>
      </c>
      <c r="E891" s="4" t="s">
        <v>187</v>
      </c>
      <c r="F891" s="6">
        <v>3</v>
      </c>
      <c r="G891" s="5">
        <v>3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3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3</v>
      </c>
      <c r="AL891" s="5">
        <v>3</v>
      </c>
      <c r="AM891" s="5">
        <v>3</v>
      </c>
      <c r="AN891" s="43">
        <v>0</v>
      </c>
    </row>
    <row r="892">
      <c r="A892" s="24">
        <v>6315</v>
      </c>
      <c r="B892" s="9" t="s">
        <v>1168</v>
      </c>
      <c r="C892" s="9" t="s">
        <v>177</v>
      </c>
      <c r="D892" s="9" t="s">
        <v>178</v>
      </c>
      <c r="E892" s="9" t="s">
        <v>187</v>
      </c>
      <c r="F892" s="11">
        <v>1</v>
      </c>
      <c r="G892" s="12">
        <v>0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30">
        <v>0</v>
      </c>
    </row>
    <row r="893">
      <c r="A893" s="23">
        <v>6340</v>
      </c>
      <c r="B893" s="4" t="s">
        <v>1169</v>
      </c>
      <c r="C893" s="4" t="s">
        <v>67</v>
      </c>
      <c r="D893" s="4" t="s">
        <v>134</v>
      </c>
      <c r="E893" s="4" t="s">
        <v>135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6345</v>
      </c>
      <c r="B894" s="9" t="s">
        <v>1170</v>
      </c>
      <c r="C894" s="9" t="s">
        <v>67</v>
      </c>
      <c r="D894" s="9" t="s">
        <v>75</v>
      </c>
      <c r="E894" s="9" t="s">
        <v>171</v>
      </c>
      <c r="F894" s="11">
        <v>2</v>
      </c>
      <c r="G894" s="12">
        <v>0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29">
        <v>0.26</v>
      </c>
    </row>
    <row r="895">
      <c r="A895" s="23">
        <v>6349</v>
      </c>
      <c r="B895" s="4" t="s">
        <v>1171</v>
      </c>
      <c r="C895" s="4" t="s">
        <v>177</v>
      </c>
      <c r="D895" s="4" t="s">
        <v>178</v>
      </c>
      <c r="E895" s="4" t="s">
        <v>179</v>
      </c>
      <c r="F895" s="6">
        <v>3</v>
      </c>
      <c r="G895" s="7">
        <v>0</v>
      </c>
      <c r="H895" s="7">
        <v>0</v>
      </c>
      <c r="I895" s="7">
        <v>0</v>
      </c>
      <c r="J895" s="5">
        <v>1</v>
      </c>
      <c r="K895" s="5">
        <v>2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7">
        <v>0</v>
      </c>
      <c r="W895" s="7">
        <v>0</v>
      </c>
      <c r="X895" s="7">
        <v>0</v>
      </c>
      <c r="Y895" s="5">
        <v>1</v>
      </c>
      <c r="Z895" s="5">
        <v>2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3">
        <v>0</v>
      </c>
    </row>
    <row r="896">
      <c r="A896" s="24">
        <v>6424</v>
      </c>
      <c r="B896" s="9" t="s">
        <v>1172</v>
      </c>
      <c r="C896" s="9" t="s">
        <v>656</v>
      </c>
      <c r="D896" s="9" t="s">
        <v>1173</v>
      </c>
      <c r="E896" s="9" t="s">
        <v>1174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6439</v>
      </c>
      <c r="B897" s="4" t="s">
        <v>1175</v>
      </c>
      <c r="C897" s="4" t="s">
        <v>67</v>
      </c>
      <c r="D897" s="4" t="s">
        <v>79</v>
      </c>
      <c r="E897" s="4" t="s">
        <v>115</v>
      </c>
      <c r="F897" s="6">
        <v>3</v>
      </c>
      <c r="G897" s="5">
        <v>1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1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0.5</v>
      </c>
    </row>
    <row r="898">
      <c r="A898" s="24">
        <v>6440</v>
      </c>
      <c r="B898" s="9" t="s">
        <v>1176</v>
      </c>
      <c r="C898" s="9" t="s">
        <v>67</v>
      </c>
      <c r="D898" s="9" t="s">
        <v>86</v>
      </c>
      <c r="E898" s="9" t="s">
        <v>1177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0.37</v>
      </c>
    </row>
    <row r="899">
      <c r="A899" s="23">
        <v>6445</v>
      </c>
      <c r="B899" s="4" t="s">
        <v>1178</v>
      </c>
      <c r="C899" s="4" t="s">
        <v>67</v>
      </c>
      <c r="D899" s="4" t="s">
        <v>75</v>
      </c>
      <c r="E899" s="4" t="s">
        <v>171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3">
        <v>0</v>
      </c>
    </row>
    <row r="900">
      <c r="A900" s="24">
        <v>6446</v>
      </c>
      <c r="B900" s="9" t="s">
        <v>1179</v>
      </c>
      <c r="C900" s="9" t="s">
        <v>67</v>
      </c>
      <c r="D900" s="9" t="s">
        <v>75</v>
      </c>
      <c r="E900" s="9" t="s">
        <v>171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6447</v>
      </c>
      <c r="B901" s="4" t="s">
        <v>1180</v>
      </c>
      <c r="C901" s="4" t="s">
        <v>67</v>
      </c>
      <c r="D901" s="4" t="s">
        <v>79</v>
      </c>
      <c r="E901" s="4" t="s">
        <v>82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0.26</v>
      </c>
    </row>
    <row r="902">
      <c r="A902" s="24">
        <v>6462</v>
      </c>
      <c r="B902" s="9" t="s">
        <v>1181</v>
      </c>
      <c r="C902" s="9" t="s">
        <v>177</v>
      </c>
      <c r="D902" s="9" t="s">
        <v>923</v>
      </c>
      <c r="E902" s="9" t="s">
        <v>1084</v>
      </c>
      <c r="F902" s="11">
        <v>4</v>
      </c>
      <c r="G902" s="10">
        <v>2</v>
      </c>
      <c r="H902" s="12">
        <v>0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1</v>
      </c>
      <c r="W902" s="12">
        <v>0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1.33</v>
      </c>
      <c r="AL902" s="10">
        <v>1</v>
      </c>
      <c r="AM902" s="10">
        <v>2</v>
      </c>
      <c r="AN902" s="29">
        <v>0.24</v>
      </c>
    </row>
    <row r="903">
      <c r="A903" s="23">
        <v>6474</v>
      </c>
      <c r="B903" s="4" t="s">
        <v>1182</v>
      </c>
      <c r="C903" s="4" t="s">
        <v>67</v>
      </c>
      <c r="D903" s="4" t="s">
        <v>86</v>
      </c>
      <c r="E903" s="4" t="s">
        <v>146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0.24</v>
      </c>
    </row>
    <row r="904">
      <c r="A904" s="24">
        <v>6484</v>
      </c>
      <c r="B904" s="9" t="s">
        <v>1183</v>
      </c>
      <c r="C904" s="9" t="s">
        <v>67</v>
      </c>
      <c r="D904" s="9" t="s">
        <v>68</v>
      </c>
      <c r="E904" s="9" t="s">
        <v>379</v>
      </c>
      <c r="F904" s="11">
        <v>2</v>
      </c>
      <c r="G904" s="10">
        <v>1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1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0.7</v>
      </c>
    </row>
    <row r="905">
      <c r="A905" s="23">
        <v>6485</v>
      </c>
      <c r="B905" s="4" t="s">
        <v>1184</v>
      </c>
      <c r="C905" s="4" t="s">
        <v>67</v>
      </c>
      <c r="D905" s="4" t="s">
        <v>134</v>
      </c>
      <c r="E905" s="4" t="s">
        <v>345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3">
        <v>0</v>
      </c>
    </row>
    <row r="906">
      <c r="A906" s="24">
        <v>6486</v>
      </c>
      <c r="B906" s="9" t="s">
        <v>1050</v>
      </c>
      <c r="C906" s="9" t="s">
        <v>67</v>
      </c>
      <c r="D906" s="9" t="s">
        <v>91</v>
      </c>
      <c r="E906" s="9" t="s">
        <v>494</v>
      </c>
      <c r="F906" s="11">
        <v>2</v>
      </c>
      <c r="G906" s="10">
        <v>1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1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6497</v>
      </c>
      <c r="B907" s="4" t="s">
        <v>1185</v>
      </c>
      <c r="C907" s="4" t="s">
        <v>998</v>
      </c>
      <c r="D907" s="4" t="s">
        <v>1186</v>
      </c>
      <c r="E907" s="4" t="s">
        <v>1187</v>
      </c>
      <c r="F907" s="6">
        <v>1</v>
      </c>
      <c r="G907" s="7">
        <v>0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3">
        <v>0</v>
      </c>
    </row>
    <row r="908">
      <c r="A908" s="24">
        <v>6526</v>
      </c>
      <c r="B908" s="9" t="s">
        <v>1188</v>
      </c>
      <c r="C908" s="9" t="s">
        <v>67</v>
      </c>
      <c r="D908" s="9" t="s">
        <v>99</v>
      </c>
      <c r="E908" s="9" t="s">
        <v>1189</v>
      </c>
      <c r="F908" s="11">
        <v>6</v>
      </c>
      <c r="G908" s="10">
        <v>2</v>
      </c>
      <c r="H908" s="10">
        <v>3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4</v>
      </c>
      <c r="V908" s="10">
        <v>2</v>
      </c>
      <c r="W908" s="10">
        <v>1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3</v>
      </c>
      <c r="AN908" s="29">
        <v>0.62</v>
      </c>
    </row>
    <row r="909">
      <c r="A909" s="23">
        <v>6538</v>
      </c>
      <c r="B909" s="4" t="s">
        <v>1190</v>
      </c>
      <c r="C909" s="4" t="s">
        <v>142</v>
      </c>
      <c r="D909" s="4" t="s">
        <v>252</v>
      </c>
      <c r="E909" s="4" t="s">
        <v>1155</v>
      </c>
      <c r="F909" s="6">
        <v>2</v>
      </c>
      <c r="G909" s="5">
        <v>1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1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3">
        <v>0</v>
      </c>
    </row>
    <row r="910">
      <c r="A910" s="24">
        <v>6541</v>
      </c>
      <c r="B910" s="9" t="s">
        <v>1191</v>
      </c>
      <c r="C910" s="9" t="s">
        <v>142</v>
      </c>
      <c r="D910" s="9" t="s">
        <v>143</v>
      </c>
      <c r="E910" s="9" t="s">
        <v>1192</v>
      </c>
      <c r="F910" s="11">
        <v>4</v>
      </c>
      <c r="G910" s="12">
        <v>0</v>
      </c>
      <c r="H910" s="10">
        <v>3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2">
        <v>0</v>
      </c>
      <c r="W910" s="10">
        <v>2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</v>
      </c>
      <c r="AL910" s="10">
        <v>2</v>
      </c>
      <c r="AM910" s="10">
        <v>3</v>
      </c>
      <c r="AN910" s="30">
        <v>0</v>
      </c>
    </row>
    <row r="911">
      <c r="A911" s="23">
        <v>6605</v>
      </c>
      <c r="B911" s="4" t="s">
        <v>1193</v>
      </c>
      <c r="C911" s="4" t="s">
        <v>656</v>
      </c>
      <c r="D911" s="4" t="s">
        <v>657</v>
      </c>
      <c r="E911" s="4" t="s">
        <v>1194</v>
      </c>
      <c r="F911" s="6">
        <v>3</v>
      </c>
      <c r="G911" s="7">
        <v>0</v>
      </c>
      <c r="H911" s="7">
        <v>0</v>
      </c>
      <c r="I911" s="7">
        <v>0</v>
      </c>
      <c r="J911" s="5">
        <v>3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7">
        <v>0</v>
      </c>
      <c r="W911" s="7">
        <v>0</v>
      </c>
      <c r="X911" s="7">
        <v>0</v>
      </c>
      <c r="Y911" s="5">
        <v>3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3</v>
      </c>
      <c r="AK911" s="8">
        <v>3</v>
      </c>
      <c r="AL911" s="5">
        <v>3</v>
      </c>
      <c r="AM911" s="5">
        <v>3</v>
      </c>
      <c r="AN911" s="28">
        <v>0.78</v>
      </c>
    </row>
    <row r="912">
      <c r="A912" s="24">
        <v>6622</v>
      </c>
      <c r="B912" s="9" t="s">
        <v>1195</v>
      </c>
      <c r="C912" s="9" t="s">
        <v>724</v>
      </c>
      <c r="D912" s="9" t="s">
        <v>725</v>
      </c>
      <c r="E912" s="9" t="s">
        <v>379</v>
      </c>
      <c r="F912" s="11">
        <v>5</v>
      </c>
      <c r="G912" s="12">
        <v>0</v>
      </c>
      <c r="H912" s="12">
        <v>0</v>
      </c>
      <c r="I912" s="10">
        <v>1</v>
      </c>
      <c r="J912" s="10">
        <v>4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5</v>
      </c>
      <c r="V912" s="12">
        <v>0</v>
      </c>
      <c r="W912" s="12">
        <v>0</v>
      </c>
      <c r="X912" s="10">
        <v>1</v>
      </c>
      <c r="Y912" s="10">
        <v>4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1.67</v>
      </c>
      <c r="AL912" s="10">
        <v>1</v>
      </c>
      <c r="AM912" s="10">
        <v>3</v>
      </c>
      <c r="AN912" s="29">
        <v>1.04</v>
      </c>
    </row>
    <row r="913">
      <c r="A913" s="23">
        <v>6644</v>
      </c>
      <c r="B913" s="4" t="s">
        <v>1196</v>
      </c>
      <c r="C913" s="4" t="s">
        <v>656</v>
      </c>
      <c r="D913" s="4" t="s">
        <v>714</v>
      </c>
      <c r="E913" s="4" t="s">
        <v>1197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0.24</v>
      </c>
    </row>
    <row r="914">
      <c r="A914" s="24">
        <v>6660</v>
      </c>
      <c r="B914" s="9" t="s">
        <v>1198</v>
      </c>
      <c r="C914" s="9" t="s">
        <v>67</v>
      </c>
      <c r="D914" s="9" t="s">
        <v>134</v>
      </c>
      <c r="E914" s="9" t="s">
        <v>232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6667</v>
      </c>
      <c r="B915" s="4" t="s">
        <v>1199</v>
      </c>
      <c r="C915" s="4" t="s">
        <v>67</v>
      </c>
      <c r="D915" s="4" t="s">
        <v>134</v>
      </c>
      <c r="E915" s="4" t="s">
        <v>232</v>
      </c>
      <c r="F915" s="6">
        <v>6</v>
      </c>
      <c r="G915" s="5">
        <v>5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5</v>
      </c>
      <c r="V915" s="5">
        <v>4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1</v>
      </c>
      <c r="AM915" s="5">
        <v>4</v>
      </c>
      <c r="AN915" s="28">
        <v>0.25</v>
      </c>
    </row>
    <row r="916">
      <c r="A916" s="24">
        <v>6670</v>
      </c>
      <c r="B916" s="9" t="s">
        <v>1200</v>
      </c>
      <c r="C916" s="9" t="s">
        <v>67</v>
      </c>
      <c r="D916" s="9" t="s">
        <v>134</v>
      </c>
      <c r="E916" s="9" t="s">
        <v>135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6697</v>
      </c>
      <c r="B917" s="4" t="s">
        <v>1201</v>
      </c>
      <c r="C917" s="4" t="s">
        <v>724</v>
      </c>
      <c r="D917" s="4" t="s">
        <v>1139</v>
      </c>
      <c r="E917" s="4" t="s">
        <v>379</v>
      </c>
      <c r="F917" s="6">
        <v>3</v>
      </c>
      <c r="G917" s="7">
        <v>0</v>
      </c>
      <c r="H917" s="7">
        <v>0</v>
      </c>
      <c r="I917" s="7">
        <v>0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7">
        <v>0</v>
      </c>
      <c r="W917" s="7">
        <v>0</v>
      </c>
      <c r="X917" s="7">
        <v>0</v>
      </c>
      <c r="Y917" s="5">
        <v>3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0.26</v>
      </c>
    </row>
    <row r="918">
      <c r="A918" s="24">
        <v>6707</v>
      </c>
      <c r="B918" s="9" t="s">
        <v>1202</v>
      </c>
      <c r="C918" s="9" t="s">
        <v>67</v>
      </c>
      <c r="D918" s="9" t="s">
        <v>134</v>
      </c>
      <c r="E918" s="9" t="s">
        <v>345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0.74</v>
      </c>
    </row>
    <row r="919">
      <c r="A919" s="23">
        <v>6708</v>
      </c>
      <c r="B919" s="4" t="s">
        <v>1203</v>
      </c>
      <c r="C919" s="4" t="s">
        <v>656</v>
      </c>
      <c r="D919" s="4" t="s">
        <v>1204</v>
      </c>
      <c r="E919" s="4" t="s">
        <v>1205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6716</v>
      </c>
      <c r="B920" s="9" t="s">
        <v>1206</v>
      </c>
      <c r="C920" s="9" t="s">
        <v>67</v>
      </c>
      <c r="D920" s="9" t="s">
        <v>91</v>
      </c>
      <c r="E920" s="9" t="s">
        <v>494</v>
      </c>
      <c r="F920" s="11">
        <v>2</v>
      </c>
      <c r="G920" s="12">
        <v>0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2">
        <v>0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0.52</v>
      </c>
    </row>
    <row r="921">
      <c r="A921" s="23">
        <v>6729</v>
      </c>
      <c r="B921" s="4" t="s">
        <v>1207</v>
      </c>
      <c r="C921" s="4" t="s">
        <v>67</v>
      </c>
      <c r="D921" s="4" t="s">
        <v>134</v>
      </c>
      <c r="E921" s="4" t="s">
        <v>135</v>
      </c>
      <c r="F921" s="6">
        <v>3</v>
      </c>
      <c r="G921" s="5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43">
        <v>0</v>
      </c>
    </row>
    <row r="922">
      <c r="A922" s="24">
        <v>6787</v>
      </c>
      <c r="B922" s="9" t="s">
        <v>1208</v>
      </c>
      <c r="C922" s="9" t="s">
        <v>1209</v>
      </c>
      <c r="D922" s="9" t="s">
        <v>1210</v>
      </c>
      <c r="E922" s="9" t="s">
        <v>379</v>
      </c>
      <c r="F922" s="11">
        <v>2</v>
      </c>
      <c r="G922" s="12">
        <v>0</v>
      </c>
      <c r="H922" s="12">
        <v>0</v>
      </c>
      <c r="I922" s="10">
        <v>1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2">
        <v>0</v>
      </c>
      <c r="W922" s="12">
        <v>0</v>
      </c>
      <c r="X922" s="10">
        <v>1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0.5</v>
      </c>
    </row>
    <row r="923">
      <c r="A923" s="23">
        <v>6809</v>
      </c>
      <c r="B923" s="4" t="s">
        <v>1211</v>
      </c>
      <c r="C923" s="4" t="s">
        <v>142</v>
      </c>
      <c r="D923" s="4" t="s">
        <v>143</v>
      </c>
      <c r="E923" s="4" t="s">
        <v>144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3">
        <v>0</v>
      </c>
    </row>
    <row r="924">
      <c r="A924" s="24">
        <v>6909</v>
      </c>
      <c r="B924" s="9" t="s">
        <v>1212</v>
      </c>
      <c r="C924" s="9" t="s">
        <v>67</v>
      </c>
      <c r="D924" s="9" t="s">
        <v>86</v>
      </c>
      <c r="E924" s="9" t="s">
        <v>547</v>
      </c>
      <c r="F924" s="11">
        <v>2</v>
      </c>
      <c r="G924" s="12">
        <v>0</v>
      </c>
      <c r="H924" s="12">
        <v>0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0.48</v>
      </c>
    </row>
    <row r="925">
      <c r="A925" s="23">
        <v>6914</v>
      </c>
      <c r="B925" s="4" t="s">
        <v>1213</v>
      </c>
      <c r="C925" s="4" t="s">
        <v>67</v>
      </c>
      <c r="D925" s="4" t="s">
        <v>125</v>
      </c>
      <c r="E925" s="4" t="s">
        <v>381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0.37</v>
      </c>
    </row>
    <row r="926">
      <c r="A926" s="24">
        <v>6927</v>
      </c>
      <c r="B926" s="9" t="s">
        <v>1214</v>
      </c>
      <c r="C926" s="9" t="s">
        <v>67</v>
      </c>
      <c r="D926" s="9" t="s">
        <v>91</v>
      </c>
      <c r="E926" s="9" t="s">
        <v>340</v>
      </c>
      <c r="F926" s="11">
        <v>4</v>
      </c>
      <c r="G926" s="12">
        <v>0</v>
      </c>
      <c r="H926" s="10">
        <v>3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2">
        <v>0</v>
      </c>
      <c r="W926" s="10">
        <v>2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29">
        <v>0.95</v>
      </c>
    </row>
    <row r="927">
      <c r="A927" s="23">
        <v>6947</v>
      </c>
      <c r="B927" s="4" t="s">
        <v>1215</v>
      </c>
      <c r="C927" s="4" t="s">
        <v>724</v>
      </c>
      <c r="D927" s="4" t="s">
        <v>785</v>
      </c>
      <c r="E927" s="4" t="s">
        <v>379</v>
      </c>
      <c r="F927" s="6">
        <v>1</v>
      </c>
      <c r="G927" s="7">
        <v>0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3">
        <v>0</v>
      </c>
    </row>
    <row r="928">
      <c r="A928" s="24">
        <v>7008</v>
      </c>
      <c r="B928" s="9" t="s">
        <v>1216</v>
      </c>
      <c r="C928" s="9" t="s">
        <v>142</v>
      </c>
      <c r="D928" s="9" t="s">
        <v>583</v>
      </c>
      <c r="E928" s="9" t="s">
        <v>1217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7128</v>
      </c>
      <c r="B929" s="4" t="s">
        <v>1218</v>
      </c>
      <c r="C929" s="4" t="s">
        <v>67</v>
      </c>
      <c r="D929" s="4" t="s">
        <v>111</v>
      </c>
      <c r="E929" s="4" t="s">
        <v>112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43">
        <v>0</v>
      </c>
    </row>
    <row r="930">
      <c r="A930" s="24">
        <v>7201</v>
      </c>
      <c r="B930" s="9" t="s">
        <v>1219</v>
      </c>
      <c r="C930" s="9" t="s">
        <v>1209</v>
      </c>
      <c r="D930" s="9" t="s">
        <v>1220</v>
      </c>
      <c r="E930" s="9" t="s">
        <v>379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7341</v>
      </c>
      <c r="B931" s="4" t="s">
        <v>1221</v>
      </c>
      <c r="C931" s="4" t="s">
        <v>751</v>
      </c>
      <c r="D931" s="4" t="s">
        <v>379</v>
      </c>
      <c r="E931" s="4" t="s">
        <v>379</v>
      </c>
      <c r="F931" s="6">
        <v>5</v>
      </c>
      <c r="G931" s="7">
        <v>0</v>
      </c>
      <c r="H931" s="5">
        <v>4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7">
        <v>0</v>
      </c>
      <c r="W931" s="5">
        <v>2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2.5</v>
      </c>
      <c r="AL931" s="5">
        <v>2</v>
      </c>
      <c r="AM931" s="5">
        <v>4</v>
      </c>
      <c r="AN931" s="28">
        <v>0.74</v>
      </c>
    </row>
    <row r="932">
      <c r="A932" s="24">
        <v>7349</v>
      </c>
      <c r="B932" s="9" t="s">
        <v>1222</v>
      </c>
      <c r="C932" s="9" t="s">
        <v>142</v>
      </c>
      <c r="D932" s="9" t="s">
        <v>385</v>
      </c>
      <c r="E932" s="9" t="s">
        <v>1223</v>
      </c>
      <c r="F932" s="11">
        <v>4</v>
      </c>
      <c r="G932" s="12">
        <v>0</v>
      </c>
      <c r="H932" s="10">
        <v>1</v>
      </c>
      <c r="I932" s="10">
        <v>1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2">
        <v>0</v>
      </c>
      <c r="W932" s="10">
        <v>1</v>
      </c>
      <c r="X932" s="10">
        <v>1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1.33</v>
      </c>
      <c r="AL932" s="10">
        <v>1</v>
      </c>
      <c r="AM932" s="10">
        <v>2</v>
      </c>
      <c r="AN932" s="29">
        <v>0.78</v>
      </c>
    </row>
    <row r="933">
      <c r="A933" s="23">
        <v>7370</v>
      </c>
      <c r="B933" s="4" t="s">
        <v>1224</v>
      </c>
      <c r="C933" s="4" t="s">
        <v>67</v>
      </c>
      <c r="D933" s="4" t="s">
        <v>75</v>
      </c>
      <c r="E933" s="4" t="s">
        <v>120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43">
        <v>0</v>
      </c>
    </row>
    <row r="934">
      <c r="A934" s="24">
        <v>7439</v>
      </c>
      <c r="B934" s="9" t="s">
        <v>1225</v>
      </c>
      <c r="C934" s="9" t="s">
        <v>724</v>
      </c>
      <c r="D934" s="9" t="s">
        <v>892</v>
      </c>
      <c r="E934" s="9" t="s">
        <v>379</v>
      </c>
      <c r="F934" s="11">
        <v>3</v>
      </c>
      <c r="G934" s="12">
        <v>0</v>
      </c>
      <c r="H934" s="10">
        <v>1</v>
      </c>
      <c r="I934" s="10">
        <v>1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2">
        <v>0</v>
      </c>
      <c r="W934" s="10">
        <v>1</v>
      </c>
      <c r="X934" s="10">
        <v>1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0.62</v>
      </c>
    </row>
    <row r="935">
      <c r="A935" s="23">
        <v>7440</v>
      </c>
      <c r="B935" s="4" t="s">
        <v>1226</v>
      </c>
      <c r="C935" s="4" t="s">
        <v>724</v>
      </c>
      <c r="D935" s="4" t="s">
        <v>892</v>
      </c>
      <c r="E935" s="4" t="s">
        <v>379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0.22</v>
      </c>
    </row>
    <row r="936">
      <c r="A936" s="24">
        <v>7484</v>
      </c>
      <c r="B936" s="9" t="s">
        <v>1227</v>
      </c>
      <c r="C936" s="9" t="s">
        <v>142</v>
      </c>
      <c r="D936" s="9" t="s">
        <v>1228</v>
      </c>
      <c r="E936" s="9" t="s">
        <v>1229</v>
      </c>
      <c r="F936" s="11">
        <v>1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0">
        <v>1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0">
        <v>1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0">
        <v>0</v>
      </c>
    </row>
    <row r="937">
      <c r="A937" s="23">
        <v>7496</v>
      </c>
      <c r="B937" s="4" t="s">
        <v>1230</v>
      </c>
      <c r="C937" s="4" t="s">
        <v>67</v>
      </c>
      <c r="D937" s="4" t="s">
        <v>71</v>
      </c>
      <c r="E937" s="4" t="s">
        <v>169</v>
      </c>
      <c r="F937" s="6">
        <v>3</v>
      </c>
      <c r="G937" s="7">
        <v>0</v>
      </c>
      <c r="H937" s="7">
        <v>0</v>
      </c>
      <c r="I937" s="5">
        <v>2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7">
        <v>0</v>
      </c>
      <c r="W937" s="7">
        <v>0</v>
      </c>
      <c r="X937" s="5">
        <v>2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43">
        <v>0</v>
      </c>
    </row>
    <row r="938">
      <c r="A938" s="24">
        <v>7534</v>
      </c>
      <c r="B938" s="9" t="s">
        <v>1231</v>
      </c>
      <c r="C938" s="9" t="s">
        <v>67</v>
      </c>
      <c r="D938" s="9" t="s">
        <v>91</v>
      </c>
      <c r="E938" s="9" t="s">
        <v>97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0.38</v>
      </c>
    </row>
    <row r="939">
      <c r="A939" s="23">
        <v>7537</v>
      </c>
      <c r="B939" s="4" t="s">
        <v>1232</v>
      </c>
      <c r="C939" s="4" t="s">
        <v>67</v>
      </c>
      <c r="D939" s="4" t="s">
        <v>134</v>
      </c>
      <c r="E939" s="4" t="s">
        <v>135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0.25</v>
      </c>
    </row>
    <row r="940">
      <c r="A940" s="24">
        <v>7538</v>
      </c>
      <c r="B940" s="9" t="s">
        <v>1233</v>
      </c>
      <c r="C940" s="9" t="s">
        <v>142</v>
      </c>
      <c r="D940" s="9" t="s">
        <v>583</v>
      </c>
      <c r="E940" s="9" t="s">
        <v>584</v>
      </c>
      <c r="F940" s="11">
        <v>3</v>
      </c>
      <c r="G940" s="10">
        <v>1</v>
      </c>
      <c r="H940" s="12">
        <v>0</v>
      </c>
      <c r="I940" s="10">
        <v>1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</v>
      </c>
      <c r="V940" s="10">
        <v>1</v>
      </c>
      <c r="W940" s="12">
        <v>0</v>
      </c>
      <c r="X940" s="10">
        <v>1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7552</v>
      </c>
      <c r="B941" s="4" t="s">
        <v>1234</v>
      </c>
      <c r="C941" s="4" t="s">
        <v>142</v>
      </c>
      <c r="D941" s="4" t="s">
        <v>708</v>
      </c>
      <c r="E941" s="4" t="s">
        <v>379</v>
      </c>
      <c r="F941" s="6">
        <v>2</v>
      </c>
      <c r="G941" s="7">
        <v>0</v>
      </c>
      <c r="H941" s="7">
        <v>0</v>
      </c>
      <c r="I941" s="5">
        <v>2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7">
        <v>0</v>
      </c>
      <c r="X941" s="5">
        <v>2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43">
        <v>0</v>
      </c>
    </row>
    <row r="942">
      <c r="A942" s="24">
        <v>7561</v>
      </c>
      <c r="B942" s="9" t="s">
        <v>1235</v>
      </c>
      <c r="C942" s="9" t="s">
        <v>142</v>
      </c>
      <c r="D942" s="9" t="s">
        <v>143</v>
      </c>
      <c r="E942" s="9" t="s">
        <v>465</v>
      </c>
      <c r="F942" s="11">
        <v>3</v>
      </c>
      <c r="G942" s="12">
        <v>0</v>
      </c>
      <c r="H942" s="12">
        <v>0</v>
      </c>
      <c r="I942" s="10">
        <v>1</v>
      </c>
      <c r="J942" s="10">
        <v>1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2">
        <v>0</v>
      </c>
      <c r="W942" s="12">
        <v>0</v>
      </c>
      <c r="X942" s="10">
        <v>1</v>
      </c>
      <c r="Y942" s="10">
        <v>1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0.75</v>
      </c>
    </row>
    <row r="943">
      <c r="A943" s="23">
        <v>7578</v>
      </c>
      <c r="B943" s="4" t="s">
        <v>1236</v>
      </c>
      <c r="C943" s="4" t="s">
        <v>67</v>
      </c>
      <c r="D943" s="4" t="s">
        <v>99</v>
      </c>
      <c r="E943" s="4" t="s">
        <v>1189</v>
      </c>
      <c r="F943" s="6">
        <v>2</v>
      </c>
      <c r="G943" s="5">
        <v>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28">
        <v>0.26</v>
      </c>
    </row>
    <row r="944">
      <c r="A944" s="24">
        <v>7581</v>
      </c>
      <c r="B944" s="9" t="s">
        <v>1237</v>
      </c>
      <c r="C944" s="9" t="s">
        <v>67</v>
      </c>
      <c r="D944" s="9" t="s">
        <v>111</v>
      </c>
      <c r="E944" s="9" t="s">
        <v>112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7586</v>
      </c>
      <c r="B945" s="4" t="s">
        <v>1238</v>
      </c>
      <c r="C945" s="4" t="s">
        <v>67</v>
      </c>
      <c r="D945" s="4" t="s">
        <v>86</v>
      </c>
      <c r="E945" s="4" t="s">
        <v>1177</v>
      </c>
      <c r="F945" s="6">
        <v>2</v>
      </c>
      <c r="G945" s="7">
        <v>0</v>
      </c>
      <c r="H945" s="5">
        <v>1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7">
        <v>0</v>
      </c>
      <c r="W945" s="5">
        <v>1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7589</v>
      </c>
      <c r="B946" s="9" t="s">
        <v>1239</v>
      </c>
      <c r="C946" s="9" t="s">
        <v>67</v>
      </c>
      <c r="D946" s="9" t="s">
        <v>75</v>
      </c>
      <c r="E946" s="9" t="s">
        <v>120</v>
      </c>
      <c r="F946" s="11">
        <v>4</v>
      </c>
      <c r="G946" s="10">
        <v>2</v>
      </c>
      <c r="H946" s="12">
        <v>0</v>
      </c>
      <c r="I946" s="12">
        <v>0</v>
      </c>
      <c r="J946" s="10">
        <v>1</v>
      </c>
      <c r="K946" s="10">
        <v>1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4</v>
      </c>
      <c r="V946" s="10">
        <v>2</v>
      </c>
      <c r="W946" s="12">
        <v>0</v>
      </c>
      <c r="X946" s="12">
        <v>0</v>
      </c>
      <c r="Y946" s="10">
        <v>1</v>
      </c>
      <c r="Z946" s="10">
        <v>1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0.66</v>
      </c>
    </row>
    <row r="947">
      <c r="A947" s="23">
        <v>7616</v>
      </c>
      <c r="B947" s="4" t="s">
        <v>1240</v>
      </c>
      <c r="C947" s="4" t="s">
        <v>67</v>
      </c>
      <c r="D947" s="4" t="s">
        <v>71</v>
      </c>
      <c r="E947" s="4" t="s">
        <v>118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7622</v>
      </c>
      <c r="B948" s="9" t="s">
        <v>1241</v>
      </c>
      <c r="C948" s="9" t="s">
        <v>67</v>
      </c>
      <c r="D948" s="9" t="s">
        <v>111</v>
      </c>
      <c r="E948" s="9" t="s">
        <v>221</v>
      </c>
      <c r="F948" s="11">
        <v>7</v>
      </c>
      <c r="G948" s="10">
        <v>4</v>
      </c>
      <c r="H948" s="12">
        <v>0</v>
      </c>
      <c r="I948" s="10">
        <v>1</v>
      </c>
      <c r="J948" s="10">
        <v>1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6</v>
      </c>
      <c r="V948" s="10">
        <v>3</v>
      </c>
      <c r="W948" s="12">
        <v>0</v>
      </c>
      <c r="X948" s="10">
        <v>1</v>
      </c>
      <c r="Y948" s="10">
        <v>1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1.75</v>
      </c>
      <c r="AL948" s="10">
        <v>1</v>
      </c>
      <c r="AM948" s="10">
        <v>4</v>
      </c>
      <c r="AN948" s="29">
        <v>0.25</v>
      </c>
    </row>
    <row r="949">
      <c r="A949" s="23">
        <v>7625</v>
      </c>
      <c r="B949" s="4" t="s">
        <v>1242</v>
      </c>
      <c r="C949" s="4" t="s">
        <v>67</v>
      </c>
      <c r="D949" s="4" t="s">
        <v>111</v>
      </c>
      <c r="E949" s="4" t="s">
        <v>153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0.34</v>
      </c>
    </row>
    <row r="950">
      <c r="A950" s="24">
        <v>7628</v>
      </c>
      <c r="B950" s="9" t="s">
        <v>1243</v>
      </c>
      <c r="C950" s="9" t="s">
        <v>67</v>
      </c>
      <c r="D950" s="9" t="s">
        <v>111</v>
      </c>
      <c r="E950" s="9" t="s">
        <v>153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7632</v>
      </c>
      <c r="B951" s="4" t="s">
        <v>1244</v>
      </c>
      <c r="C951" s="4" t="s">
        <v>67</v>
      </c>
      <c r="D951" s="4" t="s">
        <v>71</v>
      </c>
      <c r="E951" s="4" t="s">
        <v>118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0.74</v>
      </c>
    </row>
    <row r="952">
      <c r="A952" s="24">
        <v>7633</v>
      </c>
      <c r="B952" s="9" t="s">
        <v>1245</v>
      </c>
      <c r="C952" s="9" t="s">
        <v>67</v>
      </c>
      <c r="D952" s="9" t="s">
        <v>75</v>
      </c>
      <c r="E952" s="9" t="s">
        <v>128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7650</v>
      </c>
      <c r="B953" s="4" t="s">
        <v>1246</v>
      </c>
      <c r="C953" s="4" t="s">
        <v>67</v>
      </c>
      <c r="D953" s="4" t="s">
        <v>91</v>
      </c>
      <c r="E953" s="4" t="s">
        <v>494</v>
      </c>
      <c r="F953" s="6">
        <v>5</v>
      </c>
      <c r="G953" s="5">
        <v>2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5">
        <v>2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1.25</v>
      </c>
      <c r="AL953" s="5">
        <v>1</v>
      </c>
      <c r="AM953" s="5">
        <v>2</v>
      </c>
      <c r="AN953" s="28">
        <v>0.85</v>
      </c>
    </row>
    <row r="954">
      <c r="A954" s="24">
        <v>7778</v>
      </c>
      <c r="B954" s="9" t="s">
        <v>1247</v>
      </c>
      <c r="C954" s="9" t="s">
        <v>177</v>
      </c>
      <c r="D954" s="9" t="s">
        <v>923</v>
      </c>
      <c r="E954" s="9" t="s">
        <v>924</v>
      </c>
      <c r="F954" s="11">
        <v>1</v>
      </c>
      <c r="G954" s="12">
        <v>0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7818</v>
      </c>
      <c r="B955" s="4" t="s">
        <v>1248</v>
      </c>
      <c r="C955" s="4" t="s">
        <v>1141</v>
      </c>
      <c r="D955" s="4" t="s">
        <v>1142</v>
      </c>
      <c r="E955" s="4" t="s">
        <v>1249</v>
      </c>
      <c r="F955" s="6">
        <v>2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5">
        <v>1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5">
        <v>1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3">
        <v>0</v>
      </c>
    </row>
    <row r="956">
      <c r="A956" s="24">
        <v>7925</v>
      </c>
      <c r="B956" s="9" t="s">
        <v>1250</v>
      </c>
      <c r="C956" s="9" t="s">
        <v>177</v>
      </c>
      <c r="D956" s="9" t="s">
        <v>932</v>
      </c>
      <c r="E956" s="9" t="s">
        <v>933</v>
      </c>
      <c r="F956" s="11">
        <v>6</v>
      </c>
      <c r="G956" s="12">
        <v>0</v>
      </c>
      <c r="H956" s="10">
        <v>2</v>
      </c>
      <c r="I956" s="10">
        <v>2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6</v>
      </c>
      <c r="V956" s="12">
        <v>0</v>
      </c>
      <c r="W956" s="10">
        <v>2</v>
      </c>
      <c r="X956" s="10">
        <v>2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1.2</v>
      </c>
      <c r="AL956" s="10">
        <v>1</v>
      </c>
      <c r="AM956" s="10">
        <v>2</v>
      </c>
      <c r="AN956" s="29">
        <v>0.6</v>
      </c>
    </row>
    <row r="957">
      <c r="A957" s="23">
        <v>7935</v>
      </c>
      <c r="B957" s="4" t="s">
        <v>1251</v>
      </c>
      <c r="C957" s="4" t="s">
        <v>67</v>
      </c>
      <c r="D957" s="4" t="s">
        <v>125</v>
      </c>
      <c r="E957" s="4" t="s">
        <v>381</v>
      </c>
      <c r="F957" s="6">
        <v>5</v>
      </c>
      <c r="G957" s="5">
        <v>5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5">
        <v>5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5</v>
      </c>
      <c r="AK957" s="8">
        <v>5</v>
      </c>
      <c r="AL957" s="5">
        <v>5</v>
      </c>
      <c r="AM957" s="5">
        <v>5</v>
      </c>
      <c r="AN957" s="43">
        <v>0</v>
      </c>
    </row>
    <row r="958">
      <c r="A958" s="24">
        <v>8021</v>
      </c>
      <c r="B958" s="9" t="s">
        <v>1252</v>
      </c>
      <c r="C958" s="9" t="s">
        <v>998</v>
      </c>
      <c r="D958" s="9" t="s">
        <v>999</v>
      </c>
      <c r="E958" s="9" t="s">
        <v>1253</v>
      </c>
      <c r="F958" s="11">
        <v>1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8043</v>
      </c>
      <c r="B959" s="4" t="s">
        <v>1254</v>
      </c>
      <c r="C959" s="4" t="s">
        <v>645</v>
      </c>
      <c r="D959" s="4" t="s">
        <v>649</v>
      </c>
      <c r="E959" s="4" t="s">
        <v>676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3">
        <v>0</v>
      </c>
    </row>
    <row r="960">
      <c r="A960" s="24">
        <v>8095</v>
      </c>
      <c r="B960" s="9" t="s">
        <v>1255</v>
      </c>
      <c r="C960" s="9" t="s">
        <v>67</v>
      </c>
      <c r="D960" s="9" t="s">
        <v>125</v>
      </c>
      <c r="E960" s="9" t="s">
        <v>126</v>
      </c>
      <c r="F960" s="11">
        <v>6</v>
      </c>
      <c r="G960" s="10">
        <v>1</v>
      </c>
      <c r="H960" s="12">
        <v>0</v>
      </c>
      <c r="I960" s="10">
        <v>5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1</v>
      </c>
      <c r="W960" s="12">
        <v>0</v>
      </c>
      <c r="X960" s="10">
        <v>2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3</v>
      </c>
      <c r="AL960" s="10">
        <v>3</v>
      </c>
      <c r="AM960" s="10">
        <v>5</v>
      </c>
      <c r="AN960" s="30">
        <v>0</v>
      </c>
    </row>
    <row r="961">
      <c r="A961" s="23">
        <v>8098</v>
      </c>
      <c r="B961" s="4" t="s">
        <v>1256</v>
      </c>
      <c r="C961" s="4" t="s">
        <v>177</v>
      </c>
      <c r="D961" s="4" t="s">
        <v>178</v>
      </c>
      <c r="E961" s="4" t="s">
        <v>179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3">
        <v>0</v>
      </c>
    </row>
    <row r="962">
      <c r="A962" s="24">
        <v>8111</v>
      </c>
      <c r="B962" s="9" t="s">
        <v>1257</v>
      </c>
      <c r="C962" s="9" t="s">
        <v>67</v>
      </c>
      <c r="D962" s="9" t="s">
        <v>75</v>
      </c>
      <c r="E962" s="9" t="s">
        <v>171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8119</v>
      </c>
      <c r="B963" s="4" t="s">
        <v>1258</v>
      </c>
      <c r="C963" s="4" t="s">
        <v>177</v>
      </c>
      <c r="D963" s="4" t="s">
        <v>1259</v>
      </c>
      <c r="E963" s="4" t="s">
        <v>379</v>
      </c>
      <c r="F963" s="6">
        <v>2</v>
      </c>
      <c r="G963" s="7">
        <v>0</v>
      </c>
      <c r="H963" s="7">
        <v>0</v>
      </c>
      <c r="I963" s="7">
        <v>0</v>
      </c>
      <c r="J963" s="7">
        <v>0</v>
      </c>
      <c r="K963" s="5">
        <v>2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7">
        <v>0</v>
      </c>
      <c r="W963" s="7">
        <v>0</v>
      </c>
      <c r="X963" s="7">
        <v>0</v>
      </c>
      <c r="Y963" s="7">
        <v>0</v>
      </c>
      <c r="Z963" s="5">
        <v>2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43">
        <v>0</v>
      </c>
    </row>
    <row r="964">
      <c r="A964" s="24">
        <v>8132</v>
      </c>
      <c r="B964" s="9" t="s">
        <v>1260</v>
      </c>
      <c r="C964" s="9" t="s">
        <v>67</v>
      </c>
      <c r="D964" s="9" t="s">
        <v>86</v>
      </c>
      <c r="E964" s="9" t="s">
        <v>87</v>
      </c>
      <c r="F964" s="11">
        <v>2</v>
      </c>
      <c r="G964" s="10">
        <v>1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0">
        <v>1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8151</v>
      </c>
      <c r="B965" s="4" t="s">
        <v>1261</v>
      </c>
      <c r="C965" s="4" t="s">
        <v>142</v>
      </c>
      <c r="D965" s="4" t="s">
        <v>440</v>
      </c>
      <c r="E965" s="4" t="s">
        <v>441</v>
      </c>
      <c r="F965" s="6">
        <v>3</v>
      </c>
      <c r="G965" s="7">
        <v>0</v>
      </c>
      <c r="H965" s="7">
        <v>0</v>
      </c>
      <c r="I965" s="7">
        <v>0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7">
        <v>0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0.75</v>
      </c>
    </row>
    <row r="966">
      <c r="A966" s="24">
        <v>8178</v>
      </c>
      <c r="B966" s="9" t="s">
        <v>1262</v>
      </c>
      <c r="C966" s="9" t="s">
        <v>142</v>
      </c>
      <c r="D966" s="9" t="s">
        <v>143</v>
      </c>
      <c r="E966" s="9" t="s">
        <v>1192</v>
      </c>
      <c r="F966" s="11">
        <v>1</v>
      </c>
      <c r="G966" s="12">
        <v>0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8214</v>
      </c>
      <c r="B967" s="4" t="s">
        <v>1263</v>
      </c>
      <c r="C967" s="4" t="s">
        <v>67</v>
      </c>
      <c r="D967" s="4" t="s">
        <v>134</v>
      </c>
      <c r="E967" s="4" t="s">
        <v>429</v>
      </c>
      <c r="F967" s="6">
        <v>6</v>
      </c>
      <c r="G967" s="5">
        <v>6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</v>
      </c>
      <c r="V967" s="5">
        <v>5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3</v>
      </c>
      <c r="AL967" s="5">
        <v>3</v>
      </c>
      <c r="AM967" s="5">
        <v>5</v>
      </c>
      <c r="AN967" s="43">
        <v>0</v>
      </c>
    </row>
    <row r="968">
      <c r="A968" s="24">
        <v>8256</v>
      </c>
      <c r="B968" s="9" t="s">
        <v>1264</v>
      </c>
      <c r="C968" s="9" t="s">
        <v>67</v>
      </c>
      <c r="D968" s="9" t="s">
        <v>71</v>
      </c>
      <c r="E968" s="9" t="s">
        <v>72</v>
      </c>
      <c r="F968" s="11">
        <v>3</v>
      </c>
      <c r="G968" s="10">
        <v>2</v>
      </c>
      <c r="H968" s="10">
        <v>1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0">
        <v>1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29">
        <v>0.24</v>
      </c>
    </row>
    <row r="969">
      <c r="A969" s="23">
        <v>8275</v>
      </c>
      <c r="B969" s="4" t="s">
        <v>1265</v>
      </c>
      <c r="C969" s="4" t="s">
        <v>656</v>
      </c>
      <c r="D969" s="4" t="s">
        <v>1266</v>
      </c>
      <c r="E969" s="4" t="s">
        <v>1267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3">
        <v>0</v>
      </c>
    </row>
    <row r="970">
      <c r="A970" s="24">
        <v>8278</v>
      </c>
      <c r="B970" s="9" t="s">
        <v>1268</v>
      </c>
      <c r="C970" s="9" t="s">
        <v>177</v>
      </c>
      <c r="D970" s="9" t="s">
        <v>201</v>
      </c>
      <c r="E970" s="9" t="s">
        <v>202</v>
      </c>
      <c r="F970" s="11">
        <v>5</v>
      </c>
      <c r="G970" s="12">
        <v>0</v>
      </c>
      <c r="H970" s="12">
        <v>0</v>
      </c>
      <c r="I970" s="10">
        <v>3</v>
      </c>
      <c r="J970" s="12">
        <v>0</v>
      </c>
      <c r="K970" s="10">
        <v>2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2">
        <v>0</v>
      </c>
      <c r="W970" s="12">
        <v>0</v>
      </c>
      <c r="X970" s="10">
        <v>3</v>
      </c>
      <c r="Y970" s="12">
        <v>0</v>
      </c>
      <c r="Z970" s="10">
        <v>2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1.67</v>
      </c>
      <c r="AL970" s="10">
        <v>1</v>
      </c>
      <c r="AM970" s="10">
        <v>3</v>
      </c>
      <c r="AN970" s="30">
        <v>0</v>
      </c>
    </row>
    <row r="971">
      <c r="A971" s="23">
        <v>8289</v>
      </c>
      <c r="B971" s="4" t="s">
        <v>1269</v>
      </c>
      <c r="C971" s="4" t="s">
        <v>177</v>
      </c>
      <c r="D971" s="4" t="s">
        <v>194</v>
      </c>
      <c r="E971" s="4" t="s">
        <v>198</v>
      </c>
      <c r="F971" s="6">
        <v>5</v>
      </c>
      <c r="G971" s="5">
        <v>2</v>
      </c>
      <c r="H971" s="7">
        <v>0</v>
      </c>
      <c r="I971" s="5">
        <v>1</v>
      </c>
      <c r="J971" s="7">
        <v>0</v>
      </c>
      <c r="K971" s="5">
        <v>2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5">
        <v>2</v>
      </c>
      <c r="W971" s="7">
        <v>0</v>
      </c>
      <c r="X971" s="5">
        <v>1</v>
      </c>
      <c r="Y971" s="7">
        <v>0</v>
      </c>
      <c r="Z971" s="5">
        <v>2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0.36</v>
      </c>
    </row>
    <row r="972">
      <c r="A972" s="24">
        <v>8335</v>
      </c>
      <c r="B972" s="9" t="s">
        <v>1270</v>
      </c>
      <c r="C972" s="9" t="s">
        <v>67</v>
      </c>
      <c r="D972" s="9" t="s">
        <v>159</v>
      </c>
      <c r="E972" s="9" t="s">
        <v>367</v>
      </c>
      <c r="F972" s="11">
        <v>2</v>
      </c>
      <c r="G972" s="10">
        <v>1</v>
      </c>
      <c r="H972" s="10">
        <v>1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1</v>
      </c>
      <c r="W972" s="10">
        <v>1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8352</v>
      </c>
      <c r="B973" s="4" t="s">
        <v>1271</v>
      </c>
      <c r="C973" s="4" t="s">
        <v>724</v>
      </c>
      <c r="D973" s="4" t="s">
        <v>736</v>
      </c>
      <c r="E973" s="4" t="s">
        <v>379</v>
      </c>
      <c r="F973" s="6">
        <v>1</v>
      </c>
      <c r="G973" s="7">
        <v>0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43">
        <v>0</v>
      </c>
    </row>
    <row r="974">
      <c r="A974" s="24">
        <v>8381</v>
      </c>
      <c r="B974" s="9" t="s">
        <v>1272</v>
      </c>
      <c r="C974" s="9" t="s">
        <v>142</v>
      </c>
      <c r="D974" s="9" t="s">
        <v>469</v>
      </c>
      <c r="E974" s="9" t="s">
        <v>1273</v>
      </c>
      <c r="F974" s="11">
        <v>10</v>
      </c>
      <c r="G974" s="10">
        <v>1</v>
      </c>
      <c r="H974" s="10">
        <v>1</v>
      </c>
      <c r="I974" s="10">
        <v>3</v>
      </c>
      <c r="J974" s="10">
        <v>4</v>
      </c>
      <c r="K974" s="10">
        <v>1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10</v>
      </c>
      <c r="V974" s="10">
        <v>1</v>
      </c>
      <c r="W974" s="10">
        <v>1</v>
      </c>
      <c r="X974" s="10">
        <v>3</v>
      </c>
      <c r="Y974" s="10">
        <v>4</v>
      </c>
      <c r="Z974" s="10">
        <v>1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1.25</v>
      </c>
      <c r="AL974" s="10">
        <v>1</v>
      </c>
      <c r="AM974" s="10">
        <v>2</v>
      </c>
      <c r="AN974" s="29">
        <v>0.48</v>
      </c>
    </row>
    <row r="975">
      <c r="A975" s="23">
        <v>8481</v>
      </c>
      <c r="B975" s="4" t="s">
        <v>1274</v>
      </c>
      <c r="C975" s="4" t="s">
        <v>67</v>
      </c>
      <c r="D975" s="4" t="s">
        <v>79</v>
      </c>
      <c r="E975" s="4" t="s">
        <v>82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8523</v>
      </c>
      <c r="B976" s="9" t="s">
        <v>1275</v>
      </c>
      <c r="C976" s="9" t="s">
        <v>67</v>
      </c>
      <c r="D976" s="9" t="s">
        <v>79</v>
      </c>
      <c r="E976" s="9" t="s">
        <v>115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8535</v>
      </c>
      <c r="B977" s="4" t="s">
        <v>1276</v>
      </c>
      <c r="C977" s="4" t="s">
        <v>652</v>
      </c>
      <c r="D977" s="4" t="s">
        <v>1277</v>
      </c>
      <c r="E977" s="4" t="s">
        <v>379</v>
      </c>
      <c r="F977" s="6">
        <v>5</v>
      </c>
      <c r="G977" s="5">
        <v>1</v>
      </c>
      <c r="H977" s="5">
        <v>1</v>
      </c>
      <c r="I977" s="7">
        <v>0</v>
      </c>
      <c r="J977" s="5">
        <v>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1</v>
      </c>
      <c r="W977" s="5">
        <v>1</v>
      </c>
      <c r="X977" s="7">
        <v>0</v>
      </c>
      <c r="Y977" s="5">
        <v>3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1.25</v>
      </c>
      <c r="AL977" s="5">
        <v>1</v>
      </c>
      <c r="AM977" s="5">
        <v>2</v>
      </c>
      <c r="AN977" s="28">
        <v>1.47</v>
      </c>
    </row>
    <row r="978">
      <c r="A978" s="24">
        <v>8563</v>
      </c>
      <c r="B978" s="9" t="s">
        <v>1278</v>
      </c>
      <c r="C978" s="9" t="s">
        <v>67</v>
      </c>
      <c r="D978" s="9" t="s">
        <v>111</v>
      </c>
      <c r="E978" s="9" t="s">
        <v>153</v>
      </c>
      <c r="F978" s="11">
        <v>6</v>
      </c>
      <c r="G978" s="12">
        <v>0</v>
      </c>
      <c r="H978" s="10">
        <v>6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2">
        <v>0</v>
      </c>
      <c r="W978" s="10">
        <v>4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6</v>
      </c>
      <c r="AK978" s="13">
        <v>6</v>
      </c>
      <c r="AL978" s="10">
        <v>6</v>
      </c>
      <c r="AM978" s="10">
        <v>6</v>
      </c>
      <c r="AN978" s="29">
        <v>1.4</v>
      </c>
    </row>
    <row r="979">
      <c r="A979" s="23">
        <v>8564</v>
      </c>
      <c r="B979" s="4" t="s">
        <v>1279</v>
      </c>
      <c r="C979" s="4" t="s">
        <v>67</v>
      </c>
      <c r="D979" s="4" t="s">
        <v>111</v>
      </c>
      <c r="E979" s="4" t="s">
        <v>153</v>
      </c>
      <c r="F979" s="6">
        <v>2</v>
      </c>
      <c r="G979" s="7">
        <v>0</v>
      </c>
      <c r="H979" s="5">
        <v>2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7">
        <v>0</v>
      </c>
      <c r="W979" s="5">
        <v>2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0.72</v>
      </c>
    </row>
    <row r="980">
      <c r="A980" s="24">
        <v>8566</v>
      </c>
      <c r="B980" s="9" t="s">
        <v>1280</v>
      </c>
      <c r="C980" s="9" t="s">
        <v>67</v>
      </c>
      <c r="D980" s="9" t="s">
        <v>104</v>
      </c>
      <c r="E980" s="9" t="s">
        <v>1281</v>
      </c>
      <c r="F980" s="11">
        <v>4</v>
      </c>
      <c r="G980" s="10">
        <v>3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3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1.33</v>
      </c>
      <c r="AL980" s="10">
        <v>1</v>
      </c>
      <c r="AM980" s="10">
        <v>2</v>
      </c>
      <c r="AN980" s="29">
        <v>0.26</v>
      </c>
    </row>
    <row r="981">
      <c r="A981" s="23">
        <v>8587</v>
      </c>
      <c r="B981" s="4" t="s">
        <v>1282</v>
      </c>
      <c r="C981" s="4" t="s">
        <v>67</v>
      </c>
      <c r="D981" s="4" t="s">
        <v>71</v>
      </c>
      <c r="E981" s="4" t="s">
        <v>118</v>
      </c>
      <c r="F981" s="6">
        <v>2</v>
      </c>
      <c r="G981" s="5">
        <v>1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1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0.34</v>
      </c>
    </row>
    <row r="982">
      <c r="A982" s="24">
        <v>8604</v>
      </c>
      <c r="B982" s="9" t="s">
        <v>1283</v>
      </c>
      <c r="C982" s="9" t="s">
        <v>177</v>
      </c>
      <c r="D982" s="9" t="s">
        <v>1284</v>
      </c>
      <c r="E982" s="9" t="s">
        <v>379</v>
      </c>
      <c r="F982" s="11">
        <v>1</v>
      </c>
      <c r="G982" s="12">
        <v>0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8611</v>
      </c>
      <c r="B983" s="4" t="s">
        <v>1285</v>
      </c>
      <c r="C983" s="4" t="s">
        <v>142</v>
      </c>
      <c r="D983" s="4" t="s">
        <v>469</v>
      </c>
      <c r="E983" s="4" t="s">
        <v>581</v>
      </c>
      <c r="F983" s="6">
        <v>1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5">
        <v>1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5">
        <v>1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3">
        <v>0</v>
      </c>
    </row>
    <row r="984">
      <c r="A984" s="24">
        <v>8635</v>
      </c>
      <c r="B984" s="9" t="s">
        <v>1286</v>
      </c>
      <c r="C984" s="9" t="s">
        <v>67</v>
      </c>
      <c r="D984" s="9" t="s">
        <v>86</v>
      </c>
      <c r="E984" s="9" t="s">
        <v>1177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0.26</v>
      </c>
    </row>
    <row r="985">
      <c r="A985" s="23">
        <v>8651</v>
      </c>
      <c r="B985" s="4" t="s">
        <v>1287</v>
      </c>
      <c r="C985" s="4" t="s">
        <v>67</v>
      </c>
      <c r="D985" s="4" t="s">
        <v>99</v>
      </c>
      <c r="E985" s="4" t="s">
        <v>1093</v>
      </c>
      <c r="F985" s="6">
        <v>5</v>
      </c>
      <c r="G985" s="7">
        <v>0</v>
      </c>
      <c r="H985" s="7">
        <v>0</v>
      </c>
      <c r="I985" s="5">
        <v>1</v>
      </c>
      <c r="J985" s="5">
        <v>4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4</v>
      </c>
      <c r="V985" s="7">
        <v>0</v>
      </c>
      <c r="W985" s="7">
        <v>0</v>
      </c>
      <c r="X985" s="5">
        <v>1</v>
      </c>
      <c r="Y985" s="5">
        <v>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1.67</v>
      </c>
      <c r="AL985" s="5">
        <v>2</v>
      </c>
      <c r="AM985" s="5">
        <v>2</v>
      </c>
      <c r="AN985" s="28">
        <v>0.75</v>
      </c>
    </row>
    <row r="986">
      <c r="A986" s="24">
        <v>8652</v>
      </c>
      <c r="B986" s="9" t="s">
        <v>1288</v>
      </c>
      <c r="C986" s="9" t="s">
        <v>177</v>
      </c>
      <c r="D986" s="9" t="s">
        <v>1289</v>
      </c>
      <c r="E986" s="9" t="s">
        <v>1290</v>
      </c>
      <c r="F986" s="11">
        <v>1</v>
      </c>
      <c r="G986" s="12">
        <v>0</v>
      </c>
      <c r="H986" s="12">
        <v>0</v>
      </c>
      <c r="I986" s="12">
        <v>0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2">
        <v>0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8706</v>
      </c>
      <c r="B987" s="4" t="s">
        <v>1291</v>
      </c>
      <c r="C987" s="4" t="s">
        <v>67</v>
      </c>
      <c r="D987" s="4" t="s">
        <v>99</v>
      </c>
      <c r="E987" s="4" t="s">
        <v>1093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0.5</v>
      </c>
    </row>
    <row r="988">
      <c r="A988" s="24">
        <v>8715</v>
      </c>
      <c r="B988" s="9" t="s">
        <v>1292</v>
      </c>
      <c r="C988" s="9" t="s">
        <v>67</v>
      </c>
      <c r="D988" s="9" t="s">
        <v>86</v>
      </c>
      <c r="E988" s="9" t="s">
        <v>94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0.24</v>
      </c>
    </row>
    <row r="989">
      <c r="A989" s="23">
        <v>8723</v>
      </c>
      <c r="B989" s="4" t="s">
        <v>1293</v>
      </c>
      <c r="C989" s="4" t="s">
        <v>67</v>
      </c>
      <c r="D989" s="4" t="s">
        <v>159</v>
      </c>
      <c r="E989" s="4" t="s">
        <v>830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8743</v>
      </c>
      <c r="B990" s="9" t="s">
        <v>1294</v>
      </c>
      <c r="C990" s="9" t="s">
        <v>67</v>
      </c>
      <c r="D990" s="9" t="s">
        <v>111</v>
      </c>
      <c r="E990" s="9" t="s">
        <v>150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29">
        <v>0.75</v>
      </c>
    </row>
    <row r="991">
      <c r="A991" s="23">
        <v>8751</v>
      </c>
      <c r="B991" s="4" t="s">
        <v>1295</v>
      </c>
      <c r="C991" s="4" t="s">
        <v>67</v>
      </c>
      <c r="D991" s="4" t="s">
        <v>75</v>
      </c>
      <c r="E991" s="4" t="s">
        <v>76</v>
      </c>
      <c r="F991" s="6">
        <v>3</v>
      </c>
      <c r="G991" s="7">
        <v>0</v>
      </c>
      <c r="H991" s="7">
        <v>0</v>
      </c>
      <c r="I991" s="7">
        <v>0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7">
        <v>0</v>
      </c>
      <c r="W991" s="7">
        <v>0</v>
      </c>
      <c r="X991" s="7">
        <v>0</v>
      </c>
      <c r="Y991" s="5">
        <v>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3</v>
      </c>
      <c r="AK991" s="8">
        <v>3</v>
      </c>
      <c r="AL991" s="5">
        <v>3</v>
      </c>
      <c r="AM991" s="5">
        <v>3</v>
      </c>
      <c r="AN991" s="28">
        <v>0.75</v>
      </c>
    </row>
    <row r="992">
      <c r="A992" s="24">
        <v>8755</v>
      </c>
      <c r="B992" s="9" t="s">
        <v>1296</v>
      </c>
      <c r="C992" s="9" t="s">
        <v>177</v>
      </c>
      <c r="D992" s="9" t="s">
        <v>1297</v>
      </c>
      <c r="E992" s="9" t="s">
        <v>1297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8795</v>
      </c>
      <c r="B993" s="4" t="s">
        <v>1298</v>
      </c>
      <c r="C993" s="4" t="s">
        <v>67</v>
      </c>
      <c r="D993" s="4" t="s">
        <v>91</v>
      </c>
      <c r="E993" s="4" t="s">
        <v>97</v>
      </c>
      <c r="F993" s="6">
        <v>9</v>
      </c>
      <c r="G993" s="5">
        <v>5</v>
      </c>
      <c r="H993" s="7">
        <v>0</v>
      </c>
      <c r="I993" s="7">
        <v>0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9</v>
      </c>
      <c r="V993" s="5">
        <v>5</v>
      </c>
      <c r="W993" s="7">
        <v>0</v>
      </c>
      <c r="X993" s="7">
        <v>0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</v>
      </c>
      <c r="AL993" s="5">
        <v>3</v>
      </c>
      <c r="AM993" s="5">
        <v>5</v>
      </c>
      <c r="AN993" s="28">
        <v>1</v>
      </c>
    </row>
    <row r="994">
      <c r="A994" s="24">
        <v>8961</v>
      </c>
      <c r="B994" s="9" t="s">
        <v>1299</v>
      </c>
      <c r="C994" s="9" t="s">
        <v>67</v>
      </c>
      <c r="D994" s="9" t="s">
        <v>75</v>
      </c>
      <c r="E994" s="9" t="s">
        <v>331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30">
        <v>0</v>
      </c>
    </row>
    <row r="995">
      <c r="A995" s="23">
        <v>9061</v>
      </c>
      <c r="B995" s="4" t="s">
        <v>1300</v>
      </c>
      <c r="C995" s="4" t="s">
        <v>142</v>
      </c>
      <c r="D995" s="4" t="s">
        <v>469</v>
      </c>
      <c r="E995" s="4" t="s">
        <v>1301</v>
      </c>
      <c r="F995" s="6">
        <v>1</v>
      </c>
      <c r="G995" s="7">
        <v>0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3">
        <v>0</v>
      </c>
    </row>
    <row r="996">
      <c r="A996" s="24">
        <v>9220</v>
      </c>
      <c r="B996" s="9" t="s">
        <v>1302</v>
      </c>
      <c r="C996" s="9" t="s">
        <v>67</v>
      </c>
      <c r="D996" s="9" t="s">
        <v>79</v>
      </c>
      <c r="E996" s="9" t="s">
        <v>82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9221</v>
      </c>
      <c r="B997" s="4" t="s">
        <v>1303</v>
      </c>
      <c r="C997" s="4" t="s">
        <v>67</v>
      </c>
      <c r="D997" s="4" t="s">
        <v>79</v>
      </c>
      <c r="E997" s="4" t="s">
        <v>80</v>
      </c>
      <c r="F997" s="6">
        <v>2</v>
      </c>
      <c r="G997" s="7">
        <v>0</v>
      </c>
      <c r="H997" s="7">
        <v>0</v>
      </c>
      <c r="I997" s="5">
        <v>1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7">
        <v>0</v>
      </c>
      <c r="W997" s="7">
        <v>0</v>
      </c>
      <c r="X997" s="5">
        <v>1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3">
        <v>0</v>
      </c>
    </row>
    <row r="998">
      <c r="A998" s="24">
        <v>9278</v>
      </c>
      <c r="B998" s="9" t="s">
        <v>1304</v>
      </c>
      <c r="C998" s="9" t="s">
        <v>67</v>
      </c>
      <c r="D998" s="9" t="s">
        <v>108</v>
      </c>
      <c r="E998" s="9" t="s">
        <v>109</v>
      </c>
      <c r="F998" s="11">
        <v>5</v>
      </c>
      <c r="G998" s="10">
        <v>1</v>
      </c>
      <c r="H998" s="12">
        <v>0</v>
      </c>
      <c r="I998" s="12">
        <v>0</v>
      </c>
      <c r="J998" s="10">
        <v>4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5</v>
      </c>
      <c r="V998" s="10">
        <v>1</v>
      </c>
      <c r="W998" s="12">
        <v>0</v>
      </c>
      <c r="X998" s="12">
        <v>0</v>
      </c>
      <c r="Y998" s="10">
        <v>4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1.25</v>
      </c>
      <c r="AL998" s="10">
        <v>1</v>
      </c>
      <c r="AM998" s="10">
        <v>2</v>
      </c>
      <c r="AN998" s="29">
        <v>1</v>
      </c>
    </row>
    <row r="999">
      <c r="A999" s="23">
        <v>9364</v>
      </c>
      <c r="B999" s="4" t="s">
        <v>1305</v>
      </c>
      <c r="C999" s="4" t="s">
        <v>632</v>
      </c>
      <c r="D999" s="4" t="s">
        <v>1306</v>
      </c>
      <c r="E999" s="4" t="s">
        <v>379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9483</v>
      </c>
      <c r="B1000" s="9" t="s">
        <v>1307</v>
      </c>
      <c r="C1000" s="9" t="s">
        <v>67</v>
      </c>
      <c r="D1000" s="9" t="s">
        <v>99</v>
      </c>
      <c r="E1000" s="9" t="s">
        <v>132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0.26</v>
      </c>
    </row>
    <row r="1001">
      <c r="A1001" s="23">
        <v>9558</v>
      </c>
      <c r="B1001" s="4" t="s">
        <v>1308</v>
      </c>
      <c r="C1001" s="4" t="s">
        <v>67</v>
      </c>
      <c r="D1001" s="4" t="s">
        <v>91</v>
      </c>
      <c r="E1001" s="4" t="s">
        <v>340</v>
      </c>
      <c r="F1001" s="6">
        <v>3</v>
      </c>
      <c r="G1001" s="7">
        <v>0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7">
        <v>0</v>
      </c>
      <c r="W1001" s="7">
        <v>0</v>
      </c>
      <c r="X1001" s="7">
        <v>0</v>
      </c>
      <c r="Y1001" s="5">
        <v>3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0.78</v>
      </c>
    </row>
    <row r="1002">
      <c r="A1002" s="24">
        <v>9627</v>
      </c>
      <c r="B1002" s="9" t="s">
        <v>1309</v>
      </c>
      <c r="C1002" s="9" t="s">
        <v>142</v>
      </c>
      <c r="D1002" s="9" t="s">
        <v>469</v>
      </c>
      <c r="E1002" s="9" t="s">
        <v>499</v>
      </c>
      <c r="F1002" s="11">
        <v>9</v>
      </c>
      <c r="G1002" s="10">
        <v>3</v>
      </c>
      <c r="H1002" s="10">
        <v>2</v>
      </c>
      <c r="I1002" s="10">
        <v>2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9</v>
      </c>
      <c r="V1002" s="10">
        <v>3</v>
      </c>
      <c r="W1002" s="10">
        <v>2</v>
      </c>
      <c r="X1002" s="10">
        <v>2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1.8</v>
      </c>
      <c r="AL1002" s="10">
        <v>2</v>
      </c>
      <c r="AM1002" s="10">
        <v>2</v>
      </c>
      <c r="AN1002" s="30">
        <v>0</v>
      </c>
    </row>
    <row r="1003">
      <c r="A1003" s="23">
        <v>9630</v>
      </c>
      <c r="B1003" s="4" t="s">
        <v>1310</v>
      </c>
      <c r="C1003" s="4" t="s">
        <v>67</v>
      </c>
      <c r="D1003" s="4" t="s">
        <v>86</v>
      </c>
      <c r="E1003" s="4" t="s">
        <v>102</v>
      </c>
      <c r="F1003" s="6">
        <v>3</v>
      </c>
      <c r="G1003" s="5">
        <v>1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1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0.85</v>
      </c>
    </row>
    <row r="1004">
      <c r="A1004" s="24">
        <v>9631</v>
      </c>
      <c r="B1004" s="9" t="s">
        <v>1311</v>
      </c>
      <c r="C1004" s="9" t="s">
        <v>67</v>
      </c>
      <c r="D1004" s="9" t="s">
        <v>104</v>
      </c>
      <c r="E1004" s="9" t="s">
        <v>156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9655</v>
      </c>
      <c r="B1005" s="4" t="s">
        <v>1312</v>
      </c>
      <c r="C1005" s="4" t="s">
        <v>67</v>
      </c>
      <c r="D1005" s="4" t="s">
        <v>75</v>
      </c>
      <c r="E1005" s="4" t="s">
        <v>84</v>
      </c>
      <c r="F1005" s="6">
        <v>2</v>
      </c>
      <c r="G1005" s="5">
        <v>1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1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3">
        <v>0</v>
      </c>
    </row>
    <row r="1006">
      <c r="A1006" s="24">
        <v>9677</v>
      </c>
      <c r="B1006" s="9" t="s">
        <v>1313</v>
      </c>
      <c r="C1006" s="9" t="s">
        <v>177</v>
      </c>
      <c r="D1006" s="9" t="s">
        <v>194</v>
      </c>
      <c r="E1006" s="9" t="s">
        <v>214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9749</v>
      </c>
      <c r="B1007" s="4" t="s">
        <v>1314</v>
      </c>
      <c r="C1007" s="4" t="s">
        <v>656</v>
      </c>
      <c r="D1007" s="4" t="s">
        <v>714</v>
      </c>
      <c r="E1007" s="4" t="s">
        <v>715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0.26</v>
      </c>
    </row>
    <row r="1008">
      <c r="A1008" s="24">
        <v>9750</v>
      </c>
      <c r="B1008" s="9" t="s">
        <v>1315</v>
      </c>
      <c r="C1008" s="9" t="s">
        <v>67</v>
      </c>
      <c r="D1008" s="9" t="s">
        <v>79</v>
      </c>
      <c r="E1008" s="9" t="s">
        <v>115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9836</v>
      </c>
      <c r="B1009" s="4" t="s">
        <v>1316</v>
      </c>
      <c r="C1009" s="4" t="s">
        <v>67</v>
      </c>
      <c r="D1009" s="4" t="s">
        <v>159</v>
      </c>
      <c r="E1009" s="4" t="s">
        <v>160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0.26</v>
      </c>
    </row>
    <row r="1010">
      <c r="A1010" s="24">
        <v>9840</v>
      </c>
      <c r="B1010" s="9" t="s">
        <v>1317</v>
      </c>
      <c r="C1010" s="9" t="s">
        <v>142</v>
      </c>
      <c r="D1010" s="9" t="s">
        <v>143</v>
      </c>
      <c r="E1010" s="9" t="s">
        <v>144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9881</v>
      </c>
      <c r="B1011" s="4" t="s">
        <v>1318</v>
      </c>
      <c r="C1011" s="4" t="s">
        <v>67</v>
      </c>
      <c r="D1011" s="4" t="s">
        <v>79</v>
      </c>
      <c r="E1011" s="4" t="s">
        <v>343</v>
      </c>
      <c r="F1011" s="6">
        <v>3</v>
      </c>
      <c r="G1011" s="5">
        <v>1</v>
      </c>
      <c r="H1011" s="7">
        <v>0</v>
      </c>
      <c r="I1011" s="5">
        <v>2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5">
        <v>1</v>
      </c>
      <c r="W1011" s="7">
        <v>0</v>
      </c>
      <c r="X1011" s="5">
        <v>2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43">
        <v>0</v>
      </c>
    </row>
    <row r="1012">
      <c r="A1012" s="24">
        <v>9931</v>
      </c>
      <c r="B1012" s="9" t="s">
        <v>1319</v>
      </c>
      <c r="C1012" s="9" t="s">
        <v>67</v>
      </c>
      <c r="D1012" s="9" t="s">
        <v>75</v>
      </c>
      <c r="E1012" s="9" t="s">
        <v>128</v>
      </c>
      <c r="F1012" s="11">
        <v>1</v>
      </c>
      <c r="G1012" s="12">
        <v>0</v>
      </c>
      <c r="H1012" s="12">
        <v>0</v>
      </c>
      <c r="I1012" s="12">
        <v>0</v>
      </c>
      <c r="J1012" s="12">
        <v>0</v>
      </c>
      <c r="K1012" s="10">
        <v>1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2">
        <v>0</v>
      </c>
      <c r="Z1012" s="10">
        <v>1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9986</v>
      </c>
      <c r="B1013" s="4" t="s">
        <v>1320</v>
      </c>
      <c r="C1013" s="4" t="s">
        <v>67</v>
      </c>
      <c r="D1013" s="4" t="s">
        <v>79</v>
      </c>
      <c r="E1013" s="4" t="s">
        <v>209</v>
      </c>
      <c r="F1013" s="6">
        <v>2</v>
      </c>
      <c r="G1013" s="7">
        <v>0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28">
        <v>0.26</v>
      </c>
    </row>
    <row r="1014">
      <c r="A1014" s="24">
        <v>10018</v>
      </c>
      <c r="B1014" s="9" t="s">
        <v>1321</v>
      </c>
      <c r="C1014" s="9" t="s">
        <v>67</v>
      </c>
      <c r="D1014" s="9" t="s">
        <v>111</v>
      </c>
      <c r="E1014" s="9" t="s">
        <v>221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3</v>
      </c>
      <c r="V1014" s="10">
        <v>3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0.72</v>
      </c>
    </row>
    <row r="1015">
      <c r="A1015" s="23">
        <v>10045</v>
      </c>
      <c r="B1015" s="4" t="s">
        <v>1322</v>
      </c>
      <c r="C1015" s="4" t="s">
        <v>67</v>
      </c>
      <c r="D1015" s="4" t="s">
        <v>134</v>
      </c>
      <c r="E1015" s="4" t="s">
        <v>135</v>
      </c>
      <c r="F1015" s="6">
        <v>3</v>
      </c>
      <c r="G1015" s="5">
        <v>3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5">
        <v>3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3</v>
      </c>
      <c r="AK1015" s="8">
        <v>3</v>
      </c>
      <c r="AL1015" s="5">
        <v>3</v>
      </c>
      <c r="AM1015" s="5">
        <v>3</v>
      </c>
      <c r="AN1015" s="28">
        <v>0.99</v>
      </c>
    </row>
    <row r="1016">
      <c r="A1016" s="24">
        <v>10050</v>
      </c>
      <c r="B1016" s="9" t="s">
        <v>1323</v>
      </c>
      <c r="C1016" s="9" t="s">
        <v>67</v>
      </c>
      <c r="D1016" s="9" t="s">
        <v>86</v>
      </c>
      <c r="E1016" s="9" t="s">
        <v>140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29">
        <v>0.38</v>
      </c>
    </row>
    <row r="1017">
      <c r="A1017" s="23">
        <v>10062</v>
      </c>
      <c r="B1017" s="4" t="s">
        <v>1324</v>
      </c>
      <c r="C1017" s="4" t="s">
        <v>724</v>
      </c>
      <c r="D1017" s="4" t="s">
        <v>1139</v>
      </c>
      <c r="E1017" s="4" t="s">
        <v>379</v>
      </c>
      <c r="F1017" s="6">
        <v>2</v>
      </c>
      <c r="G1017" s="7">
        <v>0</v>
      </c>
      <c r="H1017" s="7">
        <v>0</v>
      </c>
      <c r="I1017" s="5">
        <v>2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0.26</v>
      </c>
    </row>
    <row r="1018">
      <c r="A1018" s="24">
        <v>10075</v>
      </c>
      <c r="B1018" s="9" t="s">
        <v>1325</v>
      </c>
      <c r="C1018" s="9" t="s">
        <v>645</v>
      </c>
      <c r="D1018" s="9" t="s">
        <v>649</v>
      </c>
      <c r="E1018" s="9" t="s">
        <v>650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10096</v>
      </c>
      <c r="B1019" s="4" t="s">
        <v>1326</v>
      </c>
      <c r="C1019" s="4" t="s">
        <v>632</v>
      </c>
      <c r="D1019" s="4" t="s">
        <v>676</v>
      </c>
      <c r="E1019" s="4" t="s">
        <v>379</v>
      </c>
      <c r="F1019" s="6">
        <v>2</v>
      </c>
      <c r="G1019" s="7">
        <v>0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7">
        <v>0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0.44</v>
      </c>
    </row>
    <row r="1020">
      <c r="A1020" s="24">
        <v>10105</v>
      </c>
      <c r="B1020" s="9" t="s">
        <v>1327</v>
      </c>
      <c r="C1020" s="9" t="s">
        <v>67</v>
      </c>
      <c r="D1020" s="9" t="s">
        <v>75</v>
      </c>
      <c r="E1020" s="9" t="s">
        <v>171</v>
      </c>
      <c r="F1020" s="11">
        <v>17</v>
      </c>
      <c r="G1020" s="12">
        <v>0</v>
      </c>
      <c r="H1020" s="12">
        <v>0</v>
      </c>
      <c r="I1020" s="12">
        <v>0</v>
      </c>
      <c r="J1020" s="10">
        <v>17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16</v>
      </c>
      <c r="V1020" s="12">
        <v>0</v>
      </c>
      <c r="W1020" s="12">
        <v>0</v>
      </c>
      <c r="X1020" s="12">
        <v>0</v>
      </c>
      <c r="Y1020" s="10">
        <v>16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8.5</v>
      </c>
      <c r="AL1020" s="10">
        <v>8</v>
      </c>
      <c r="AM1020" s="10">
        <v>15</v>
      </c>
      <c r="AN1020" s="29">
        <v>4</v>
      </c>
    </row>
    <row r="1021">
      <c r="A1021" s="23">
        <v>10163</v>
      </c>
      <c r="B1021" s="4" t="s">
        <v>1328</v>
      </c>
      <c r="C1021" s="4" t="s">
        <v>724</v>
      </c>
      <c r="D1021" s="4" t="s">
        <v>1329</v>
      </c>
      <c r="E1021" s="4" t="s">
        <v>379</v>
      </c>
      <c r="F1021" s="6">
        <v>3</v>
      </c>
      <c r="G1021" s="7">
        <v>0</v>
      </c>
      <c r="H1021" s="7">
        <v>0</v>
      </c>
      <c r="I1021" s="5">
        <v>3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7">
        <v>0</v>
      </c>
      <c r="W1021" s="7">
        <v>0</v>
      </c>
      <c r="X1021" s="5">
        <v>3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0.25</v>
      </c>
    </row>
    <row r="1022">
      <c r="A1022" s="24">
        <v>10178</v>
      </c>
      <c r="B1022" s="9" t="s">
        <v>1330</v>
      </c>
      <c r="C1022" s="9" t="s">
        <v>67</v>
      </c>
      <c r="D1022" s="9" t="s">
        <v>79</v>
      </c>
      <c r="E1022" s="9" t="s">
        <v>115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0.26</v>
      </c>
    </row>
    <row r="1023">
      <c r="A1023" s="23">
        <v>10187</v>
      </c>
      <c r="B1023" s="4" t="s">
        <v>1331</v>
      </c>
      <c r="C1023" s="4" t="s">
        <v>177</v>
      </c>
      <c r="D1023" s="4" t="s">
        <v>417</v>
      </c>
      <c r="E1023" s="4" t="s">
        <v>417</v>
      </c>
      <c r="F1023" s="6">
        <v>6</v>
      </c>
      <c r="G1023" s="7">
        <v>0</v>
      </c>
      <c r="H1023" s="7">
        <v>0</v>
      </c>
      <c r="I1023" s="5">
        <v>2</v>
      </c>
      <c r="J1023" s="7">
        <v>0</v>
      </c>
      <c r="K1023" s="5">
        <v>4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4</v>
      </c>
      <c r="V1023" s="7">
        <v>0</v>
      </c>
      <c r="W1023" s="7">
        <v>0</v>
      </c>
      <c r="X1023" s="5">
        <v>1</v>
      </c>
      <c r="Y1023" s="7">
        <v>0</v>
      </c>
      <c r="Z1023" s="5">
        <v>3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3</v>
      </c>
      <c r="AL1023" s="5">
        <v>3</v>
      </c>
      <c r="AM1023" s="5">
        <v>4</v>
      </c>
      <c r="AN1023" s="43">
        <v>0</v>
      </c>
    </row>
    <row r="1024">
      <c r="A1024" s="24">
        <v>10213</v>
      </c>
      <c r="B1024" s="9" t="s">
        <v>1332</v>
      </c>
      <c r="C1024" s="9" t="s">
        <v>632</v>
      </c>
      <c r="D1024" s="9" t="s">
        <v>1333</v>
      </c>
      <c r="E1024" s="9" t="s">
        <v>379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0.24</v>
      </c>
    </row>
    <row r="1025">
      <c r="A1025" s="23">
        <v>10214</v>
      </c>
      <c r="B1025" s="4" t="s">
        <v>1334</v>
      </c>
      <c r="C1025" s="4" t="s">
        <v>67</v>
      </c>
      <c r="D1025" s="4" t="s">
        <v>99</v>
      </c>
      <c r="E1025" s="4" t="s">
        <v>1335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10269</v>
      </c>
      <c r="B1026" s="9" t="s">
        <v>1336</v>
      </c>
      <c r="C1026" s="9" t="s">
        <v>67</v>
      </c>
      <c r="D1026" s="9" t="s">
        <v>111</v>
      </c>
      <c r="E1026" s="9" t="s">
        <v>122</v>
      </c>
      <c r="F1026" s="11">
        <v>2</v>
      </c>
      <c r="G1026" s="12">
        <v>0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29">
        <v>0.5</v>
      </c>
    </row>
    <row r="1027">
      <c r="A1027" s="23">
        <v>10320</v>
      </c>
      <c r="B1027" s="4" t="s">
        <v>1337</v>
      </c>
      <c r="C1027" s="4" t="s">
        <v>724</v>
      </c>
      <c r="D1027" s="4" t="s">
        <v>725</v>
      </c>
      <c r="E1027" s="4" t="s">
        <v>379</v>
      </c>
      <c r="F1027" s="6">
        <v>1</v>
      </c>
      <c r="G1027" s="7">
        <v>0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3">
        <v>0</v>
      </c>
    </row>
    <row r="1028">
      <c r="A1028" s="24">
        <v>10365</v>
      </c>
      <c r="B1028" s="9" t="s">
        <v>1338</v>
      </c>
      <c r="C1028" s="9" t="s">
        <v>142</v>
      </c>
      <c r="D1028" s="9" t="s">
        <v>469</v>
      </c>
      <c r="E1028" s="9" t="s">
        <v>470</v>
      </c>
      <c r="F1028" s="11">
        <v>2</v>
      </c>
      <c r="G1028" s="10">
        <v>1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1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0.48</v>
      </c>
    </row>
    <row r="1029">
      <c r="A1029" s="23">
        <v>10385</v>
      </c>
      <c r="B1029" s="4" t="s">
        <v>1339</v>
      </c>
      <c r="C1029" s="4" t="s">
        <v>177</v>
      </c>
      <c r="D1029" s="4" t="s">
        <v>923</v>
      </c>
      <c r="E1029" s="4" t="s">
        <v>1084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10410</v>
      </c>
      <c r="B1030" s="9" t="s">
        <v>1340</v>
      </c>
      <c r="C1030" s="9" t="s">
        <v>67</v>
      </c>
      <c r="D1030" s="9" t="s">
        <v>104</v>
      </c>
      <c r="E1030" s="9" t="s">
        <v>669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0.35</v>
      </c>
    </row>
    <row r="1031">
      <c r="A1031" s="23">
        <v>10431</v>
      </c>
      <c r="B1031" s="4" t="s">
        <v>1341</v>
      </c>
      <c r="C1031" s="4" t="s">
        <v>67</v>
      </c>
      <c r="D1031" s="4" t="s">
        <v>75</v>
      </c>
      <c r="E1031" s="4" t="s">
        <v>128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10480</v>
      </c>
      <c r="B1032" s="9" t="s">
        <v>1342</v>
      </c>
      <c r="C1032" s="9" t="s">
        <v>632</v>
      </c>
      <c r="D1032" s="9" t="s">
        <v>945</v>
      </c>
      <c r="E1032" s="9" t="s">
        <v>379</v>
      </c>
      <c r="F1032" s="11">
        <v>2</v>
      </c>
      <c r="G1032" s="12">
        <v>0</v>
      </c>
      <c r="H1032" s="12">
        <v>0</v>
      </c>
      <c r="I1032" s="10">
        <v>1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2">
        <v>0</v>
      </c>
      <c r="W1032" s="12">
        <v>0</v>
      </c>
      <c r="X1032" s="10">
        <v>1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10487</v>
      </c>
      <c r="B1033" s="4" t="s">
        <v>1343</v>
      </c>
      <c r="C1033" s="4" t="s">
        <v>177</v>
      </c>
      <c r="D1033" s="4" t="s">
        <v>178</v>
      </c>
      <c r="E1033" s="4" t="s">
        <v>179</v>
      </c>
      <c r="F1033" s="6">
        <v>6</v>
      </c>
      <c r="G1033" s="5">
        <v>5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</v>
      </c>
      <c r="V1033" s="5">
        <v>5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1</v>
      </c>
      <c r="AM1033" s="5">
        <v>4</v>
      </c>
      <c r="AN1033" s="28">
        <v>0.37</v>
      </c>
    </row>
    <row r="1034">
      <c r="A1034" s="24">
        <v>10542</v>
      </c>
      <c r="B1034" s="9" t="s">
        <v>1344</v>
      </c>
      <c r="C1034" s="9" t="s">
        <v>67</v>
      </c>
      <c r="D1034" s="9" t="s">
        <v>79</v>
      </c>
      <c r="E1034" s="9" t="s">
        <v>115</v>
      </c>
      <c r="F1034" s="11">
        <v>4</v>
      </c>
      <c r="G1034" s="10">
        <v>1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0.25</v>
      </c>
    </row>
    <row r="1035">
      <c r="A1035" s="23">
        <v>10577</v>
      </c>
      <c r="B1035" s="4" t="s">
        <v>1345</v>
      </c>
      <c r="C1035" s="4" t="s">
        <v>724</v>
      </c>
      <c r="D1035" s="4" t="s">
        <v>725</v>
      </c>
      <c r="E1035" s="4" t="s">
        <v>379</v>
      </c>
      <c r="F1035" s="6">
        <v>2</v>
      </c>
      <c r="G1035" s="7">
        <v>0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28">
        <v>0.52</v>
      </c>
    </row>
    <row r="1036">
      <c r="A1036" s="24">
        <v>10591</v>
      </c>
      <c r="B1036" s="9" t="s">
        <v>1346</v>
      </c>
      <c r="C1036" s="9" t="s">
        <v>67</v>
      </c>
      <c r="D1036" s="9" t="s">
        <v>108</v>
      </c>
      <c r="E1036" s="9" t="s">
        <v>798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0.24</v>
      </c>
    </row>
    <row r="1037">
      <c r="A1037" s="23">
        <v>10612</v>
      </c>
      <c r="B1037" s="4" t="s">
        <v>1347</v>
      </c>
      <c r="C1037" s="4" t="s">
        <v>67</v>
      </c>
      <c r="D1037" s="4" t="s">
        <v>134</v>
      </c>
      <c r="E1037" s="4" t="s">
        <v>345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28">
        <v>0.7</v>
      </c>
    </row>
    <row r="1038">
      <c r="A1038" s="24">
        <v>10725</v>
      </c>
      <c r="B1038" s="9" t="s">
        <v>1348</v>
      </c>
      <c r="C1038" s="9" t="s">
        <v>751</v>
      </c>
      <c r="D1038" s="9" t="s">
        <v>379</v>
      </c>
      <c r="E1038" s="9" t="s">
        <v>379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10734</v>
      </c>
      <c r="B1039" s="4" t="s">
        <v>1349</v>
      </c>
      <c r="C1039" s="4" t="s">
        <v>377</v>
      </c>
      <c r="D1039" s="4" t="s">
        <v>1350</v>
      </c>
      <c r="E1039" s="4" t="s">
        <v>379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0.26</v>
      </c>
    </row>
    <row r="1040">
      <c r="A1040" s="24">
        <v>10746</v>
      </c>
      <c r="B1040" s="9" t="s">
        <v>1351</v>
      </c>
      <c r="C1040" s="9" t="s">
        <v>177</v>
      </c>
      <c r="D1040" s="9" t="s">
        <v>194</v>
      </c>
      <c r="E1040" s="9" t="s">
        <v>195</v>
      </c>
      <c r="F1040" s="11">
        <v>1</v>
      </c>
      <c r="G1040" s="12">
        <v>0</v>
      </c>
      <c r="H1040" s="12">
        <v>0</v>
      </c>
      <c r="I1040" s="12">
        <v>0</v>
      </c>
      <c r="J1040" s="12">
        <v>0</v>
      </c>
      <c r="K1040" s="10">
        <v>1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2">
        <v>0</v>
      </c>
      <c r="Z1040" s="10">
        <v>1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10843</v>
      </c>
      <c r="B1041" s="4" t="s">
        <v>1352</v>
      </c>
      <c r="C1041" s="4" t="s">
        <v>67</v>
      </c>
      <c r="D1041" s="4" t="s">
        <v>75</v>
      </c>
      <c r="E1041" s="4" t="s">
        <v>76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43">
        <v>0</v>
      </c>
    </row>
    <row r="1042">
      <c r="A1042" s="24">
        <v>10847</v>
      </c>
      <c r="B1042" s="9" t="s">
        <v>1353</v>
      </c>
      <c r="C1042" s="9" t="s">
        <v>67</v>
      </c>
      <c r="D1042" s="9" t="s">
        <v>68</v>
      </c>
      <c r="E1042" s="9" t="s">
        <v>453</v>
      </c>
      <c r="F1042" s="11">
        <v>2</v>
      </c>
      <c r="G1042" s="12">
        <v>0</v>
      </c>
      <c r="H1042" s="10">
        <v>1</v>
      </c>
      <c r="I1042" s="12">
        <v>0</v>
      </c>
      <c r="J1042" s="12">
        <v>0</v>
      </c>
      <c r="K1042" s="10">
        <v>1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2">
        <v>0</v>
      </c>
      <c r="W1042" s="10">
        <v>1</v>
      </c>
      <c r="X1042" s="12">
        <v>0</v>
      </c>
      <c r="Y1042" s="12">
        <v>0</v>
      </c>
      <c r="Z1042" s="10">
        <v>1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10862</v>
      </c>
      <c r="B1043" s="4" t="s">
        <v>1354</v>
      </c>
      <c r="C1043" s="4" t="s">
        <v>177</v>
      </c>
      <c r="D1043" s="4" t="s">
        <v>178</v>
      </c>
      <c r="E1043" s="4" t="s">
        <v>179</v>
      </c>
      <c r="F1043" s="6">
        <v>2</v>
      </c>
      <c r="G1043" s="5">
        <v>1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1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0.26</v>
      </c>
    </row>
    <row r="1044">
      <c r="A1044" s="24">
        <v>10867</v>
      </c>
      <c r="B1044" s="9" t="s">
        <v>1355</v>
      </c>
      <c r="C1044" s="9" t="s">
        <v>67</v>
      </c>
      <c r="D1044" s="9" t="s">
        <v>71</v>
      </c>
      <c r="E1044" s="9" t="s">
        <v>118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10924</v>
      </c>
      <c r="B1045" s="4" t="s">
        <v>1356</v>
      </c>
      <c r="C1045" s="4" t="s">
        <v>67</v>
      </c>
      <c r="D1045" s="4" t="s">
        <v>75</v>
      </c>
      <c r="E1045" s="4" t="s">
        <v>120</v>
      </c>
      <c r="F1045" s="6">
        <v>2</v>
      </c>
      <c r="G1045" s="7">
        <v>0</v>
      </c>
      <c r="H1045" s="7">
        <v>0</v>
      </c>
      <c r="I1045" s="7">
        <v>0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28">
        <v>0.25</v>
      </c>
    </row>
    <row r="1046">
      <c r="A1046" s="24">
        <v>10944</v>
      </c>
      <c r="B1046" s="9" t="s">
        <v>1357</v>
      </c>
      <c r="C1046" s="9" t="s">
        <v>67</v>
      </c>
      <c r="D1046" s="9" t="s">
        <v>134</v>
      </c>
      <c r="E1046" s="9" t="s">
        <v>135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0.37</v>
      </c>
    </row>
    <row r="1047">
      <c r="A1047" s="23">
        <v>10947</v>
      </c>
      <c r="B1047" s="4" t="s">
        <v>1358</v>
      </c>
      <c r="C1047" s="4" t="s">
        <v>67</v>
      </c>
      <c r="D1047" s="4" t="s">
        <v>111</v>
      </c>
      <c r="E1047" s="4" t="s">
        <v>153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10957</v>
      </c>
      <c r="B1048" s="9" t="s">
        <v>1359</v>
      </c>
      <c r="C1048" s="9" t="s">
        <v>142</v>
      </c>
      <c r="D1048" s="9" t="s">
        <v>469</v>
      </c>
      <c r="E1048" s="9" t="s">
        <v>581</v>
      </c>
      <c r="F1048" s="11">
        <v>6</v>
      </c>
      <c r="G1048" s="10">
        <v>1</v>
      </c>
      <c r="H1048" s="10">
        <v>1</v>
      </c>
      <c r="I1048" s="10">
        <v>2</v>
      </c>
      <c r="J1048" s="10">
        <v>1</v>
      </c>
      <c r="K1048" s="10">
        <v>1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6</v>
      </c>
      <c r="V1048" s="10">
        <v>1</v>
      </c>
      <c r="W1048" s="10">
        <v>1</v>
      </c>
      <c r="X1048" s="10">
        <v>2</v>
      </c>
      <c r="Y1048" s="10">
        <v>1</v>
      </c>
      <c r="Z1048" s="10">
        <v>1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1.5</v>
      </c>
    </row>
    <row r="1049">
      <c r="A1049" s="23">
        <v>10989</v>
      </c>
      <c r="B1049" s="4" t="s">
        <v>1360</v>
      </c>
      <c r="C1049" s="4" t="s">
        <v>142</v>
      </c>
      <c r="D1049" s="4" t="s">
        <v>700</v>
      </c>
      <c r="E1049" s="4" t="s">
        <v>701</v>
      </c>
      <c r="F1049" s="6">
        <v>1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3">
        <v>0</v>
      </c>
    </row>
    <row r="1050">
      <c r="A1050" s="24">
        <v>11018</v>
      </c>
      <c r="B1050" s="9" t="s">
        <v>1361</v>
      </c>
      <c r="C1050" s="9" t="s">
        <v>142</v>
      </c>
      <c r="D1050" s="9" t="s">
        <v>486</v>
      </c>
      <c r="E1050" s="9" t="s">
        <v>487</v>
      </c>
      <c r="F1050" s="11">
        <v>4</v>
      </c>
      <c r="G1050" s="10">
        <v>1</v>
      </c>
      <c r="H1050" s="12">
        <v>0</v>
      </c>
      <c r="I1050" s="10">
        <v>3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4</v>
      </c>
      <c r="V1050" s="10">
        <v>1</v>
      </c>
      <c r="W1050" s="12">
        <v>0</v>
      </c>
      <c r="X1050" s="10">
        <v>3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3</v>
      </c>
      <c r="AN1050" s="30">
        <v>0</v>
      </c>
    </row>
    <row r="1051">
      <c r="A1051" s="23">
        <v>11124</v>
      </c>
      <c r="B1051" s="4" t="s">
        <v>1362</v>
      </c>
      <c r="C1051" s="4" t="s">
        <v>67</v>
      </c>
      <c r="D1051" s="4" t="s">
        <v>68</v>
      </c>
      <c r="E1051" s="4" t="s">
        <v>453</v>
      </c>
      <c r="F1051" s="6">
        <v>1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11144</v>
      </c>
      <c r="B1052" s="9" t="s">
        <v>1363</v>
      </c>
      <c r="C1052" s="9" t="s">
        <v>177</v>
      </c>
      <c r="D1052" s="9" t="s">
        <v>489</v>
      </c>
      <c r="E1052" s="9" t="s">
        <v>496</v>
      </c>
      <c r="F1052" s="11">
        <v>3</v>
      </c>
      <c r="G1052" s="12">
        <v>0</v>
      </c>
      <c r="H1052" s="12">
        <v>0</v>
      </c>
      <c r="I1052" s="12">
        <v>0</v>
      </c>
      <c r="J1052" s="12">
        <v>0</v>
      </c>
      <c r="K1052" s="10">
        <v>3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</v>
      </c>
      <c r="V1052" s="12">
        <v>0</v>
      </c>
      <c r="W1052" s="12">
        <v>0</v>
      </c>
      <c r="X1052" s="12">
        <v>0</v>
      </c>
      <c r="Y1052" s="12">
        <v>0</v>
      </c>
      <c r="Z1052" s="10">
        <v>3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3</v>
      </c>
      <c r="AK1052" s="13">
        <v>3</v>
      </c>
      <c r="AL1052" s="10">
        <v>3</v>
      </c>
      <c r="AM1052" s="10">
        <v>3</v>
      </c>
      <c r="AN1052" s="30">
        <v>0</v>
      </c>
    </row>
    <row r="1053">
      <c r="A1053" s="23">
        <v>11185</v>
      </c>
      <c r="B1053" s="4" t="s">
        <v>1364</v>
      </c>
      <c r="C1053" s="4" t="s">
        <v>67</v>
      </c>
      <c r="D1053" s="4" t="s">
        <v>159</v>
      </c>
      <c r="E1053" s="4" t="s">
        <v>160</v>
      </c>
      <c r="F1053" s="6">
        <v>3</v>
      </c>
      <c r="G1053" s="7">
        <v>0</v>
      </c>
      <c r="H1053" s="7">
        <v>0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7">
        <v>0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28">
        <v>0.52</v>
      </c>
    </row>
    <row r="1054">
      <c r="A1054" s="24">
        <v>11233</v>
      </c>
      <c r="B1054" s="9" t="s">
        <v>1365</v>
      </c>
      <c r="C1054" s="9" t="s">
        <v>67</v>
      </c>
      <c r="D1054" s="9" t="s">
        <v>79</v>
      </c>
      <c r="E1054" s="9" t="s">
        <v>80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30">
        <v>0</v>
      </c>
    </row>
    <row r="1055">
      <c r="A1055" s="23">
        <v>11234</v>
      </c>
      <c r="B1055" s="4" t="s">
        <v>1366</v>
      </c>
      <c r="C1055" s="4" t="s">
        <v>67</v>
      </c>
      <c r="D1055" s="4" t="s">
        <v>86</v>
      </c>
      <c r="E1055" s="4" t="s">
        <v>140</v>
      </c>
      <c r="F1055" s="6">
        <v>1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0.26</v>
      </c>
    </row>
    <row r="1056">
      <c r="A1056" s="24">
        <v>11251</v>
      </c>
      <c r="B1056" s="9" t="s">
        <v>1367</v>
      </c>
      <c r="C1056" s="9" t="s">
        <v>67</v>
      </c>
      <c r="D1056" s="9" t="s">
        <v>104</v>
      </c>
      <c r="E1056" s="9" t="s">
        <v>669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11265</v>
      </c>
      <c r="B1057" s="4" t="s">
        <v>1368</v>
      </c>
      <c r="C1057" s="4" t="s">
        <v>724</v>
      </c>
      <c r="D1057" s="4" t="s">
        <v>892</v>
      </c>
      <c r="E1057" s="4" t="s">
        <v>379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3">
        <v>0</v>
      </c>
    </row>
    <row r="1058">
      <c r="A1058" s="24">
        <v>11268</v>
      </c>
      <c r="B1058" s="9" t="s">
        <v>1369</v>
      </c>
      <c r="C1058" s="9" t="s">
        <v>724</v>
      </c>
      <c r="D1058" s="9" t="s">
        <v>892</v>
      </c>
      <c r="E1058" s="9" t="s">
        <v>379</v>
      </c>
      <c r="F1058" s="11">
        <v>3</v>
      </c>
      <c r="G1058" s="12">
        <v>0</v>
      </c>
      <c r="H1058" s="12">
        <v>0</v>
      </c>
      <c r="I1058" s="10">
        <v>1</v>
      </c>
      <c r="J1058" s="10">
        <v>2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2">
        <v>0</v>
      </c>
      <c r="W1058" s="12">
        <v>0</v>
      </c>
      <c r="X1058" s="10">
        <v>1</v>
      </c>
      <c r="Y1058" s="10">
        <v>2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29">
        <v>0.52</v>
      </c>
    </row>
    <row r="1059">
      <c r="A1059" s="23">
        <v>11281</v>
      </c>
      <c r="B1059" s="4" t="s">
        <v>493</v>
      </c>
      <c r="C1059" s="4" t="s">
        <v>67</v>
      </c>
      <c r="D1059" s="4" t="s">
        <v>104</v>
      </c>
      <c r="E1059" s="4" t="s">
        <v>174</v>
      </c>
      <c r="F1059" s="6">
        <v>3</v>
      </c>
      <c r="G1059" s="5">
        <v>1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5">
        <v>1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0.63</v>
      </c>
    </row>
    <row r="1060">
      <c r="A1060" s="24">
        <v>11363</v>
      </c>
      <c r="B1060" s="9" t="s">
        <v>1370</v>
      </c>
      <c r="C1060" s="9" t="s">
        <v>142</v>
      </c>
      <c r="D1060" s="9" t="s">
        <v>583</v>
      </c>
      <c r="E1060" s="9" t="s">
        <v>584</v>
      </c>
      <c r="F1060" s="11">
        <v>4</v>
      </c>
      <c r="G1060" s="10">
        <v>1</v>
      </c>
      <c r="H1060" s="12">
        <v>0</v>
      </c>
      <c r="I1060" s="10">
        <v>3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0">
        <v>1</v>
      </c>
      <c r="W1060" s="12">
        <v>0</v>
      </c>
      <c r="X1060" s="10">
        <v>3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2</v>
      </c>
      <c r="AM1060" s="10">
        <v>3</v>
      </c>
      <c r="AN1060" s="30">
        <v>0</v>
      </c>
    </row>
    <row r="1061">
      <c r="A1061" s="23">
        <v>11423</v>
      </c>
      <c r="B1061" s="4" t="s">
        <v>1371</v>
      </c>
      <c r="C1061" s="4" t="s">
        <v>67</v>
      </c>
      <c r="D1061" s="4" t="s">
        <v>134</v>
      </c>
      <c r="E1061" s="4" t="s">
        <v>345</v>
      </c>
      <c r="F1061" s="6">
        <v>2</v>
      </c>
      <c r="G1061" s="5">
        <v>2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5">
        <v>2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0.37</v>
      </c>
    </row>
    <row r="1062">
      <c r="A1062" s="24">
        <v>11431</v>
      </c>
      <c r="B1062" s="9" t="s">
        <v>1372</v>
      </c>
      <c r="C1062" s="9" t="s">
        <v>67</v>
      </c>
      <c r="D1062" s="9" t="s">
        <v>71</v>
      </c>
      <c r="E1062" s="9" t="s">
        <v>118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11455</v>
      </c>
      <c r="B1063" s="4" t="s">
        <v>1373</v>
      </c>
      <c r="C1063" s="4" t="s">
        <v>652</v>
      </c>
      <c r="D1063" s="4" t="s">
        <v>773</v>
      </c>
      <c r="E1063" s="4" t="s">
        <v>379</v>
      </c>
      <c r="F1063" s="6">
        <v>2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3">
        <v>0</v>
      </c>
    </row>
    <row r="1064">
      <c r="A1064" s="24">
        <v>11531</v>
      </c>
      <c r="B1064" s="9" t="s">
        <v>1374</v>
      </c>
      <c r="C1064" s="9" t="s">
        <v>67</v>
      </c>
      <c r="D1064" s="9" t="s">
        <v>86</v>
      </c>
      <c r="E1064" s="9" t="s">
        <v>473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0.26</v>
      </c>
    </row>
    <row r="1065">
      <c r="A1065" s="23">
        <v>11535</v>
      </c>
      <c r="B1065" s="4" t="s">
        <v>1375</v>
      </c>
      <c r="C1065" s="4" t="s">
        <v>632</v>
      </c>
      <c r="D1065" s="4" t="s">
        <v>1376</v>
      </c>
      <c r="E1065" s="4" t="s">
        <v>379</v>
      </c>
      <c r="F1065" s="6">
        <v>2</v>
      </c>
      <c r="G1065" s="7">
        <v>0</v>
      </c>
      <c r="H1065" s="7">
        <v>0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7">
        <v>0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28">
        <v>0.5</v>
      </c>
    </row>
    <row r="1066">
      <c r="A1066" s="24">
        <v>11598</v>
      </c>
      <c r="B1066" s="9" t="s">
        <v>1377</v>
      </c>
      <c r="C1066" s="9" t="s">
        <v>67</v>
      </c>
      <c r="D1066" s="9" t="s">
        <v>79</v>
      </c>
      <c r="E1066" s="9" t="s">
        <v>343</v>
      </c>
      <c r="F1066" s="11">
        <v>2</v>
      </c>
      <c r="G1066" s="12">
        <v>0</v>
      </c>
      <c r="H1066" s="12">
        <v>0</v>
      </c>
      <c r="I1066" s="10">
        <v>1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0.52</v>
      </c>
    </row>
    <row r="1067">
      <c r="A1067" s="23">
        <v>11599</v>
      </c>
      <c r="B1067" s="4" t="s">
        <v>1378</v>
      </c>
      <c r="C1067" s="4" t="s">
        <v>67</v>
      </c>
      <c r="D1067" s="4" t="s">
        <v>86</v>
      </c>
      <c r="E1067" s="4" t="s">
        <v>102</v>
      </c>
      <c r="F1067" s="6">
        <v>3</v>
      </c>
      <c r="G1067" s="7">
        <v>0</v>
      </c>
      <c r="H1067" s="7">
        <v>0</v>
      </c>
      <c r="I1067" s="7">
        <v>0</v>
      </c>
      <c r="J1067" s="5">
        <v>3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7">
        <v>0</v>
      </c>
      <c r="W1067" s="7">
        <v>0</v>
      </c>
      <c r="X1067" s="7">
        <v>0</v>
      </c>
      <c r="Y1067" s="5">
        <v>3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3</v>
      </c>
      <c r="AK1067" s="8">
        <v>3</v>
      </c>
      <c r="AL1067" s="5">
        <v>3</v>
      </c>
      <c r="AM1067" s="5">
        <v>3</v>
      </c>
      <c r="AN1067" s="28">
        <v>0.78</v>
      </c>
    </row>
    <row r="1068">
      <c r="A1068" s="24">
        <v>11612</v>
      </c>
      <c r="B1068" s="9" t="s">
        <v>1379</v>
      </c>
      <c r="C1068" s="9" t="s">
        <v>67</v>
      </c>
      <c r="D1068" s="9" t="s">
        <v>71</v>
      </c>
      <c r="E1068" s="9" t="s">
        <v>169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0.38</v>
      </c>
    </row>
    <row r="1069">
      <c r="A1069" s="23">
        <v>11616</v>
      </c>
      <c r="B1069" s="4" t="s">
        <v>1380</v>
      </c>
      <c r="C1069" s="4" t="s">
        <v>67</v>
      </c>
      <c r="D1069" s="4" t="s">
        <v>134</v>
      </c>
      <c r="E1069" s="4" t="s">
        <v>232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43">
        <v>0</v>
      </c>
    </row>
    <row r="1070">
      <c r="A1070" s="24">
        <v>11618</v>
      </c>
      <c r="B1070" s="9" t="s">
        <v>1381</v>
      </c>
      <c r="C1070" s="9" t="s">
        <v>177</v>
      </c>
      <c r="D1070" s="9" t="s">
        <v>489</v>
      </c>
      <c r="E1070" s="9" t="s">
        <v>496</v>
      </c>
      <c r="F1070" s="11">
        <v>9</v>
      </c>
      <c r="G1070" s="10">
        <v>1</v>
      </c>
      <c r="H1070" s="12">
        <v>0</v>
      </c>
      <c r="I1070" s="10">
        <v>1</v>
      </c>
      <c r="J1070" s="10">
        <v>2</v>
      </c>
      <c r="K1070" s="10">
        <v>4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9</v>
      </c>
      <c r="V1070" s="10">
        <v>1</v>
      </c>
      <c r="W1070" s="12">
        <v>0</v>
      </c>
      <c r="X1070" s="10">
        <v>1</v>
      </c>
      <c r="Y1070" s="10">
        <v>2</v>
      </c>
      <c r="Z1070" s="10">
        <v>4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3</v>
      </c>
      <c r="AN1070" s="30">
        <v>0</v>
      </c>
    </row>
    <row r="1071">
      <c r="A1071" s="23">
        <v>11638</v>
      </c>
      <c r="B1071" s="4" t="s">
        <v>1382</v>
      </c>
      <c r="C1071" s="4" t="s">
        <v>67</v>
      </c>
      <c r="D1071" s="4" t="s">
        <v>111</v>
      </c>
      <c r="E1071" s="4" t="s">
        <v>153</v>
      </c>
      <c r="F1071" s="6">
        <v>4</v>
      </c>
      <c r="G1071" s="5">
        <v>1</v>
      </c>
      <c r="H1071" s="7">
        <v>0</v>
      </c>
      <c r="I1071" s="7">
        <v>0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1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1.33</v>
      </c>
      <c r="AL1071" s="5">
        <v>1</v>
      </c>
      <c r="AM1071" s="5">
        <v>2</v>
      </c>
      <c r="AN1071" s="28">
        <v>0.5</v>
      </c>
    </row>
    <row r="1072">
      <c r="A1072" s="24">
        <v>11833</v>
      </c>
      <c r="B1072" s="9" t="s">
        <v>1383</v>
      </c>
      <c r="C1072" s="9" t="s">
        <v>67</v>
      </c>
      <c r="D1072" s="9" t="s">
        <v>75</v>
      </c>
      <c r="E1072" s="9" t="s">
        <v>76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11835</v>
      </c>
      <c r="B1073" s="4" t="s">
        <v>1384</v>
      </c>
      <c r="C1073" s="4" t="s">
        <v>67</v>
      </c>
      <c r="D1073" s="4" t="s">
        <v>111</v>
      </c>
      <c r="E1073" s="4" t="s">
        <v>221</v>
      </c>
      <c r="F1073" s="6">
        <v>2</v>
      </c>
      <c r="G1073" s="7">
        <v>0</v>
      </c>
      <c r="H1073" s="7">
        <v>0</v>
      </c>
      <c r="I1073" s="5">
        <v>1</v>
      </c>
      <c r="J1073" s="7">
        <v>0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7">
        <v>0</v>
      </c>
      <c r="W1073" s="7">
        <v>0</v>
      </c>
      <c r="X1073" s="5">
        <v>1</v>
      </c>
      <c r="Y1073" s="7">
        <v>0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11842</v>
      </c>
      <c r="B1074" s="9" t="s">
        <v>1385</v>
      </c>
      <c r="C1074" s="9" t="s">
        <v>67</v>
      </c>
      <c r="D1074" s="9" t="s">
        <v>111</v>
      </c>
      <c r="E1074" s="9" t="s">
        <v>153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11844</v>
      </c>
      <c r="B1075" s="4" t="s">
        <v>1386</v>
      </c>
      <c r="C1075" s="4" t="s">
        <v>67</v>
      </c>
      <c r="D1075" s="4" t="s">
        <v>75</v>
      </c>
      <c r="E1075" s="4" t="s">
        <v>76</v>
      </c>
      <c r="F1075" s="6">
        <v>5</v>
      </c>
      <c r="G1075" s="5">
        <v>2</v>
      </c>
      <c r="H1075" s="7">
        <v>0</v>
      </c>
      <c r="I1075" s="5">
        <v>3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5">
        <v>2</v>
      </c>
      <c r="W1075" s="7">
        <v>0</v>
      </c>
      <c r="X1075" s="5">
        <v>3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2.5</v>
      </c>
      <c r="AL1075" s="5">
        <v>2</v>
      </c>
      <c r="AM1075" s="5">
        <v>3</v>
      </c>
      <c r="AN1075" s="28">
        <v>0.66</v>
      </c>
    </row>
    <row r="1076">
      <c r="A1076" s="24">
        <v>11850</v>
      </c>
      <c r="B1076" s="9" t="s">
        <v>1387</v>
      </c>
      <c r="C1076" s="9" t="s">
        <v>67</v>
      </c>
      <c r="D1076" s="9" t="s">
        <v>125</v>
      </c>
      <c r="E1076" s="9" t="s">
        <v>381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0">
        <v>0</v>
      </c>
    </row>
    <row r="1077">
      <c r="A1077" s="23">
        <v>11852</v>
      </c>
      <c r="B1077" s="4" t="s">
        <v>1388</v>
      </c>
      <c r="C1077" s="4" t="s">
        <v>67</v>
      </c>
      <c r="D1077" s="4" t="s">
        <v>75</v>
      </c>
      <c r="E1077" s="4" t="s">
        <v>120</v>
      </c>
      <c r="F1077" s="6">
        <v>1</v>
      </c>
      <c r="G1077" s="7">
        <v>0</v>
      </c>
      <c r="H1077" s="5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5">
        <v>1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11933</v>
      </c>
      <c r="B1078" s="9" t="s">
        <v>1389</v>
      </c>
      <c r="C1078" s="9" t="s">
        <v>67</v>
      </c>
      <c r="D1078" s="9" t="s">
        <v>111</v>
      </c>
      <c r="E1078" s="9" t="s">
        <v>150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11954</v>
      </c>
      <c r="B1079" s="4" t="s">
        <v>1390</v>
      </c>
      <c r="C1079" s="4" t="s">
        <v>67</v>
      </c>
      <c r="D1079" s="4" t="s">
        <v>86</v>
      </c>
      <c r="E1079" s="4" t="s">
        <v>146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0.24</v>
      </c>
    </row>
    <row r="1080">
      <c r="A1080" s="24">
        <v>11958</v>
      </c>
      <c r="B1080" s="9" t="s">
        <v>1391</v>
      </c>
      <c r="C1080" s="9" t="s">
        <v>67</v>
      </c>
      <c r="D1080" s="9" t="s">
        <v>71</v>
      </c>
      <c r="E1080" s="9" t="s">
        <v>169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0.33</v>
      </c>
    </row>
    <row r="1081">
      <c r="A1081" s="23">
        <v>11973</v>
      </c>
      <c r="B1081" s="4" t="s">
        <v>1392</v>
      </c>
      <c r="C1081" s="4" t="s">
        <v>67</v>
      </c>
      <c r="D1081" s="4" t="s">
        <v>99</v>
      </c>
      <c r="E1081" s="4" t="s">
        <v>742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3">
        <v>0</v>
      </c>
    </row>
    <row r="1082">
      <c r="A1082" s="24">
        <v>11993</v>
      </c>
      <c r="B1082" s="9" t="s">
        <v>1393</v>
      </c>
      <c r="C1082" s="9" t="s">
        <v>67</v>
      </c>
      <c r="D1082" s="9" t="s">
        <v>75</v>
      </c>
      <c r="E1082" s="9" t="s">
        <v>120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12013</v>
      </c>
      <c r="B1083" s="4" t="s">
        <v>1394</v>
      </c>
      <c r="C1083" s="4" t="s">
        <v>67</v>
      </c>
      <c r="D1083" s="4" t="s">
        <v>79</v>
      </c>
      <c r="E1083" s="4" t="s">
        <v>82</v>
      </c>
      <c r="F1083" s="6">
        <v>3</v>
      </c>
      <c r="G1083" s="7">
        <v>0</v>
      </c>
      <c r="H1083" s="7">
        <v>0</v>
      </c>
      <c r="I1083" s="5">
        <v>1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7">
        <v>0</v>
      </c>
      <c r="W1083" s="7">
        <v>0</v>
      </c>
      <c r="X1083" s="5">
        <v>1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0.48</v>
      </c>
    </row>
    <row r="1084">
      <c r="A1084" s="24">
        <v>12026</v>
      </c>
      <c r="B1084" s="9" t="s">
        <v>1395</v>
      </c>
      <c r="C1084" s="9" t="s">
        <v>67</v>
      </c>
      <c r="D1084" s="9" t="s">
        <v>79</v>
      </c>
      <c r="E1084" s="9" t="s">
        <v>209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12031</v>
      </c>
      <c r="B1085" s="4" t="s">
        <v>1396</v>
      </c>
      <c r="C1085" s="4" t="s">
        <v>67</v>
      </c>
      <c r="D1085" s="4" t="s">
        <v>86</v>
      </c>
      <c r="E1085" s="4" t="s">
        <v>239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43">
        <v>0</v>
      </c>
    </row>
    <row r="1086">
      <c r="A1086" s="24">
        <v>12039</v>
      </c>
      <c r="B1086" s="9" t="s">
        <v>1397</v>
      </c>
      <c r="C1086" s="9" t="s">
        <v>67</v>
      </c>
      <c r="D1086" s="9" t="s">
        <v>111</v>
      </c>
      <c r="E1086" s="9" t="s">
        <v>122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0.22</v>
      </c>
    </row>
    <row r="1087">
      <c r="A1087" s="23">
        <v>12061</v>
      </c>
      <c r="B1087" s="4" t="s">
        <v>1398</v>
      </c>
      <c r="C1087" s="4" t="s">
        <v>67</v>
      </c>
      <c r="D1087" s="4" t="s">
        <v>134</v>
      </c>
      <c r="E1087" s="4" t="s">
        <v>345</v>
      </c>
      <c r="F1087" s="6">
        <v>2</v>
      </c>
      <c r="G1087" s="5">
        <v>1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1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3">
        <v>0</v>
      </c>
    </row>
    <row r="1088">
      <c r="A1088" s="24">
        <v>12069</v>
      </c>
      <c r="B1088" s="9" t="s">
        <v>1399</v>
      </c>
      <c r="C1088" s="9" t="s">
        <v>67</v>
      </c>
      <c r="D1088" s="9" t="s">
        <v>159</v>
      </c>
      <c r="E1088" s="9" t="s">
        <v>544</v>
      </c>
      <c r="F1088" s="11">
        <v>2</v>
      </c>
      <c r="G1088" s="10">
        <v>1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1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12072</v>
      </c>
      <c r="B1089" s="4" t="s">
        <v>1400</v>
      </c>
      <c r="C1089" s="4" t="s">
        <v>67</v>
      </c>
      <c r="D1089" s="4" t="s">
        <v>159</v>
      </c>
      <c r="E1089" s="4" t="s">
        <v>367</v>
      </c>
      <c r="F1089" s="6">
        <v>6</v>
      </c>
      <c r="G1089" s="5">
        <v>5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6</v>
      </c>
      <c r="V1089" s="5">
        <v>5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3</v>
      </c>
      <c r="AN1089" s="28">
        <v>1.56</v>
      </c>
    </row>
    <row r="1090">
      <c r="A1090" s="24">
        <v>12095</v>
      </c>
      <c r="B1090" s="9" t="s">
        <v>1401</v>
      </c>
      <c r="C1090" s="9" t="s">
        <v>67</v>
      </c>
      <c r="D1090" s="9" t="s">
        <v>99</v>
      </c>
      <c r="E1090" s="9" t="s">
        <v>132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12097</v>
      </c>
      <c r="B1091" s="4" t="s">
        <v>1402</v>
      </c>
      <c r="C1091" s="4" t="s">
        <v>67</v>
      </c>
      <c r="D1091" s="4" t="s">
        <v>104</v>
      </c>
      <c r="E1091" s="4" t="s">
        <v>1403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12100</v>
      </c>
      <c r="B1092" s="9" t="s">
        <v>1404</v>
      </c>
      <c r="C1092" s="9" t="s">
        <v>67</v>
      </c>
      <c r="D1092" s="9" t="s">
        <v>75</v>
      </c>
      <c r="E1092" s="9" t="s">
        <v>171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12102</v>
      </c>
      <c r="B1093" s="4" t="s">
        <v>1405</v>
      </c>
      <c r="C1093" s="4" t="s">
        <v>67</v>
      </c>
      <c r="D1093" s="4" t="s">
        <v>71</v>
      </c>
      <c r="E1093" s="4" t="s">
        <v>169</v>
      </c>
      <c r="F1093" s="6">
        <v>4</v>
      </c>
      <c r="G1093" s="5">
        <v>1</v>
      </c>
      <c r="H1093" s="5">
        <v>1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4</v>
      </c>
      <c r="V1093" s="5">
        <v>1</v>
      </c>
      <c r="W1093" s="5">
        <v>1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1</v>
      </c>
    </row>
    <row r="1094">
      <c r="A1094" s="24">
        <v>12128</v>
      </c>
      <c r="B1094" s="9" t="s">
        <v>1406</v>
      </c>
      <c r="C1094" s="9" t="s">
        <v>67</v>
      </c>
      <c r="D1094" s="9" t="s">
        <v>79</v>
      </c>
      <c r="E1094" s="9" t="s">
        <v>80</v>
      </c>
      <c r="F1094" s="11">
        <v>3</v>
      </c>
      <c r="G1094" s="10">
        <v>3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3</v>
      </c>
      <c r="AK1094" s="13">
        <v>3</v>
      </c>
      <c r="AL1094" s="10">
        <v>3</v>
      </c>
      <c r="AM1094" s="10">
        <v>3</v>
      </c>
      <c r="AN1094" s="29">
        <v>0.25</v>
      </c>
    </row>
    <row r="1095">
      <c r="A1095" s="23">
        <v>12176</v>
      </c>
      <c r="B1095" s="4" t="s">
        <v>1407</v>
      </c>
      <c r="C1095" s="4" t="s">
        <v>67</v>
      </c>
      <c r="D1095" s="4" t="s">
        <v>111</v>
      </c>
      <c r="E1095" s="4" t="s">
        <v>150</v>
      </c>
      <c r="F1095" s="6">
        <v>5</v>
      </c>
      <c r="G1095" s="5">
        <v>3</v>
      </c>
      <c r="H1095" s="7">
        <v>0</v>
      </c>
      <c r="I1095" s="5">
        <v>1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5</v>
      </c>
      <c r="V1095" s="5">
        <v>3</v>
      </c>
      <c r="W1095" s="7">
        <v>0</v>
      </c>
      <c r="X1095" s="5">
        <v>1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1.45</v>
      </c>
    </row>
    <row r="1096">
      <c r="A1096" s="24">
        <v>12185</v>
      </c>
      <c r="B1096" s="9" t="s">
        <v>1408</v>
      </c>
      <c r="C1096" s="9" t="s">
        <v>67</v>
      </c>
      <c r="D1096" s="9" t="s">
        <v>79</v>
      </c>
      <c r="E1096" s="9" t="s">
        <v>343</v>
      </c>
      <c r="F1096" s="11">
        <v>2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30">
        <v>0</v>
      </c>
    </row>
    <row r="1097">
      <c r="A1097" s="23">
        <v>12190</v>
      </c>
      <c r="B1097" s="4" t="s">
        <v>1409</v>
      </c>
      <c r="C1097" s="4" t="s">
        <v>67</v>
      </c>
      <c r="D1097" s="4" t="s">
        <v>111</v>
      </c>
      <c r="E1097" s="4" t="s">
        <v>122</v>
      </c>
      <c r="F1097" s="6">
        <v>2</v>
      </c>
      <c r="G1097" s="7">
        <v>0</v>
      </c>
      <c r="H1097" s="7">
        <v>0</v>
      </c>
      <c r="I1097" s="5">
        <v>1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7">
        <v>0</v>
      </c>
      <c r="W1097" s="7">
        <v>0</v>
      </c>
      <c r="X1097" s="5">
        <v>1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12192</v>
      </c>
      <c r="B1098" s="9" t="s">
        <v>1410</v>
      </c>
      <c r="C1098" s="9" t="s">
        <v>177</v>
      </c>
      <c r="D1098" s="9" t="s">
        <v>178</v>
      </c>
      <c r="E1098" s="9" t="s">
        <v>189</v>
      </c>
      <c r="F1098" s="11">
        <v>1</v>
      </c>
      <c r="G1098" s="12">
        <v>0</v>
      </c>
      <c r="H1098" s="12">
        <v>0</v>
      </c>
      <c r="I1098" s="12">
        <v>0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12194</v>
      </c>
      <c r="B1099" s="4" t="s">
        <v>1411</v>
      </c>
      <c r="C1099" s="4" t="s">
        <v>67</v>
      </c>
      <c r="D1099" s="4" t="s">
        <v>111</v>
      </c>
      <c r="E1099" s="4" t="s">
        <v>112</v>
      </c>
      <c r="F1099" s="6">
        <v>3</v>
      </c>
      <c r="G1099" s="5">
        <v>3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5">
        <v>3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3</v>
      </c>
      <c r="AK1099" s="8">
        <v>3</v>
      </c>
      <c r="AL1099" s="5">
        <v>3</v>
      </c>
      <c r="AM1099" s="5">
        <v>3</v>
      </c>
      <c r="AN1099" s="28">
        <v>0.78</v>
      </c>
    </row>
    <row r="1100">
      <c r="A1100" s="24">
        <v>12218</v>
      </c>
      <c r="B1100" s="9" t="s">
        <v>1412</v>
      </c>
      <c r="C1100" s="9" t="s">
        <v>67</v>
      </c>
      <c r="D1100" s="9" t="s">
        <v>79</v>
      </c>
      <c r="E1100" s="9" t="s">
        <v>115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12252</v>
      </c>
      <c r="B1101" s="4" t="s">
        <v>1413</v>
      </c>
      <c r="C1101" s="4" t="s">
        <v>67</v>
      </c>
      <c r="D1101" s="4" t="s">
        <v>111</v>
      </c>
      <c r="E1101" s="4" t="s">
        <v>153</v>
      </c>
      <c r="F1101" s="6">
        <v>7</v>
      </c>
      <c r="G1101" s="5">
        <v>4</v>
      </c>
      <c r="H1101" s="5">
        <v>1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7</v>
      </c>
      <c r="V1101" s="5">
        <v>4</v>
      </c>
      <c r="W1101" s="5">
        <v>1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1.75</v>
      </c>
      <c r="AL1101" s="5">
        <v>1</v>
      </c>
      <c r="AM1101" s="5">
        <v>3</v>
      </c>
      <c r="AN1101" s="28">
        <v>2.23</v>
      </c>
    </row>
    <row r="1102">
      <c r="A1102" s="24">
        <v>12281</v>
      </c>
      <c r="B1102" s="9" t="s">
        <v>1414</v>
      </c>
      <c r="C1102" s="9" t="s">
        <v>142</v>
      </c>
      <c r="D1102" s="9" t="s">
        <v>1228</v>
      </c>
      <c r="E1102" s="9" t="s">
        <v>1415</v>
      </c>
      <c r="F1102" s="11">
        <v>2</v>
      </c>
      <c r="G1102" s="10">
        <v>1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1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0">
        <v>0</v>
      </c>
    </row>
    <row r="1103">
      <c r="A1103" s="23">
        <v>12286</v>
      </c>
      <c r="B1103" s="4" t="s">
        <v>1416</v>
      </c>
      <c r="C1103" s="4" t="s">
        <v>724</v>
      </c>
      <c r="D1103" s="4" t="s">
        <v>746</v>
      </c>
      <c r="E1103" s="4" t="s">
        <v>379</v>
      </c>
      <c r="F1103" s="6">
        <v>2</v>
      </c>
      <c r="G1103" s="7">
        <v>0</v>
      </c>
      <c r="H1103" s="7">
        <v>0</v>
      </c>
      <c r="I1103" s="5">
        <v>1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5">
        <v>1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0.26</v>
      </c>
    </row>
    <row r="1104">
      <c r="A1104" s="24">
        <v>12317</v>
      </c>
      <c r="B1104" s="9" t="s">
        <v>1417</v>
      </c>
      <c r="C1104" s="9" t="s">
        <v>177</v>
      </c>
      <c r="D1104" s="9" t="s">
        <v>178</v>
      </c>
      <c r="E1104" s="9" t="s">
        <v>179</v>
      </c>
      <c r="F1104" s="11">
        <v>5</v>
      </c>
      <c r="G1104" s="10">
        <v>1</v>
      </c>
      <c r="H1104" s="12">
        <v>0</v>
      </c>
      <c r="I1104" s="12">
        <v>0</v>
      </c>
      <c r="J1104" s="10">
        <v>1</v>
      </c>
      <c r="K1104" s="10">
        <v>3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1</v>
      </c>
      <c r="W1104" s="12">
        <v>0</v>
      </c>
      <c r="X1104" s="12">
        <v>0</v>
      </c>
      <c r="Y1104" s="10">
        <v>1</v>
      </c>
      <c r="Z1104" s="10">
        <v>2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1.67</v>
      </c>
      <c r="AL1104" s="10">
        <v>1</v>
      </c>
      <c r="AM1104" s="10">
        <v>3</v>
      </c>
      <c r="AN1104" s="29">
        <v>0.24</v>
      </c>
    </row>
    <row r="1105">
      <c r="A1105" s="23">
        <v>12359</v>
      </c>
      <c r="B1105" s="4" t="s">
        <v>1418</v>
      </c>
      <c r="C1105" s="4" t="s">
        <v>724</v>
      </c>
      <c r="D1105" s="4" t="s">
        <v>1419</v>
      </c>
      <c r="E1105" s="4" t="s">
        <v>1420</v>
      </c>
      <c r="F1105" s="6">
        <v>1</v>
      </c>
      <c r="G1105" s="7">
        <v>0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3">
        <v>0</v>
      </c>
    </row>
    <row r="1106">
      <c r="A1106" s="24">
        <v>12370</v>
      </c>
      <c r="B1106" s="9" t="s">
        <v>1421</v>
      </c>
      <c r="C1106" s="9" t="s">
        <v>142</v>
      </c>
      <c r="D1106" s="9" t="s">
        <v>469</v>
      </c>
      <c r="E1106" s="9" t="s">
        <v>581</v>
      </c>
      <c r="F1106" s="11">
        <v>5</v>
      </c>
      <c r="G1106" s="12">
        <v>0</v>
      </c>
      <c r="H1106" s="12">
        <v>0</v>
      </c>
      <c r="I1106" s="10">
        <v>3</v>
      </c>
      <c r="J1106" s="12">
        <v>0</v>
      </c>
      <c r="K1106" s="10">
        <v>2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2">
        <v>0</v>
      </c>
      <c r="W1106" s="12">
        <v>0</v>
      </c>
      <c r="X1106" s="10">
        <v>3</v>
      </c>
      <c r="Y1106" s="12">
        <v>0</v>
      </c>
      <c r="Z1106" s="10">
        <v>2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1.67</v>
      </c>
      <c r="AL1106" s="10">
        <v>2</v>
      </c>
      <c r="AM1106" s="10">
        <v>2</v>
      </c>
      <c r="AN1106" s="30">
        <v>0</v>
      </c>
    </row>
    <row r="1107">
      <c r="A1107" s="23">
        <v>12371</v>
      </c>
      <c r="B1107" s="4" t="s">
        <v>1422</v>
      </c>
      <c r="C1107" s="4" t="s">
        <v>142</v>
      </c>
      <c r="D1107" s="4" t="s">
        <v>469</v>
      </c>
      <c r="E1107" s="4" t="s">
        <v>1301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0.24</v>
      </c>
    </row>
    <row r="1108">
      <c r="A1108" s="24">
        <v>12453</v>
      </c>
      <c r="B1108" s="9" t="s">
        <v>1423</v>
      </c>
      <c r="C1108" s="9" t="s">
        <v>724</v>
      </c>
      <c r="D1108" s="9" t="s">
        <v>746</v>
      </c>
      <c r="E1108" s="9" t="s">
        <v>379</v>
      </c>
      <c r="F1108" s="11">
        <v>4</v>
      </c>
      <c r="G1108" s="12">
        <v>0</v>
      </c>
      <c r="H1108" s="12">
        <v>0</v>
      </c>
      <c r="I1108" s="10">
        <v>1</v>
      </c>
      <c r="J1108" s="10">
        <v>3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2">
        <v>0</v>
      </c>
      <c r="W1108" s="12">
        <v>0</v>
      </c>
      <c r="X1108" s="10">
        <v>1</v>
      </c>
      <c r="Y1108" s="10">
        <v>3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29">
        <v>0.78</v>
      </c>
    </row>
    <row r="1109">
      <c r="A1109" s="23">
        <v>12495</v>
      </c>
      <c r="B1109" s="4" t="s">
        <v>1424</v>
      </c>
      <c r="C1109" s="4" t="s">
        <v>177</v>
      </c>
      <c r="D1109" s="4" t="s">
        <v>923</v>
      </c>
      <c r="E1109" s="4" t="s">
        <v>924</v>
      </c>
      <c r="F1109" s="6">
        <v>2</v>
      </c>
      <c r="G1109" s="7">
        <v>0</v>
      </c>
      <c r="H1109" s="7">
        <v>0</v>
      </c>
      <c r="I1109" s="5">
        <v>1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7">
        <v>0</v>
      </c>
      <c r="W1109" s="7">
        <v>0</v>
      </c>
      <c r="X1109" s="5">
        <v>1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0.24</v>
      </c>
    </row>
    <row r="1110">
      <c r="A1110" s="24">
        <v>12614</v>
      </c>
      <c r="B1110" s="9" t="s">
        <v>1425</v>
      </c>
      <c r="C1110" s="9" t="s">
        <v>377</v>
      </c>
      <c r="D1110" s="9" t="s">
        <v>1426</v>
      </c>
      <c r="E1110" s="9" t="s">
        <v>379</v>
      </c>
      <c r="F1110" s="11">
        <v>2</v>
      </c>
      <c r="G1110" s="10">
        <v>2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30">
        <v>0</v>
      </c>
    </row>
    <row r="1111">
      <c r="A1111" s="23">
        <v>12631</v>
      </c>
      <c r="B1111" s="4" t="s">
        <v>1427</v>
      </c>
      <c r="C1111" s="4" t="s">
        <v>67</v>
      </c>
      <c r="D1111" s="4" t="s">
        <v>71</v>
      </c>
      <c r="E1111" s="4" t="s">
        <v>169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0.33</v>
      </c>
    </row>
    <row r="1112">
      <c r="A1112" s="24">
        <v>12637</v>
      </c>
      <c r="B1112" s="9" t="s">
        <v>1428</v>
      </c>
      <c r="C1112" s="9" t="s">
        <v>67</v>
      </c>
      <c r="D1112" s="9" t="s">
        <v>104</v>
      </c>
      <c r="E1112" s="9" t="s">
        <v>105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12643</v>
      </c>
      <c r="B1113" s="4" t="s">
        <v>1429</v>
      </c>
      <c r="C1113" s="4" t="s">
        <v>67</v>
      </c>
      <c r="D1113" s="4" t="s">
        <v>79</v>
      </c>
      <c r="E1113" s="4" t="s">
        <v>115</v>
      </c>
      <c r="F1113" s="6">
        <v>19</v>
      </c>
      <c r="G1113" s="7">
        <v>0</v>
      </c>
      <c r="H1113" s="7">
        <v>0</v>
      </c>
      <c r="I1113" s="5">
        <v>2</v>
      </c>
      <c r="J1113" s="5">
        <v>17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14</v>
      </c>
      <c r="V1113" s="7">
        <v>0</v>
      </c>
      <c r="W1113" s="7">
        <v>0</v>
      </c>
      <c r="X1113" s="5">
        <v>1</v>
      </c>
      <c r="Y1113" s="5">
        <v>13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6.33</v>
      </c>
      <c r="AL1113" s="5">
        <v>2</v>
      </c>
      <c r="AM1113" s="5">
        <v>15</v>
      </c>
      <c r="AN1113" s="28">
        <v>2.86</v>
      </c>
    </row>
    <row r="1114">
      <c r="A1114" s="24">
        <v>12649</v>
      </c>
      <c r="B1114" s="9" t="s">
        <v>1430</v>
      </c>
      <c r="C1114" s="9" t="s">
        <v>724</v>
      </c>
      <c r="D1114" s="9" t="s">
        <v>746</v>
      </c>
      <c r="E1114" s="9" t="s">
        <v>379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0.26</v>
      </c>
    </row>
    <row r="1115">
      <c r="A1115" s="23">
        <v>12650</v>
      </c>
      <c r="B1115" s="4" t="s">
        <v>1431</v>
      </c>
      <c r="C1115" s="4" t="s">
        <v>142</v>
      </c>
      <c r="D1115" s="4" t="s">
        <v>143</v>
      </c>
      <c r="E1115" s="4" t="s">
        <v>465</v>
      </c>
      <c r="F1115" s="6">
        <v>6</v>
      </c>
      <c r="G1115" s="5">
        <v>1</v>
      </c>
      <c r="H1115" s="5">
        <v>1</v>
      </c>
      <c r="I1115" s="5">
        <v>3</v>
      </c>
      <c r="J1115" s="7">
        <v>0</v>
      </c>
      <c r="K1115" s="7">
        <v>0</v>
      </c>
      <c r="L1115" s="5">
        <v>1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5">
        <v>1</v>
      </c>
      <c r="W1115" s="5">
        <v>1</v>
      </c>
      <c r="X1115" s="5">
        <v>2</v>
      </c>
      <c r="Y1115" s="7">
        <v>0</v>
      </c>
      <c r="Z1115" s="7">
        <v>0</v>
      </c>
      <c r="AA1115" s="5">
        <v>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3</v>
      </c>
      <c r="AN1115" s="28">
        <v>0.35</v>
      </c>
    </row>
    <row r="1116">
      <c r="A1116" s="24">
        <v>12681</v>
      </c>
      <c r="B1116" s="9" t="s">
        <v>1432</v>
      </c>
      <c r="C1116" s="9" t="s">
        <v>67</v>
      </c>
      <c r="D1116" s="9" t="s">
        <v>86</v>
      </c>
      <c r="E1116" s="9" t="s">
        <v>87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12699</v>
      </c>
      <c r="B1117" s="4" t="s">
        <v>1433</v>
      </c>
      <c r="C1117" s="4" t="s">
        <v>632</v>
      </c>
      <c r="D1117" s="4" t="s">
        <v>635</v>
      </c>
      <c r="E1117" s="4" t="s">
        <v>379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12724</v>
      </c>
      <c r="B1118" s="9" t="s">
        <v>1434</v>
      </c>
      <c r="C1118" s="9" t="s">
        <v>67</v>
      </c>
      <c r="D1118" s="9" t="s">
        <v>108</v>
      </c>
      <c r="E1118" s="9" t="s">
        <v>109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0.37</v>
      </c>
    </row>
    <row r="1119">
      <c r="A1119" s="23">
        <v>12766</v>
      </c>
      <c r="B1119" s="4" t="s">
        <v>1435</v>
      </c>
      <c r="C1119" s="4" t="s">
        <v>1141</v>
      </c>
      <c r="D1119" s="4" t="s">
        <v>1436</v>
      </c>
      <c r="E1119" s="4" t="s">
        <v>1437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0.26</v>
      </c>
    </row>
    <row r="1120">
      <c r="A1120" s="24">
        <v>12799</v>
      </c>
      <c r="B1120" s="9" t="s">
        <v>1438</v>
      </c>
      <c r="C1120" s="9" t="s">
        <v>67</v>
      </c>
      <c r="D1120" s="9" t="s">
        <v>71</v>
      </c>
      <c r="E1120" s="9" t="s">
        <v>118</v>
      </c>
      <c r="F1120" s="11">
        <v>5</v>
      </c>
      <c r="G1120" s="10">
        <v>3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4</v>
      </c>
      <c r="V1120" s="10">
        <v>3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1.67</v>
      </c>
      <c r="AL1120" s="10">
        <v>2</v>
      </c>
      <c r="AM1120" s="10">
        <v>2</v>
      </c>
      <c r="AN1120" s="29">
        <v>0.64</v>
      </c>
    </row>
    <row r="1121">
      <c r="A1121" s="23">
        <v>12809</v>
      </c>
      <c r="B1121" s="4" t="s">
        <v>1439</v>
      </c>
      <c r="C1121" s="4" t="s">
        <v>67</v>
      </c>
      <c r="D1121" s="4" t="s">
        <v>75</v>
      </c>
      <c r="E1121" s="4" t="s">
        <v>76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0.33</v>
      </c>
    </row>
    <row r="1122">
      <c r="A1122" s="24">
        <v>12822</v>
      </c>
      <c r="B1122" s="9" t="s">
        <v>1440</v>
      </c>
      <c r="C1122" s="9" t="s">
        <v>67</v>
      </c>
      <c r="D1122" s="9" t="s">
        <v>71</v>
      </c>
      <c r="E1122" s="9" t="s">
        <v>169</v>
      </c>
      <c r="F1122" s="11">
        <v>4</v>
      </c>
      <c r="G1122" s="10">
        <v>3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3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2</v>
      </c>
      <c r="AM1122" s="10">
        <v>3</v>
      </c>
      <c r="AN1122" s="30">
        <v>0</v>
      </c>
    </row>
    <row r="1123">
      <c r="A1123" s="23">
        <v>12826</v>
      </c>
      <c r="B1123" s="4" t="s">
        <v>1441</v>
      </c>
      <c r="C1123" s="4" t="s">
        <v>67</v>
      </c>
      <c r="D1123" s="4" t="s">
        <v>111</v>
      </c>
      <c r="E1123" s="4" t="s">
        <v>150</v>
      </c>
      <c r="F1123" s="6">
        <v>3</v>
      </c>
      <c r="G1123" s="5">
        <v>1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5">
        <v>1</v>
      </c>
      <c r="W1123" s="7">
        <v>0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28">
        <v>0.52</v>
      </c>
    </row>
    <row r="1124">
      <c r="A1124" s="24">
        <v>12828</v>
      </c>
      <c r="B1124" s="9" t="s">
        <v>1442</v>
      </c>
      <c r="C1124" s="9" t="s">
        <v>67</v>
      </c>
      <c r="D1124" s="9" t="s">
        <v>111</v>
      </c>
      <c r="E1124" s="9" t="s">
        <v>153</v>
      </c>
      <c r="F1124" s="11">
        <v>2</v>
      </c>
      <c r="G1124" s="12">
        <v>0</v>
      </c>
      <c r="H1124" s="10">
        <v>2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0">
        <v>2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0.22</v>
      </c>
    </row>
    <row r="1125">
      <c r="A1125" s="23">
        <v>12836</v>
      </c>
      <c r="B1125" s="4" t="s">
        <v>1443</v>
      </c>
      <c r="C1125" s="4" t="s">
        <v>67</v>
      </c>
      <c r="D1125" s="4" t="s">
        <v>125</v>
      </c>
      <c r="E1125" s="4" t="s">
        <v>381</v>
      </c>
      <c r="F1125" s="6">
        <v>11</v>
      </c>
      <c r="G1125" s="5">
        <v>10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11</v>
      </c>
      <c r="V1125" s="5">
        <v>10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3.67</v>
      </c>
      <c r="AL1125" s="5">
        <v>4</v>
      </c>
      <c r="AM1125" s="5">
        <v>6</v>
      </c>
      <c r="AN1125" s="43">
        <v>0</v>
      </c>
    </row>
    <row r="1126">
      <c r="A1126" s="24">
        <v>12854</v>
      </c>
      <c r="B1126" s="9" t="s">
        <v>1444</v>
      </c>
      <c r="C1126" s="9" t="s">
        <v>67</v>
      </c>
      <c r="D1126" s="9" t="s">
        <v>86</v>
      </c>
      <c r="E1126" s="9" t="s">
        <v>146</v>
      </c>
      <c r="F1126" s="11">
        <v>2</v>
      </c>
      <c r="G1126" s="12">
        <v>0</v>
      </c>
      <c r="H1126" s="12">
        <v>0</v>
      </c>
      <c r="I1126" s="10">
        <v>1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2">
        <v>0</v>
      </c>
      <c r="W1126" s="12">
        <v>0</v>
      </c>
      <c r="X1126" s="10">
        <v>1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0.5</v>
      </c>
    </row>
    <row r="1127">
      <c r="A1127" s="23">
        <v>12856</v>
      </c>
      <c r="B1127" s="4" t="s">
        <v>1445</v>
      </c>
      <c r="C1127" s="4" t="s">
        <v>377</v>
      </c>
      <c r="D1127" s="4" t="s">
        <v>814</v>
      </c>
      <c r="E1127" s="4" t="s">
        <v>379</v>
      </c>
      <c r="F1127" s="6">
        <v>4</v>
      </c>
      <c r="G1127" s="7">
        <v>0</v>
      </c>
      <c r="H1127" s="7">
        <v>0</v>
      </c>
      <c r="I1127" s="5">
        <v>4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7">
        <v>0</v>
      </c>
      <c r="W1127" s="7">
        <v>0</v>
      </c>
      <c r="X1127" s="5">
        <v>3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</v>
      </c>
      <c r="AL1127" s="5">
        <v>2</v>
      </c>
      <c r="AM1127" s="5">
        <v>3</v>
      </c>
      <c r="AN1127" s="43">
        <v>0</v>
      </c>
    </row>
    <row r="1128">
      <c r="A1128" s="24">
        <v>12894</v>
      </c>
      <c r="B1128" s="9" t="s">
        <v>1446</v>
      </c>
      <c r="C1128" s="9" t="s">
        <v>67</v>
      </c>
      <c r="D1128" s="9" t="s">
        <v>71</v>
      </c>
      <c r="E1128" s="9" t="s">
        <v>118</v>
      </c>
      <c r="F1128" s="11">
        <v>2</v>
      </c>
      <c r="G1128" s="10">
        <v>1</v>
      </c>
      <c r="H1128" s="10">
        <v>1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1</v>
      </c>
      <c r="W1128" s="10">
        <v>1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12907</v>
      </c>
      <c r="B1129" s="4" t="s">
        <v>1447</v>
      </c>
      <c r="C1129" s="4" t="s">
        <v>67</v>
      </c>
      <c r="D1129" s="4" t="s">
        <v>86</v>
      </c>
      <c r="E1129" s="4" t="s">
        <v>94</v>
      </c>
      <c r="F1129" s="6">
        <v>1</v>
      </c>
      <c r="G1129" s="7">
        <v>0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12910</v>
      </c>
      <c r="B1130" s="9" t="s">
        <v>1448</v>
      </c>
      <c r="C1130" s="9" t="s">
        <v>67</v>
      </c>
      <c r="D1130" s="9" t="s">
        <v>99</v>
      </c>
      <c r="E1130" s="9" t="s">
        <v>742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0.26</v>
      </c>
    </row>
    <row r="1131">
      <c r="A1131" s="23">
        <v>12924</v>
      </c>
      <c r="B1131" s="4" t="s">
        <v>1449</v>
      </c>
      <c r="C1131" s="4" t="s">
        <v>67</v>
      </c>
      <c r="D1131" s="4" t="s">
        <v>75</v>
      </c>
      <c r="E1131" s="4" t="s">
        <v>84</v>
      </c>
      <c r="F1131" s="6">
        <v>4</v>
      </c>
      <c r="G1131" s="5">
        <v>4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4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4</v>
      </c>
      <c r="AK1131" s="8">
        <v>4</v>
      </c>
      <c r="AL1131" s="5">
        <v>4</v>
      </c>
      <c r="AM1131" s="5">
        <v>4</v>
      </c>
      <c r="AN1131" s="28">
        <v>1.44</v>
      </c>
    </row>
    <row r="1132">
      <c r="A1132" s="24">
        <v>12932</v>
      </c>
      <c r="B1132" s="9" t="s">
        <v>1450</v>
      </c>
      <c r="C1132" s="9" t="s">
        <v>67</v>
      </c>
      <c r="D1132" s="9" t="s">
        <v>134</v>
      </c>
      <c r="E1132" s="9" t="s">
        <v>345</v>
      </c>
      <c r="F1132" s="11">
        <v>4</v>
      </c>
      <c r="G1132" s="10">
        <v>4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3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4</v>
      </c>
      <c r="AK1132" s="13">
        <v>4</v>
      </c>
      <c r="AL1132" s="10">
        <v>4</v>
      </c>
      <c r="AM1132" s="10">
        <v>4</v>
      </c>
      <c r="AN1132" s="29">
        <v>0.75</v>
      </c>
    </row>
    <row r="1133">
      <c r="A1133" s="23">
        <v>13142</v>
      </c>
      <c r="B1133" s="4" t="s">
        <v>1451</v>
      </c>
      <c r="C1133" s="4" t="s">
        <v>67</v>
      </c>
      <c r="D1133" s="4" t="s">
        <v>111</v>
      </c>
      <c r="E1133" s="4" t="s">
        <v>150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0.37</v>
      </c>
    </row>
    <row r="1134">
      <c r="A1134" s="24">
        <v>13153</v>
      </c>
      <c r="B1134" s="9" t="s">
        <v>1452</v>
      </c>
      <c r="C1134" s="9" t="s">
        <v>67</v>
      </c>
      <c r="D1134" s="9" t="s">
        <v>159</v>
      </c>
      <c r="E1134" s="9" t="s">
        <v>830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13168</v>
      </c>
      <c r="B1135" s="4" t="s">
        <v>1453</v>
      </c>
      <c r="C1135" s="4" t="s">
        <v>67</v>
      </c>
      <c r="D1135" s="4" t="s">
        <v>75</v>
      </c>
      <c r="E1135" s="4" t="s">
        <v>128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43">
        <v>0</v>
      </c>
    </row>
    <row r="1136">
      <c r="A1136" s="24">
        <v>13180</v>
      </c>
      <c r="B1136" s="9" t="s">
        <v>1454</v>
      </c>
      <c r="C1136" s="9" t="s">
        <v>67</v>
      </c>
      <c r="D1136" s="9" t="s">
        <v>111</v>
      </c>
      <c r="E1136" s="9" t="s">
        <v>153</v>
      </c>
      <c r="F1136" s="11">
        <v>3</v>
      </c>
      <c r="G1136" s="10">
        <v>3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30">
        <v>0</v>
      </c>
    </row>
    <row r="1137">
      <c r="A1137" s="23">
        <v>13203</v>
      </c>
      <c r="B1137" s="4" t="s">
        <v>1455</v>
      </c>
      <c r="C1137" s="4" t="s">
        <v>67</v>
      </c>
      <c r="D1137" s="4" t="s">
        <v>75</v>
      </c>
      <c r="E1137" s="4" t="s">
        <v>171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0.33</v>
      </c>
    </row>
    <row r="1138">
      <c r="A1138" s="24">
        <v>13225</v>
      </c>
      <c r="B1138" s="9" t="s">
        <v>1456</v>
      </c>
      <c r="C1138" s="9" t="s">
        <v>67</v>
      </c>
      <c r="D1138" s="9" t="s">
        <v>159</v>
      </c>
      <c r="E1138" s="9" t="s">
        <v>160</v>
      </c>
      <c r="F1138" s="11">
        <v>8</v>
      </c>
      <c r="G1138" s="10">
        <v>6</v>
      </c>
      <c r="H1138" s="10">
        <v>2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3</v>
      </c>
      <c r="W1138" s="10">
        <v>1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2.67</v>
      </c>
      <c r="AL1138" s="10">
        <v>2</v>
      </c>
      <c r="AM1138" s="10">
        <v>5</v>
      </c>
      <c r="AN1138" s="29">
        <v>0.62</v>
      </c>
    </row>
    <row r="1139">
      <c r="A1139" s="23">
        <v>13239</v>
      </c>
      <c r="B1139" s="4" t="s">
        <v>1457</v>
      </c>
      <c r="C1139" s="4" t="s">
        <v>67</v>
      </c>
      <c r="D1139" s="4" t="s">
        <v>91</v>
      </c>
      <c r="E1139" s="4" t="s">
        <v>97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3">
        <v>0</v>
      </c>
    </row>
    <row r="1140">
      <c r="A1140" s="24">
        <v>13261</v>
      </c>
      <c r="B1140" s="9" t="s">
        <v>1458</v>
      </c>
      <c r="C1140" s="9" t="s">
        <v>67</v>
      </c>
      <c r="D1140" s="9" t="s">
        <v>86</v>
      </c>
      <c r="E1140" s="9" t="s">
        <v>1459</v>
      </c>
      <c r="F1140" s="11">
        <v>9</v>
      </c>
      <c r="G1140" s="10">
        <v>1</v>
      </c>
      <c r="H1140" s="12">
        <v>0</v>
      </c>
      <c r="I1140" s="10">
        <v>3</v>
      </c>
      <c r="J1140" s="10">
        <v>3</v>
      </c>
      <c r="K1140" s="12">
        <v>0</v>
      </c>
      <c r="L1140" s="10">
        <v>2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7</v>
      </c>
      <c r="V1140" s="10">
        <v>1</v>
      </c>
      <c r="W1140" s="12">
        <v>0</v>
      </c>
      <c r="X1140" s="10">
        <v>2</v>
      </c>
      <c r="Y1140" s="10">
        <v>2</v>
      </c>
      <c r="Z1140" s="12">
        <v>0</v>
      </c>
      <c r="AA1140" s="10">
        <v>2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2.25</v>
      </c>
      <c r="AL1140" s="10">
        <v>2</v>
      </c>
      <c r="AM1140" s="10">
        <v>3</v>
      </c>
      <c r="AN1140" s="29">
        <v>0.91</v>
      </c>
    </row>
    <row r="1141">
      <c r="A1141" s="23">
        <v>13263</v>
      </c>
      <c r="B1141" s="4" t="s">
        <v>1460</v>
      </c>
      <c r="C1141" s="4" t="s">
        <v>67</v>
      </c>
      <c r="D1141" s="4" t="s">
        <v>159</v>
      </c>
      <c r="E1141" s="4" t="s">
        <v>160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3">
        <v>0</v>
      </c>
    </row>
    <row r="1142">
      <c r="A1142" s="24">
        <v>13274</v>
      </c>
      <c r="B1142" s="9" t="s">
        <v>1461</v>
      </c>
      <c r="C1142" s="9" t="s">
        <v>67</v>
      </c>
      <c r="D1142" s="9" t="s">
        <v>86</v>
      </c>
      <c r="E1142" s="9" t="s">
        <v>148</v>
      </c>
      <c r="F1142" s="11">
        <v>3</v>
      </c>
      <c r="G1142" s="12">
        <v>0</v>
      </c>
      <c r="H1142" s="12">
        <v>0</v>
      </c>
      <c r="I1142" s="10">
        <v>1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2">
        <v>0</v>
      </c>
      <c r="W1142" s="12">
        <v>0</v>
      </c>
      <c r="X1142" s="10">
        <v>1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29">
        <v>0.5</v>
      </c>
    </row>
    <row r="1143">
      <c r="A1143" s="23">
        <v>13288</v>
      </c>
      <c r="B1143" s="4" t="s">
        <v>1462</v>
      </c>
      <c r="C1143" s="4" t="s">
        <v>67</v>
      </c>
      <c r="D1143" s="4" t="s">
        <v>86</v>
      </c>
      <c r="E1143" s="4" t="s">
        <v>526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28">
        <v>0.7</v>
      </c>
    </row>
    <row r="1144">
      <c r="A1144" s="24">
        <v>13292</v>
      </c>
      <c r="B1144" s="9" t="s">
        <v>1463</v>
      </c>
      <c r="C1144" s="9" t="s">
        <v>67</v>
      </c>
      <c r="D1144" s="9" t="s">
        <v>86</v>
      </c>
      <c r="E1144" s="9" t="s">
        <v>547</v>
      </c>
      <c r="F1144" s="11">
        <v>5</v>
      </c>
      <c r="G1144" s="12">
        <v>0</v>
      </c>
      <c r="H1144" s="12">
        <v>0</v>
      </c>
      <c r="I1144" s="12">
        <v>0</v>
      </c>
      <c r="J1144" s="10">
        <v>5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5</v>
      </c>
      <c r="V1144" s="12">
        <v>0</v>
      </c>
      <c r="W1144" s="12">
        <v>0</v>
      </c>
      <c r="X1144" s="12">
        <v>0</v>
      </c>
      <c r="Y1144" s="10">
        <v>5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2.5</v>
      </c>
      <c r="AL1144" s="10">
        <v>2</v>
      </c>
      <c r="AM1144" s="10">
        <v>4</v>
      </c>
      <c r="AN1144" s="29">
        <v>1.25</v>
      </c>
    </row>
    <row r="1145">
      <c r="A1145" s="23">
        <v>13346</v>
      </c>
      <c r="B1145" s="4" t="s">
        <v>1464</v>
      </c>
      <c r="C1145" s="4" t="s">
        <v>67</v>
      </c>
      <c r="D1145" s="4" t="s">
        <v>86</v>
      </c>
      <c r="E1145" s="4" t="s">
        <v>1177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0.35</v>
      </c>
    </row>
    <row r="1146">
      <c r="A1146" s="24">
        <v>13361</v>
      </c>
      <c r="B1146" s="9" t="s">
        <v>1465</v>
      </c>
      <c r="C1146" s="9" t="s">
        <v>67</v>
      </c>
      <c r="D1146" s="9" t="s">
        <v>91</v>
      </c>
      <c r="E1146" s="9" t="s">
        <v>494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0">
        <v>0</v>
      </c>
    </row>
    <row r="1147">
      <c r="A1147" s="23">
        <v>13365</v>
      </c>
      <c r="B1147" s="4" t="s">
        <v>1466</v>
      </c>
      <c r="C1147" s="4" t="s">
        <v>67</v>
      </c>
      <c r="D1147" s="4" t="s">
        <v>75</v>
      </c>
      <c r="E1147" s="4" t="s">
        <v>128</v>
      </c>
      <c r="F1147" s="6">
        <v>3</v>
      </c>
      <c r="G1147" s="7">
        <v>0</v>
      </c>
      <c r="H1147" s="7">
        <v>0</v>
      </c>
      <c r="I1147" s="7">
        <v>0</v>
      </c>
      <c r="J1147" s="5">
        <v>3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7">
        <v>0</v>
      </c>
      <c r="W1147" s="7">
        <v>0</v>
      </c>
      <c r="X1147" s="7">
        <v>0</v>
      </c>
      <c r="Y1147" s="5">
        <v>3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28">
        <v>0.75</v>
      </c>
    </row>
    <row r="1148">
      <c r="A1148" s="24">
        <v>13380</v>
      </c>
      <c r="B1148" s="9" t="s">
        <v>1467</v>
      </c>
      <c r="C1148" s="9" t="s">
        <v>142</v>
      </c>
      <c r="D1148" s="9" t="s">
        <v>406</v>
      </c>
      <c r="E1148" s="9" t="s">
        <v>407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13382</v>
      </c>
      <c r="B1149" s="4" t="s">
        <v>1468</v>
      </c>
      <c r="C1149" s="4" t="s">
        <v>67</v>
      </c>
      <c r="D1149" s="4" t="s">
        <v>111</v>
      </c>
      <c r="E1149" s="4" t="s">
        <v>153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13389</v>
      </c>
      <c r="B1150" s="9" t="s">
        <v>1469</v>
      </c>
      <c r="C1150" s="9" t="s">
        <v>67</v>
      </c>
      <c r="D1150" s="9" t="s">
        <v>71</v>
      </c>
      <c r="E1150" s="9" t="s">
        <v>118</v>
      </c>
      <c r="F1150" s="11">
        <v>3</v>
      </c>
      <c r="G1150" s="12">
        <v>0</v>
      </c>
      <c r="H1150" s="12">
        <v>0</v>
      </c>
      <c r="I1150" s="12">
        <v>0</v>
      </c>
      <c r="J1150" s="10">
        <v>3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2">
        <v>0</v>
      </c>
      <c r="W1150" s="12">
        <v>0</v>
      </c>
      <c r="X1150" s="12">
        <v>0</v>
      </c>
      <c r="Y1150" s="10">
        <v>3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3</v>
      </c>
      <c r="AK1150" s="13">
        <v>3</v>
      </c>
      <c r="AL1150" s="10">
        <v>3</v>
      </c>
      <c r="AM1150" s="10">
        <v>3</v>
      </c>
      <c r="AN1150" s="29">
        <v>0.66</v>
      </c>
    </row>
    <row r="1151">
      <c r="A1151" s="23">
        <v>13398</v>
      </c>
      <c r="B1151" s="4" t="s">
        <v>1470</v>
      </c>
      <c r="C1151" s="4" t="s">
        <v>67</v>
      </c>
      <c r="D1151" s="4" t="s">
        <v>99</v>
      </c>
      <c r="E1151" s="4" t="s">
        <v>808</v>
      </c>
      <c r="F1151" s="6">
        <v>7</v>
      </c>
      <c r="G1151" s="5">
        <v>4</v>
      </c>
      <c r="H1151" s="7">
        <v>0</v>
      </c>
      <c r="I1151" s="5">
        <v>2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6</v>
      </c>
      <c r="V1151" s="5">
        <v>3</v>
      </c>
      <c r="W1151" s="7">
        <v>0</v>
      </c>
      <c r="X1151" s="5">
        <v>2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1.75</v>
      </c>
      <c r="AL1151" s="5">
        <v>2</v>
      </c>
      <c r="AM1151" s="5">
        <v>2</v>
      </c>
      <c r="AN1151" s="28">
        <v>0.25</v>
      </c>
    </row>
    <row r="1152">
      <c r="A1152" s="24">
        <v>13411</v>
      </c>
      <c r="B1152" s="9" t="s">
        <v>1471</v>
      </c>
      <c r="C1152" s="9" t="s">
        <v>67</v>
      </c>
      <c r="D1152" s="9" t="s">
        <v>134</v>
      </c>
      <c r="E1152" s="9" t="s">
        <v>345</v>
      </c>
      <c r="F1152" s="11">
        <v>2</v>
      </c>
      <c r="G1152" s="10">
        <v>2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2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13414</v>
      </c>
      <c r="B1153" s="4" t="s">
        <v>1472</v>
      </c>
      <c r="C1153" s="4" t="s">
        <v>67</v>
      </c>
      <c r="D1153" s="4" t="s">
        <v>134</v>
      </c>
      <c r="E1153" s="4" t="s">
        <v>345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43">
        <v>0</v>
      </c>
    </row>
    <row r="1154">
      <c r="A1154" s="24">
        <v>13434</v>
      </c>
      <c r="B1154" s="9" t="s">
        <v>1473</v>
      </c>
      <c r="C1154" s="9" t="s">
        <v>67</v>
      </c>
      <c r="D1154" s="9" t="s">
        <v>134</v>
      </c>
      <c r="E1154" s="9" t="s">
        <v>345</v>
      </c>
      <c r="F1154" s="11">
        <v>2</v>
      </c>
      <c r="G1154" s="10">
        <v>1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0.5</v>
      </c>
    </row>
    <row r="1155">
      <c r="A1155" s="23">
        <v>13453</v>
      </c>
      <c r="B1155" s="4" t="s">
        <v>1474</v>
      </c>
      <c r="C1155" s="4" t="s">
        <v>67</v>
      </c>
      <c r="D1155" s="4" t="s">
        <v>134</v>
      </c>
      <c r="E1155" s="4" t="s">
        <v>345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13469</v>
      </c>
      <c r="B1156" s="9" t="s">
        <v>1475</v>
      </c>
      <c r="C1156" s="9" t="s">
        <v>67</v>
      </c>
      <c r="D1156" s="9" t="s">
        <v>134</v>
      </c>
      <c r="E1156" s="9" t="s">
        <v>345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0.38</v>
      </c>
    </row>
    <row r="1157">
      <c r="A1157" s="23">
        <v>13472</v>
      </c>
      <c r="B1157" s="4" t="s">
        <v>1476</v>
      </c>
      <c r="C1157" s="4" t="s">
        <v>67</v>
      </c>
      <c r="D1157" s="4" t="s">
        <v>134</v>
      </c>
      <c r="E1157" s="4" t="s">
        <v>135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43">
        <v>0</v>
      </c>
    </row>
    <row r="1158">
      <c r="A1158" s="24">
        <v>13478</v>
      </c>
      <c r="B1158" s="9" t="s">
        <v>1477</v>
      </c>
      <c r="C1158" s="9" t="s">
        <v>67</v>
      </c>
      <c r="D1158" s="9" t="s">
        <v>134</v>
      </c>
      <c r="E1158" s="9" t="s">
        <v>345</v>
      </c>
      <c r="F1158" s="11">
        <v>4</v>
      </c>
      <c r="G1158" s="10">
        <v>4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0">
        <v>4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4</v>
      </c>
      <c r="AK1158" s="13">
        <v>4</v>
      </c>
      <c r="AL1158" s="10">
        <v>4</v>
      </c>
      <c r="AM1158" s="10">
        <v>4</v>
      </c>
      <c r="AN1158" s="29">
        <v>1.44</v>
      </c>
    </row>
    <row r="1159">
      <c r="A1159" s="23">
        <v>13484</v>
      </c>
      <c r="B1159" s="4" t="s">
        <v>1478</v>
      </c>
      <c r="C1159" s="4" t="s">
        <v>67</v>
      </c>
      <c r="D1159" s="4" t="s">
        <v>134</v>
      </c>
      <c r="E1159" s="4" t="s">
        <v>345</v>
      </c>
      <c r="F1159" s="6">
        <v>3</v>
      </c>
      <c r="G1159" s="5">
        <v>3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5">
        <v>3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2</v>
      </c>
      <c r="AN1159" s="28">
        <v>0.95</v>
      </c>
    </row>
    <row r="1160">
      <c r="A1160" s="24">
        <v>13489</v>
      </c>
      <c r="B1160" s="9" t="s">
        <v>1479</v>
      </c>
      <c r="C1160" s="9" t="s">
        <v>67</v>
      </c>
      <c r="D1160" s="9" t="s">
        <v>134</v>
      </c>
      <c r="E1160" s="9" t="s">
        <v>345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13492</v>
      </c>
      <c r="B1161" s="4" t="s">
        <v>1480</v>
      </c>
      <c r="C1161" s="4" t="s">
        <v>67</v>
      </c>
      <c r="D1161" s="4" t="s">
        <v>75</v>
      </c>
      <c r="E1161" s="4" t="s">
        <v>171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28">
        <v>0.52</v>
      </c>
    </row>
    <row r="1162">
      <c r="A1162" s="24">
        <v>13505</v>
      </c>
      <c r="B1162" s="9" t="s">
        <v>1481</v>
      </c>
      <c r="C1162" s="9" t="s">
        <v>67</v>
      </c>
      <c r="D1162" s="9" t="s">
        <v>75</v>
      </c>
      <c r="E1162" s="9" t="s">
        <v>76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29">
        <v>0.68</v>
      </c>
    </row>
    <row r="1163">
      <c r="A1163" s="23">
        <v>13524</v>
      </c>
      <c r="B1163" s="4" t="s">
        <v>1482</v>
      </c>
      <c r="C1163" s="4" t="s">
        <v>67</v>
      </c>
      <c r="D1163" s="4" t="s">
        <v>68</v>
      </c>
      <c r="E1163" s="4" t="s">
        <v>164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0.38</v>
      </c>
    </row>
    <row r="1164">
      <c r="A1164" s="24">
        <v>13532</v>
      </c>
      <c r="B1164" s="9" t="s">
        <v>1483</v>
      </c>
      <c r="C1164" s="9" t="s">
        <v>67</v>
      </c>
      <c r="D1164" s="9" t="s">
        <v>86</v>
      </c>
      <c r="E1164" s="9" t="s">
        <v>239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0.24</v>
      </c>
    </row>
    <row r="1165">
      <c r="A1165" s="23">
        <v>13567</v>
      </c>
      <c r="B1165" s="4" t="s">
        <v>1484</v>
      </c>
      <c r="C1165" s="4" t="s">
        <v>177</v>
      </c>
      <c r="D1165" s="4" t="s">
        <v>489</v>
      </c>
      <c r="E1165" s="4" t="s">
        <v>490</v>
      </c>
      <c r="F1165" s="6">
        <v>1</v>
      </c>
      <c r="G1165" s="7">
        <v>0</v>
      </c>
      <c r="H1165" s="7">
        <v>0</v>
      </c>
      <c r="I1165" s="7">
        <v>0</v>
      </c>
      <c r="J1165" s="7">
        <v>0</v>
      </c>
      <c r="K1165" s="5">
        <v>1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7">
        <v>0</v>
      </c>
      <c r="Z1165" s="5">
        <v>1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3">
        <v>0</v>
      </c>
    </row>
    <row r="1166">
      <c r="A1166" s="24">
        <v>13577</v>
      </c>
      <c r="B1166" s="9" t="s">
        <v>1485</v>
      </c>
      <c r="C1166" s="9" t="s">
        <v>177</v>
      </c>
      <c r="D1166" s="9" t="s">
        <v>178</v>
      </c>
      <c r="E1166" s="9" t="s">
        <v>187</v>
      </c>
      <c r="F1166" s="11">
        <v>4</v>
      </c>
      <c r="G1166" s="12">
        <v>0</v>
      </c>
      <c r="H1166" s="12">
        <v>0</v>
      </c>
      <c r="I1166" s="10">
        <v>1</v>
      </c>
      <c r="J1166" s="12">
        <v>0</v>
      </c>
      <c r="K1166" s="10">
        <v>3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2">
        <v>0</v>
      </c>
      <c r="W1166" s="12">
        <v>0</v>
      </c>
      <c r="X1166" s="10">
        <v>1</v>
      </c>
      <c r="Y1166" s="12">
        <v>0</v>
      </c>
      <c r="Z1166" s="10">
        <v>2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</v>
      </c>
      <c r="AL1166" s="10">
        <v>2</v>
      </c>
      <c r="AM1166" s="10">
        <v>3</v>
      </c>
      <c r="AN1166" s="30">
        <v>0</v>
      </c>
    </row>
    <row r="1167">
      <c r="A1167" s="23">
        <v>13583</v>
      </c>
      <c r="B1167" s="4" t="s">
        <v>1486</v>
      </c>
      <c r="C1167" s="4" t="s">
        <v>67</v>
      </c>
      <c r="D1167" s="4" t="s">
        <v>99</v>
      </c>
      <c r="E1167" s="4" t="s">
        <v>1093</v>
      </c>
      <c r="F1167" s="6">
        <v>1</v>
      </c>
      <c r="G1167" s="7">
        <v>0</v>
      </c>
      <c r="H1167" s="5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5">
        <v>1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3">
        <v>0</v>
      </c>
    </row>
    <row r="1168">
      <c r="A1168" s="24">
        <v>13586</v>
      </c>
      <c r="B1168" s="9" t="s">
        <v>1487</v>
      </c>
      <c r="C1168" s="9" t="s">
        <v>67</v>
      </c>
      <c r="D1168" s="9" t="s">
        <v>86</v>
      </c>
      <c r="E1168" s="9" t="s">
        <v>547</v>
      </c>
      <c r="F1168" s="11">
        <v>3</v>
      </c>
      <c r="G1168" s="10">
        <v>1</v>
      </c>
      <c r="H1168" s="12">
        <v>0</v>
      </c>
      <c r="I1168" s="10">
        <v>1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1</v>
      </c>
      <c r="W1168" s="12">
        <v>0</v>
      </c>
      <c r="X1168" s="10">
        <v>1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0.65</v>
      </c>
    </row>
    <row r="1169">
      <c r="A1169" s="23">
        <v>13639</v>
      </c>
      <c r="B1169" s="4" t="s">
        <v>1488</v>
      </c>
      <c r="C1169" s="4" t="s">
        <v>67</v>
      </c>
      <c r="D1169" s="4" t="s">
        <v>91</v>
      </c>
      <c r="E1169" s="4" t="s">
        <v>97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13656</v>
      </c>
      <c r="B1170" s="9" t="s">
        <v>1489</v>
      </c>
      <c r="C1170" s="9" t="s">
        <v>67</v>
      </c>
      <c r="D1170" s="9" t="s">
        <v>75</v>
      </c>
      <c r="E1170" s="9" t="s">
        <v>76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13675</v>
      </c>
      <c r="B1171" s="4" t="s">
        <v>1490</v>
      </c>
      <c r="C1171" s="4" t="s">
        <v>67</v>
      </c>
      <c r="D1171" s="4" t="s">
        <v>71</v>
      </c>
      <c r="E1171" s="4" t="s">
        <v>118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0.37</v>
      </c>
    </row>
    <row r="1172">
      <c r="A1172" s="24">
        <v>13700</v>
      </c>
      <c r="B1172" s="9" t="s">
        <v>1491</v>
      </c>
      <c r="C1172" s="9" t="s">
        <v>67</v>
      </c>
      <c r="D1172" s="9" t="s">
        <v>71</v>
      </c>
      <c r="E1172" s="9" t="s">
        <v>118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0">
        <v>0</v>
      </c>
    </row>
    <row r="1173">
      <c r="A1173" s="23">
        <v>13706</v>
      </c>
      <c r="B1173" s="4" t="s">
        <v>1492</v>
      </c>
      <c r="C1173" s="4" t="s">
        <v>67</v>
      </c>
      <c r="D1173" s="4" t="s">
        <v>75</v>
      </c>
      <c r="E1173" s="4" t="s">
        <v>84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3">
        <v>0</v>
      </c>
    </row>
    <row r="1174">
      <c r="A1174" s="24">
        <v>13710</v>
      </c>
      <c r="B1174" s="9" t="s">
        <v>1493</v>
      </c>
      <c r="C1174" s="9" t="s">
        <v>67</v>
      </c>
      <c r="D1174" s="9" t="s">
        <v>71</v>
      </c>
      <c r="E1174" s="9" t="s">
        <v>118</v>
      </c>
      <c r="F1174" s="11">
        <v>3</v>
      </c>
      <c r="G1174" s="10">
        <v>3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0">
        <v>3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3</v>
      </c>
      <c r="AL1174" s="10">
        <v>3</v>
      </c>
      <c r="AM1174" s="10">
        <v>3</v>
      </c>
      <c r="AN1174" s="29">
        <v>1.11</v>
      </c>
    </row>
    <row r="1175">
      <c r="A1175" s="23">
        <v>13800</v>
      </c>
      <c r="B1175" s="4" t="s">
        <v>1494</v>
      </c>
      <c r="C1175" s="4" t="s">
        <v>67</v>
      </c>
      <c r="D1175" s="4" t="s">
        <v>111</v>
      </c>
      <c r="E1175" s="4" t="s">
        <v>153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3">
        <v>0</v>
      </c>
    </row>
    <row r="1176">
      <c r="A1176" s="24">
        <v>13801</v>
      </c>
      <c r="B1176" s="9" t="s">
        <v>1495</v>
      </c>
      <c r="C1176" s="9" t="s">
        <v>67</v>
      </c>
      <c r="D1176" s="9" t="s">
        <v>71</v>
      </c>
      <c r="E1176" s="9" t="s">
        <v>118</v>
      </c>
      <c r="F1176" s="11">
        <v>2</v>
      </c>
      <c r="G1176" s="10">
        <v>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0">
        <v>2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0.38</v>
      </c>
    </row>
    <row r="1177">
      <c r="A1177" s="23">
        <v>13882</v>
      </c>
      <c r="B1177" s="4" t="s">
        <v>1496</v>
      </c>
      <c r="C1177" s="4" t="s">
        <v>67</v>
      </c>
      <c r="D1177" s="4" t="s">
        <v>99</v>
      </c>
      <c r="E1177" s="4" t="s">
        <v>132</v>
      </c>
      <c r="F1177" s="6">
        <v>3</v>
      </c>
      <c r="G1177" s="5">
        <v>2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</v>
      </c>
      <c r="V1177" s="5">
        <v>2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1.5</v>
      </c>
      <c r="AL1177" s="5">
        <v>1</v>
      </c>
      <c r="AM1177" s="5">
        <v>2</v>
      </c>
      <c r="AN1177" s="28">
        <v>0.25</v>
      </c>
    </row>
    <row r="1178">
      <c r="A1178" s="24">
        <v>13893</v>
      </c>
      <c r="B1178" s="9" t="s">
        <v>1497</v>
      </c>
      <c r="C1178" s="9" t="s">
        <v>67</v>
      </c>
      <c r="D1178" s="9" t="s">
        <v>75</v>
      </c>
      <c r="E1178" s="9" t="s">
        <v>128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13905</v>
      </c>
      <c r="B1179" s="4" t="s">
        <v>1498</v>
      </c>
      <c r="C1179" s="4" t="s">
        <v>67</v>
      </c>
      <c r="D1179" s="4" t="s">
        <v>86</v>
      </c>
      <c r="E1179" s="4" t="s">
        <v>473</v>
      </c>
      <c r="F1179" s="6">
        <v>2</v>
      </c>
      <c r="G1179" s="7">
        <v>0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7">
        <v>0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0.5</v>
      </c>
    </row>
    <row r="1180">
      <c r="A1180" s="24">
        <v>13913</v>
      </c>
      <c r="B1180" s="9" t="s">
        <v>1499</v>
      </c>
      <c r="C1180" s="9" t="s">
        <v>67</v>
      </c>
      <c r="D1180" s="9" t="s">
        <v>79</v>
      </c>
      <c r="E1180" s="9" t="s">
        <v>115</v>
      </c>
      <c r="F1180" s="11">
        <v>4</v>
      </c>
      <c r="G1180" s="10">
        <v>3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4</v>
      </c>
      <c r="V1180" s="10">
        <v>3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29">
        <v>0.25</v>
      </c>
    </row>
    <row r="1181">
      <c r="A1181" s="23">
        <v>13914</v>
      </c>
      <c r="B1181" s="4" t="s">
        <v>1500</v>
      </c>
      <c r="C1181" s="4" t="s">
        <v>67</v>
      </c>
      <c r="D1181" s="4" t="s">
        <v>125</v>
      </c>
      <c r="E1181" s="4" t="s">
        <v>381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3">
        <v>0</v>
      </c>
    </row>
    <row r="1182">
      <c r="A1182" s="24">
        <v>13917</v>
      </c>
      <c r="B1182" s="9" t="s">
        <v>1501</v>
      </c>
      <c r="C1182" s="9" t="s">
        <v>67</v>
      </c>
      <c r="D1182" s="9" t="s">
        <v>71</v>
      </c>
      <c r="E1182" s="9" t="s">
        <v>118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14013</v>
      </c>
      <c r="B1183" s="4" t="s">
        <v>1502</v>
      </c>
      <c r="C1183" s="4" t="s">
        <v>67</v>
      </c>
      <c r="D1183" s="4" t="s">
        <v>91</v>
      </c>
      <c r="E1183" s="4" t="s">
        <v>494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0.38</v>
      </c>
    </row>
    <row r="1184">
      <c r="A1184" s="24">
        <v>14023</v>
      </c>
      <c r="B1184" s="9" t="s">
        <v>1503</v>
      </c>
      <c r="C1184" s="9" t="s">
        <v>177</v>
      </c>
      <c r="D1184" s="9" t="s">
        <v>191</v>
      </c>
      <c r="E1184" s="9" t="s">
        <v>1504</v>
      </c>
      <c r="F1184" s="11">
        <v>3</v>
      </c>
      <c r="G1184" s="10">
        <v>1</v>
      </c>
      <c r="H1184" s="10">
        <v>1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0">
        <v>1</v>
      </c>
      <c r="W1184" s="10">
        <v>1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14065</v>
      </c>
      <c r="B1185" s="4" t="s">
        <v>1505</v>
      </c>
      <c r="C1185" s="4" t="s">
        <v>177</v>
      </c>
      <c r="D1185" s="4" t="s">
        <v>178</v>
      </c>
      <c r="E1185" s="4" t="s">
        <v>189</v>
      </c>
      <c r="F1185" s="6">
        <v>2</v>
      </c>
      <c r="G1185" s="7">
        <v>0</v>
      </c>
      <c r="H1185" s="7">
        <v>0</v>
      </c>
      <c r="I1185" s="7">
        <v>0</v>
      </c>
      <c r="J1185" s="7">
        <v>0</v>
      </c>
      <c r="K1185" s="5">
        <v>2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7">
        <v>0</v>
      </c>
      <c r="X1185" s="7">
        <v>0</v>
      </c>
      <c r="Y1185" s="7">
        <v>0</v>
      </c>
      <c r="Z1185" s="5">
        <v>2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43">
        <v>0</v>
      </c>
    </row>
    <row r="1186">
      <c r="A1186" s="24">
        <v>14069</v>
      </c>
      <c r="B1186" s="9" t="s">
        <v>1506</v>
      </c>
      <c r="C1186" s="9" t="s">
        <v>724</v>
      </c>
      <c r="D1186" s="9" t="s">
        <v>785</v>
      </c>
      <c r="E1186" s="9" t="s">
        <v>379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14081</v>
      </c>
      <c r="B1187" s="4" t="s">
        <v>1507</v>
      </c>
      <c r="C1187" s="4" t="s">
        <v>67</v>
      </c>
      <c r="D1187" s="4" t="s">
        <v>79</v>
      </c>
      <c r="E1187" s="4" t="s">
        <v>89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14101</v>
      </c>
      <c r="B1188" s="9" t="s">
        <v>1508</v>
      </c>
      <c r="C1188" s="9" t="s">
        <v>67</v>
      </c>
      <c r="D1188" s="9" t="s">
        <v>134</v>
      </c>
      <c r="E1188" s="9" t="s">
        <v>135</v>
      </c>
      <c r="F1188" s="11">
        <v>3</v>
      </c>
      <c r="G1188" s="10">
        <v>3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0">
        <v>3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3</v>
      </c>
      <c r="AK1188" s="13">
        <v>3</v>
      </c>
      <c r="AL1188" s="10">
        <v>3</v>
      </c>
      <c r="AM1188" s="10">
        <v>3</v>
      </c>
      <c r="AN1188" s="30">
        <v>0</v>
      </c>
    </row>
    <row r="1189">
      <c r="A1189" s="23">
        <v>14158</v>
      </c>
      <c r="B1189" s="4" t="s">
        <v>1509</v>
      </c>
      <c r="C1189" s="4" t="s">
        <v>67</v>
      </c>
      <c r="D1189" s="4" t="s">
        <v>75</v>
      </c>
      <c r="E1189" s="4" t="s">
        <v>120</v>
      </c>
      <c r="F1189" s="6">
        <v>5</v>
      </c>
      <c r="G1189" s="5">
        <v>5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5">
        <v>4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5</v>
      </c>
      <c r="AK1189" s="8">
        <v>5</v>
      </c>
      <c r="AL1189" s="5">
        <v>5</v>
      </c>
      <c r="AM1189" s="5">
        <v>5</v>
      </c>
      <c r="AN1189" s="43">
        <v>0</v>
      </c>
    </row>
    <row r="1190">
      <c r="A1190" s="24">
        <v>14171</v>
      </c>
      <c r="B1190" s="9" t="s">
        <v>1510</v>
      </c>
      <c r="C1190" s="9" t="s">
        <v>67</v>
      </c>
      <c r="D1190" s="9" t="s">
        <v>75</v>
      </c>
      <c r="E1190" s="9" t="s">
        <v>331</v>
      </c>
      <c r="F1190" s="11">
        <v>1</v>
      </c>
      <c r="G1190" s="12">
        <v>0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14187</v>
      </c>
      <c r="B1191" s="4" t="s">
        <v>1511</v>
      </c>
      <c r="C1191" s="4" t="s">
        <v>67</v>
      </c>
      <c r="D1191" s="4" t="s">
        <v>75</v>
      </c>
      <c r="E1191" s="4" t="s">
        <v>128</v>
      </c>
      <c r="F1191" s="6">
        <v>4</v>
      </c>
      <c r="G1191" s="7">
        <v>0</v>
      </c>
      <c r="H1191" s="7">
        <v>0</v>
      </c>
      <c r="I1191" s="5">
        <v>4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7">
        <v>0</v>
      </c>
      <c r="W1191" s="7">
        <v>0</v>
      </c>
      <c r="X1191" s="5">
        <v>2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4</v>
      </c>
      <c r="AK1191" s="8">
        <v>4</v>
      </c>
      <c r="AL1191" s="5">
        <v>4</v>
      </c>
      <c r="AM1191" s="5">
        <v>4</v>
      </c>
      <c r="AN1191" s="28">
        <v>0.57</v>
      </c>
    </row>
    <row r="1192">
      <c r="A1192" s="24">
        <v>14192</v>
      </c>
      <c r="B1192" s="9" t="s">
        <v>1512</v>
      </c>
      <c r="C1192" s="9" t="s">
        <v>67</v>
      </c>
      <c r="D1192" s="9" t="s">
        <v>111</v>
      </c>
      <c r="E1192" s="9" t="s">
        <v>153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14240</v>
      </c>
      <c r="B1193" s="4" t="s">
        <v>1513</v>
      </c>
      <c r="C1193" s="4" t="s">
        <v>645</v>
      </c>
      <c r="D1193" s="4" t="s">
        <v>646</v>
      </c>
      <c r="E1193" s="4" t="s">
        <v>1514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14296</v>
      </c>
      <c r="B1194" s="9" t="s">
        <v>1515</v>
      </c>
      <c r="C1194" s="9" t="s">
        <v>67</v>
      </c>
      <c r="D1194" s="9" t="s">
        <v>75</v>
      </c>
      <c r="E1194" s="9" t="s">
        <v>76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29">
        <v>0.76</v>
      </c>
    </row>
    <row r="1195">
      <c r="A1195" s="23">
        <v>14409</v>
      </c>
      <c r="B1195" s="4" t="s">
        <v>1516</v>
      </c>
      <c r="C1195" s="4" t="s">
        <v>177</v>
      </c>
      <c r="D1195" s="4" t="s">
        <v>932</v>
      </c>
      <c r="E1195" s="4" t="s">
        <v>933</v>
      </c>
      <c r="F1195" s="6">
        <v>3</v>
      </c>
      <c r="G1195" s="5">
        <v>1</v>
      </c>
      <c r="H1195" s="7">
        <v>0</v>
      </c>
      <c r="I1195" s="5">
        <v>2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5">
        <v>1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43">
        <v>0</v>
      </c>
    </row>
    <row r="1196">
      <c r="A1196" s="24">
        <v>14418</v>
      </c>
      <c r="B1196" s="9" t="s">
        <v>1517</v>
      </c>
      <c r="C1196" s="9" t="s">
        <v>67</v>
      </c>
      <c r="D1196" s="9" t="s">
        <v>159</v>
      </c>
      <c r="E1196" s="9" t="s">
        <v>160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14439</v>
      </c>
      <c r="B1197" s="4" t="s">
        <v>1518</v>
      </c>
      <c r="C1197" s="4" t="s">
        <v>142</v>
      </c>
      <c r="D1197" s="4" t="s">
        <v>1519</v>
      </c>
      <c r="E1197" s="4" t="s">
        <v>1520</v>
      </c>
      <c r="F1197" s="6">
        <v>1</v>
      </c>
      <c r="G1197" s="7">
        <v>0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3">
        <v>0</v>
      </c>
    </row>
    <row r="1198">
      <c r="A1198" s="24">
        <v>14446</v>
      </c>
      <c r="B1198" s="9" t="s">
        <v>1521</v>
      </c>
      <c r="C1198" s="9" t="s">
        <v>67</v>
      </c>
      <c r="D1198" s="9" t="s">
        <v>91</v>
      </c>
      <c r="E1198" s="9" t="s">
        <v>92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0.36</v>
      </c>
    </row>
    <row r="1199">
      <c r="A1199" s="23">
        <v>14469</v>
      </c>
      <c r="B1199" s="4" t="s">
        <v>1522</v>
      </c>
      <c r="C1199" s="4" t="s">
        <v>67</v>
      </c>
      <c r="D1199" s="4" t="s">
        <v>111</v>
      </c>
      <c r="E1199" s="4" t="s">
        <v>150</v>
      </c>
      <c r="F1199" s="6">
        <v>3</v>
      </c>
      <c r="G1199" s="7">
        <v>0</v>
      </c>
      <c r="H1199" s="7">
        <v>0</v>
      </c>
      <c r="I1199" s="7">
        <v>0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3</v>
      </c>
      <c r="AK1199" s="8">
        <v>3</v>
      </c>
      <c r="AL1199" s="5">
        <v>3</v>
      </c>
      <c r="AM1199" s="5">
        <v>3</v>
      </c>
      <c r="AN1199" s="28">
        <v>0.25</v>
      </c>
    </row>
    <row r="1200">
      <c r="A1200" s="24">
        <v>14523</v>
      </c>
      <c r="B1200" s="9" t="s">
        <v>1523</v>
      </c>
      <c r="C1200" s="9" t="s">
        <v>67</v>
      </c>
      <c r="D1200" s="9" t="s">
        <v>75</v>
      </c>
      <c r="E1200" s="9" t="s">
        <v>128</v>
      </c>
      <c r="F1200" s="11">
        <v>1</v>
      </c>
      <c r="G1200" s="12">
        <v>0</v>
      </c>
      <c r="H1200" s="10">
        <v>1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0">
        <v>1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0.38</v>
      </c>
    </row>
    <row r="1201">
      <c r="A1201" s="23">
        <v>14570</v>
      </c>
      <c r="B1201" s="4" t="s">
        <v>1524</v>
      </c>
      <c r="C1201" s="4" t="s">
        <v>632</v>
      </c>
      <c r="D1201" s="4" t="s">
        <v>635</v>
      </c>
      <c r="E1201" s="4" t="s">
        <v>379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43">
        <v>0</v>
      </c>
    </row>
    <row r="1202">
      <c r="A1202" s="24">
        <v>14601</v>
      </c>
      <c r="B1202" s="9" t="s">
        <v>1525</v>
      </c>
      <c r="C1202" s="9" t="s">
        <v>142</v>
      </c>
      <c r="D1202" s="9" t="s">
        <v>469</v>
      </c>
      <c r="E1202" s="9" t="s">
        <v>581</v>
      </c>
      <c r="F1202" s="11">
        <v>7</v>
      </c>
      <c r="G1202" s="10">
        <v>3</v>
      </c>
      <c r="H1202" s="10">
        <v>1</v>
      </c>
      <c r="I1202" s="10">
        <v>2</v>
      </c>
      <c r="J1202" s="12">
        <v>0</v>
      </c>
      <c r="K1202" s="10">
        <v>1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2</v>
      </c>
      <c r="W1202" s="10">
        <v>1</v>
      </c>
      <c r="X1202" s="10">
        <v>2</v>
      </c>
      <c r="Y1202" s="12">
        <v>0</v>
      </c>
      <c r="Z1202" s="10">
        <v>1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1.17</v>
      </c>
      <c r="AL1202" s="10">
        <v>1</v>
      </c>
      <c r="AM1202" s="10">
        <v>2</v>
      </c>
      <c r="AN1202" s="30">
        <v>0</v>
      </c>
    </row>
    <row r="1203">
      <c r="A1203" s="23">
        <v>14606</v>
      </c>
      <c r="B1203" s="4" t="s">
        <v>1526</v>
      </c>
      <c r="C1203" s="4" t="s">
        <v>67</v>
      </c>
      <c r="D1203" s="4" t="s">
        <v>75</v>
      </c>
      <c r="E1203" s="4" t="s">
        <v>331</v>
      </c>
      <c r="F1203" s="6">
        <v>2</v>
      </c>
      <c r="G1203" s="7">
        <v>0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7">
        <v>0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0.5</v>
      </c>
    </row>
    <row r="1204">
      <c r="A1204" s="24">
        <v>14614</v>
      </c>
      <c r="B1204" s="9" t="s">
        <v>1527</v>
      </c>
      <c r="C1204" s="9" t="s">
        <v>177</v>
      </c>
      <c r="D1204" s="9" t="s">
        <v>178</v>
      </c>
      <c r="E1204" s="9" t="s">
        <v>189</v>
      </c>
      <c r="F1204" s="11">
        <v>1</v>
      </c>
      <c r="G1204" s="12">
        <v>0</v>
      </c>
      <c r="H1204" s="12">
        <v>0</v>
      </c>
      <c r="I1204" s="12">
        <v>0</v>
      </c>
      <c r="J1204" s="12">
        <v>0</v>
      </c>
      <c r="K1204" s="10">
        <v>1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2">
        <v>0</v>
      </c>
      <c r="Z1204" s="10">
        <v>1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14623</v>
      </c>
      <c r="B1205" s="4" t="s">
        <v>1528</v>
      </c>
      <c r="C1205" s="4" t="s">
        <v>67</v>
      </c>
      <c r="D1205" s="4" t="s">
        <v>111</v>
      </c>
      <c r="E1205" s="4" t="s">
        <v>153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14624</v>
      </c>
      <c r="B1206" s="9" t="s">
        <v>1529</v>
      </c>
      <c r="C1206" s="9" t="s">
        <v>142</v>
      </c>
      <c r="D1206" s="9" t="s">
        <v>406</v>
      </c>
      <c r="E1206" s="9" t="s">
        <v>779</v>
      </c>
      <c r="F1206" s="11">
        <v>7</v>
      </c>
      <c r="G1206" s="10">
        <v>1</v>
      </c>
      <c r="H1206" s="12">
        <v>0</v>
      </c>
      <c r="I1206" s="10">
        <v>4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6</v>
      </c>
      <c r="V1206" s="10">
        <v>1</v>
      </c>
      <c r="W1206" s="12">
        <v>0</v>
      </c>
      <c r="X1206" s="10">
        <v>4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2.33</v>
      </c>
      <c r="AL1206" s="10">
        <v>2</v>
      </c>
      <c r="AM1206" s="10">
        <v>4</v>
      </c>
      <c r="AN1206" s="30">
        <v>0</v>
      </c>
    </row>
    <row r="1207">
      <c r="A1207" s="23">
        <v>14625</v>
      </c>
      <c r="B1207" s="4" t="s">
        <v>1530</v>
      </c>
      <c r="C1207" s="4" t="s">
        <v>67</v>
      </c>
      <c r="D1207" s="4" t="s">
        <v>86</v>
      </c>
      <c r="E1207" s="4" t="s">
        <v>239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43">
        <v>0</v>
      </c>
    </row>
    <row r="1208">
      <c r="A1208" s="24">
        <v>14632</v>
      </c>
      <c r="B1208" s="9" t="s">
        <v>1531</v>
      </c>
      <c r="C1208" s="9" t="s">
        <v>1141</v>
      </c>
      <c r="D1208" s="9" t="s">
        <v>1532</v>
      </c>
      <c r="E1208" s="9" t="s">
        <v>1533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14748</v>
      </c>
      <c r="B1209" s="4" t="s">
        <v>1534</v>
      </c>
      <c r="C1209" s="4" t="s">
        <v>142</v>
      </c>
      <c r="D1209" s="4" t="s">
        <v>440</v>
      </c>
      <c r="E1209" s="4" t="s">
        <v>441</v>
      </c>
      <c r="F1209" s="6">
        <v>1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3">
        <v>0</v>
      </c>
    </row>
    <row r="1210">
      <c r="A1210" s="24">
        <v>14775</v>
      </c>
      <c r="B1210" s="9" t="s">
        <v>1535</v>
      </c>
      <c r="C1210" s="9" t="s">
        <v>67</v>
      </c>
      <c r="D1210" s="9" t="s">
        <v>75</v>
      </c>
      <c r="E1210" s="9" t="s">
        <v>76</v>
      </c>
      <c r="F1210" s="11">
        <v>1</v>
      </c>
      <c r="G1210" s="12">
        <v>0</v>
      </c>
      <c r="H1210" s="10">
        <v>1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0">
        <v>1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14789</v>
      </c>
      <c r="B1211" s="4" t="s">
        <v>1536</v>
      </c>
      <c r="C1211" s="4" t="s">
        <v>67</v>
      </c>
      <c r="D1211" s="4" t="s">
        <v>71</v>
      </c>
      <c r="E1211" s="4" t="s">
        <v>118</v>
      </c>
      <c r="F1211" s="6">
        <v>1</v>
      </c>
      <c r="G1211" s="7">
        <v>0</v>
      </c>
      <c r="H1211" s="5">
        <v>1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5">
        <v>1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0.34</v>
      </c>
    </row>
    <row r="1212">
      <c r="A1212" s="24">
        <v>14826</v>
      </c>
      <c r="B1212" s="9" t="s">
        <v>1537</v>
      </c>
      <c r="C1212" s="9" t="s">
        <v>67</v>
      </c>
      <c r="D1212" s="9" t="s">
        <v>71</v>
      </c>
      <c r="E1212" s="9" t="s">
        <v>118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0.34</v>
      </c>
    </row>
    <row r="1213">
      <c r="A1213" s="23">
        <v>14842</v>
      </c>
      <c r="B1213" s="4" t="s">
        <v>1538</v>
      </c>
      <c r="C1213" s="4" t="s">
        <v>67</v>
      </c>
      <c r="D1213" s="4" t="s">
        <v>86</v>
      </c>
      <c r="E1213" s="4" t="s">
        <v>87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14858</v>
      </c>
      <c r="B1214" s="9" t="s">
        <v>1539</v>
      </c>
      <c r="C1214" s="9" t="s">
        <v>67</v>
      </c>
      <c r="D1214" s="9" t="s">
        <v>91</v>
      </c>
      <c r="E1214" s="9" t="s">
        <v>340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0.25</v>
      </c>
    </row>
    <row r="1215">
      <c r="A1215" s="23">
        <v>14865</v>
      </c>
      <c r="B1215" s="4" t="s">
        <v>1540</v>
      </c>
      <c r="C1215" s="4" t="s">
        <v>67</v>
      </c>
      <c r="D1215" s="4" t="s">
        <v>71</v>
      </c>
      <c r="E1215" s="4" t="s">
        <v>169</v>
      </c>
      <c r="F1215" s="6">
        <v>3</v>
      </c>
      <c r="G1215" s="5">
        <v>3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5">
        <v>3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3</v>
      </c>
      <c r="AK1215" s="8">
        <v>3</v>
      </c>
      <c r="AL1215" s="5">
        <v>3</v>
      </c>
      <c r="AM1215" s="5">
        <v>3</v>
      </c>
      <c r="AN1215" s="43">
        <v>0</v>
      </c>
    </row>
    <row r="1216">
      <c r="A1216" s="24">
        <v>14871</v>
      </c>
      <c r="B1216" s="9" t="s">
        <v>1541</v>
      </c>
      <c r="C1216" s="9" t="s">
        <v>67</v>
      </c>
      <c r="D1216" s="9" t="s">
        <v>71</v>
      </c>
      <c r="E1216" s="9" t="s">
        <v>118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14902</v>
      </c>
      <c r="B1217" s="4" t="s">
        <v>1542</v>
      </c>
      <c r="C1217" s="4" t="s">
        <v>142</v>
      </c>
      <c r="D1217" s="4" t="s">
        <v>440</v>
      </c>
      <c r="E1217" s="4" t="s">
        <v>1543</v>
      </c>
      <c r="F1217" s="6">
        <v>2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5">
        <v>2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5">
        <v>2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</v>
      </c>
      <c r="AL1217" s="5">
        <v>2</v>
      </c>
      <c r="AM1217" s="5">
        <v>2</v>
      </c>
      <c r="AN1217" s="43">
        <v>0</v>
      </c>
    </row>
    <row r="1218">
      <c r="A1218" s="24">
        <v>14923</v>
      </c>
      <c r="B1218" s="9" t="s">
        <v>1544</v>
      </c>
      <c r="C1218" s="9" t="s">
        <v>67</v>
      </c>
      <c r="D1218" s="9" t="s">
        <v>79</v>
      </c>
      <c r="E1218" s="9" t="s">
        <v>89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14931</v>
      </c>
      <c r="B1219" s="4" t="s">
        <v>1545</v>
      </c>
      <c r="C1219" s="4" t="s">
        <v>67</v>
      </c>
      <c r="D1219" s="4" t="s">
        <v>91</v>
      </c>
      <c r="E1219" s="4" t="s">
        <v>340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14932</v>
      </c>
      <c r="B1220" s="9" t="s">
        <v>1546</v>
      </c>
      <c r="C1220" s="9" t="s">
        <v>142</v>
      </c>
      <c r="D1220" s="9" t="s">
        <v>406</v>
      </c>
      <c r="E1220" s="9" t="s">
        <v>414</v>
      </c>
      <c r="F1220" s="11">
        <v>11</v>
      </c>
      <c r="G1220" s="12">
        <v>0</v>
      </c>
      <c r="H1220" s="10">
        <v>1</v>
      </c>
      <c r="I1220" s="10">
        <v>1</v>
      </c>
      <c r="J1220" s="12">
        <v>0</v>
      </c>
      <c r="K1220" s="12">
        <v>0</v>
      </c>
      <c r="L1220" s="10">
        <v>9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11</v>
      </c>
      <c r="V1220" s="12">
        <v>0</v>
      </c>
      <c r="W1220" s="10">
        <v>1</v>
      </c>
      <c r="X1220" s="10">
        <v>1</v>
      </c>
      <c r="Y1220" s="12">
        <v>0</v>
      </c>
      <c r="Z1220" s="12">
        <v>0</v>
      </c>
      <c r="AA1220" s="10">
        <v>9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3.67</v>
      </c>
      <c r="AL1220" s="10">
        <v>1</v>
      </c>
      <c r="AM1220" s="10">
        <v>9</v>
      </c>
      <c r="AN1220" s="30">
        <v>0</v>
      </c>
    </row>
    <row r="1221">
      <c r="A1221" s="23">
        <v>14978</v>
      </c>
      <c r="B1221" s="4" t="s">
        <v>1547</v>
      </c>
      <c r="C1221" s="4" t="s">
        <v>67</v>
      </c>
      <c r="D1221" s="4" t="s">
        <v>75</v>
      </c>
      <c r="E1221" s="4" t="s">
        <v>76</v>
      </c>
      <c r="F1221" s="6">
        <v>2</v>
      </c>
      <c r="G1221" s="5">
        <v>1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1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43">
        <v>0</v>
      </c>
    </row>
    <row r="1222">
      <c r="A1222" s="24">
        <v>15007</v>
      </c>
      <c r="B1222" s="9" t="s">
        <v>1548</v>
      </c>
      <c r="C1222" s="9" t="s">
        <v>67</v>
      </c>
      <c r="D1222" s="9" t="s">
        <v>75</v>
      </c>
      <c r="E1222" s="9" t="s">
        <v>171</v>
      </c>
      <c r="F1222" s="11">
        <v>2</v>
      </c>
      <c r="G1222" s="10">
        <v>2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2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30">
        <v>0</v>
      </c>
    </row>
    <row r="1223">
      <c r="A1223" s="23">
        <v>15010</v>
      </c>
      <c r="B1223" s="4" t="s">
        <v>1549</v>
      </c>
      <c r="C1223" s="4" t="s">
        <v>177</v>
      </c>
      <c r="D1223" s="4" t="s">
        <v>194</v>
      </c>
      <c r="E1223" s="4" t="s">
        <v>198</v>
      </c>
      <c r="F1223" s="6">
        <v>4</v>
      </c>
      <c r="G1223" s="7">
        <v>0</v>
      </c>
      <c r="H1223" s="7">
        <v>0</v>
      </c>
      <c r="I1223" s="7">
        <v>0</v>
      </c>
      <c r="J1223" s="7">
        <v>0</v>
      </c>
      <c r="K1223" s="5">
        <v>4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7">
        <v>0</v>
      </c>
      <c r="W1223" s="7">
        <v>0</v>
      </c>
      <c r="X1223" s="7">
        <v>0</v>
      </c>
      <c r="Y1223" s="7">
        <v>0</v>
      </c>
      <c r="Z1223" s="5">
        <v>4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4</v>
      </c>
      <c r="AK1223" s="8">
        <v>4</v>
      </c>
      <c r="AL1223" s="5">
        <v>4</v>
      </c>
      <c r="AM1223" s="5">
        <v>4</v>
      </c>
      <c r="AN1223" s="43">
        <v>0</v>
      </c>
    </row>
    <row r="1224">
      <c r="A1224" s="24">
        <v>15015</v>
      </c>
      <c r="B1224" s="9" t="s">
        <v>1550</v>
      </c>
      <c r="C1224" s="9" t="s">
        <v>67</v>
      </c>
      <c r="D1224" s="9" t="s">
        <v>159</v>
      </c>
      <c r="E1224" s="9" t="s">
        <v>830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0.26</v>
      </c>
    </row>
    <row r="1225">
      <c r="A1225" s="23">
        <v>15091</v>
      </c>
      <c r="B1225" s="4" t="s">
        <v>1551</v>
      </c>
      <c r="C1225" s="4" t="s">
        <v>67</v>
      </c>
      <c r="D1225" s="4" t="s">
        <v>86</v>
      </c>
      <c r="E1225" s="4" t="s">
        <v>1177</v>
      </c>
      <c r="F1225" s="6">
        <v>2</v>
      </c>
      <c r="G1225" s="7">
        <v>0</v>
      </c>
      <c r="H1225" s="7">
        <v>0</v>
      </c>
      <c r="I1225" s="5">
        <v>1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7">
        <v>0</v>
      </c>
      <c r="W1225" s="7">
        <v>0</v>
      </c>
      <c r="X1225" s="5">
        <v>1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0.52</v>
      </c>
    </row>
    <row r="1226">
      <c r="A1226" s="24">
        <v>15126</v>
      </c>
      <c r="B1226" s="9" t="s">
        <v>1552</v>
      </c>
      <c r="C1226" s="9" t="s">
        <v>67</v>
      </c>
      <c r="D1226" s="9" t="s">
        <v>79</v>
      </c>
      <c r="E1226" s="9" t="s">
        <v>89</v>
      </c>
      <c r="F1226" s="11">
        <v>2</v>
      </c>
      <c r="G1226" s="12">
        <v>0</v>
      </c>
      <c r="H1226" s="12">
        <v>0</v>
      </c>
      <c r="I1226" s="10">
        <v>1</v>
      </c>
      <c r="J1226" s="12">
        <v>0</v>
      </c>
      <c r="K1226" s="10">
        <v>1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0">
        <v>1</v>
      </c>
      <c r="Y1226" s="12">
        <v>0</v>
      </c>
      <c r="Z1226" s="10">
        <v>1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15210</v>
      </c>
      <c r="B1227" s="4" t="s">
        <v>1553</v>
      </c>
      <c r="C1227" s="4" t="s">
        <v>67</v>
      </c>
      <c r="D1227" s="4" t="s">
        <v>111</v>
      </c>
      <c r="E1227" s="4" t="s">
        <v>150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0.38</v>
      </c>
    </row>
    <row r="1228">
      <c r="A1228" s="24">
        <v>15322</v>
      </c>
      <c r="B1228" s="9" t="s">
        <v>1554</v>
      </c>
      <c r="C1228" s="9" t="s">
        <v>67</v>
      </c>
      <c r="D1228" s="9" t="s">
        <v>111</v>
      </c>
      <c r="E1228" s="9" t="s">
        <v>153</v>
      </c>
      <c r="F1228" s="11">
        <v>3</v>
      </c>
      <c r="G1228" s="10">
        <v>3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1.5</v>
      </c>
      <c r="AL1228" s="10">
        <v>1</v>
      </c>
      <c r="AM1228" s="10">
        <v>2</v>
      </c>
      <c r="AN1228" s="29">
        <v>0.38</v>
      </c>
    </row>
    <row r="1229">
      <c r="A1229" s="23">
        <v>15326</v>
      </c>
      <c r="B1229" s="4" t="s">
        <v>1555</v>
      </c>
      <c r="C1229" s="4" t="s">
        <v>67</v>
      </c>
      <c r="D1229" s="4" t="s">
        <v>111</v>
      </c>
      <c r="E1229" s="4" t="s">
        <v>153</v>
      </c>
      <c r="F1229" s="6">
        <v>2</v>
      </c>
      <c r="G1229" s="7">
        <v>0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28">
        <v>0.25</v>
      </c>
    </row>
    <row r="1230">
      <c r="A1230" s="24">
        <v>15360</v>
      </c>
      <c r="B1230" s="9" t="s">
        <v>1556</v>
      </c>
      <c r="C1230" s="9" t="s">
        <v>67</v>
      </c>
      <c r="D1230" s="9" t="s">
        <v>111</v>
      </c>
      <c r="E1230" s="9" t="s">
        <v>122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15408</v>
      </c>
      <c r="B1231" s="4" t="s">
        <v>1557</v>
      </c>
      <c r="C1231" s="4" t="s">
        <v>751</v>
      </c>
      <c r="D1231" s="4" t="s">
        <v>379</v>
      </c>
      <c r="E1231" s="4" t="s">
        <v>379</v>
      </c>
      <c r="F1231" s="6">
        <v>3</v>
      </c>
      <c r="G1231" s="7">
        <v>0</v>
      </c>
      <c r="H1231" s="7">
        <v>0</v>
      </c>
      <c r="I1231" s="7">
        <v>0</v>
      </c>
      <c r="J1231" s="5">
        <v>3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7">
        <v>0</v>
      </c>
      <c r="W1231" s="7">
        <v>0</v>
      </c>
      <c r="X1231" s="7">
        <v>0</v>
      </c>
      <c r="Y1231" s="5">
        <v>3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28">
        <v>0.75</v>
      </c>
    </row>
    <row r="1232">
      <c r="A1232" s="24">
        <v>15415</v>
      </c>
      <c r="B1232" s="9" t="s">
        <v>1558</v>
      </c>
      <c r="C1232" s="9" t="s">
        <v>67</v>
      </c>
      <c r="D1232" s="9" t="s">
        <v>111</v>
      </c>
      <c r="E1232" s="9" t="s">
        <v>153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0.36</v>
      </c>
    </row>
    <row r="1233">
      <c r="A1233" s="23">
        <v>15544</v>
      </c>
      <c r="B1233" s="4" t="s">
        <v>1559</v>
      </c>
      <c r="C1233" s="4" t="s">
        <v>67</v>
      </c>
      <c r="D1233" s="4" t="s">
        <v>111</v>
      </c>
      <c r="E1233" s="4" t="s">
        <v>150</v>
      </c>
      <c r="F1233" s="6">
        <v>3</v>
      </c>
      <c r="G1233" s="5">
        <v>3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3</v>
      </c>
      <c r="AK1233" s="8">
        <v>3</v>
      </c>
      <c r="AL1233" s="5">
        <v>3</v>
      </c>
      <c r="AM1233" s="5">
        <v>3</v>
      </c>
      <c r="AN1233" s="43">
        <v>0</v>
      </c>
    </row>
    <row r="1234">
      <c r="A1234" s="24">
        <v>15556</v>
      </c>
      <c r="B1234" s="9" t="s">
        <v>1560</v>
      </c>
      <c r="C1234" s="9" t="s">
        <v>724</v>
      </c>
      <c r="D1234" s="9" t="s">
        <v>1139</v>
      </c>
      <c r="E1234" s="9" t="s">
        <v>379</v>
      </c>
      <c r="F1234" s="11">
        <v>3</v>
      </c>
      <c r="G1234" s="12">
        <v>0</v>
      </c>
      <c r="H1234" s="12">
        <v>0</v>
      </c>
      <c r="I1234" s="12">
        <v>0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2">
        <v>0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0.26</v>
      </c>
    </row>
    <row r="1235">
      <c r="A1235" s="23">
        <v>15628</v>
      </c>
      <c r="B1235" s="4" t="s">
        <v>1561</v>
      </c>
      <c r="C1235" s="4" t="s">
        <v>67</v>
      </c>
      <c r="D1235" s="4" t="s">
        <v>71</v>
      </c>
      <c r="E1235" s="4" t="s">
        <v>118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3">
        <v>0</v>
      </c>
    </row>
    <row r="1236">
      <c r="A1236" s="24">
        <v>15730</v>
      </c>
      <c r="B1236" s="9" t="s">
        <v>1562</v>
      </c>
      <c r="C1236" s="9" t="s">
        <v>142</v>
      </c>
      <c r="D1236" s="9" t="s">
        <v>252</v>
      </c>
      <c r="E1236" s="9" t="s">
        <v>253</v>
      </c>
      <c r="F1236" s="11">
        <v>3</v>
      </c>
      <c r="G1236" s="12">
        <v>0</v>
      </c>
      <c r="H1236" s="12">
        <v>0</v>
      </c>
      <c r="I1236" s="12">
        <v>0</v>
      </c>
      <c r="J1236" s="10">
        <v>3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2">
        <v>0</v>
      </c>
      <c r="W1236" s="12">
        <v>0</v>
      </c>
      <c r="X1236" s="12">
        <v>0</v>
      </c>
      <c r="Y1236" s="10">
        <v>3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3</v>
      </c>
      <c r="AK1236" s="13">
        <v>3</v>
      </c>
      <c r="AL1236" s="10">
        <v>3</v>
      </c>
      <c r="AM1236" s="10">
        <v>3</v>
      </c>
      <c r="AN1236" s="29">
        <v>0.75</v>
      </c>
    </row>
    <row r="1237">
      <c r="A1237" s="23">
        <v>15750</v>
      </c>
      <c r="B1237" s="4" t="s">
        <v>1563</v>
      </c>
      <c r="C1237" s="4" t="s">
        <v>67</v>
      </c>
      <c r="D1237" s="4" t="s">
        <v>75</v>
      </c>
      <c r="E1237" s="4" t="s">
        <v>331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43">
        <v>0</v>
      </c>
    </row>
    <row r="1238">
      <c r="A1238" s="24">
        <v>15774</v>
      </c>
      <c r="B1238" s="9" t="s">
        <v>1564</v>
      </c>
      <c r="C1238" s="9" t="s">
        <v>67</v>
      </c>
      <c r="D1238" s="9" t="s">
        <v>111</v>
      </c>
      <c r="E1238" s="9" t="s">
        <v>221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15792</v>
      </c>
      <c r="B1239" s="4" t="s">
        <v>1565</v>
      </c>
      <c r="C1239" s="4" t="s">
        <v>67</v>
      </c>
      <c r="D1239" s="4" t="s">
        <v>86</v>
      </c>
      <c r="E1239" s="4" t="s">
        <v>102</v>
      </c>
      <c r="F1239" s="6">
        <v>1</v>
      </c>
      <c r="G1239" s="7">
        <v>0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15810</v>
      </c>
      <c r="B1240" s="9" t="s">
        <v>1566</v>
      </c>
      <c r="C1240" s="9" t="s">
        <v>67</v>
      </c>
      <c r="D1240" s="9" t="s">
        <v>91</v>
      </c>
      <c r="E1240" s="9" t="s">
        <v>494</v>
      </c>
      <c r="F1240" s="11">
        <v>2</v>
      </c>
      <c r="G1240" s="10">
        <v>1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1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15831</v>
      </c>
      <c r="B1241" s="4" t="s">
        <v>1567</v>
      </c>
      <c r="C1241" s="4" t="s">
        <v>142</v>
      </c>
      <c r="D1241" s="4" t="s">
        <v>506</v>
      </c>
      <c r="E1241" s="4" t="s">
        <v>507</v>
      </c>
      <c r="F1241" s="6">
        <v>1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3">
        <v>0</v>
      </c>
    </row>
    <row r="1242">
      <c r="A1242" s="24">
        <v>15839</v>
      </c>
      <c r="B1242" s="9" t="s">
        <v>1568</v>
      </c>
      <c r="C1242" s="9" t="s">
        <v>724</v>
      </c>
      <c r="D1242" s="9" t="s">
        <v>1569</v>
      </c>
      <c r="E1242" s="9" t="s">
        <v>379</v>
      </c>
      <c r="F1242" s="11">
        <v>1</v>
      </c>
      <c r="G1242" s="12">
        <v>0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15872</v>
      </c>
      <c r="B1243" s="4" t="s">
        <v>1570</v>
      </c>
      <c r="C1243" s="4" t="s">
        <v>142</v>
      </c>
      <c r="D1243" s="4" t="s">
        <v>700</v>
      </c>
      <c r="E1243" s="4" t="s">
        <v>701</v>
      </c>
      <c r="F1243" s="6">
        <v>1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15881</v>
      </c>
      <c r="B1244" s="9" t="s">
        <v>1571</v>
      </c>
      <c r="C1244" s="9" t="s">
        <v>67</v>
      </c>
      <c r="D1244" s="9" t="s">
        <v>91</v>
      </c>
      <c r="E1244" s="9" t="s">
        <v>340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15917</v>
      </c>
      <c r="B1245" s="4" t="s">
        <v>1572</v>
      </c>
      <c r="C1245" s="4" t="s">
        <v>67</v>
      </c>
      <c r="D1245" s="4" t="s">
        <v>91</v>
      </c>
      <c r="E1245" s="4" t="s">
        <v>494</v>
      </c>
      <c r="F1245" s="6">
        <v>3</v>
      </c>
      <c r="G1245" s="5">
        <v>2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2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43">
        <v>0</v>
      </c>
    </row>
    <row r="1246">
      <c r="A1246" s="24">
        <v>16003</v>
      </c>
      <c r="B1246" s="9" t="s">
        <v>1221</v>
      </c>
      <c r="C1246" s="9" t="s">
        <v>142</v>
      </c>
      <c r="D1246" s="9" t="s">
        <v>461</v>
      </c>
      <c r="E1246" s="9" t="s">
        <v>1573</v>
      </c>
      <c r="F1246" s="11">
        <v>2</v>
      </c>
      <c r="G1246" s="12">
        <v>0</v>
      </c>
      <c r="H1246" s="10">
        <v>2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0">
        <v>1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29">
        <v>0.34</v>
      </c>
    </row>
    <row r="1247">
      <c r="A1247" s="23">
        <v>16017</v>
      </c>
      <c r="B1247" s="4" t="s">
        <v>1574</v>
      </c>
      <c r="C1247" s="4" t="s">
        <v>1575</v>
      </c>
      <c r="D1247" s="4" t="s">
        <v>1576</v>
      </c>
      <c r="E1247" s="4" t="s">
        <v>379</v>
      </c>
      <c r="F1247" s="6">
        <v>5</v>
      </c>
      <c r="G1247" s="7">
        <v>0</v>
      </c>
      <c r="H1247" s="7">
        <v>0</v>
      </c>
      <c r="I1247" s="7">
        <v>0</v>
      </c>
      <c r="J1247" s="5">
        <v>5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5</v>
      </c>
      <c r="V1247" s="7">
        <v>0</v>
      </c>
      <c r="W1247" s="7">
        <v>0</v>
      </c>
      <c r="X1247" s="7">
        <v>0</v>
      </c>
      <c r="Y1247" s="5">
        <v>5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2.5</v>
      </c>
      <c r="AL1247" s="5">
        <v>2</v>
      </c>
      <c r="AM1247" s="5">
        <v>4</v>
      </c>
      <c r="AN1247" s="28">
        <v>1.25</v>
      </c>
    </row>
    <row r="1248">
      <c r="A1248" s="24">
        <v>16030</v>
      </c>
      <c r="B1248" s="9" t="s">
        <v>1577</v>
      </c>
      <c r="C1248" s="9" t="s">
        <v>67</v>
      </c>
      <c r="D1248" s="9" t="s">
        <v>79</v>
      </c>
      <c r="E1248" s="9" t="s">
        <v>80</v>
      </c>
      <c r="F1248" s="11">
        <v>4</v>
      </c>
      <c r="G1248" s="12">
        <v>0</v>
      </c>
      <c r="H1248" s="12">
        <v>0</v>
      </c>
      <c r="I1248" s="10">
        <v>4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2">
        <v>0</v>
      </c>
      <c r="W1248" s="12">
        <v>0</v>
      </c>
      <c r="X1248" s="10">
        <v>2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4</v>
      </c>
      <c r="AK1248" s="13">
        <v>4</v>
      </c>
      <c r="AL1248" s="10">
        <v>4</v>
      </c>
      <c r="AM1248" s="10">
        <v>4</v>
      </c>
      <c r="AN1248" s="29">
        <v>0.5</v>
      </c>
    </row>
    <row r="1249">
      <c r="A1249" s="23">
        <v>16033</v>
      </c>
      <c r="B1249" s="4" t="s">
        <v>1578</v>
      </c>
      <c r="C1249" s="4" t="s">
        <v>67</v>
      </c>
      <c r="D1249" s="4" t="s">
        <v>111</v>
      </c>
      <c r="E1249" s="4" t="s">
        <v>153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43">
        <v>0</v>
      </c>
    </row>
    <row r="1250">
      <c r="A1250" s="24">
        <v>16083</v>
      </c>
      <c r="B1250" s="9" t="s">
        <v>1579</v>
      </c>
      <c r="C1250" s="9" t="s">
        <v>67</v>
      </c>
      <c r="D1250" s="9" t="s">
        <v>71</v>
      </c>
      <c r="E1250" s="9" t="s">
        <v>118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16086</v>
      </c>
      <c r="B1251" s="4" t="s">
        <v>1580</v>
      </c>
      <c r="C1251" s="4" t="s">
        <v>67</v>
      </c>
      <c r="D1251" s="4" t="s">
        <v>71</v>
      </c>
      <c r="E1251" s="4" t="s">
        <v>118</v>
      </c>
      <c r="F1251" s="6">
        <v>2</v>
      </c>
      <c r="G1251" s="5">
        <v>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0.35</v>
      </c>
    </row>
    <row r="1252">
      <c r="A1252" s="24">
        <v>16129</v>
      </c>
      <c r="B1252" s="9" t="s">
        <v>1581</v>
      </c>
      <c r="C1252" s="9" t="s">
        <v>377</v>
      </c>
      <c r="D1252" s="9" t="s">
        <v>378</v>
      </c>
      <c r="E1252" s="9" t="s">
        <v>379</v>
      </c>
      <c r="F1252" s="11">
        <v>2</v>
      </c>
      <c r="G1252" s="12">
        <v>0</v>
      </c>
      <c r="H1252" s="12">
        <v>0</v>
      </c>
      <c r="I1252" s="10">
        <v>1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2">
        <v>0</v>
      </c>
      <c r="W1252" s="12">
        <v>0</v>
      </c>
      <c r="X1252" s="10">
        <v>1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16137</v>
      </c>
      <c r="B1253" s="4" t="s">
        <v>1582</v>
      </c>
      <c r="C1253" s="4" t="s">
        <v>656</v>
      </c>
      <c r="D1253" s="4" t="s">
        <v>714</v>
      </c>
      <c r="E1253" s="4" t="s">
        <v>715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3">
        <v>0</v>
      </c>
    </row>
    <row r="1254">
      <c r="A1254" s="24">
        <v>16140</v>
      </c>
      <c r="B1254" s="9" t="s">
        <v>1583</v>
      </c>
      <c r="C1254" s="9" t="s">
        <v>67</v>
      </c>
      <c r="D1254" s="9" t="s">
        <v>79</v>
      </c>
      <c r="E1254" s="9" t="s">
        <v>89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0.26</v>
      </c>
    </row>
    <row r="1255">
      <c r="A1255" s="23">
        <v>16143</v>
      </c>
      <c r="B1255" s="4" t="s">
        <v>1584</v>
      </c>
      <c r="C1255" s="4" t="s">
        <v>67</v>
      </c>
      <c r="D1255" s="4" t="s">
        <v>159</v>
      </c>
      <c r="E1255" s="4" t="s">
        <v>160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43">
        <v>0</v>
      </c>
    </row>
    <row r="1256">
      <c r="A1256" s="24">
        <v>16250</v>
      </c>
      <c r="B1256" s="9" t="s">
        <v>1585</v>
      </c>
      <c r="C1256" s="9" t="s">
        <v>656</v>
      </c>
      <c r="D1256" s="9" t="s">
        <v>714</v>
      </c>
      <c r="E1256" s="9" t="s">
        <v>715</v>
      </c>
      <c r="F1256" s="11">
        <v>4</v>
      </c>
      <c r="G1256" s="12">
        <v>0</v>
      </c>
      <c r="H1256" s="12">
        <v>0</v>
      </c>
      <c r="I1256" s="12">
        <v>0</v>
      </c>
      <c r="J1256" s="10">
        <v>4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4</v>
      </c>
      <c r="V1256" s="12">
        <v>0</v>
      </c>
      <c r="W1256" s="12">
        <v>0</v>
      </c>
      <c r="X1256" s="12">
        <v>0</v>
      </c>
      <c r="Y1256" s="10">
        <v>4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1.04</v>
      </c>
    </row>
    <row r="1257">
      <c r="A1257" s="23">
        <v>16265</v>
      </c>
      <c r="B1257" s="4" t="s">
        <v>1586</v>
      </c>
      <c r="C1257" s="4" t="s">
        <v>67</v>
      </c>
      <c r="D1257" s="4" t="s">
        <v>79</v>
      </c>
      <c r="E1257" s="4" t="s">
        <v>209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0.38</v>
      </c>
    </row>
    <row r="1258">
      <c r="A1258" s="24">
        <v>16301</v>
      </c>
      <c r="B1258" s="9" t="s">
        <v>1587</v>
      </c>
      <c r="C1258" s="9" t="s">
        <v>67</v>
      </c>
      <c r="D1258" s="9" t="s">
        <v>134</v>
      </c>
      <c r="E1258" s="9" t="s">
        <v>135</v>
      </c>
      <c r="F1258" s="11">
        <v>2</v>
      </c>
      <c r="G1258" s="10">
        <v>2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30">
        <v>0</v>
      </c>
    </row>
    <row r="1259">
      <c r="A1259" s="23">
        <v>16345</v>
      </c>
      <c r="B1259" s="4" t="s">
        <v>1588</v>
      </c>
      <c r="C1259" s="4" t="s">
        <v>142</v>
      </c>
      <c r="D1259" s="4" t="s">
        <v>469</v>
      </c>
      <c r="E1259" s="4" t="s">
        <v>581</v>
      </c>
      <c r="F1259" s="6">
        <v>5</v>
      </c>
      <c r="G1259" s="5">
        <v>2</v>
      </c>
      <c r="H1259" s="5">
        <v>1</v>
      </c>
      <c r="I1259" s="5">
        <v>2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5</v>
      </c>
      <c r="V1259" s="5">
        <v>2</v>
      </c>
      <c r="W1259" s="5">
        <v>1</v>
      </c>
      <c r="X1259" s="5">
        <v>2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1.25</v>
      </c>
      <c r="AL1259" s="5">
        <v>1</v>
      </c>
      <c r="AM1259" s="5">
        <v>2</v>
      </c>
      <c r="AN1259" s="28">
        <v>1.25</v>
      </c>
    </row>
    <row r="1260">
      <c r="A1260" s="24">
        <v>16347</v>
      </c>
      <c r="B1260" s="9" t="s">
        <v>1589</v>
      </c>
      <c r="C1260" s="9" t="s">
        <v>751</v>
      </c>
      <c r="D1260" s="9" t="s">
        <v>379</v>
      </c>
      <c r="E1260" s="9" t="s">
        <v>379</v>
      </c>
      <c r="F1260" s="11">
        <v>11</v>
      </c>
      <c r="G1260" s="12">
        <v>0</v>
      </c>
      <c r="H1260" s="10">
        <v>3</v>
      </c>
      <c r="I1260" s="12">
        <v>0</v>
      </c>
      <c r="J1260" s="10">
        <v>8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11</v>
      </c>
      <c r="V1260" s="12">
        <v>0</v>
      </c>
      <c r="W1260" s="10">
        <v>3</v>
      </c>
      <c r="X1260" s="12">
        <v>0</v>
      </c>
      <c r="Y1260" s="10">
        <v>8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3.67</v>
      </c>
      <c r="AL1260" s="10">
        <v>4</v>
      </c>
      <c r="AM1260" s="10">
        <v>4</v>
      </c>
      <c r="AN1260" s="29">
        <v>3.16</v>
      </c>
    </row>
    <row r="1261">
      <c r="A1261" s="23">
        <v>16483</v>
      </c>
      <c r="B1261" s="4" t="s">
        <v>1590</v>
      </c>
      <c r="C1261" s="4" t="s">
        <v>377</v>
      </c>
      <c r="D1261" s="4" t="s">
        <v>1426</v>
      </c>
      <c r="E1261" s="4" t="s">
        <v>379</v>
      </c>
      <c r="F1261" s="6">
        <v>2</v>
      </c>
      <c r="G1261" s="7">
        <v>0</v>
      </c>
      <c r="H1261" s="7">
        <v>0</v>
      </c>
      <c r="I1261" s="5">
        <v>2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7">
        <v>0</v>
      </c>
      <c r="W1261" s="7">
        <v>0</v>
      </c>
      <c r="X1261" s="5">
        <v>2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43">
        <v>0</v>
      </c>
    </row>
    <row r="1262">
      <c r="A1262" s="24">
        <v>16486</v>
      </c>
      <c r="B1262" s="9" t="s">
        <v>1591</v>
      </c>
      <c r="C1262" s="9" t="s">
        <v>142</v>
      </c>
      <c r="D1262" s="9" t="s">
        <v>143</v>
      </c>
      <c r="E1262" s="9" t="s">
        <v>144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16504</v>
      </c>
      <c r="B1263" s="4" t="s">
        <v>1592</v>
      </c>
      <c r="C1263" s="4" t="s">
        <v>67</v>
      </c>
      <c r="D1263" s="4" t="s">
        <v>79</v>
      </c>
      <c r="E1263" s="4" t="s">
        <v>82</v>
      </c>
      <c r="F1263" s="6">
        <v>1</v>
      </c>
      <c r="G1263" s="7">
        <v>0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43">
        <v>0</v>
      </c>
    </row>
    <row r="1264">
      <c r="A1264" s="24">
        <v>16554</v>
      </c>
      <c r="B1264" s="9" t="s">
        <v>1593</v>
      </c>
      <c r="C1264" s="9" t="s">
        <v>67</v>
      </c>
      <c r="D1264" s="9" t="s">
        <v>71</v>
      </c>
      <c r="E1264" s="9" t="s">
        <v>118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0.38</v>
      </c>
    </row>
    <row r="1265">
      <c r="A1265" s="23">
        <v>16559</v>
      </c>
      <c r="B1265" s="4" t="s">
        <v>1594</v>
      </c>
      <c r="C1265" s="4" t="s">
        <v>377</v>
      </c>
      <c r="D1265" s="4" t="s">
        <v>814</v>
      </c>
      <c r="E1265" s="4" t="s">
        <v>379</v>
      </c>
      <c r="F1265" s="6">
        <v>1</v>
      </c>
      <c r="G1265" s="7">
        <v>0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3">
        <v>0</v>
      </c>
    </row>
    <row r="1266">
      <c r="A1266" s="24">
        <v>16602</v>
      </c>
      <c r="B1266" s="9" t="s">
        <v>1595</v>
      </c>
      <c r="C1266" s="9" t="s">
        <v>67</v>
      </c>
      <c r="D1266" s="9" t="s">
        <v>111</v>
      </c>
      <c r="E1266" s="9" t="s">
        <v>122</v>
      </c>
      <c r="F1266" s="11">
        <v>3</v>
      </c>
      <c r="G1266" s="10">
        <v>3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0">
        <v>2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3</v>
      </c>
      <c r="AL1266" s="10">
        <v>3</v>
      </c>
      <c r="AM1266" s="10">
        <v>3</v>
      </c>
      <c r="AN1266" s="30">
        <v>0</v>
      </c>
    </row>
    <row r="1267">
      <c r="A1267" s="23">
        <v>16605</v>
      </c>
      <c r="B1267" s="4" t="s">
        <v>1596</v>
      </c>
      <c r="C1267" s="4" t="s">
        <v>67</v>
      </c>
      <c r="D1267" s="4" t="s">
        <v>134</v>
      </c>
      <c r="E1267" s="4" t="s">
        <v>135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3">
        <v>0</v>
      </c>
    </row>
    <row r="1268">
      <c r="A1268" s="24">
        <v>16728</v>
      </c>
      <c r="B1268" s="9" t="s">
        <v>1597</v>
      </c>
      <c r="C1268" s="9" t="s">
        <v>632</v>
      </c>
      <c r="D1268" s="9" t="s">
        <v>676</v>
      </c>
      <c r="E1268" s="9" t="s">
        <v>379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16767</v>
      </c>
      <c r="B1269" s="4" t="s">
        <v>1598</v>
      </c>
      <c r="C1269" s="4" t="s">
        <v>656</v>
      </c>
      <c r="D1269" s="4" t="s">
        <v>756</v>
      </c>
      <c r="E1269" s="4" t="s">
        <v>1599</v>
      </c>
      <c r="F1269" s="6">
        <v>3</v>
      </c>
      <c r="G1269" s="7">
        <v>0</v>
      </c>
      <c r="H1269" s="7">
        <v>0</v>
      </c>
      <c r="I1269" s="7">
        <v>0</v>
      </c>
      <c r="J1269" s="5">
        <v>3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7">
        <v>0</v>
      </c>
      <c r="W1269" s="7">
        <v>0</v>
      </c>
      <c r="X1269" s="7">
        <v>0</v>
      </c>
      <c r="Y1269" s="5">
        <v>3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3</v>
      </c>
      <c r="AK1269" s="8">
        <v>3</v>
      </c>
      <c r="AL1269" s="5">
        <v>3</v>
      </c>
      <c r="AM1269" s="5">
        <v>3</v>
      </c>
      <c r="AN1269" s="28">
        <v>0.78</v>
      </c>
    </row>
    <row r="1270">
      <c r="A1270" s="24">
        <v>16824</v>
      </c>
      <c r="B1270" s="9" t="s">
        <v>1600</v>
      </c>
      <c r="C1270" s="9" t="s">
        <v>142</v>
      </c>
      <c r="D1270" s="9" t="s">
        <v>506</v>
      </c>
      <c r="E1270" s="9" t="s">
        <v>507</v>
      </c>
      <c r="F1270" s="11">
        <v>1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0.24</v>
      </c>
    </row>
    <row r="1271">
      <c r="A1271" s="23">
        <v>16845</v>
      </c>
      <c r="B1271" s="4" t="s">
        <v>1601</v>
      </c>
      <c r="C1271" s="4" t="s">
        <v>67</v>
      </c>
      <c r="D1271" s="4" t="s">
        <v>79</v>
      </c>
      <c r="E1271" s="4" t="s">
        <v>80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0.35</v>
      </c>
    </row>
    <row r="1272">
      <c r="A1272" s="24">
        <v>16904</v>
      </c>
      <c r="B1272" s="9" t="s">
        <v>1602</v>
      </c>
      <c r="C1272" s="9" t="s">
        <v>67</v>
      </c>
      <c r="D1272" s="9" t="s">
        <v>104</v>
      </c>
      <c r="E1272" s="9" t="s">
        <v>1281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16934</v>
      </c>
      <c r="B1273" s="4" t="s">
        <v>1603</v>
      </c>
      <c r="C1273" s="4" t="s">
        <v>1141</v>
      </c>
      <c r="D1273" s="4" t="s">
        <v>1142</v>
      </c>
      <c r="E1273" s="4" t="s">
        <v>1604</v>
      </c>
      <c r="F1273" s="6">
        <v>3</v>
      </c>
      <c r="G1273" s="7">
        <v>0</v>
      </c>
      <c r="H1273" s="5">
        <v>2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7">
        <v>0</v>
      </c>
      <c r="W1273" s="5">
        <v>2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28">
        <v>0.94</v>
      </c>
    </row>
    <row r="1274">
      <c r="A1274" s="24">
        <v>16952</v>
      </c>
      <c r="B1274" s="9" t="s">
        <v>1605</v>
      </c>
      <c r="C1274" s="9" t="s">
        <v>632</v>
      </c>
      <c r="D1274" s="9" t="s">
        <v>643</v>
      </c>
      <c r="E1274" s="9" t="s">
        <v>379</v>
      </c>
      <c r="F1274" s="11">
        <v>1</v>
      </c>
      <c r="G1274" s="12">
        <v>0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0.26</v>
      </c>
    </row>
    <row r="1275">
      <c r="A1275" s="23">
        <v>17022</v>
      </c>
      <c r="B1275" s="4" t="s">
        <v>1606</v>
      </c>
      <c r="C1275" s="4" t="s">
        <v>67</v>
      </c>
      <c r="D1275" s="4" t="s">
        <v>79</v>
      </c>
      <c r="E1275" s="4" t="s">
        <v>82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17028</v>
      </c>
      <c r="B1276" s="9" t="s">
        <v>1607</v>
      </c>
      <c r="C1276" s="9" t="s">
        <v>67</v>
      </c>
      <c r="D1276" s="9" t="s">
        <v>79</v>
      </c>
      <c r="E1276" s="9" t="s">
        <v>80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0.35</v>
      </c>
    </row>
    <row r="1277">
      <c r="A1277" s="23">
        <v>17029</v>
      </c>
      <c r="B1277" s="4" t="s">
        <v>1608</v>
      </c>
      <c r="C1277" s="4" t="s">
        <v>67</v>
      </c>
      <c r="D1277" s="4" t="s">
        <v>79</v>
      </c>
      <c r="E1277" s="4" t="s">
        <v>80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17040</v>
      </c>
      <c r="B1278" s="9" t="s">
        <v>1609</v>
      </c>
      <c r="C1278" s="9" t="s">
        <v>67</v>
      </c>
      <c r="D1278" s="9" t="s">
        <v>134</v>
      </c>
      <c r="E1278" s="9" t="s">
        <v>232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30">
        <v>0</v>
      </c>
    </row>
    <row r="1279">
      <c r="A1279" s="23">
        <v>17059</v>
      </c>
      <c r="B1279" s="4" t="s">
        <v>1610</v>
      </c>
      <c r="C1279" s="4" t="s">
        <v>67</v>
      </c>
      <c r="D1279" s="4" t="s">
        <v>111</v>
      </c>
      <c r="E1279" s="4" t="s">
        <v>122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17063</v>
      </c>
      <c r="B1280" s="9" t="s">
        <v>1611</v>
      </c>
      <c r="C1280" s="9" t="s">
        <v>632</v>
      </c>
      <c r="D1280" s="9" t="s">
        <v>676</v>
      </c>
      <c r="E1280" s="9" t="s">
        <v>379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17064</v>
      </c>
      <c r="B1281" s="4" t="s">
        <v>1612</v>
      </c>
      <c r="C1281" s="4" t="s">
        <v>67</v>
      </c>
      <c r="D1281" s="4" t="s">
        <v>99</v>
      </c>
      <c r="E1281" s="4" t="s">
        <v>132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17102</v>
      </c>
      <c r="B1282" s="9" t="s">
        <v>1613</v>
      </c>
      <c r="C1282" s="9" t="s">
        <v>67</v>
      </c>
      <c r="D1282" s="9" t="s">
        <v>86</v>
      </c>
      <c r="E1282" s="9" t="s">
        <v>87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17137</v>
      </c>
      <c r="B1283" s="4" t="s">
        <v>1614</v>
      </c>
      <c r="C1283" s="4" t="s">
        <v>67</v>
      </c>
      <c r="D1283" s="4" t="s">
        <v>125</v>
      </c>
      <c r="E1283" s="4" t="s">
        <v>126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3">
        <v>0</v>
      </c>
    </row>
    <row r="1284">
      <c r="A1284" s="24">
        <v>17213</v>
      </c>
      <c r="B1284" s="9" t="s">
        <v>1615</v>
      </c>
      <c r="C1284" s="9" t="s">
        <v>67</v>
      </c>
      <c r="D1284" s="9" t="s">
        <v>75</v>
      </c>
      <c r="E1284" s="9" t="s">
        <v>76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0">
        <v>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30">
        <v>0</v>
      </c>
    </row>
    <row r="1285">
      <c r="A1285" s="23">
        <v>17214</v>
      </c>
      <c r="B1285" s="4" t="s">
        <v>1616</v>
      </c>
      <c r="C1285" s="4" t="s">
        <v>67</v>
      </c>
      <c r="D1285" s="4" t="s">
        <v>134</v>
      </c>
      <c r="E1285" s="4" t="s">
        <v>345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3">
        <v>0</v>
      </c>
    </row>
    <row r="1286">
      <c r="A1286" s="24">
        <v>17215</v>
      </c>
      <c r="B1286" s="9" t="s">
        <v>1617</v>
      </c>
      <c r="C1286" s="9" t="s">
        <v>67</v>
      </c>
      <c r="D1286" s="9" t="s">
        <v>71</v>
      </c>
      <c r="E1286" s="9" t="s">
        <v>169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30">
        <v>0</v>
      </c>
    </row>
    <row r="1287">
      <c r="A1287" s="23">
        <v>17216</v>
      </c>
      <c r="B1287" s="4" t="s">
        <v>1618</v>
      </c>
      <c r="C1287" s="4" t="s">
        <v>67</v>
      </c>
      <c r="D1287" s="4" t="s">
        <v>134</v>
      </c>
      <c r="E1287" s="4" t="s">
        <v>345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3">
        <v>0</v>
      </c>
    </row>
    <row r="1288">
      <c r="A1288" s="24">
        <v>17217</v>
      </c>
      <c r="B1288" s="9" t="s">
        <v>1619</v>
      </c>
      <c r="C1288" s="9" t="s">
        <v>67</v>
      </c>
      <c r="D1288" s="9" t="s">
        <v>75</v>
      </c>
      <c r="E1288" s="9" t="s">
        <v>76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0">
        <v>0</v>
      </c>
    </row>
    <row r="1289">
      <c r="A1289" s="23">
        <v>17218</v>
      </c>
      <c r="B1289" s="4" t="s">
        <v>1620</v>
      </c>
      <c r="C1289" s="4" t="s">
        <v>67</v>
      </c>
      <c r="D1289" s="4" t="s">
        <v>111</v>
      </c>
      <c r="E1289" s="4" t="s">
        <v>112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0.26</v>
      </c>
    </row>
    <row r="1290">
      <c r="A1290" s="24">
        <v>17244</v>
      </c>
      <c r="B1290" s="9" t="s">
        <v>1621</v>
      </c>
      <c r="C1290" s="9" t="s">
        <v>142</v>
      </c>
      <c r="D1290" s="9" t="s">
        <v>440</v>
      </c>
      <c r="E1290" s="9" t="s">
        <v>1543</v>
      </c>
      <c r="F1290" s="11">
        <v>2</v>
      </c>
      <c r="G1290" s="12">
        <v>0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29">
        <v>0.5</v>
      </c>
    </row>
    <row r="1291">
      <c r="A1291" s="23">
        <v>17249</v>
      </c>
      <c r="B1291" s="4" t="s">
        <v>1622</v>
      </c>
      <c r="C1291" s="4" t="s">
        <v>142</v>
      </c>
      <c r="D1291" s="4" t="s">
        <v>1228</v>
      </c>
      <c r="E1291" s="4" t="s">
        <v>1229</v>
      </c>
      <c r="F1291" s="6">
        <v>2</v>
      </c>
      <c r="G1291" s="5">
        <v>1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1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17256</v>
      </c>
      <c r="B1292" s="9" t="s">
        <v>1623</v>
      </c>
      <c r="C1292" s="9" t="s">
        <v>177</v>
      </c>
      <c r="D1292" s="9" t="s">
        <v>178</v>
      </c>
      <c r="E1292" s="9" t="s">
        <v>179</v>
      </c>
      <c r="F1292" s="11">
        <v>2</v>
      </c>
      <c r="G1292" s="12">
        <v>0</v>
      </c>
      <c r="H1292" s="12">
        <v>0</v>
      </c>
      <c r="I1292" s="12">
        <v>0</v>
      </c>
      <c r="J1292" s="12">
        <v>0</v>
      </c>
      <c r="K1292" s="10">
        <v>2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2">
        <v>0</v>
      </c>
      <c r="Y1292" s="12">
        <v>0</v>
      </c>
      <c r="Z1292" s="10">
        <v>2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17310</v>
      </c>
      <c r="B1293" s="4" t="s">
        <v>1624</v>
      </c>
      <c r="C1293" s="4" t="s">
        <v>724</v>
      </c>
      <c r="D1293" s="4" t="s">
        <v>1139</v>
      </c>
      <c r="E1293" s="4" t="s">
        <v>379</v>
      </c>
      <c r="F1293" s="6">
        <v>5</v>
      </c>
      <c r="G1293" s="7">
        <v>0</v>
      </c>
      <c r="H1293" s="7">
        <v>0</v>
      </c>
      <c r="I1293" s="5">
        <v>5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5</v>
      </c>
      <c r="V1293" s="7">
        <v>0</v>
      </c>
      <c r="W1293" s="7">
        <v>0</v>
      </c>
      <c r="X1293" s="5">
        <v>5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2.5</v>
      </c>
      <c r="AL1293" s="5">
        <v>2</v>
      </c>
      <c r="AM1293" s="5">
        <v>4</v>
      </c>
      <c r="AN1293" s="28">
        <v>1.25</v>
      </c>
    </row>
    <row r="1294">
      <c r="A1294" s="24">
        <v>17315</v>
      </c>
      <c r="B1294" s="9" t="s">
        <v>1625</v>
      </c>
      <c r="C1294" s="9" t="s">
        <v>67</v>
      </c>
      <c r="D1294" s="9" t="s">
        <v>159</v>
      </c>
      <c r="E1294" s="9" t="s">
        <v>367</v>
      </c>
      <c r="F1294" s="11">
        <v>1</v>
      </c>
      <c r="G1294" s="12">
        <v>0</v>
      </c>
      <c r="H1294" s="10">
        <v>1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0">
        <v>1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17338</v>
      </c>
      <c r="B1295" s="4" t="s">
        <v>1626</v>
      </c>
      <c r="C1295" s="4" t="s">
        <v>67</v>
      </c>
      <c r="D1295" s="4" t="s">
        <v>71</v>
      </c>
      <c r="E1295" s="4" t="s">
        <v>118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17365</v>
      </c>
      <c r="B1296" s="9" t="s">
        <v>1627</v>
      </c>
      <c r="C1296" s="9" t="s">
        <v>67</v>
      </c>
      <c r="D1296" s="9" t="s">
        <v>75</v>
      </c>
      <c r="E1296" s="9" t="s">
        <v>120</v>
      </c>
      <c r="F1296" s="11">
        <v>3</v>
      </c>
      <c r="G1296" s="12">
        <v>0</v>
      </c>
      <c r="H1296" s="12">
        <v>0</v>
      </c>
      <c r="I1296" s="12">
        <v>0</v>
      </c>
      <c r="J1296" s="12">
        <v>0</v>
      </c>
      <c r="K1296" s="10">
        <v>3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2">
        <v>0</v>
      </c>
      <c r="W1296" s="12">
        <v>0</v>
      </c>
      <c r="X1296" s="12">
        <v>0</v>
      </c>
      <c r="Y1296" s="12">
        <v>0</v>
      </c>
      <c r="Z1296" s="10">
        <v>3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3</v>
      </c>
      <c r="AK1296" s="13">
        <v>3</v>
      </c>
      <c r="AL1296" s="10">
        <v>3</v>
      </c>
      <c r="AM1296" s="10">
        <v>3</v>
      </c>
      <c r="AN1296" s="30">
        <v>0</v>
      </c>
    </row>
    <row r="1297">
      <c r="A1297" s="23">
        <v>17416</v>
      </c>
      <c r="B1297" s="4" t="s">
        <v>1628</v>
      </c>
      <c r="C1297" s="4" t="s">
        <v>67</v>
      </c>
      <c r="D1297" s="4" t="s">
        <v>111</v>
      </c>
      <c r="E1297" s="4" t="s">
        <v>122</v>
      </c>
      <c r="F1297" s="6">
        <v>3</v>
      </c>
      <c r="G1297" s="7">
        <v>0</v>
      </c>
      <c r="H1297" s="7">
        <v>0</v>
      </c>
      <c r="I1297" s="7">
        <v>0</v>
      </c>
      <c r="J1297" s="5">
        <v>3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3</v>
      </c>
      <c r="V1297" s="7">
        <v>0</v>
      </c>
      <c r="W1297" s="7">
        <v>0</v>
      </c>
      <c r="X1297" s="7">
        <v>0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3</v>
      </c>
      <c r="AK1297" s="8">
        <v>3</v>
      </c>
      <c r="AL1297" s="5">
        <v>3</v>
      </c>
      <c r="AM1297" s="5">
        <v>3</v>
      </c>
      <c r="AN1297" s="28">
        <v>0.75</v>
      </c>
    </row>
    <row r="1298">
      <c r="A1298" s="24">
        <v>17459</v>
      </c>
      <c r="B1298" s="9" t="s">
        <v>1629</v>
      </c>
      <c r="C1298" s="9" t="s">
        <v>67</v>
      </c>
      <c r="D1298" s="9" t="s">
        <v>79</v>
      </c>
      <c r="E1298" s="9" t="s">
        <v>343</v>
      </c>
      <c r="F1298" s="11">
        <v>2</v>
      </c>
      <c r="G1298" s="10">
        <v>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29">
        <v>0.72</v>
      </c>
    </row>
    <row r="1299">
      <c r="A1299" s="23">
        <v>17464</v>
      </c>
      <c r="B1299" s="4" t="s">
        <v>1630</v>
      </c>
      <c r="C1299" s="4" t="s">
        <v>67</v>
      </c>
      <c r="D1299" s="4" t="s">
        <v>75</v>
      </c>
      <c r="E1299" s="4" t="s">
        <v>171</v>
      </c>
      <c r="F1299" s="6">
        <v>1</v>
      </c>
      <c r="G1299" s="7">
        <v>0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3">
        <v>0</v>
      </c>
    </row>
    <row r="1300">
      <c r="A1300" s="24">
        <v>17469</v>
      </c>
      <c r="B1300" s="9" t="s">
        <v>1631</v>
      </c>
      <c r="C1300" s="9" t="s">
        <v>142</v>
      </c>
      <c r="D1300" s="9" t="s">
        <v>385</v>
      </c>
      <c r="E1300" s="9" t="s">
        <v>1632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0.26</v>
      </c>
    </row>
    <row r="1301">
      <c r="A1301" s="23">
        <v>17491</v>
      </c>
      <c r="B1301" s="4" t="s">
        <v>1633</v>
      </c>
      <c r="C1301" s="4" t="s">
        <v>177</v>
      </c>
      <c r="D1301" s="4" t="s">
        <v>178</v>
      </c>
      <c r="E1301" s="4" t="s">
        <v>189</v>
      </c>
      <c r="F1301" s="6">
        <v>5</v>
      </c>
      <c r="G1301" s="7">
        <v>0</v>
      </c>
      <c r="H1301" s="5">
        <v>1</v>
      </c>
      <c r="I1301" s="7">
        <v>0</v>
      </c>
      <c r="J1301" s="7">
        <v>0</v>
      </c>
      <c r="K1301" s="5">
        <v>4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4</v>
      </c>
      <c r="V1301" s="7">
        <v>0</v>
      </c>
      <c r="W1301" s="5">
        <v>1</v>
      </c>
      <c r="X1301" s="7">
        <v>0</v>
      </c>
      <c r="Y1301" s="7">
        <v>0</v>
      </c>
      <c r="Z1301" s="5">
        <v>3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2.5</v>
      </c>
      <c r="AL1301" s="5">
        <v>2</v>
      </c>
      <c r="AM1301" s="5">
        <v>4</v>
      </c>
      <c r="AN1301" s="28">
        <v>0.24</v>
      </c>
    </row>
    <row r="1302">
      <c r="A1302" s="24">
        <v>17492</v>
      </c>
      <c r="B1302" s="9" t="s">
        <v>1634</v>
      </c>
      <c r="C1302" s="9" t="s">
        <v>177</v>
      </c>
      <c r="D1302" s="9" t="s">
        <v>178</v>
      </c>
      <c r="E1302" s="9" t="s">
        <v>179</v>
      </c>
      <c r="F1302" s="11">
        <v>1</v>
      </c>
      <c r="G1302" s="12">
        <v>0</v>
      </c>
      <c r="H1302" s="12">
        <v>0</v>
      </c>
      <c r="I1302" s="12">
        <v>0</v>
      </c>
      <c r="J1302" s="12">
        <v>0</v>
      </c>
      <c r="K1302" s="10">
        <v>1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2">
        <v>0</v>
      </c>
      <c r="Y1302" s="12">
        <v>0</v>
      </c>
      <c r="Z1302" s="10">
        <v>1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17506</v>
      </c>
      <c r="B1303" s="4" t="s">
        <v>1635</v>
      </c>
      <c r="C1303" s="4" t="s">
        <v>67</v>
      </c>
      <c r="D1303" s="4" t="s">
        <v>134</v>
      </c>
      <c r="E1303" s="4" t="s">
        <v>345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3">
        <v>0</v>
      </c>
    </row>
    <row r="1304">
      <c r="A1304" s="24">
        <v>17564</v>
      </c>
      <c r="B1304" s="9" t="s">
        <v>1636</v>
      </c>
      <c r="C1304" s="9" t="s">
        <v>67</v>
      </c>
      <c r="D1304" s="9" t="s">
        <v>111</v>
      </c>
      <c r="E1304" s="9" t="s">
        <v>112</v>
      </c>
      <c r="F1304" s="11">
        <v>2</v>
      </c>
      <c r="G1304" s="10">
        <v>1</v>
      </c>
      <c r="H1304" s="12">
        <v>0</v>
      </c>
      <c r="I1304" s="10">
        <v>1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1</v>
      </c>
      <c r="W1304" s="12">
        <v>0</v>
      </c>
      <c r="X1304" s="10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17571</v>
      </c>
      <c r="B1305" s="4" t="s">
        <v>1637</v>
      </c>
      <c r="C1305" s="4" t="s">
        <v>177</v>
      </c>
      <c r="D1305" s="4" t="s">
        <v>178</v>
      </c>
      <c r="E1305" s="4" t="s">
        <v>179</v>
      </c>
      <c r="F1305" s="6">
        <v>6</v>
      </c>
      <c r="G1305" s="5">
        <v>1</v>
      </c>
      <c r="H1305" s="7">
        <v>0</v>
      </c>
      <c r="I1305" s="5">
        <v>1</v>
      </c>
      <c r="J1305" s="5">
        <v>3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6</v>
      </c>
      <c r="V1305" s="5">
        <v>1</v>
      </c>
      <c r="W1305" s="7">
        <v>0</v>
      </c>
      <c r="X1305" s="5">
        <v>1</v>
      </c>
      <c r="Y1305" s="5">
        <v>3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1.2</v>
      </c>
      <c r="AL1305" s="5">
        <v>1</v>
      </c>
      <c r="AM1305" s="5">
        <v>2</v>
      </c>
      <c r="AN1305" s="28">
        <v>0.25</v>
      </c>
    </row>
    <row r="1306">
      <c r="A1306" s="24">
        <v>17572</v>
      </c>
      <c r="B1306" s="9" t="s">
        <v>1638</v>
      </c>
      <c r="C1306" s="9" t="s">
        <v>177</v>
      </c>
      <c r="D1306" s="9" t="s">
        <v>178</v>
      </c>
      <c r="E1306" s="9" t="s">
        <v>179</v>
      </c>
      <c r="F1306" s="11">
        <v>5</v>
      </c>
      <c r="G1306" s="10">
        <v>1</v>
      </c>
      <c r="H1306" s="12">
        <v>0</v>
      </c>
      <c r="I1306" s="10">
        <v>2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</v>
      </c>
      <c r="V1306" s="10">
        <v>1</v>
      </c>
      <c r="W1306" s="12">
        <v>0</v>
      </c>
      <c r="X1306" s="10">
        <v>2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1.67</v>
      </c>
      <c r="AL1306" s="10">
        <v>2</v>
      </c>
      <c r="AM1306" s="10">
        <v>2</v>
      </c>
      <c r="AN1306" s="29">
        <v>0.5</v>
      </c>
    </row>
    <row r="1307">
      <c r="A1307" s="23">
        <v>17573</v>
      </c>
      <c r="B1307" s="4" t="s">
        <v>1639</v>
      </c>
      <c r="C1307" s="4" t="s">
        <v>177</v>
      </c>
      <c r="D1307" s="4" t="s">
        <v>194</v>
      </c>
      <c r="E1307" s="4" t="s">
        <v>214</v>
      </c>
      <c r="F1307" s="6">
        <v>6</v>
      </c>
      <c r="G1307" s="5">
        <v>2</v>
      </c>
      <c r="H1307" s="7">
        <v>0</v>
      </c>
      <c r="I1307" s="5">
        <v>2</v>
      </c>
      <c r="J1307" s="7">
        <v>0</v>
      </c>
      <c r="K1307" s="5">
        <v>2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6</v>
      </c>
      <c r="V1307" s="5">
        <v>2</v>
      </c>
      <c r="W1307" s="7">
        <v>0</v>
      </c>
      <c r="X1307" s="5">
        <v>2</v>
      </c>
      <c r="Y1307" s="7">
        <v>0</v>
      </c>
      <c r="Z1307" s="5">
        <v>2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43">
        <v>0</v>
      </c>
    </row>
    <row r="1308">
      <c r="A1308" s="24">
        <v>17575</v>
      </c>
      <c r="B1308" s="9" t="s">
        <v>1640</v>
      </c>
      <c r="C1308" s="9" t="s">
        <v>632</v>
      </c>
      <c r="D1308" s="9" t="s">
        <v>863</v>
      </c>
      <c r="E1308" s="9" t="s">
        <v>379</v>
      </c>
      <c r="F1308" s="11">
        <v>1</v>
      </c>
      <c r="G1308" s="12">
        <v>0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0.26</v>
      </c>
    </row>
    <row r="1309">
      <c r="A1309" s="23">
        <v>17595</v>
      </c>
      <c r="B1309" s="4" t="s">
        <v>1641</v>
      </c>
      <c r="C1309" s="4" t="s">
        <v>67</v>
      </c>
      <c r="D1309" s="4" t="s">
        <v>79</v>
      </c>
      <c r="E1309" s="4" t="s">
        <v>89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17598</v>
      </c>
      <c r="B1310" s="9" t="s">
        <v>1642</v>
      </c>
      <c r="C1310" s="9" t="s">
        <v>67</v>
      </c>
      <c r="D1310" s="9" t="s">
        <v>68</v>
      </c>
      <c r="E1310" s="9" t="s">
        <v>1643</v>
      </c>
      <c r="F1310" s="11">
        <v>1</v>
      </c>
      <c r="G1310" s="12">
        <v>0</v>
      </c>
      <c r="H1310" s="10">
        <v>1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0">
        <v>1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17632</v>
      </c>
      <c r="B1311" s="4" t="s">
        <v>1644</v>
      </c>
      <c r="C1311" s="4" t="s">
        <v>67</v>
      </c>
      <c r="D1311" s="4" t="s">
        <v>86</v>
      </c>
      <c r="E1311" s="4" t="s">
        <v>140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43">
        <v>0</v>
      </c>
    </row>
    <row r="1312">
      <c r="A1312" s="24">
        <v>17651</v>
      </c>
      <c r="B1312" s="9" t="s">
        <v>1645</v>
      </c>
      <c r="C1312" s="9" t="s">
        <v>67</v>
      </c>
      <c r="D1312" s="9" t="s">
        <v>125</v>
      </c>
      <c r="E1312" s="9" t="s">
        <v>381</v>
      </c>
      <c r="F1312" s="11">
        <v>2</v>
      </c>
      <c r="G1312" s="10">
        <v>1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1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0">
        <v>0</v>
      </c>
    </row>
    <row r="1313">
      <c r="A1313" s="23">
        <v>17674</v>
      </c>
      <c r="B1313" s="4" t="s">
        <v>1646</v>
      </c>
      <c r="C1313" s="4" t="s">
        <v>67</v>
      </c>
      <c r="D1313" s="4" t="s">
        <v>111</v>
      </c>
      <c r="E1313" s="4" t="s">
        <v>221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0.38</v>
      </c>
    </row>
    <row r="1314">
      <c r="A1314" s="24">
        <v>17680</v>
      </c>
      <c r="B1314" s="9" t="s">
        <v>1647</v>
      </c>
      <c r="C1314" s="9" t="s">
        <v>724</v>
      </c>
      <c r="D1314" s="9" t="s">
        <v>785</v>
      </c>
      <c r="E1314" s="9" t="s">
        <v>379</v>
      </c>
      <c r="F1314" s="11">
        <v>2</v>
      </c>
      <c r="G1314" s="12">
        <v>0</v>
      </c>
      <c r="H1314" s="12">
        <v>0</v>
      </c>
      <c r="I1314" s="10">
        <v>2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2">
        <v>0</v>
      </c>
      <c r="X1314" s="10">
        <v>2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30">
        <v>0</v>
      </c>
    </row>
    <row r="1315">
      <c r="A1315" s="23">
        <v>17697</v>
      </c>
      <c r="B1315" s="4" t="s">
        <v>1648</v>
      </c>
      <c r="C1315" s="4" t="s">
        <v>67</v>
      </c>
      <c r="D1315" s="4" t="s">
        <v>86</v>
      </c>
      <c r="E1315" s="4" t="s">
        <v>473</v>
      </c>
      <c r="F1315" s="6">
        <v>2</v>
      </c>
      <c r="G1315" s="5">
        <v>1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17705</v>
      </c>
      <c r="B1316" s="9" t="s">
        <v>1649</v>
      </c>
      <c r="C1316" s="9" t="s">
        <v>67</v>
      </c>
      <c r="D1316" s="9" t="s">
        <v>111</v>
      </c>
      <c r="E1316" s="9" t="s">
        <v>122</v>
      </c>
      <c r="F1316" s="11">
        <v>2</v>
      </c>
      <c r="G1316" s="12">
        <v>0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29">
        <v>0.5</v>
      </c>
    </row>
    <row r="1317">
      <c r="A1317" s="23">
        <v>17737</v>
      </c>
      <c r="B1317" s="4" t="s">
        <v>1650</v>
      </c>
      <c r="C1317" s="4" t="s">
        <v>67</v>
      </c>
      <c r="D1317" s="4" t="s">
        <v>125</v>
      </c>
      <c r="E1317" s="4" t="s">
        <v>381</v>
      </c>
      <c r="F1317" s="6">
        <v>7</v>
      </c>
      <c r="G1317" s="5">
        <v>3</v>
      </c>
      <c r="H1317" s="7">
        <v>0</v>
      </c>
      <c r="I1317" s="7">
        <v>0</v>
      </c>
      <c r="J1317" s="5">
        <v>1</v>
      </c>
      <c r="K1317" s="7">
        <v>0</v>
      </c>
      <c r="L1317" s="5">
        <v>3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7</v>
      </c>
      <c r="V1317" s="5">
        <v>3</v>
      </c>
      <c r="W1317" s="7">
        <v>0</v>
      </c>
      <c r="X1317" s="7">
        <v>0</v>
      </c>
      <c r="Y1317" s="5">
        <v>1</v>
      </c>
      <c r="Z1317" s="7">
        <v>0</v>
      </c>
      <c r="AA1317" s="5">
        <v>3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2.33</v>
      </c>
      <c r="AL1317" s="5">
        <v>3</v>
      </c>
      <c r="AM1317" s="5">
        <v>3</v>
      </c>
      <c r="AN1317" s="28">
        <v>0.25</v>
      </c>
    </row>
    <row r="1318">
      <c r="A1318" s="24">
        <v>17740</v>
      </c>
      <c r="B1318" s="9" t="s">
        <v>1651</v>
      </c>
      <c r="C1318" s="9" t="s">
        <v>67</v>
      </c>
      <c r="D1318" s="9" t="s">
        <v>68</v>
      </c>
      <c r="E1318" s="9" t="s">
        <v>453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0.35</v>
      </c>
    </row>
    <row r="1319">
      <c r="A1319" s="23">
        <v>17767</v>
      </c>
      <c r="B1319" s="4" t="s">
        <v>1652</v>
      </c>
      <c r="C1319" s="4" t="s">
        <v>177</v>
      </c>
      <c r="D1319" s="4" t="s">
        <v>194</v>
      </c>
      <c r="E1319" s="4" t="s">
        <v>198</v>
      </c>
      <c r="F1319" s="6">
        <v>3</v>
      </c>
      <c r="G1319" s="7">
        <v>0</v>
      </c>
      <c r="H1319" s="7">
        <v>0</v>
      </c>
      <c r="I1319" s="5">
        <v>1</v>
      </c>
      <c r="J1319" s="7">
        <v>0</v>
      </c>
      <c r="K1319" s="5">
        <v>2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7">
        <v>0</v>
      </c>
      <c r="W1319" s="7">
        <v>0</v>
      </c>
      <c r="X1319" s="5">
        <v>1</v>
      </c>
      <c r="Y1319" s="7">
        <v>0</v>
      </c>
      <c r="Z1319" s="5">
        <v>2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43">
        <v>0</v>
      </c>
    </row>
    <row r="1320">
      <c r="A1320" s="24">
        <v>17768</v>
      </c>
      <c r="B1320" s="9" t="s">
        <v>1653</v>
      </c>
      <c r="C1320" s="9" t="s">
        <v>67</v>
      </c>
      <c r="D1320" s="9" t="s">
        <v>159</v>
      </c>
      <c r="E1320" s="9" t="s">
        <v>830</v>
      </c>
      <c r="F1320" s="11">
        <v>1</v>
      </c>
      <c r="G1320" s="12">
        <v>0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0.24</v>
      </c>
    </row>
    <row r="1321">
      <c r="A1321" s="23">
        <v>17781</v>
      </c>
      <c r="B1321" s="4" t="s">
        <v>1654</v>
      </c>
      <c r="C1321" s="4" t="s">
        <v>67</v>
      </c>
      <c r="D1321" s="4" t="s">
        <v>134</v>
      </c>
      <c r="E1321" s="4" t="s">
        <v>232</v>
      </c>
      <c r="F1321" s="6">
        <v>2</v>
      </c>
      <c r="G1321" s="5">
        <v>1</v>
      </c>
      <c r="H1321" s="7">
        <v>0</v>
      </c>
      <c r="I1321" s="5">
        <v>1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5">
        <v>1</v>
      </c>
      <c r="W1321" s="7">
        <v>0</v>
      </c>
      <c r="X1321" s="5">
        <v>1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43">
        <v>0</v>
      </c>
    </row>
    <row r="1322">
      <c r="A1322" s="24">
        <v>17785</v>
      </c>
      <c r="B1322" s="9" t="s">
        <v>1655</v>
      </c>
      <c r="C1322" s="9" t="s">
        <v>632</v>
      </c>
      <c r="D1322" s="9" t="s">
        <v>881</v>
      </c>
      <c r="E1322" s="9" t="s">
        <v>379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17788</v>
      </c>
      <c r="B1323" s="4" t="s">
        <v>1656</v>
      </c>
      <c r="C1323" s="4" t="s">
        <v>67</v>
      </c>
      <c r="D1323" s="4" t="s">
        <v>91</v>
      </c>
      <c r="E1323" s="4" t="s">
        <v>494</v>
      </c>
      <c r="F1323" s="6">
        <v>2</v>
      </c>
      <c r="G1323" s="5">
        <v>1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1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0.62</v>
      </c>
    </row>
    <row r="1324">
      <c r="A1324" s="24">
        <v>17792</v>
      </c>
      <c r="B1324" s="9" t="s">
        <v>1657</v>
      </c>
      <c r="C1324" s="9" t="s">
        <v>142</v>
      </c>
      <c r="D1324" s="9" t="s">
        <v>406</v>
      </c>
      <c r="E1324" s="9" t="s">
        <v>407</v>
      </c>
      <c r="F1324" s="11">
        <v>3</v>
      </c>
      <c r="G1324" s="10">
        <v>2</v>
      </c>
      <c r="H1324" s="10">
        <v>1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2</v>
      </c>
      <c r="W1324" s="10">
        <v>1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1.5</v>
      </c>
      <c r="AL1324" s="10">
        <v>1</v>
      </c>
      <c r="AM1324" s="10">
        <v>2</v>
      </c>
      <c r="AN1324" s="29">
        <v>0.24</v>
      </c>
    </row>
    <row r="1325">
      <c r="A1325" s="23">
        <v>17804</v>
      </c>
      <c r="B1325" s="4" t="s">
        <v>1658</v>
      </c>
      <c r="C1325" s="4" t="s">
        <v>724</v>
      </c>
      <c r="D1325" s="4" t="s">
        <v>746</v>
      </c>
      <c r="E1325" s="4" t="s">
        <v>379</v>
      </c>
      <c r="F1325" s="6">
        <v>5</v>
      </c>
      <c r="G1325" s="7">
        <v>0</v>
      </c>
      <c r="H1325" s="7">
        <v>0</v>
      </c>
      <c r="I1325" s="5">
        <v>5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7">
        <v>0</v>
      </c>
      <c r="W1325" s="7">
        <v>0</v>
      </c>
      <c r="X1325" s="5">
        <v>3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5</v>
      </c>
      <c r="AK1325" s="8">
        <v>5</v>
      </c>
      <c r="AL1325" s="5">
        <v>5</v>
      </c>
      <c r="AM1325" s="5">
        <v>5</v>
      </c>
      <c r="AN1325" s="43">
        <v>0</v>
      </c>
    </row>
    <row r="1326">
      <c r="A1326" s="24">
        <v>17832</v>
      </c>
      <c r="B1326" s="9" t="s">
        <v>1659</v>
      </c>
      <c r="C1326" s="9" t="s">
        <v>67</v>
      </c>
      <c r="D1326" s="9" t="s">
        <v>86</v>
      </c>
      <c r="E1326" s="9" t="s">
        <v>239</v>
      </c>
      <c r="F1326" s="11">
        <v>1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17837</v>
      </c>
      <c r="B1327" s="4" t="s">
        <v>1660</v>
      </c>
      <c r="C1327" s="4" t="s">
        <v>632</v>
      </c>
      <c r="D1327" s="4" t="s">
        <v>643</v>
      </c>
      <c r="E1327" s="4" t="s">
        <v>379</v>
      </c>
      <c r="F1327" s="6">
        <v>1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5">
        <v>1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5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3">
        <v>0</v>
      </c>
    </row>
    <row r="1328">
      <c r="A1328" s="24">
        <v>17845</v>
      </c>
      <c r="B1328" s="9" t="s">
        <v>1661</v>
      </c>
      <c r="C1328" s="9" t="s">
        <v>67</v>
      </c>
      <c r="D1328" s="9" t="s">
        <v>125</v>
      </c>
      <c r="E1328" s="9" t="s">
        <v>126</v>
      </c>
      <c r="F1328" s="11">
        <v>1</v>
      </c>
      <c r="G1328" s="12">
        <v>0</v>
      </c>
      <c r="H1328" s="12">
        <v>0</v>
      </c>
      <c r="I1328" s="10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0.26</v>
      </c>
    </row>
    <row r="1329">
      <c r="A1329" s="23">
        <v>17876</v>
      </c>
      <c r="B1329" s="4" t="s">
        <v>1662</v>
      </c>
      <c r="C1329" s="4" t="s">
        <v>67</v>
      </c>
      <c r="D1329" s="4" t="s">
        <v>134</v>
      </c>
      <c r="E1329" s="4" t="s">
        <v>135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3">
        <v>0</v>
      </c>
    </row>
    <row r="1330">
      <c r="A1330" s="24">
        <v>17881</v>
      </c>
      <c r="B1330" s="9" t="s">
        <v>1663</v>
      </c>
      <c r="C1330" s="9" t="s">
        <v>645</v>
      </c>
      <c r="D1330" s="9" t="s">
        <v>649</v>
      </c>
      <c r="E1330" s="9" t="s">
        <v>676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17932</v>
      </c>
      <c r="B1331" s="4" t="s">
        <v>1664</v>
      </c>
      <c r="C1331" s="4" t="s">
        <v>177</v>
      </c>
      <c r="D1331" s="4" t="s">
        <v>489</v>
      </c>
      <c r="E1331" s="4" t="s">
        <v>1665</v>
      </c>
      <c r="F1331" s="6">
        <v>1</v>
      </c>
      <c r="G1331" s="7">
        <v>0</v>
      </c>
      <c r="H1331" s="7">
        <v>0</v>
      </c>
      <c r="I1331" s="7">
        <v>0</v>
      </c>
      <c r="J1331" s="7">
        <v>0</v>
      </c>
      <c r="K1331" s="5">
        <v>1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7">
        <v>0</v>
      </c>
      <c r="Z1331" s="5">
        <v>1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17956</v>
      </c>
      <c r="B1332" s="9" t="s">
        <v>1666</v>
      </c>
      <c r="C1332" s="9" t="s">
        <v>67</v>
      </c>
      <c r="D1332" s="9" t="s">
        <v>71</v>
      </c>
      <c r="E1332" s="9" t="s">
        <v>169</v>
      </c>
      <c r="F1332" s="11">
        <v>2</v>
      </c>
      <c r="G1332" s="10">
        <v>2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0.25</v>
      </c>
    </row>
    <row r="1333">
      <c r="A1333" s="23">
        <v>17997</v>
      </c>
      <c r="B1333" s="4" t="s">
        <v>1667</v>
      </c>
      <c r="C1333" s="4" t="s">
        <v>67</v>
      </c>
      <c r="D1333" s="4" t="s">
        <v>159</v>
      </c>
      <c r="E1333" s="4" t="s">
        <v>160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28">
        <v>0.5</v>
      </c>
    </row>
    <row r="1334">
      <c r="A1334" s="24">
        <v>17998</v>
      </c>
      <c r="B1334" s="9" t="s">
        <v>1668</v>
      </c>
      <c r="C1334" s="9" t="s">
        <v>67</v>
      </c>
      <c r="D1334" s="9" t="s">
        <v>134</v>
      </c>
      <c r="E1334" s="9" t="s">
        <v>345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18014</v>
      </c>
      <c r="B1335" s="4" t="s">
        <v>1669</v>
      </c>
      <c r="C1335" s="4" t="s">
        <v>67</v>
      </c>
      <c r="D1335" s="4" t="s">
        <v>71</v>
      </c>
      <c r="E1335" s="4" t="s">
        <v>118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28">
        <v>0.64</v>
      </c>
    </row>
    <row r="1336">
      <c r="A1336" s="24">
        <v>18076</v>
      </c>
      <c r="B1336" s="9" t="s">
        <v>1670</v>
      </c>
      <c r="C1336" s="9" t="s">
        <v>177</v>
      </c>
      <c r="D1336" s="9" t="s">
        <v>178</v>
      </c>
      <c r="E1336" s="9" t="s">
        <v>179</v>
      </c>
      <c r="F1336" s="11">
        <v>2</v>
      </c>
      <c r="G1336" s="12">
        <v>0</v>
      </c>
      <c r="H1336" s="12">
        <v>0</v>
      </c>
      <c r="I1336" s="12">
        <v>0</v>
      </c>
      <c r="J1336" s="10">
        <v>1</v>
      </c>
      <c r="K1336" s="10">
        <v>1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2">
        <v>0</v>
      </c>
      <c r="W1336" s="12">
        <v>0</v>
      </c>
      <c r="X1336" s="12">
        <v>0</v>
      </c>
      <c r="Y1336" s="10">
        <v>1</v>
      </c>
      <c r="Z1336" s="10">
        <v>1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18079</v>
      </c>
      <c r="B1337" s="4" t="s">
        <v>1671</v>
      </c>
      <c r="C1337" s="4" t="s">
        <v>177</v>
      </c>
      <c r="D1337" s="4" t="s">
        <v>194</v>
      </c>
      <c r="E1337" s="4" t="s">
        <v>198</v>
      </c>
      <c r="F1337" s="6">
        <v>1</v>
      </c>
      <c r="G1337" s="7">
        <v>0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3">
        <v>0</v>
      </c>
    </row>
    <row r="1338">
      <c r="A1338" s="24">
        <v>18083</v>
      </c>
      <c r="B1338" s="9" t="s">
        <v>1672</v>
      </c>
      <c r="C1338" s="9" t="s">
        <v>177</v>
      </c>
      <c r="D1338" s="9" t="s">
        <v>489</v>
      </c>
      <c r="E1338" s="9" t="s">
        <v>490</v>
      </c>
      <c r="F1338" s="11">
        <v>4</v>
      </c>
      <c r="G1338" s="10">
        <v>2</v>
      </c>
      <c r="H1338" s="12">
        <v>0</v>
      </c>
      <c r="I1338" s="12">
        <v>0</v>
      </c>
      <c r="J1338" s="12">
        <v>0</v>
      </c>
      <c r="K1338" s="10">
        <v>2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2</v>
      </c>
      <c r="W1338" s="12">
        <v>0</v>
      </c>
      <c r="X1338" s="12">
        <v>0</v>
      </c>
      <c r="Y1338" s="12">
        <v>0</v>
      </c>
      <c r="Z1338" s="10">
        <v>2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30">
        <v>0</v>
      </c>
    </row>
    <row r="1339">
      <c r="A1339" s="23">
        <v>18089</v>
      </c>
      <c r="B1339" s="4" t="s">
        <v>1673</v>
      </c>
      <c r="C1339" s="4" t="s">
        <v>177</v>
      </c>
      <c r="D1339" s="4" t="s">
        <v>178</v>
      </c>
      <c r="E1339" s="4" t="s">
        <v>179</v>
      </c>
      <c r="F1339" s="6">
        <v>2</v>
      </c>
      <c r="G1339" s="7">
        <v>0</v>
      </c>
      <c r="H1339" s="7">
        <v>0</v>
      </c>
      <c r="I1339" s="5">
        <v>2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7">
        <v>0</v>
      </c>
      <c r="X1339" s="5">
        <v>2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43">
        <v>0</v>
      </c>
    </row>
    <row r="1340">
      <c r="A1340" s="24">
        <v>18150</v>
      </c>
      <c r="B1340" s="9" t="s">
        <v>1674</v>
      </c>
      <c r="C1340" s="9" t="s">
        <v>142</v>
      </c>
      <c r="D1340" s="9" t="s">
        <v>252</v>
      </c>
      <c r="E1340" s="9" t="s">
        <v>253</v>
      </c>
      <c r="F1340" s="11">
        <v>3</v>
      </c>
      <c r="G1340" s="12">
        <v>0</v>
      </c>
      <c r="H1340" s="10">
        <v>1</v>
      </c>
      <c r="I1340" s="10">
        <v>1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2">
        <v>0</v>
      </c>
      <c r="W1340" s="10">
        <v>1</v>
      </c>
      <c r="X1340" s="10">
        <v>1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0.62</v>
      </c>
    </row>
    <row r="1341">
      <c r="A1341" s="23">
        <v>18234</v>
      </c>
      <c r="B1341" s="4" t="s">
        <v>1675</v>
      </c>
      <c r="C1341" s="4" t="s">
        <v>177</v>
      </c>
      <c r="D1341" s="4" t="s">
        <v>1289</v>
      </c>
      <c r="E1341" s="4" t="s">
        <v>1676</v>
      </c>
      <c r="F1341" s="6">
        <v>1</v>
      </c>
      <c r="G1341" s="7">
        <v>0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3">
        <v>0</v>
      </c>
    </row>
    <row r="1342">
      <c r="A1342" s="24">
        <v>18252</v>
      </c>
      <c r="B1342" s="9" t="s">
        <v>1677</v>
      </c>
      <c r="C1342" s="9" t="s">
        <v>67</v>
      </c>
      <c r="D1342" s="9" t="s">
        <v>86</v>
      </c>
      <c r="E1342" s="9" t="s">
        <v>148</v>
      </c>
      <c r="F1342" s="11">
        <v>5</v>
      </c>
      <c r="G1342" s="10">
        <v>2</v>
      </c>
      <c r="H1342" s="12">
        <v>0</v>
      </c>
      <c r="I1342" s="10">
        <v>1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5</v>
      </c>
      <c r="V1342" s="10">
        <v>2</v>
      </c>
      <c r="W1342" s="12">
        <v>0</v>
      </c>
      <c r="X1342" s="10">
        <v>1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0.75</v>
      </c>
    </row>
    <row r="1343">
      <c r="A1343" s="23">
        <v>18255</v>
      </c>
      <c r="B1343" s="4" t="s">
        <v>1678</v>
      </c>
      <c r="C1343" s="4" t="s">
        <v>67</v>
      </c>
      <c r="D1343" s="4" t="s">
        <v>75</v>
      </c>
      <c r="E1343" s="4" t="s">
        <v>76</v>
      </c>
      <c r="F1343" s="6">
        <v>4</v>
      </c>
      <c r="G1343" s="5">
        <v>4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5">
        <v>3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4</v>
      </c>
      <c r="AK1343" s="8">
        <v>4</v>
      </c>
      <c r="AL1343" s="5">
        <v>4</v>
      </c>
      <c r="AM1343" s="5">
        <v>4</v>
      </c>
      <c r="AN1343" s="43">
        <v>0</v>
      </c>
    </row>
    <row r="1344">
      <c r="A1344" s="24">
        <v>18276</v>
      </c>
      <c r="B1344" s="9" t="s">
        <v>1679</v>
      </c>
      <c r="C1344" s="9" t="s">
        <v>724</v>
      </c>
      <c r="D1344" s="9" t="s">
        <v>736</v>
      </c>
      <c r="E1344" s="9" t="s">
        <v>379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18343</v>
      </c>
      <c r="B1345" s="4" t="s">
        <v>1680</v>
      </c>
      <c r="C1345" s="4" t="s">
        <v>142</v>
      </c>
      <c r="D1345" s="4" t="s">
        <v>406</v>
      </c>
      <c r="E1345" s="4" t="s">
        <v>407</v>
      </c>
      <c r="F1345" s="6">
        <v>8</v>
      </c>
      <c r="G1345" s="5">
        <v>2</v>
      </c>
      <c r="H1345" s="7">
        <v>0</v>
      </c>
      <c r="I1345" s="5">
        <v>6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7</v>
      </c>
      <c r="V1345" s="5">
        <v>2</v>
      </c>
      <c r="W1345" s="7">
        <v>0</v>
      </c>
      <c r="X1345" s="5">
        <v>5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4</v>
      </c>
      <c r="AL1345" s="5">
        <v>4</v>
      </c>
      <c r="AM1345" s="5">
        <v>6</v>
      </c>
      <c r="AN1345" s="43">
        <v>0</v>
      </c>
    </row>
    <row r="1346">
      <c r="A1346" s="24">
        <v>18348</v>
      </c>
      <c r="B1346" s="9" t="s">
        <v>1681</v>
      </c>
      <c r="C1346" s="9" t="s">
        <v>142</v>
      </c>
      <c r="D1346" s="9" t="s">
        <v>143</v>
      </c>
      <c r="E1346" s="9" t="s">
        <v>465</v>
      </c>
      <c r="F1346" s="11">
        <v>3</v>
      </c>
      <c r="G1346" s="12">
        <v>0</v>
      </c>
      <c r="H1346" s="12">
        <v>0</v>
      </c>
      <c r="I1346" s="10">
        <v>1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2">
        <v>0</v>
      </c>
      <c r="W1346" s="12">
        <v>0</v>
      </c>
      <c r="X1346" s="10">
        <v>1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29">
        <v>0.25</v>
      </c>
    </row>
    <row r="1347">
      <c r="A1347" s="23">
        <v>18385</v>
      </c>
      <c r="B1347" s="4" t="s">
        <v>1682</v>
      </c>
      <c r="C1347" s="4" t="s">
        <v>67</v>
      </c>
      <c r="D1347" s="4" t="s">
        <v>108</v>
      </c>
      <c r="E1347" s="4" t="s">
        <v>522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3">
        <v>0</v>
      </c>
    </row>
    <row r="1348">
      <c r="A1348" s="24">
        <v>18392</v>
      </c>
      <c r="B1348" s="9" t="s">
        <v>1683</v>
      </c>
      <c r="C1348" s="9" t="s">
        <v>67</v>
      </c>
      <c r="D1348" s="9" t="s">
        <v>79</v>
      </c>
      <c r="E1348" s="9" t="s">
        <v>209</v>
      </c>
      <c r="F1348" s="11">
        <v>1</v>
      </c>
      <c r="G1348" s="12">
        <v>0</v>
      </c>
      <c r="H1348" s="10">
        <v>1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2">
        <v>0</v>
      </c>
      <c r="W1348" s="10">
        <v>1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0">
        <v>0</v>
      </c>
    </row>
    <row r="1349">
      <c r="A1349" s="23">
        <v>18402</v>
      </c>
      <c r="B1349" s="4" t="s">
        <v>1684</v>
      </c>
      <c r="C1349" s="4" t="s">
        <v>1685</v>
      </c>
      <c r="D1349" s="4" t="s">
        <v>1686</v>
      </c>
      <c r="E1349" s="4" t="s">
        <v>379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3">
        <v>0</v>
      </c>
    </row>
    <row r="1350">
      <c r="A1350" s="24">
        <v>18434</v>
      </c>
      <c r="B1350" s="9" t="s">
        <v>1687</v>
      </c>
      <c r="C1350" s="9" t="s">
        <v>177</v>
      </c>
      <c r="D1350" s="9" t="s">
        <v>178</v>
      </c>
      <c r="E1350" s="9" t="s">
        <v>832</v>
      </c>
      <c r="F1350" s="11">
        <v>1</v>
      </c>
      <c r="G1350" s="12">
        <v>0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18460</v>
      </c>
      <c r="B1351" s="4" t="s">
        <v>1688</v>
      </c>
      <c r="C1351" s="4" t="s">
        <v>177</v>
      </c>
      <c r="D1351" s="4" t="s">
        <v>194</v>
      </c>
      <c r="E1351" s="4" t="s">
        <v>198</v>
      </c>
      <c r="F1351" s="6">
        <v>6</v>
      </c>
      <c r="G1351" s="5">
        <v>2</v>
      </c>
      <c r="H1351" s="7">
        <v>0</v>
      </c>
      <c r="I1351" s="5">
        <v>1</v>
      </c>
      <c r="J1351" s="7">
        <v>0</v>
      </c>
      <c r="K1351" s="5">
        <v>3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</v>
      </c>
      <c r="V1351" s="5">
        <v>2</v>
      </c>
      <c r="W1351" s="7">
        <v>0</v>
      </c>
      <c r="X1351" s="5">
        <v>1</v>
      </c>
      <c r="Y1351" s="7">
        <v>0</v>
      </c>
      <c r="Z1351" s="5">
        <v>2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</v>
      </c>
      <c r="AL1351" s="5">
        <v>2</v>
      </c>
      <c r="AM1351" s="5">
        <v>3</v>
      </c>
      <c r="AN1351" s="43">
        <v>0</v>
      </c>
    </row>
    <row r="1352">
      <c r="A1352" s="24">
        <v>18487</v>
      </c>
      <c r="B1352" s="9" t="s">
        <v>1689</v>
      </c>
      <c r="C1352" s="9" t="s">
        <v>177</v>
      </c>
      <c r="D1352" s="9" t="s">
        <v>194</v>
      </c>
      <c r="E1352" s="9" t="s">
        <v>204</v>
      </c>
      <c r="F1352" s="11">
        <v>9</v>
      </c>
      <c r="G1352" s="10">
        <v>1</v>
      </c>
      <c r="H1352" s="10">
        <v>1</v>
      </c>
      <c r="I1352" s="10">
        <v>2</v>
      </c>
      <c r="J1352" s="12">
        <v>0</v>
      </c>
      <c r="K1352" s="10">
        <v>4</v>
      </c>
      <c r="L1352" s="10">
        <v>1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9</v>
      </c>
      <c r="V1352" s="10">
        <v>1</v>
      </c>
      <c r="W1352" s="10">
        <v>1</v>
      </c>
      <c r="X1352" s="10">
        <v>2</v>
      </c>
      <c r="Y1352" s="12">
        <v>0</v>
      </c>
      <c r="Z1352" s="10">
        <v>4</v>
      </c>
      <c r="AA1352" s="10">
        <v>1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1.5</v>
      </c>
      <c r="AL1352" s="10">
        <v>1</v>
      </c>
      <c r="AM1352" s="10">
        <v>3</v>
      </c>
      <c r="AN1352" s="30">
        <v>0</v>
      </c>
    </row>
    <row r="1353">
      <c r="A1353" s="23">
        <v>18489</v>
      </c>
      <c r="B1353" s="4" t="s">
        <v>1690</v>
      </c>
      <c r="C1353" s="4" t="s">
        <v>142</v>
      </c>
      <c r="D1353" s="4" t="s">
        <v>385</v>
      </c>
      <c r="E1353" s="4" t="s">
        <v>1691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18561</v>
      </c>
      <c r="B1354" s="9" t="s">
        <v>1692</v>
      </c>
      <c r="C1354" s="9" t="s">
        <v>67</v>
      </c>
      <c r="D1354" s="9" t="s">
        <v>159</v>
      </c>
      <c r="E1354" s="9" t="s">
        <v>367</v>
      </c>
      <c r="F1354" s="11">
        <v>1</v>
      </c>
      <c r="G1354" s="12">
        <v>0</v>
      </c>
      <c r="H1354" s="10">
        <v>1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0">
        <v>1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18612</v>
      </c>
      <c r="B1355" s="4" t="s">
        <v>1693</v>
      </c>
      <c r="C1355" s="4" t="s">
        <v>67</v>
      </c>
      <c r="D1355" s="4" t="s">
        <v>79</v>
      </c>
      <c r="E1355" s="4" t="s">
        <v>343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0.35</v>
      </c>
    </row>
    <row r="1356">
      <c r="A1356" s="24">
        <v>18701</v>
      </c>
      <c r="B1356" s="9" t="s">
        <v>1694</v>
      </c>
      <c r="C1356" s="9" t="s">
        <v>67</v>
      </c>
      <c r="D1356" s="9" t="s">
        <v>111</v>
      </c>
      <c r="E1356" s="9" t="s">
        <v>153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18722</v>
      </c>
      <c r="B1357" s="4" t="s">
        <v>1695</v>
      </c>
      <c r="C1357" s="4" t="s">
        <v>177</v>
      </c>
      <c r="D1357" s="4" t="s">
        <v>1696</v>
      </c>
      <c r="E1357" s="4" t="s">
        <v>1697</v>
      </c>
      <c r="F1357" s="6">
        <v>1</v>
      </c>
      <c r="G1357" s="7">
        <v>0</v>
      </c>
      <c r="H1357" s="7">
        <v>0</v>
      </c>
      <c r="I1357" s="7">
        <v>0</v>
      </c>
      <c r="J1357" s="7">
        <v>0</v>
      </c>
      <c r="K1357" s="5">
        <v>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7">
        <v>0</v>
      </c>
      <c r="Z1357" s="5">
        <v>1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3">
        <v>0</v>
      </c>
    </row>
    <row r="1358">
      <c r="A1358" s="24">
        <v>18736</v>
      </c>
      <c r="B1358" s="9" t="s">
        <v>1698</v>
      </c>
      <c r="C1358" s="9" t="s">
        <v>656</v>
      </c>
      <c r="D1358" s="9" t="s">
        <v>1173</v>
      </c>
      <c r="E1358" s="9" t="s">
        <v>1699</v>
      </c>
      <c r="F1358" s="11">
        <v>2</v>
      </c>
      <c r="G1358" s="12">
        <v>0</v>
      </c>
      <c r="H1358" s="12">
        <v>0</v>
      </c>
      <c r="I1358" s="10">
        <v>1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0">
        <v>1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0.52</v>
      </c>
    </row>
    <row r="1359">
      <c r="A1359" s="23">
        <v>18755</v>
      </c>
      <c r="B1359" s="4" t="s">
        <v>1700</v>
      </c>
      <c r="C1359" s="4" t="s">
        <v>67</v>
      </c>
      <c r="D1359" s="4" t="s">
        <v>79</v>
      </c>
      <c r="E1359" s="4" t="s">
        <v>80</v>
      </c>
      <c r="F1359" s="6">
        <v>4</v>
      </c>
      <c r="G1359" s="5">
        <v>1</v>
      </c>
      <c r="H1359" s="7">
        <v>0</v>
      </c>
      <c r="I1359" s="7">
        <v>0</v>
      </c>
      <c r="J1359" s="5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3</v>
      </c>
      <c r="V1359" s="5">
        <v>1</v>
      </c>
      <c r="W1359" s="7">
        <v>0</v>
      </c>
      <c r="X1359" s="7">
        <v>0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1.33</v>
      </c>
      <c r="AL1359" s="5">
        <v>1</v>
      </c>
      <c r="AM1359" s="5">
        <v>2</v>
      </c>
      <c r="AN1359" s="28">
        <v>0.5</v>
      </c>
    </row>
    <row r="1360">
      <c r="A1360" s="24">
        <v>18833</v>
      </c>
      <c r="B1360" s="9" t="s">
        <v>1701</v>
      </c>
      <c r="C1360" s="9" t="s">
        <v>67</v>
      </c>
      <c r="D1360" s="9" t="s">
        <v>71</v>
      </c>
      <c r="E1360" s="9" t="s">
        <v>72</v>
      </c>
      <c r="F1360" s="11">
        <v>3</v>
      </c>
      <c r="G1360" s="10">
        <v>2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1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29">
        <v>0.63</v>
      </c>
    </row>
    <row r="1361">
      <c r="A1361" s="23">
        <v>18844</v>
      </c>
      <c r="B1361" s="4" t="s">
        <v>1702</v>
      </c>
      <c r="C1361" s="4" t="s">
        <v>67</v>
      </c>
      <c r="D1361" s="4" t="s">
        <v>111</v>
      </c>
      <c r="E1361" s="4" t="s">
        <v>722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18852</v>
      </c>
      <c r="B1362" s="9" t="s">
        <v>1703</v>
      </c>
      <c r="C1362" s="9" t="s">
        <v>67</v>
      </c>
      <c r="D1362" s="9" t="s">
        <v>75</v>
      </c>
      <c r="E1362" s="9" t="s">
        <v>120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18878</v>
      </c>
      <c r="B1363" s="4" t="s">
        <v>1704</v>
      </c>
      <c r="C1363" s="4" t="s">
        <v>142</v>
      </c>
      <c r="D1363" s="4" t="s">
        <v>406</v>
      </c>
      <c r="E1363" s="4" t="s">
        <v>414</v>
      </c>
      <c r="F1363" s="6">
        <v>8</v>
      </c>
      <c r="G1363" s="7">
        <v>0</v>
      </c>
      <c r="H1363" s="7">
        <v>0</v>
      </c>
      <c r="I1363" s="5">
        <v>2</v>
      </c>
      <c r="J1363" s="5">
        <v>4</v>
      </c>
      <c r="K1363" s="7">
        <v>0</v>
      </c>
      <c r="L1363" s="5">
        <v>2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8</v>
      </c>
      <c r="V1363" s="7">
        <v>0</v>
      </c>
      <c r="W1363" s="7">
        <v>0</v>
      </c>
      <c r="X1363" s="5">
        <v>2</v>
      </c>
      <c r="Y1363" s="5">
        <v>4</v>
      </c>
      <c r="Z1363" s="7">
        <v>0</v>
      </c>
      <c r="AA1363" s="5">
        <v>2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28">
        <v>1</v>
      </c>
    </row>
    <row r="1364">
      <c r="A1364" s="24">
        <v>19034</v>
      </c>
      <c r="B1364" s="9" t="s">
        <v>1705</v>
      </c>
      <c r="C1364" s="9" t="s">
        <v>724</v>
      </c>
      <c r="D1364" s="9" t="s">
        <v>892</v>
      </c>
      <c r="E1364" s="9" t="s">
        <v>379</v>
      </c>
      <c r="F1364" s="11">
        <v>2</v>
      </c>
      <c r="G1364" s="12">
        <v>0</v>
      </c>
      <c r="H1364" s="12">
        <v>0</v>
      </c>
      <c r="I1364" s="10">
        <v>2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2">
        <v>0</v>
      </c>
      <c r="W1364" s="12">
        <v>0</v>
      </c>
      <c r="X1364" s="10">
        <v>2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0">
        <v>0</v>
      </c>
    </row>
    <row r="1365">
      <c r="A1365" s="23">
        <v>19110</v>
      </c>
      <c r="B1365" s="4" t="s">
        <v>1706</v>
      </c>
      <c r="C1365" s="4" t="s">
        <v>142</v>
      </c>
      <c r="D1365" s="4" t="s">
        <v>469</v>
      </c>
      <c r="E1365" s="4" t="s">
        <v>581</v>
      </c>
      <c r="F1365" s="6">
        <v>1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43">
        <v>0</v>
      </c>
    </row>
    <row r="1366">
      <c r="A1366" s="24">
        <v>19125</v>
      </c>
      <c r="B1366" s="9" t="s">
        <v>1707</v>
      </c>
      <c r="C1366" s="9" t="s">
        <v>67</v>
      </c>
      <c r="D1366" s="9" t="s">
        <v>75</v>
      </c>
      <c r="E1366" s="9" t="s">
        <v>120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19192</v>
      </c>
      <c r="B1367" s="4" t="s">
        <v>1708</v>
      </c>
      <c r="C1367" s="4" t="s">
        <v>142</v>
      </c>
      <c r="D1367" s="4" t="s">
        <v>440</v>
      </c>
      <c r="E1367" s="4" t="s">
        <v>441</v>
      </c>
      <c r="F1367" s="6">
        <v>1</v>
      </c>
      <c r="G1367" s="7">
        <v>0</v>
      </c>
      <c r="H1367" s="7">
        <v>0</v>
      </c>
      <c r="I1367" s="5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0.24</v>
      </c>
    </row>
    <row r="1368">
      <c r="A1368" s="24">
        <v>19200</v>
      </c>
      <c r="B1368" s="9" t="s">
        <v>1709</v>
      </c>
      <c r="C1368" s="9" t="s">
        <v>67</v>
      </c>
      <c r="D1368" s="9" t="s">
        <v>108</v>
      </c>
      <c r="E1368" s="9" t="s">
        <v>1710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19354</v>
      </c>
      <c r="B1369" s="4" t="s">
        <v>1711</v>
      </c>
      <c r="C1369" s="4" t="s">
        <v>177</v>
      </c>
      <c r="D1369" s="4" t="s">
        <v>923</v>
      </c>
      <c r="E1369" s="4" t="s">
        <v>1712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3">
        <v>0</v>
      </c>
    </row>
    <row r="1370">
      <c r="A1370" s="24">
        <v>19376</v>
      </c>
      <c r="B1370" s="9" t="s">
        <v>1713</v>
      </c>
      <c r="C1370" s="9" t="s">
        <v>67</v>
      </c>
      <c r="D1370" s="9" t="s">
        <v>111</v>
      </c>
      <c r="E1370" s="9" t="s">
        <v>112</v>
      </c>
      <c r="F1370" s="11">
        <v>2</v>
      </c>
      <c r="G1370" s="10">
        <v>1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1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19422</v>
      </c>
      <c r="B1371" s="4" t="s">
        <v>1714</v>
      </c>
      <c r="C1371" s="4" t="s">
        <v>67</v>
      </c>
      <c r="D1371" s="4" t="s">
        <v>99</v>
      </c>
      <c r="E1371" s="4" t="s">
        <v>1093</v>
      </c>
      <c r="F1371" s="6">
        <v>2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0.5</v>
      </c>
    </row>
    <row r="1372">
      <c r="A1372" s="24">
        <v>19425</v>
      </c>
      <c r="B1372" s="9" t="s">
        <v>1715</v>
      </c>
      <c r="C1372" s="9" t="s">
        <v>67</v>
      </c>
      <c r="D1372" s="9" t="s">
        <v>79</v>
      </c>
      <c r="E1372" s="9" t="s">
        <v>80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19430</v>
      </c>
      <c r="B1373" s="4" t="s">
        <v>1716</v>
      </c>
      <c r="C1373" s="4" t="s">
        <v>67</v>
      </c>
      <c r="D1373" s="4" t="s">
        <v>134</v>
      </c>
      <c r="E1373" s="4" t="s">
        <v>429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19468</v>
      </c>
      <c r="B1374" s="9" t="s">
        <v>1717</v>
      </c>
      <c r="C1374" s="9" t="s">
        <v>645</v>
      </c>
      <c r="D1374" s="9" t="s">
        <v>646</v>
      </c>
      <c r="E1374" s="9" t="s">
        <v>652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0.26</v>
      </c>
    </row>
    <row r="1375">
      <c r="A1375" s="25">
        <v>19493</v>
      </c>
      <c r="B1375" s="16" t="s">
        <v>1718</v>
      </c>
      <c r="C1375" s="16" t="s">
        <v>177</v>
      </c>
      <c r="D1375" s="16" t="s">
        <v>923</v>
      </c>
      <c r="E1375" s="16" t="s">
        <v>924</v>
      </c>
      <c r="F1375" s="18">
        <v>1</v>
      </c>
      <c r="G1375" s="17">
        <v>1</v>
      </c>
      <c r="H1375" s="19">
        <v>0</v>
      </c>
      <c r="I1375" s="19">
        <v>0</v>
      </c>
      <c r="J1375" s="19">
        <v>0</v>
      </c>
      <c r="K1375" s="19">
        <v>0</v>
      </c>
      <c r="L1375" s="19">
        <v>0</v>
      </c>
      <c r="M1375" s="19">
        <v>0</v>
      </c>
      <c r="N1375" s="19">
        <v>0</v>
      </c>
      <c r="O1375" s="19">
        <v>0</v>
      </c>
      <c r="P1375" s="19">
        <v>0</v>
      </c>
      <c r="Q1375" s="19">
        <v>0</v>
      </c>
      <c r="R1375" s="19">
        <v>0</v>
      </c>
      <c r="S1375" s="19">
        <v>0</v>
      </c>
      <c r="T1375" s="36">
        <v>0</v>
      </c>
      <c r="U1375" s="18">
        <v>1</v>
      </c>
      <c r="V1375" s="17">
        <v>1</v>
      </c>
      <c r="W1375" s="19">
        <v>0</v>
      </c>
      <c r="X1375" s="19">
        <v>0</v>
      </c>
      <c r="Y1375" s="19">
        <v>0</v>
      </c>
      <c r="Z1375" s="19">
        <v>0</v>
      </c>
      <c r="AA1375" s="19">
        <v>0</v>
      </c>
      <c r="AB1375" s="19">
        <v>0</v>
      </c>
      <c r="AC1375" s="19">
        <v>0</v>
      </c>
      <c r="AD1375" s="19">
        <v>0</v>
      </c>
      <c r="AE1375" s="19">
        <v>0</v>
      </c>
      <c r="AF1375" s="19">
        <v>0</v>
      </c>
      <c r="AG1375" s="19">
        <v>0</v>
      </c>
      <c r="AH1375" s="19">
        <v>0</v>
      </c>
      <c r="AI1375" s="19">
        <v>0</v>
      </c>
      <c r="AJ1375" s="17">
        <v>1</v>
      </c>
      <c r="AK1375" s="20">
        <v>1</v>
      </c>
      <c r="AL1375" s="17">
        <v>1</v>
      </c>
      <c r="AM1375" s="17">
        <v>1</v>
      </c>
      <c r="AN1375" s="44">
        <v>0</v>
      </c>
    </row>
    <row r="1377">
      <c r="A1377" s="45" t="s">
        <v>0</v>
      </c>
      <c r="B1377" s="45" t="s">
        <v>0</v>
      </c>
      <c r="C1377" s="45" t="s">
        <v>0</v>
      </c>
      <c r="D1377" s="45" t="s">
        <v>0</v>
      </c>
      <c r="E1377" s="37" t="s">
        <v>60</v>
      </c>
      <c r="F1377" s="39">
        <f>SUM(F3:F1375)</f>
      </c>
      <c r="G1377" s="38">
        <f>SUM(G3:G1375)</f>
      </c>
      <c r="H1377" s="38">
        <f>SUM(H3:H1375)</f>
      </c>
      <c r="I1377" s="38">
        <f>SUM(I3:I1375)</f>
      </c>
      <c r="J1377" s="38">
        <f>SUM(J3:J1375)</f>
      </c>
      <c r="K1377" s="38">
        <f>SUM(K3:K1375)</f>
      </c>
      <c r="L1377" s="38">
        <f>SUM(L3:L1375)</f>
      </c>
      <c r="M1377" s="38">
        <f>SUM(M3:M1375)</f>
      </c>
      <c r="N1377" s="38">
        <f>SUM(N3:N1375)</f>
      </c>
      <c r="O1377" s="38">
        <f>SUM(O3:O1375)</f>
      </c>
      <c r="P1377" s="38">
        <f>SUM(P3:P1375)</f>
      </c>
      <c r="Q1377" s="38">
        <f>SUM(Q3:Q1375)</f>
      </c>
      <c r="R1377" s="38">
        <f>SUM(R3:R1375)</f>
      </c>
      <c r="S1377" s="38">
        <f>SUM(S3:S1375)</f>
      </c>
      <c r="T1377" s="38">
        <f>SUM(T3:T1375)</f>
      </c>
      <c r="U1377" s="39">
        <f>SUM(U3:U1375)</f>
      </c>
      <c r="V1377" s="38">
        <f>SUM(V3:V1375)</f>
      </c>
      <c r="W1377" s="38">
        <f>SUM(W3:W1375)</f>
      </c>
      <c r="X1377" s="38">
        <f>SUM(X3:X1375)</f>
      </c>
      <c r="Y1377" s="38">
        <f>SUM(Y3:Y1375)</f>
      </c>
      <c r="Z1377" s="38">
        <f>SUM(Z3:Z1375)</f>
      </c>
      <c r="AA1377" s="38">
        <f>SUM(AA3:AA1375)</f>
      </c>
      <c r="AB1377" s="38">
        <f>SUM(AB3:AB1375)</f>
      </c>
      <c r="AC1377" s="38">
        <f>SUM(AC3:AC1375)</f>
      </c>
      <c r="AD1377" s="38">
        <f>SUM(AD3:AD1375)</f>
      </c>
      <c r="AE1377" s="38">
        <f>SUM(AE3:AE1375)</f>
      </c>
      <c r="AF1377" s="38">
        <f>SUM(AF3:AF1375)</f>
      </c>
      <c r="AG1377" s="38">
        <f>SUM(AG3:AG1375)</f>
      </c>
      <c r="AH1377" s="38">
        <f>SUM(AH3:AH1375)</f>
      </c>
      <c r="AI1377" s="38">
        <f>SUM(AI3:AI1375)</f>
      </c>
      <c r="AJ1377" s="38">
        <f>MIN(AJ3:AJ1375)</f>
      </c>
      <c r="AK1377" s="38">
        <f>AVERAGE(AK3:AK1375)</f>
      </c>
      <c r="AL1377" s="38">
        <f>MEDIAN(AL3:AL1375)</f>
      </c>
      <c r="AM1377" s="38">
        <f>Max(AM3:AM1375)</f>
      </c>
      <c r="AN1377" s="40">
        <f>SUM(AN3:AN1375)</f>
      </c>
    </row>
  </sheetData>
  <autoFilter ref="A2:AN1375"/>
  <mergeCells>
    <mergeCell ref="A1:E1"/>
    <mergeCell ref="F1:T1"/>
    <mergeCell ref="U1:AI1"/>
    <mergeCell ref="AJ1:AN1"/>
    <mergeCell ref="A1377:D137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1719</v>
      </c>
      <c r="B1" s="47" t="s">
        <v>1720</v>
      </c>
    </row>
    <row r="2">
      <c r="A2" s="46" t="s">
        <v>1721</v>
      </c>
      <c r="B2" s="47" t="s">
        <v>1722</v>
      </c>
    </row>
    <row r="3">
      <c r="A3" s="1"/>
      <c r="B3" s="1"/>
    </row>
    <row r="4">
      <c r="A4" s="46" t="s">
        <v>1723</v>
      </c>
      <c r="B4" s="47" t="s">
        <v>1724</v>
      </c>
    </row>
    <row r="5">
      <c r="A5" s="46" t="s">
        <v>1725</v>
      </c>
      <c r="B5" s="47" t="s">
        <v>1726</v>
      </c>
    </row>
    <row r="6">
      <c r="A6" s="46" t="s">
        <v>1727</v>
      </c>
      <c r="B6" s="47"/>
    </row>
    <row r="7">
      <c r="A7" s="46" t="s">
        <v>1728</v>
      </c>
      <c r="B7" s="47"/>
    </row>
    <row r="8">
      <c r="A8" s="46" t="s">
        <v>1729</v>
      </c>
      <c r="B8" s="47" t="s">
        <v>1730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1731</v>
      </c>
      <c r="B12" s="47" t="s">
        <v>1732</v>
      </c>
    </row>
    <row r="13">
      <c r="A13" s="46" t="s">
        <v>1733</v>
      </c>
      <c r="B13" s="47" t="s">
        <v>1734</v>
      </c>
    </row>
    <row r="14">
      <c r="A14" s="46" t="s">
        <v>1735</v>
      </c>
      <c r="B14" s="47" t="s">
        <v>1736</v>
      </c>
    </row>
    <row r="15">
      <c r="A15" s="46" t="s">
        <v>1737</v>
      </c>
      <c r="B15" s="47" t="s">
        <v>1738</v>
      </c>
    </row>
    <row r="16">
      <c r="A16" s="46" t="s">
        <v>1739</v>
      </c>
      <c r="B16" s="47" t="s">
        <v>1740</v>
      </c>
    </row>
  </sheetData>
  <headerFooter/>
</worksheet>
</file>