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Establishment!$A$2:$AN$1395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<sst xmlns="http://schemas.openxmlformats.org/spreadsheetml/2006/main" count="1762" uniqueCount="1762">
  <si>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</si>
  <si>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</si>
  <si>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</si>
  <si>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</si>
  <si>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</si>
  <si>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</si>
  <si>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</si>
  <si>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</si>
  <si>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</si>
  <si>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</si>
  <si>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</si>
  <si>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</si>
  <si>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</si>
  <si>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</si>
  <si>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</si>
  <si>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</si>
  <si>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</si>
  <si>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</si>
  <si>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</si>
  <si>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</si>
  <si>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</si>
  <si>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</si>
  <si>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</si>
  <si>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</si>
  <si>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</si>
  <si>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</si>
  <si>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</si>
  <si>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</si>
  <si>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</si>
  <si>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</si>
  <si>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</si>
  <si>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</si>
  <si>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</si>
  <si>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</si>
  <si>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</si>
  <si>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</si>
  <si>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</si>
  <si>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</si>
  <si>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</si>
  <si>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</si>
  <si>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</si>
  <si>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</si>
  <si>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</si>
  <si>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</si>
  <si>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</si>
  <si>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</si>
  <si>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</si>
  <si>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</si>
  <si>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</si>
  <si>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</si>
  <si>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</si>
  <si>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</si>
  <si>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</si>
  <si>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</si>
  <si>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</si>
  <si>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</si>
  <si>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</si>
  <si>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</si>
  <si>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</si>
  <si>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</si>
  <si>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</si>
  <si>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</si>
  <si>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</si>
  <si>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</si>
  <si>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</si>
  <si>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</si>
  <si>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</si>
  <si>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</si>
  <si>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</si>
  <si>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</si>
  <si>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</si>
  <si>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</si>
  <si>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</si>
  <si>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</si>
  <si>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</si>
  <si>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</si>
  <si>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</si>
  <si>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</si>
  <si>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</si>
  <si>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</si>
  <si>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</si>
  <si>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</si>
  <si>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</si>
  <si>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</si>
  <si>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</si>
  <si>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</si>
  <si>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</si>
  <si>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</si>
  <si>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</si>
  <si>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</si>
  <si>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</si>
  <si>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</si>
  <si>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</si>
  <si>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</si>
  <si>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</si>
  <si>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</si>
  <si>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</si>
  <si>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</si>
  <si>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</si>
  <si>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</si>
  <si>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</si>
  <si>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</si>
  <si>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</si>
  <si>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</si>
  <si>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</si>
  <si>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</si>
  <si>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</si>
  <si>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ROMANEE La Citadelle</t>
  </si>
  <si>
    <t>Indre-et-Loire</t>
  </si>
  <si>
    <t>Camping La Grande Tortue</t>
  </si>
  <si>
    <t>Camping Les Genêts</t>
  </si>
  <si>
    <t>Bontempo Village La Yole</t>
  </si>
  <si>
    <t>Vendée</t>
  </si>
  <si>
    <t>Camping Naturiste Arnaoutchot</t>
  </si>
  <si>
    <t>Nouvelle-Aquitaine</t>
  </si>
  <si>
    <t>Landes</t>
  </si>
  <si>
    <t>Centre de Vacances Naturiste le Colombier</t>
  </si>
  <si>
    <t>YELLOH! VILLAGE - LE BRASILIA</t>
  </si>
  <si>
    <t>Pyrénées-Orientales</t>
  </si>
  <si>
    <t>Le Moulin de David</t>
  </si>
  <si>
    <t>Dordogne</t>
  </si>
  <si>
    <t>Camping naturiste Les Lauzons</t>
  </si>
  <si>
    <t>Alpes-de-Haute-Provence</t>
  </si>
  <si>
    <t>DOMAINE NATURISTE RIVA BELLA</t>
  </si>
  <si>
    <t>Domaine Les Nids du Lac</t>
  </si>
  <si>
    <t>Grand Est</t>
  </si>
  <si>
    <t>Vosges</t>
  </si>
  <si>
    <t>Camping Club Tikayan La Vallée du Paradis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</si>
  <si>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</si>
  <si>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</si>
  <si>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</si>
  <si>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</si>
  <si>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</si>
  <si>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</si>
  <si>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</si>
  <si>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</si>
  <si>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</si>
  <si>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</si>
  <si>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</si>
  <si>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</si>
  <si>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Gironde</t>
  </si>
  <si>
    <t>Camping Club Tikayan Les Palmiers</t>
  </si>
  <si>
    <t>Camping Bois Soleil</t>
  </si>
  <si>
    <t>Charente-Maritime</t>
  </si>
  <si>
    <t>L'Escale Village</t>
  </si>
  <si>
    <t>Flower Camping Caravaning Les Aubépines</t>
  </si>
  <si>
    <t>Hauts-de-France</t>
  </si>
  <si>
    <t>Somme</t>
  </si>
  <si>
    <t>Euronat Village Naturiste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</si>
  <si>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</si>
  <si>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</si>
  <si>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</si>
  <si>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</si>
  <si>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</si>
  <si>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</si>
  <si>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</si>
  <si>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Bourgogne-Franche-Comté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</si>
  <si>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</si>
  <si>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</si>
  <si>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</si>
  <si>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</si>
  <si>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</si>
  <si>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</si>
  <si>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</si>
  <si>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</si>
  <si>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</si>
  <si>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</si>
  <si>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</si>
  <si>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</si>
  <si>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</si>
  <si>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Manche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</si>
  <si>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</si>
  <si>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</si>
  <si>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</si>
  <si>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</si>
  <si>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</si>
  <si>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</si>
  <si>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</si>
  <si>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</si>
  <si>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</si>
  <si>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</si>
  <si>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</si>
  <si>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La Rueda</t>
  </si>
  <si>
    <t>Camping El Helguero</t>
  </si>
  <si>
    <t>Cantabrie</t>
  </si>
  <si>
    <t>Cantabria</t>
  </si>
  <si>
    <t>Camping Cabopino</t>
  </si>
  <si>
    <t>Andalousie</t>
  </si>
  <si>
    <t>Malaga</t>
  </si>
  <si>
    <t>Camping Etxarri</t>
  </si>
  <si>
    <t>Navarre</t>
  </si>
  <si>
    <t>Orbaibar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</si>
  <si>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</si>
  <si>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</si>
  <si>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</si>
  <si>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</si>
  <si>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</si>
  <si>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</si>
  <si>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</si>
  <si>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</si>
  <si>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</si>
  <si>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</si>
  <si>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</si>
  <si>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</si>
  <si>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</si>
  <si>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</si>
  <si>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</si>
  <si>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</si>
  <si>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</si>
  <si>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</si>
  <si>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</si>
  <si>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</si>
  <si>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</si>
  <si>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</si>
  <si>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</si>
  <si>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</si>
  <si>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</si>
  <si>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</si>
  <si>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</si>
  <si>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L'Hirondelle France *****</t>
  </si>
  <si>
    <t>Drôme</t>
  </si>
  <si>
    <t>Camping Cros de Mouton</t>
  </si>
  <si>
    <t>Camping Le Paradis</t>
  </si>
  <si>
    <t>SARL Camping le Neptune</t>
  </si>
  <si>
    <t>Côtes-d'Armor</t>
  </si>
  <si>
    <t>YELLOH! VILLAGE - LE LAVEDAN</t>
  </si>
  <si>
    <t>Camping LA PRESQU'ILE DE GIENS</t>
  </si>
  <si>
    <t>Sandaya Domaine du Colombier</t>
  </si>
  <si>
    <t>Campasun Camping Mas de Pierredon</t>
  </si>
  <si>
    <t>Camping Sunêlia La Source - Occitanie - Aveyron</t>
  </si>
  <si>
    <t>Domaine de la Taillade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</si>
  <si>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</si>
  <si>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</si>
  <si>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</si>
  <si>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</si>
  <si>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</si>
  <si>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</si>
  <si>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</si>
  <si>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</si>
  <si>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</si>
  <si>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</si>
  <si>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</si>
  <si>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</si>
  <si>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</si>
  <si>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</si>
  <si>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</si>
  <si>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Camping Au Port Punay</t>
  </si>
  <si>
    <t>Siblu – Domaine de Kerlann</t>
  </si>
  <si>
    <t>Finistère</t>
  </si>
  <si>
    <t>Siblu – Le Bois Dormant</t>
  </si>
  <si>
    <t>Siblu – Les Charmettes</t>
  </si>
  <si>
    <t>Siblu – La Pignade</t>
  </si>
  <si>
    <t>Siblu – La Réserve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</si>
  <si>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</si>
  <si>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</si>
  <si>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</si>
  <si>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</si>
  <si>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</si>
  <si>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</si>
  <si>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</si>
  <si>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</si>
  <si>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Les Chalets des Mousquetaires</t>
  </si>
  <si>
    <t>Flower Camping Le Haut Dick</t>
  </si>
  <si>
    <t>Camping de Mindin - Camping Qualité</t>
  </si>
  <si>
    <t>Loire-Atlantique</t>
  </si>
  <si>
    <t>Chadotel Les Ecureuils</t>
  </si>
  <si>
    <t>Camping la Chabotière</t>
  </si>
  <si>
    <t>Sarthe</t>
  </si>
  <si>
    <t>Camping Plein Sud</t>
  </si>
  <si>
    <t>Flower Camping Le Petit Paris</t>
  </si>
  <si>
    <t>Camping Les Charmes</t>
  </si>
  <si>
    <t>Flower Camping Au Bois Des Biches</t>
  </si>
  <si>
    <t>Camping Eden Villages Le Caravan'Ile</t>
  </si>
  <si>
    <t>Camping de Bergougne</t>
  </si>
  <si>
    <t>Lot-et-Garonne</t>
  </si>
  <si>
    <t>Domaine naturiste de Chaudeau</t>
  </si>
  <si>
    <t>Camping FONTAINE DU ROC</t>
  </si>
  <si>
    <t>Flower Camping Le Lac aux Oiseaux</t>
  </si>
  <si>
    <t>Camping Les Bords du Tarn</t>
  </si>
  <si>
    <t>Camping LA MUSE</t>
  </si>
  <si>
    <t>Camping Canoë Gorges Du Tarn</t>
  </si>
  <si>
    <t>Camping Beau-Rivage</t>
  </si>
  <si>
    <t>Camping BELLERIVE</t>
  </si>
  <si>
    <t>Camping Seasonova Les Rives d'Olt et Aubrac</t>
  </si>
  <si>
    <t>LE PAS DE L'OURS</t>
  </si>
  <si>
    <t>Ariège</t>
  </si>
  <si>
    <t>Camping DU LAC</t>
  </si>
  <si>
    <t>Camping Les 4 Saisons</t>
  </si>
  <si>
    <t>Camping PARC DE PALETES</t>
  </si>
  <si>
    <t>Camping SEDOUR</t>
  </si>
  <si>
    <t>Flower Camping LA BEXANELLE</t>
  </si>
  <si>
    <t>Domaine du Lac de Neguenou</t>
  </si>
  <si>
    <t>Camping la Prade</t>
  </si>
  <si>
    <t>Tarn</t>
  </si>
  <si>
    <t>Camping Des 3 Lacs</t>
  </si>
  <si>
    <t>Camping la Provençale</t>
  </si>
  <si>
    <t>Flower Camping Le Soleil des Bastides</t>
  </si>
  <si>
    <t>Camping Les Pommiers SAS BEBECHE</t>
  </si>
  <si>
    <t xml:space="preserve">Camping  de Rousieux</t>
  </si>
  <si>
    <t>Camping les Monts d'Albi</t>
  </si>
  <si>
    <t>Camping MOULIN DE BIDOUNET</t>
  </si>
  <si>
    <t>Tarn-et-Garonne</t>
  </si>
  <si>
    <t>Camping écovillage SOLEIL DU PIBESTE</t>
  </si>
  <si>
    <t xml:space="preserve"> AZUN NATURE Chalets-Camping &amp; Spa</t>
  </si>
  <si>
    <t>Camping Le Pain de Sucre</t>
  </si>
  <si>
    <t>Camping LE RUISSEAU</t>
  </si>
  <si>
    <t>Camping LA BOURIE</t>
  </si>
  <si>
    <t>Camping La Forêt</t>
  </si>
  <si>
    <t>Camping LE VIEUX BERGER</t>
  </si>
  <si>
    <t>Camping LE HOUNTA</t>
  </si>
  <si>
    <t>Sites et Paysages Pyrénévasion</t>
  </si>
  <si>
    <t>Camping PRE FIXE</t>
  </si>
  <si>
    <t>Camping LES VIOLETTES</t>
  </si>
  <si>
    <t>Flower Camping Du Lac De Thésauque</t>
  </si>
  <si>
    <t>Camping Pradelongue</t>
  </si>
  <si>
    <t>Camping RIVIERE DE CABESSUT</t>
  </si>
  <si>
    <t>Lot</t>
  </si>
  <si>
    <t>Flower Camping l'Escale du Perthuis</t>
  </si>
  <si>
    <t>Camping LES CHENES CLAIRS</t>
  </si>
  <si>
    <t>Camping Domaine Le Quercy</t>
  </si>
  <si>
    <t>Camping LA RIVIERE</t>
  </si>
  <si>
    <t>Camping du PIGEONNIER</t>
  </si>
  <si>
    <t>Camping LA VERTE RIVE</t>
  </si>
  <si>
    <t>CAMPING DE LA SOLE</t>
  </si>
  <si>
    <t>Domaine Naturiste Le Clos Barrat</t>
  </si>
  <si>
    <t>Camping Les Rochers des Parcs</t>
  </si>
  <si>
    <t>Calvados</t>
  </si>
  <si>
    <t>Camping LES GRANGES</t>
  </si>
  <si>
    <t>Sunêlia Mas de Nicolas</t>
  </si>
  <si>
    <t>Bouches-du-Rhône</t>
  </si>
  <si>
    <t>Camping Jardins de Kergal</t>
  </si>
  <si>
    <t>Camping La Pineda de Salou</t>
  </si>
  <si>
    <t>Camping de la Liez</t>
  </si>
  <si>
    <t>Haute-Marne</t>
  </si>
  <si>
    <t>Camping Sandaya L'Escale Saint Gilles</t>
  </si>
  <si>
    <t>Siblu – Le Conguel</t>
  </si>
  <si>
    <t>Camping Homair - Les Menhirs</t>
  </si>
  <si>
    <t>Camping Homair - Moulin de Kermaux</t>
  </si>
  <si>
    <t>Camping de la Baie</t>
  </si>
  <si>
    <t>Camping DOMAINE D'INLY</t>
  </si>
  <si>
    <t>RCN Port L'Epine</t>
  </si>
  <si>
    <t>ROMANEE Kervilor</t>
  </si>
  <si>
    <t>Camping de la Plage</t>
  </si>
  <si>
    <t>Camping Ecologique le Lac O Fées</t>
  </si>
  <si>
    <t>Camping Le Bon Coin</t>
  </si>
  <si>
    <t>Camping Tikayan La Bergerie Plage</t>
  </si>
  <si>
    <t>Camping Site de Gorge Vent</t>
  </si>
  <si>
    <t>Flower Camping le Dolium</t>
  </si>
  <si>
    <t>Camping LIZOE</t>
  </si>
  <si>
    <t>Camping Rodas</t>
  </si>
  <si>
    <t>Camping Lloret Blau</t>
  </si>
  <si>
    <t>Auberge &amp; Camping Sabatoux</t>
  </si>
  <si>
    <t>Haute-Loire</t>
  </si>
  <si>
    <t>Camping Les Restanques</t>
  </si>
  <si>
    <t>Chadotel Les Jardins Catalans</t>
  </si>
  <si>
    <t>Camping du Bel Air</t>
  </si>
  <si>
    <t>Camping Lacasa by Corsica Paradise</t>
  </si>
  <si>
    <t>Corse-du-Sud</t>
  </si>
  <si>
    <t>Camping Ecoresponsable Le Rêve</t>
  </si>
  <si>
    <t>Camping Village Costa Verde</t>
  </si>
  <si>
    <t>Marches</t>
  </si>
  <si>
    <t>Macerata</t>
  </si>
  <si>
    <t>Hermitage des Dunes</t>
  </si>
  <si>
    <t>Résidences &amp; Camping Le Napoléon</t>
  </si>
  <si>
    <t>Camping Clair Matin</t>
  </si>
  <si>
    <t>Camping Le Colporteur</t>
  </si>
  <si>
    <t>Camping Le Château de Rochetaillée</t>
  </si>
  <si>
    <t>Camping Harrobia</t>
  </si>
  <si>
    <t>Camping Belvédère de l'Obiou</t>
  </si>
  <si>
    <t>Camping Duna Munguy</t>
  </si>
  <si>
    <t>Flower Camping Ser Sirant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</si>
  <si>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</si>
  <si>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</si>
  <si>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</si>
  <si>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</si>
  <si>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</si>
  <si>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</si>
  <si>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</si>
  <si>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</si>
  <si>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</si>
  <si>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</si>
  <si>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</si>
  <si>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</si>
  <si>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</si>
  <si>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</si>
  <si>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</si>
  <si>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Jura</t>
  </si>
  <si>
    <t>Camping La Playa Ibiza</t>
  </si>
  <si>
    <t>Îles Baléares</t>
  </si>
  <si>
    <t>UNKNOWN</t>
  </si>
  <si>
    <t>Camping Sunêlia Villaggio dei Fiori</t>
  </si>
  <si>
    <t>Villaggio Turistico Pian dei Boschi</t>
  </si>
  <si>
    <t>Camping Sunêlia Les Places Dorées</t>
  </si>
  <si>
    <t>Camping Sandaya L'Orée du Bois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</si>
  <si>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</si>
  <si>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</si>
  <si>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</si>
  <si>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</si>
  <si>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Le Saint Martin</t>
  </si>
  <si>
    <t>Siblu – Les Viviers</t>
  </si>
  <si>
    <t>Camping &amp; Spa Airotel L'Océan</t>
  </si>
  <si>
    <t>Airotel Camping LES GROS JONCS</t>
  </si>
  <si>
    <t xml:space="preserve">Camping Club Le Trianon - MS Vacances </t>
  </si>
  <si>
    <t>Camping Etang des Haizes</t>
  </si>
  <si>
    <t>Camping La Nouzarède</t>
  </si>
  <si>
    <t>Camping AR KLEGUER</t>
  </si>
  <si>
    <t>Camping Ohana</t>
  </si>
  <si>
    <t>Camping Le Domaine de Champé</t>
  </si>
  <si>
    <t>Camping Catalan</t>
  </si>
  <si>
    <t>Camping Europe</t>
  </si>
  <si>
    <t>Camping La Sirène</t>
  </si>
  <si>
    <t>Camping Les Tulipes</t>
  </si>
  <si>
    <t>Camping LA VIEILLE FERME</t>
  </si>
  <si>
    <t>Camping Le Rhône</t>
  </si>
  <si>
    <t>Camping LA BELLE ETOILE</t>
  </si>
  <si>
    <t>Seine-et-Marne</t>
  </si>
  <si>
    <t>Camping Côté Plage</t>
  </si>
  <si>
    <t>Camping Cala Gogo</t>
  </si>
  <si>
    <t>Camping de l'Océan</t>
  </si>
  <si>
    <t>Camping Seasonova Saint Michel</t>
  </si>
  <si>
    <t>Camping les Fontaines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</si>
  <si>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</si>
  <si>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</si>
  <si>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</si>
  <si>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</si>
  <si>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</si>
  <si>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</si>
  <si>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</si>
  <si>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</si>
  <si>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Les Nysades</t>
  </si>
  <si>
    <t>Yukadi Village Le Moteno</t>
  </si>
  <si>
    <t>Camping Village Rocchette</t>
  </si>
  <si>
    <t>Toscane</t>
  </si>
  <si>
    <t>Grosseto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</si>
  <si>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</si>
  <si>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</si>
  <si>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</si>
  <si>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</si>
  <si>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</si>
  <si>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</si>
  <si>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</si>
  <si>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</si>
  <si>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</si>
  <si>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</si>
  <si>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</si>
  <si>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Altomira</t>
  </si>
  <si>
    <t>Communauté Valencienne</t>
  </si>
  <si>
    <t>Castellón</t>
  </si>
  <si>
    <t>Homair - Domaine de Soleil Plage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</si>
  <si>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</si>
  <si>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</si>
  <si>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</si>
  <si>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</si>
  <si>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</si>
  <si>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</si>
  <si>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</si>
  <si>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</si>
  <si>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</si>
  <si>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</si>
  <si>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</si>
  <si>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</si>
  <si>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</si>
  <si>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</si>
  <si>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</si>
  <si>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</si>
  <si>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</si>
  <si>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</si>
  <si>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</si>
  <si>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</si>
  <si>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</si>
  <si>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</si>
  <si>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Camping Homair - Verdon Parc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</si>
  <si>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</si>
  <si>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</si>
  <si>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</si>
  <si>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</si>
  <si>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</si>
  <si>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</si>
  <si>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Domaine des Chênes</t>
  </si>
  <si>
    <t>Camping Les Coudoulets</t>
  </si>
  <si>
    <t>Camping Nostradamus</t>
  </si>
  <si>
    <t>Flower Camping Vitamin</t>
  </si>
  <si>
    <t>Camping U Casone</t>
  </si>
  <si>
    <t>Camping Les Jardins de l'Atlantique</t>
  </si>
  <si>
    <t xml:space="preserve">YELLOH! VILLAGE -  LA POMME DE PIN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</si>
  <si>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</si>
  <si>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</si>
  <si>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</si>
  <si>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</si>
  <si>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</si>
  <si>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</si>
  <si>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</si>
  <si>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Panoramico Fiesole</t>
  </si>
  <si>
    <t>Camping Campix</t>
  </si>
  <si>
    <t>Oise</t>
  </si>
  <si>
    <t>Camping Bagatelle</t>
  </si>
  <si>
    <t>Camping Du Vieux Château</t>
  </si>
  <si>
    <t>CAMPING ISERAND CALME et NATURE***</t>
  </si>
  <si>
    <t>Camping Les Routes de Provence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</si>
  <si>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</si>
  <si>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</si>
  <si>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</si>
  <si>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</si>
  <si>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</si>
  <si>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</si>
  <si>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</si>
  <si>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</si>
  <si>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</si>
  <si>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</si>
  <si>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</si>
  <si>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</si>
  <si>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Flower Camping Les Rives de l'Aygues</t>
  </si>
  <si>
    <t>Camping de L'Etang du Merle</t>
  </si>
  <si>
    <t>Nièvre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</si>
  <si>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</si>
  <si>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</si>
  <si>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</si>
  <si>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</si>
  <si>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</si>
  <si>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</si>
  <si>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</si>
  <si>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</si>
  <si>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</si>
  <si>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</si>
  <si>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</si>
  <si>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</si>
  <si>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</si>
  <si>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</si>
  <si>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</si>
  <si>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Cala llevado - Sea Green by Sunêlia</t>
  </si>
  <si>
    <t>Camping les Embruns</t>
  </si>
  <si>
    <t>Camping Val Rendena</t>
  </si>
  <si>
    <t>Camping Sandaya Les Tamaris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</si>
  <si>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</si>
  <si>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</si>
  <si>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</si>
  <si>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</si>
  <si>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</si>
  <si>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LA GARENNE</t>
  </si>
  <si>
    <t>Camping CAVALLO MORTO</t>
  </si>
  <si>
    <t>Camping Sandaya Île Des Papes</t>
  </si>
  <si>
    <t>Camping Les Sous Bois du Lac</t>
  </si>
  <si>
    <t>Camping Le Royannais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</si>
  <si>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</si>
  <si>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</si>
  <si>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</si>
  <si>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</si>
  <si>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</si>
  <si>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Campasun Camping Du Soleil</t>
  </si>
  <si>
    <t>Camping Rose de Provence VERDON</t>
  </si>
  <si>
    <t>Camping Le Moulin</t>
  </si>
  <si>
    <t>Camping Frédéric Mistral</t>
  </si>
  <si>
    <t>Camping Notre Dame</t>
  </si>
  <si>
    <t>Flower Camping de Mars</t>
  </si>
  <si>
    <t>Loire</t>
  </si>
  <si>
    <t>Camping naturiste Verdon Provence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</si>
  <si>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</si>
  <si>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</si>
  <si>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</si>
  <si>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</si>
  <si>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</si>
  <si>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</si>
  <si>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</si>
  <si>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</si>
  <si>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</si>
  <si>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</si>
  <si>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</si>
  <si>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</si>
  <si>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</si>
  <si>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</si>
  <si>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</si>
  <si>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</si>
  <si>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</si>
  <si>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</si>
  <si>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</si>
  <si>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</si>
  <si>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</si>
  <si>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</si>
  <si>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</si>
  <si>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</si>
  <si>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</si>
  <si>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</si>
  <si>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de Graniers</t>
  </si>
  <si>
    <t>Camping Le Tampico</t>
  </si>
  <si>
    <t>La Rocca Camping</t>
  </si>
  <si>
    <t>Camping Kerlaz</t>
  </si>
  <si>
    <t>Flower Camping Domaine de Pendruc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</si>
  <si>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</si>
  <si>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</si>
  <si>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</si>
  <si>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</si>
  <si>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</si>
  <si>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- Caravaning Les Peupliers</t>
  </si>
  <si>
    <t>Camping Village Spinnaker</t>
  </si>
  <si>
    <t>Sardaigne</t>
  </si>
  <si>
    <t>Oristano</t>
  </si>
  <si>
    <t>Camping COUDERC</t>
  </si>
  <si>
    <t>Papillon Country Resort</t>
  </si>
  <si>
    <t>Pays-Bas</t>
  </si>
  <si>
    <t>Overijssel</t>
  </si>
  <si>
    <t>Vakantiepark Witterzomer</t>
  </si>
  <si>
    <t>Drenthe</t>
  </si>
  <si>
    <t>Flower Camping Le Pont du Tarn</t>
  </si>
  <si>
    <t>Les Méditerranées - Camping Beach Garden</t>
  </si>
  <si>
    <t>Camping Les CERISIERS - Hôtel le Vallon</t>
  </si>
  <si>
    <t>Camping Les Osiers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</si>
  <si>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</si>
  <si>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</si>
  <si>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</si>
  <si>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</si>
  <si>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</si>
  <si>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</si>
  <si>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</si>
  <si>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</si>
  <si>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</si>
  <si>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</si>
  <si>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</si>
  <si>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</si>
  <si>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</si>
  <si>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</si>
  <si>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</si>
  <si>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</si>
  <si>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</si>
  <si>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</si>
  <si>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</si>
  <si>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</si>
  <si>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</si>
  <si>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</si>
  <si>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</si>
  <si>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Camping Les Tilleuls</t>
  </si>
  <si>
    <t>Camping Naturiste Les Manoques</t>
  </si>
  <si>
    <t>Delftse Hout</t>
  </si>
  <si>
    <t>Camping Beauregard</t>
  </si>
  <si>
    <t>YELLOH! VILLAGE - Camping Plage du Dramont</t>
  </si>
  <si>
    <t>Mini-Camping en Kloostertuin Werendijke</t>
  </si>
  <si>
    <t>Zélande</t>
  </si>
  <si>
    <t>Camping Oos Heem</t>
  </si>
  <si>
    <t>Camping Le BeauVezé ****</t>
  </si>
  <si>
    <t>Camping Sierra de Albarracín "Las Corralizas 1.727m"</t>
  </si>
  <si>
    <t>Aragon</t>
  </si>
  <si>
    <t>Teruel</t>
  </si>
  <si>
    <t>Flower Camping Le Jardin de Sully</t>
  </si>
  <si>
    <t>Loiret</t>
  </si>
  <si>
    <t>Chadotel L'Océano d'Or</t>
  </si>
  <si>
    <t>Camping Kerscolper</t>
  </si>
  <si>
    <t>Le Moulin de Sainte Anne</t>
  </si>
  <si>
    <t>Aude</t>
  </si>
  <si>
    <t>De Schatberg</t>
  </si>
  <si>
    <t>Limbourg</t>
  </si>
  <si>
    <t>Camping La Plage de Treguer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</si>
  <si>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</si>
  <si>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</si>
  <si>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</si>
  <si>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</si>
  <si>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</si>
  <si>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</si>
  <si>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</si>
  <si>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LES SOURCES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</si>
  <si>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</si>
  <si>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</si>
  <si>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</si>
  <si>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</si>
  <si>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</si>
  <si>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Camping Joan - Bungalow Park</t>
  </si>
  <si>
    <t>Camping Mirabel Les Prairies de la Mer</t>
  </si>
  <si>
    <t>Camping Sunêlia Les Sablons</t>
  </si>
  <si>
    <t>Siblu – Les Sables du Midi</t>
  </si>
  <si>
    <t>Camping du lac d'Aydat</t>
  </si>
  <si>
    <t>Camping Sandaya Les Péneyrals</t>
  </si>
  <si>
    <t>Camping Mirabel La Baie de Cayola</t>
  </si>
  <si>
    <t>CAMPING LE PARC</t>
  </si>
  <si>
    <t>Camping Les Pins de la Coubre</t>
  </si>
  <si>
    <t>Relais de la Sarvaz</t>
  </si>
  <si>
    <t>Suisse</t>
  </si>
  <si>
    <t>Valais</t>
  </si>
  <si>
    <t>Martigny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</si>
  <si>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</si>
  <si>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</si>
  <si>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</si>
  <si>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</si>
  <si>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</si>
  <si>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</si>
  <si>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</si>
  <si>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Piccola Gardiola</t>
  </si>
  <si>
    <t>Lombardie</t>
  </si>
  <si>
    <t>Brescia</t>
  </si>
  <si>
    <t>Domaine du Lac de Champos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</si>
  <si>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</si>
  <si>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</si>
  <si>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</si>
  <si>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</si>
  <si>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</si>
  <si>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</si>
  <si>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</si>
  <si>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</si>
  <si>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</si>
  <si>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am Drewensee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</si>
  <si>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</si>
  <si>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</si>
  <si>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</si>
  <si>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</si>
  <si>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</si>
  <si>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</si>
  <si>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</si>
  <si>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</si>
  <si>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</si>
  <si>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</si>
  <si>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</si>
  <si>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</si>
  <si>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</si>
  <si>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La Pinède en Provence</t>
  </si>
  <si>
    <t>Kamp Koren</t>
  </si>
  <si>
    <t>Slovénie</t>
  </si>
  <si>
    <t>Goriška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</si>
  <si>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</si>
  <si>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</si>
  <si>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</si>
  <si>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</si>
  <si>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</si>
  <si>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</si>
  <si>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</si>
  <si>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Les Cigales</t>
  </si>
  <si>
    <t>CAMPING DE L'ARCHE</t>
  </si>
  <si>
    <t>Camping la Charderie</t>
  </si>
  <si>
    <t>Camping Les Arches</t>
  </si>
  <si>
    <t>CAMPING LE VIEUX VALLON</t>
  </si>
  <si>
    <t>Ushuaïa Villages - Camping Le Viaduc ***</t>
  </si>
  <si>
    <t>Camping Les Lavandes</t>
  </si>
  <si>
    <t>Camping du Pont</t>
  </si>
  <si>
    <t>Camping Le Barutel</t>
  </si>
  <si>
    <t>Camping Le Clapas</t>
  </si>
  <si>
    <t>CAMPING DE BELOS</t>
  </si>
  <si>
    <t>Camping Kautenbach</t>
  </si>
  <si>
    <t>Canton Wiltz</t>
  </si>
  <si>
    <t>Camping Les Sables</t>
  </si>
  <si>
    <t>Camping Il Rospo</t>
  </si>
  <si>
    <t>Gênes</t>
  </si>
  <si>
    <t>Baia Holiday San Nicola</t>
  </si>
  <si>
    <t>Camping Les Rives de l'Ardèche</t>
  </si>
  <si>
    <t>Camping Sunêlia Mazet-Plage</t>
  </si>
  <si>
    <t>Camp des Gorges | Camping Nature ***</t>
  </si>
  <si>
    <t>Camping Aloha Plage****</t>
  </si>
  <si>
    <t>Camping LE CARPENTY</t>
  </si>
  <si>
    <t>Camping Sandaya La Roubine</t>
  </si>
  <si>
    <t>Komfortcamp KlüthseeCamp und Naturcamp Seeblick</t>
  </si>
  <si>
    <t>Schleswig-Holstein</t>
  </si>
  <si>
    <t>Camping Park Soline</t>
  </si>
  <si>
    <t>Croatie</t>
  </si>
  <si>
    <t>Comitat de Zadar</t>
  </si>
  <si>
    <t>Camping dei Fiori</t>
  </si>
  <si>
    <t>Flower Camping des Vallées</t>
  </si>
  <si>
    <t>Baia Holiday Isuledda</t>
  </si>
  <si>
    <t>Sassari</t>
  </si>
  <si>
    <t>Camping Sandaya Soustons Village</t>
  </si>
  <si>
    <t>Castelwood</t>
  </si>
  <si>
    <t>Camping LES 2 VALLÉES</t>
  </si>
  <si>
    <t>Camping Le Bois Fleuri</t>
  </si>
  <si>
    <t>Eure-et-Loir</t>
  </si>
  <si>
    <t>Les Hameaux des Marines - Terres de France</t>
  </si>
  <si>
    <t>Camping Sandaya Lac De Sanguinet</t>
  </si>
  <si>
    <t>Siblu - Les Oyats</t>
  </si>
  <si>
    <t>Flower Camping Le Pressoir</t>
  </si>
  <si>
    <t>Camping Les Rives du Loup</t>
  </si>
  <si>
    <t>Camping Kost-Ar-Moor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</si>
  <si>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</si>
  <si>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</si>
  <si>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</si>
  <si>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</si>
  <si>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</si>
  <si>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</si>
  <si>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</si>
  <si>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</si>
  <si>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</si>
  <si>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</si>
  <si>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</si>
  <si>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</si>
  <si>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</si>
  <si>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</si>
  <si>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</si>
  <si>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</si>
  <si>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</si>
  <si>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</si>
  <si>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</si>
  <si>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</si>
  <si>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Camping Homair - Saint Avit Loisirs</t>
  </si>
  <si>
    <t>Village La Rivière Fleurie</t>
  </si>
  <si>
    <t>Camping Champ Tillet</t>
  </si>
  <si>
    <t>Camping Chadeyron</t>
  </si>
  <si>
    <t>Camping montagne des Vosges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</si>
  <si>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</si>
  <si>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</si>
  <si>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</si>
  <si>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</si>
  <si>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</si>
  <si>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</si>
  <si>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</si>
  <si>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Camping Sandaya Riviera d'Azur</t>
  </si>
  <si>
    <t>Camping Leï Suves</t>
  </si>
  <si>
    <t>Au Bois de Calais</t>
  </si>
  <si>
    <t>Camp du Domaine</t>
  </si>
  <si>
    <t>Camping Les Parcs</t>
  </si>
  <si>
    <t>CAMPING LA BASTIDE</t>
  </si>
  <si>
    <t>Camping Le Perpetuum</t>
  </si>
  <si>
    <t>Camping La Bouysse</t>
  </si>
  <si>
    <t>Huttopia Sarlat</t>
  </si>
  <si>
    <t>Camping La Peyrugue</t>
  </si>
  <si>
    <t>Camping Paradis l'Escapade</t>
  </si>
  <si>
    <t>Camping Le Pech de Caumont</t>
  </si>
  <si>
    <t>Ushuaïa Villages - Camping les Poutiroux ****</t>
  </si>
  <si>
    <t>Le Moulin de Surier - MAEVA Respire</t>
  </si>
  <si>
    <t>Camping Le Parc</t>
  </si>
  <si>
    <t>Camping Le Port de Limeuil</t>
  </si>
  <si>
    <t xml:space="preserve">Sites et Paysages Domaine de  La Grande Veyière</t>
  </si>
  <si>
    <t>Domaine de Loisirs Le Montant</t>
  </si>
  <si>
    <t>Camping La Butte</t>
  </si>
  <si>
    <t>Camping L'Offrerie</t>
  </si>
  <si>
    <t>Camping Les Jardins de l'Abbaye</t>
  </si>
  <si>
    <t>Camping Au Fil de l'Eau</t>
  </si>
  <si>
    <t>Camping L'Agrion Bleu</t>
  </si>
  <si>
    <t>Gaia Ecolodge</t>
  </si>
  <si>
    <t>Camping Le Plein Air Neuvicois</t>
  </si>
  <si>
    <t>Camping La Ripole</t>
  </si>
  <si>
    <t>Camping Le Domaine du Bois Coquet</t>
  </si>
  <si>
    <t>Les Cottages en Périgord</t>
  </si>
  <si>
    <t>Camping Lestaubière</t>
  </si>
  <si>
    <t>Le Plein Air des Bories</t>
  </si>
  <si>
    <t xml:space="preserve">CAMPING DU PONT DE VICQ 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</si>
  <si>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</si>
  <si>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</si>
  <si>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</si>
  <si>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</si>
  <si>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</si>
  <si>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</si>
  <si>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</si>
  <si>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</si>
  <si>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</si>
  <si>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</si>
  <si>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Cascades</t>
  </si>
  <si>
    <t>CAMPING VORAPARC</t>
  </si>
  <si>
    <t>Camping Le Moulin de Cantizac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</si>
  <si>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</si>
  <si>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</si>
  <si>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</si>
  <si>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</si>
  <si>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</si>
  <si>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</si>
  <si>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au Bord de l'Aisne</t>
  </si>
  <si>
    <t>Camping Les Fougères - Le Domaine du Marais</t>
  </si>
  <si>
    <t>Baia Holiday Laguna Blu</t>
  </si>
  <si>
    <t>Camping les 3 Sablières</t>
  </si>
  <si>
    <t>Château de Lacomté</t>
  </si>
  <si>
    <t>Camping Les Dunes</t>
  </si>
  <si>
    <t>Camping Port Pothuau</t>
  </si>
  <si>
    <t>Camping Tikayan Domaine du Golfe de Saint Tropez</t>
  </si>
  <si>
    <t>Flower Camping Orly d'Azur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</si>
  <si>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</si>
  <si>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</si>
  <si>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</si>
  <si>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</si>
  <si>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</si>
  <si>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</si>
  <si>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Camping Liesbos</t>
  </si>
  <si>
    <t>Camping de Zeehoeve</t>
  </si>
  <si>
    <t>Frise</t>
  </si>
  <si>
    <t>Camping des Neiges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</si>
  <si>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</si>
  <si>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</si>
  <si>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</si>
  <si>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</si>
  <si>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</si>
  <si>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</si>
  <si>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du Chatelet</t>
  </si>
  <si>
    <t>Nibelungen-Camping Am Schwimmbad</t>
  </si>
  <si>
    <t>Hesse</t>
  </si>
  <si>
    <t>Camping Le Clou</t>
  </si>
  <si>
    <t>Camping Les Airelles</t>
  </si>
  <si>
    <t>Camping La Salvinie</t>
  </si>
  <si>
    <t>Chadotel Le Roussillon</t>
  </si>
  <si>
    <t>Camping Edy</t>
  </si>
  <si>
    <t>Il Villaggio di Giuele - Eurocamping Calvisio</t>
  </si>
  <si>
    <t>Flower Camping La Dordogne Verte</t>
  </si>
  <si>
    <t>Camping Maremma Sans Souci</t>
  </si>
  <si>
    <t>Flower Camping Lou Cabasson</t>
  </si>
  <si>
    <t>Camping Le Bosquet</t>
  </si>
  <si>
    <t>Camping Mare Monti</t>
  </si>
  <si>
    <t>Camping La Farigoulette</t>
  </si>
  <si>
    <t>Camping Seasonova La Forêt</t>
  </si>
  <si>
    <t>Campeggio Smeraldo</t>
  </si>
  <si>
    <t>Camping Village Baia Azzurra</t>
  </si>
  <si>
    <t>Arden Parks Baalse Hei</t>
  </si>
  <si>
    <t>Anvers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</si>
  <si>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</si>
  <si>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</si>
  <si>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</si>
  <si>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</si>
  <si>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</si>
  <si>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</si>
  <si>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</si>
  <si>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</si>
  <si>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</si>
  <si>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</si>
  <si>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</si>
  <si>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</si>
  <si>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Les Tournesols</t>
  </si>
  <si>
    <t>Camping 't Weergors</t>
  </si>
  <si>
    <t>Camping MARINA PLAGE</t>
  </si>
  <si>
    <t>Camping Onlycamp Port Sainte Marie</t>
  </si>
  <si>
    <t>Camping &amp; Resort Sangulí Salou</t>
  </si>
  <si>
    <t>Camping des Alouettes</t>
  </si>
  <si>
    <t>Haute-Vienne</t>
  </si>
  <si>
    <t>Camping LANDES BLEUES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</si>
  <si>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</si>
  <si>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</si>
  <si>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</si>
  <si>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</si>
  <si>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</si>
  <si>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</si>
  <si>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</si>
  <si>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</si>
  <si>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Gueldre</t>
  </si>
  <si>
    <t>Camping Sandaya Cypsela Resort</t>
  </si>
  <si>
    <t>RCN Vakantiepark het Grote Bos</t>
  </si>
  <si>
    <t>Utrecht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</si>
  <si>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</si>
  <si>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</si>
  <si>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</si>
  <si>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</si>
  <si>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</si>
  <si>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</si>
  <si>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</si>
  <si>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Domein de Schuur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</si>
  <si>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</si>
  <si>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</si>
  <si>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</si>
  <si>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</si>
  <si>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</si>
  <si>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Gaytal Camping Koerperich</t>
  </si>
  <si>
    <t>Rhénanie-Palatinat</t>
  </si>
  <si>
    <t>Siblu – Bonne Anse Plage</t>
  </si>
  <si>
    <t>Siblu – Le Bois Masson</t>
  </si>
  <si>
    <t>Camping Le Garrigon</t>
  </si>
  <si>
    <t>Val de Landrouet</t>
  </si>
  <si>
    <t>Camping Tikayan Le Méditerranée</t>
  </si>
  <si>
    <t>Camping Les P'tites Maisons dans la Prairie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</si>
  <si>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</si>
  <si>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</si>
  <si>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</si>
  <si>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</si>
  <si>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</si>
  <si>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</si>
  <si>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Camping du Viaduc</t>
  </si>
  <si>
    <t>Camping APV Plijadur</t>
  </si>
  <si>
    <t>Camping Les Peupliers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</si>
  <si>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</si>
  <si>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</si>
  <si>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</si>
  <si>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</si>
  <si>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</si>
  <si>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Les Ephélides</t>
  </si>
  <si>
    <t>Camping Villaggio Europa Silvella</t>
  </si>
  <si>
    <t>Camping La Frétille</t>
  </si>
  <si>
    <t>Huttopia Arcachon</t>
  </si>
  <si>
    <t>Camping Le Brégoux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</si>
  <si>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</si>
  <si>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</si>
  <si>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</si>
  <si>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</si>
  <si>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</si>
  <si>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</si>
  <si>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</si>
  <si>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</si>
  <si>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 CABELLOU PLAGE*****</t>
  </si>
  <si>
    <t>Camping La Clé de Saône</t>
  </si>
  <si>
    <t>Saône-et-Loire</t>
  </si>
  <si>
    <t>Domaine des Chênes Blancs</t>
  </si>
  <si>
    <t>Camping Les Moulettes</t>
  </si>
  <si>
    <t>Camping La Brande</t>
  </si>
  <si>
    <t>Camping La Paoute</t>
  </si>
  <si>
    <t>Camping Baie de Saint Pol</t>
  </si>
  <si>
    <t>Camping de la Pelouse</t>
  </si>
  <si>
    <t>Le Petit Trianon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</si>
  <si>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</si>
  <si>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</si>
  <si>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</si>
  <si>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</si>
  <si>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</si>
  <si>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Les Roches</t>
  </si>
  <si>
    <t>Camping Sandaya Deux Fontaines</t>
  </si>
  <si>
    <t>Camping De La Côte</t>
  </si>
  <si>
    <t>Camping Les Terrasses de Bertheaume</t>
  </si>
  <si>
    <t>Le Haut Chandelalar</t>
  </si>
  <si>
    <t>Camping Les Acacias</t>
  </si>
  <si>
    <t>Camping Seasonova Vesoul</t>
  </si>
  <si>
    <t>Haute-Saône</t>
  </si>
  <si>
    <t>Camping Lou Pantaï</t>
  </si>
  <si>
    <t>Flower Camping l'Ile des Trois Rois</t>
  </si>
  <si>
    <t>Camping Pegomas</t>
  </si>
  <si>
    <t>Camping Le Village du Port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</si>
  <si>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</si>
  <si>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</si>
  <si>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</si>
  <si>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</si>
  <si>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</si>
  <si>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</si>
  <si>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</si>
  <si>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de la Baie de Somme</t>
  </si>
  <si>
    <t>Camping Ommerland</t>
  </si>
  <si>
    <t>Camping ERREKA - Sea Green by Sunêlia</t>
  </si>
  <si>
    <t>Camping Sandaya La Barque</t>
  </si>
  <si>
    <t>Huttopia Fontvieille</t>
  </si>
  <si>
    <t>Camping Le Parc de Vaux</t>
  </si>
  <si>
    <t>Mayenne</t>
  </si>
  <si>
    <t>Les Pirates de Carnac</t>
  </si>
  <si>
    <t>Bontempo Village Piriac</t>
  </si>
  <si>
    <t>CAMPING LES TRUFFIERES***</t>
  </si>
  <si>
    <t>YELLOH VILLAGE La Plage Fleurie</t>
  </si>
  <si>
    <t>Camping La Source</t>
  </si>
  <si>
    <t>Camping Les Fontaines</t>
  </si>
  <si>
    <t>Camping du Théâtre Romain</t>
  </si>
  <si>
    <t>Château des Tilleuls</t>
  </si>
  <si>
    <t>Camping Belle Roche</t>
  </si>
  <si>
    <t>Camping La Sierrecilla</t>
  </si>
  <si>
    <t>Camping de Contrexeville</t>
  </si>
  <si>
    <t>Flower Camping La Chênaie</t>
  </si>
  <si>
    <t>Camping Le Hameau des Champs</t>
  </si>
  <si>
    <t>Castel Camping Domaine de La Bien-Assise</t>
  </si>
  <si>
    <t>Pas-de-Calais</t>
  </si>
  <si>
    <t>Camping de La Roche Percée</t>
  </si>
  <si>
    <t>Camping Lou Paradou</t>
  </si>
  <si>
    <t>Camping La Berge Fleurie</t>
  </si>
  <si>
    <t>Camping Les Castors</t>
  </si>
  <si>
    <t xml:space="preserve">Camping Le Panoramique </t>
  </si>
  <si>
    <t>Camping Le Ranch</t>
  </si>
  <si>
    <t>Chadotel La Dune des Sables</t>
  </si>
  <si>
    <t>CAMPING YELLOH! VILLAGE LA CAPRICIEUSE</t>
  </si>
  <si>
    <t>Camping Sandaya Le Kerou</t>
  </si>
  <si>
    <t>Camping La Ferme de Bouzencourt</t>
  </si>
  <si>
    <t>Camping Bois de Gravière</t>
  </si>
  <si>
    <t>Camping du Mettey****</t>
  </si>
  <si>
    <t>MIRAMARE Village - Apartments - Camping</t>
  </si>
  <si>
    <t>Livorno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</si>
  <si>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</si>
  <si>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</si>
  <si>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</si>
  <si>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</si>
  <si>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</si>
  <si>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</si>
  <si>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</si>
  <si>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</si>
  <si>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</si>
  <si>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</si>
  <si>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</si>
  <si>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Flower Camping Le Martinet Rouge</t>
  </si>
  <si>
    <t>Chadotel Le Trivoly</t>
  </si>
  <si>
    <t>Camping Isábena</t>
  </si>
  <si>
    <t>Huesca</t>
  </si>
  <si>
    <t>Camping de L'Ile Verte</t>
  </si>
  <si>
    <t>Camping de Kernéjeune</t>
  </si>
  <si>
    <t>Parc Saint Sauvayre</t>
  </si>
  <si>
    <t>Domaine des BLACHAS</t>
  </si>
  <si>
    <t>CAMPING LES PLATANES</t>
  </si>
  <si>
    <t>Camping Smile et Braudières</t>
  </si>
  <si>
    <t>Camping de l'Ardèche ***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</si>
  <si>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</si>
  <si>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</si>
  <si>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</si>
  <si>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</si>
  <si>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</si>
  <si>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</si>
  <si>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de la Treille</t>
  </si>
  <si>
    <t>Camping de Montréal</t>
  </si>
  <si>
    <t>Camping Goyetchea</t>
  </si>
  <si>
    <t>Camping La Fontaine du Hallate en Morbihan</t>
  </si>
  <si>
    <t xml:space="preserve">Plein Air Locations - Camping  Acapulco</t>
  </si>
  <si>
    <t>Camping Mauvallon 2 Cap Garonne</t>
  </si>
  <si>
    <t>Camping le Grand Cerf</t>
  </si>
  <si>
    <t>Camping Le Floride</t>
  </si>
  <si>
    <t>Flower Camping Le Port de Neuvic</t>
  </si>
  <si>
    <t>Camping Park Er Lann ***</t>
  </si>
  <si>
    <t>Tiliguerta Glamping &amp; Camping Village</t>
  </si>
  <si>
    <t>Sud Sardegna</t>
  </si>
  <si>
    <t>Camping Les Eychecadous</t>
  </si>
  <si>
    <t>CAMPING DE LA ROUVRE</t>
  </si>
  <si>
    <t>Orne</t>
  </si>
  <si>
    <t>Camping Delle Rose</t>
  </si>
  <si>
    <t>Sandaya Le Pianacce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</si>
  <si>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</si>
  <si>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</si>
  <si>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</si>
  <si>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</si>
  <si>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</si>
  <si>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</si>
  <si>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Le Bernier</t>
  </si>
  <si>
    <t>Camping Le Kervastard</t>
  </si>
  <si>
    <t>Camping de la Haute Sioule</t>
  </si>
  <si>
    <t>Baia Holiday Capo d’Orso</t>
  </si>
  <si>
    <t>Camping RIO VERO</t>
  </si>
  <si>
    <t>Huttopia Dieulefit</t>
  </si>
  <si>
    <t>Camping L'Hippocampe - Les Chalets de la Mer</t>
  </si>
  <si>
    <t>Camping Vinkenhof</t>
  </si>
  <si>
    <t>Familiecamping De Molenhoek</t>
  </si>
  <si>
    <t>Siblu Duinzicht</t>
  </si>
  <si>
    <t>Camping Valkenburg - Maastricht</t>
  </si>
  <si>
    <t>Familiecamping De Vossenburcht</t>
  </si>
  <si>
    <t>Siblu - De Lente van Drenthe</t>
  </si>
  <si>
    <t>Camping De Heldense Bossen</t>
  </si>
  <si>
    <t>Vakantieoord De Bronzen Emmer</t>
  </si>
  <si>
    <t>Siblu De Tol</t>
  </si>
  <si>
    <t>Recreatiepark De Paalberg</t>
  </si>
  <si>
    <t>Camping Cassandria Bad</t>
  </si>
  <si>
    <t>Alpencamping Nenzing</t>
  </si>
  <si>
    <t>Vorarlberg</t>
  </si>
  <si>
    <t>Bezirk Bludenz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</si>
  <si>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</si>
  <si>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</si>
  <si>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</si>
  <si>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</si>
  <si>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</si>
  <si>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</si>
  <si>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Capalonga</t>
  </si>
  <si>
    <t>Camping Moulin de Chaules</t>
  </si>
  <si>
    <t>Camping Seiser Alm</t>
  </si>
  <si>
    <t>Haut-Adige</t>
  </si>
  <si>
    <t>Camping Montmorency</t>
  </si>
  <si>
    <t>Camping Village Tahiti</t>
  </si>
  <si>
    <t>Ferrara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</si>
  <si>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</si>
  <si>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</si>
  <si>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</si>
  <si>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</si>
  <si>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</si>
  <si>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La Clairière</t>
  </si>
  <si>
    <t>Domaine du Pra de Mars</t>
  </si>
  <si>
    <t>Camping Les Sables Vignier Plage</t>
  </si>
  <si>
    <t>Camping Bellsol</t>
  </si>
  <si>
    <t>Camping Roca Grossa</t>
  </si>
  <si>
    <t>Camping Club La Côte Sauvage - MS Vacances</t>
  </si>
  <si>
    <t>Camping Figurotta ***</t>
  </si>
  <si>
    <t>CAMP MondSeeLand</t>
  </si>
  <si>
    <t>Haute-Autriche</t>
  </si>
  <si>
    <t>Vöcklabruck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</si>
  <si>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</si>
  <si>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</si>
  <si>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</si>
  <si>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</si>
  <si>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</si>
  <si>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</si>
  <si>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</si>
  <si>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</si>
  <si>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</si>
  <si>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Camping Seasonova Les Vosges du Nord</t>
  </si>
  <si>
    <t>Camping Olympia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</si>
  <si>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</si>
  <si>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</si>
  <si>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</si>
  <si>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</si>
  <si>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</si>
  <si>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</si>
  <si>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Carinthie</t>
  </si>
  <si>
    <t>Bezirk Klagenfurt-Land</t>
  </si>
  <si>
    <t>Domaine de Trestraou</t>
  </si>
  <si>
    <t>Flower Camping L'Armorique</t>
  </si>
  <si>
    <t>Campingpark Eifel</t>
  </si>
  <si>
    <t>Camping Les Ombrages</t>
  </si>
  <si>
    <t>Camping de Kersentic</t>
  </si>
  <si>
    <t>Camping The Quiet Site</t>
  </si>
  <si>
    <t>Angleterre</t>
  </si>
  <si>
    <t>Cumbria</t>
  </si>
  <si>
    <t>Camping Cisano</t>
  </si>
  <si>
    <t>Grand Paris</t>
  </si>
  <si>
    <t>Val-d'Oise</t>
  </si>
  <si>
    <t>Camping Royal Océan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</si>
  <si>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</si>
  <si>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</si>
  <si>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</si>
  <si>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</si>
  <si>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</si>
  <si>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Terrassen Camping</t>
  </si>
  <si>
    <t>Danemark</t>
  </si>
  <si>
    <t>Jutland central</t>
  </si>
  <si>
    <t>Silkeborg Kommune</t>
  </si>
  <si>
    <t>Langstone Manor Holiday Park</t>
  </si>
  <si>
    <t>Devon</t>
  </si>
  <si>
    <t>Camping As Cancelas</t>
  </si>
  <si>
    <t>Galice</t>
  </si>
  <si>
    <t>A Corogne</t>
  </si>
  <si>
    <t>Camping APV Antioche</t>
  </si>
  <si>
    <t>Camping La Borderie</t>
  </si>
  <si>
    <t>Camping Adria</t>
  </si>
  <si>
    <t>Camping Village Mar Y Sierra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</si>
  <si>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</si>
  <si>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</si>
  <si>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</si>
  <si>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</si>
  <si>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</si>
  <si>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</si>
  <si>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</si>
  <si>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</si>
  <si>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</si>
  <si>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</si>
  <si>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</si>
  <si>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</si>
  <si>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</si>
  <si>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Frioul-Vénétie julienne</t>
  </si>
  <si>
    <t>Sandaya Europa Village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</si>
  <si>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</si>
  <si>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</si>
  <si>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</si>
  <si>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</si>
  <si>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</si>
  <si>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</si>
  <si>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OSTREA</t>
  </si>
  <si>
    <t>Camping La Sapinette</t>
  </si>
  <si>
    <t>Flower Camping Des 2 Rivières</t>
  </si>
  <si>
    <t>Camping Les Chelles</t>
  </si>
  <si>
    <t>Camping Le Palais de la Mer</t>
  </si>
  <si>
    <t>Emmerbølle Strand Camping - Feriepark Langeland</t>
  </si>
  <si>
    <t>Danemark-du-Sud</t>
  </si>
  <si>
    <t>Langeland Kommune</t>
  </si>
  <si>
    <t>Vestbirk Camping</t>
  </si>
  <si>
    <t>Horsens Kommune</t>
  </si>
  <si>
    <t>Wecamp San Sebastián</t>
  </si>
  <si>
    <t>Pays basque autonome</t>
  </si>
  <si>
    <t>Guipuscoa</t>
  </si>
  <si>
    <t>Camping L'Esplanade</t>
  </si>
  <si>
    <t>Camping Les Clairettes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</si>
  <si>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</si>
  <si>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</si>
  <si>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</si>
  <si>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</si>
  <si>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</si>
  <si>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</si>
  <si>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La Garenne à Saint-Laurent-du-Pape / ARDECHE</t>
  </si>
  <si>
    <t>Villenpark Sanghen</t>
  </si>
  <si>
    <t>Camping La Touesse</t>
  </si>
  <si>
    <t>Camping Playa de Oyambre</t>
  </si>
  <si>
    <t>Camping Le Balcon de la Baie</t>
  </si>
  <si>
    <t>Camping L'orée des Caps</t>
  </si>
  <si>
    <t>Camping Barco Reale</t>
  </si>
  <si>
    <t>Pistoia</t>
  </si>
  <si>
    <t>Camping L'Entre-Deux</t>
  </si>
  <si>
    <t xml:space="preserve">CAMPING LA CERISE </t>
  </si>
  <si>
    <t>Camping Ettelbruck</t>
  </si>
  <si>
    <t>Canton Diekirch</t>
  </si>
  <si>
    <t>Camping La Plage</t>
  </si>
  <si>
    <t>Camping Le Puech des Ouilhes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</si>
  <si>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</si>
  <si>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</si>
  <si>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</si>
  <si>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</si>
  <si>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</si>
  <si>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</si>
  <si>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</si>
  <si>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</si>
  <si>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</si>
  <si>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</si>
  <si>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</si>
  <si>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</si>
  <si>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</si>
  <si>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</si>
  <si>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</si>
  <si>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</si>
  <si>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</si>
  <si>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</si>
  <si>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</si>
  <si>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</si>
  <si>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</si>
  <si>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</si>
  <si>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</si>
  <si>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</si>
  <si>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</si>
  <si>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</si>
  <si>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</si>
  <si>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</si>
  <si>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</si>
  <si>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</si>
  <si>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Le Repaire</t>
  </si>
  <si>
    <t>Camping Des Hautes Grées</t>
  </si>
  <si>
    <t>Camping Le Picard</t>
  </si>
  <si>
    <t>Camping Qualité l'Eden de la Vanoise</t>
  </si>
  <si>
    <t>Camping Le Bivouac</t>
  </si>
  <si>
    <t>TAIGA Almeria Playa</t>
  </si>
  <si>
    <t>Camping Les Ulèzes</t>
  </si>
  <si>
    <t>Drau Camping Sachsenburg</t>
  </si>
  <si>
    <t>Bezirk Spittal an der Drau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</si>
  <si>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</si>
  <si>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</si>
  <si>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</si>
  <si>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</si>
  <si>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</si>
  <si>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</si>
  <si>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</si>
  <si>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</si>
  <si>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</si>
  <si>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</si>
  <si>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</si>
  <si>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</si>
  <si>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</si>
  <si>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Atlantica</t>
  </si>
  <si>
    <t>Camping de l'Aber</t>
  </si>
  <si>
    <t>Aminess Sirena Campsite</t>
  </si>
  <si>
    <t>RCN Camping Laacher See</t>
  </si>
  <si>
    <t>Kompas Camping Westende</t>
  </si>
  <si>
    <t>Camping Geelenhoof</t>
  </si>
  <si>
    <t>Camping Pueblo Blanco</t>
  </si>
  <si>
    <t>Cadix</t>
  </si>
  <si>
    <t>Ballum Camping</t>
  </si>
  <si>
    <t>Tønder Kommune</t>
  </si>
  <si>
    <t>Erlebniscamping Lausitz</t>
  </si>
  <si>
    <t>Brandebourg</t>
  </si>
  <si>
    <t>YELLOH! VILLAGE - LES BALEARES SON BOU</t>
  </si>
  <si>
    <t>Camping Lentemaheerd</t>
  </si>
  <si>
    <t>Groningue</t>
  </si>
  <si>
    <t>Flower Camping La Forêt</t>
  </si>
  <si>
    <t>Marne</t>
  </si>
  <si>
    <t>Camping de la Bucherie</t>
  </si>
  <si>
    <t>Trendcamping Wolfach</t>
  </si>
  <si>
    <t>Camping Laspaúles</t>
  </si>
  <si>
    <t>Camping De Watertoren</t>
  </si>
  <si>
    <t>Campsite Korana</t>
  </si>
  <si>
    <t>Comitat de Karlovac</t>
  </si>
  <si>
    <t>Strandparc Nulde</t>
  </si>
  <si>
    <t>Camping Joncar Mar</t>
  </si>
  <si>
    <t>Flower Camping La Beaume</t>
  </si>
  <si>
    <t>Camping de la Bonnette</t>
  </si>
  <si>
    <t>Waldbad Isny GmbH &amp; Co. KG</t>
  </si>
  <si>
    <t>Camping Arquin</t>
  </si>
  <si>
    <t>Flower Camping Le Bois d'Amour</t>
  </si>
  <si>
    <t>Camping La Corconne</t>
  </si>
  <si>
    <t>Camping Terme 3000</t>
  </si>
  <si>
    <t>Camping Terme Ptuj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</si>
  <si>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</si>
  <si>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</si>
  <si>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</si>
  <si>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</si>
  <si>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</si>
  <si>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</si>
  <si>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</si>
  <si>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</si>
  <si>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</si>
  <si>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</si>
  <si>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</si>
  <si>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</si>
  <si>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</si>
  <si>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Jutland du Nord</t>
  </si>
  <si>
    <t>Vesthimmerlands Kommune</t>
  </si>
  <si>
    <t>Domaine de la Cigalière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</si>
  <si>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</si>
  <si>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</si>
  <si>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</si>
  <si>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</si>
  <si>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</si>
  <si>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</si>
  <si>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</si>
  <si>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Pré Vologne</t>
  </si>
  <si>
    <t>Camping La Châtaigneraie</t>
  </si>
  <si>
    <t>Camping La Grande Vallée</t>
  </si>
  <si>
    <t>CAMPING MENDI AZPIAN</t>
  </si>
  <si>
    <t>Camping Les Chapelains</t>
  </si>
  <si>
    <t>Camping De Grienduil</t>
  </si>
  <si>
    <t>Camping La Vallée Heureuse</t>
  </si>
  <si>
    <t>Camping du Bord de Mer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</si>
  <si>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</si>
  <si>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</si>
  <si>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</si>
  <si>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</si>
  <si>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</si>
  <si>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</si>
  <si>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Le Rey</t>
  </si>
  <si>
    <t>Camping Paradis DOMAINE DE BELLEVUE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</si>
  <si>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</si>
  <si>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</si>
  <si>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</si>
  <si>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</si>
  <si>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</si>
  <si>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Amélia</t>
  </si>
  <si>
    <t>Camping Le Pastory</t>
  </si>
  <si>
    <t>Camping La Simioune Vaucluse et Drome Provencale</t>
  </si>
  <si>
    <t>Camping LA CIGALINE</t>
  </si>
  <si>
    <t>Camping La Forêt Lahitte</t>
  </si>
  <si>
    <t>CAMPING LA FALOISE</t>
  </si>
  <si>
    <t>La Forêt Stella-Plage</t>
  </si>
  <si>
    <t>Camping D'Étival</t>
  </si>
  <si>
    <t>Flower Camping du Lac de la Seigneurie</t>
  </si>
  <si>
    <t>Territoire-de-Belfort</t>
  </si>
  <si>
    <t>Camping Club Les Tamaris - MS Vacances</t>
  </si>
  <si>
    <t>Camping Vert Gapeau</t>
  </si>
  <si>
    <t>Camping Naturiste La Tuquette</t>
  </si>
  <si>
    <t>Camping Orée de l'Océan</t>
  </si>
  <si>
    <t>Camping Sandaya Soulac Plage</t>
  </si>
  <si>
    <t>Camping d'Auberoche</t>
  </si>
  <si>
    <t>Camping &amp; Bungalows Estanyet</t>
  </si>
  <si>
    <t>Camping L'Orée du Lac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</si>
  <si>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</si>
  <si>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</si>
  <si>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</si>
  <si>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</si>
  <si>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</si>
  <si>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</si>
  <si>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</si>
  <si>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Elbadoc Camping Village</t>
  </si>
  <si>
    <t>Chianti Glamping Resort</t>
  </si>
  <si>
    <t>Arezzo</t>
  </si>
  <si>
    <t>Camping Maltschacher Seewirt</t>
  </si>
  <si>
    <t>Bezirk Feldkirchen</t>
  </si>
  <si>
    <t>Vital CAMP Bayerbach</t>
  </si>
  <si>
    <t>Camping Calpemar</t>
  </si>
  <si>
    <t>TAIGA Lake Caspe</t>
  </si>
  <si>
    <t>Camping Bor</t>
  </si>
  <si>
    <t>Comitat de Primorje-Gorski Kotar</t>
  </si>
  <si>
    <t>Camping Les Prairies de L'Etang</t>
  </si>
  <si>
    <t>Camping les Genêts du Morvan</t>
  </si>
  <si>
    <t>Camping du moulin de Thoard</t>
  </si>
  <si>
    <t>Camping Rialto Village</t>
  </si>
  <si>
    <t>Village Nature Zen</t>
  </si>
  <si>
    <t>Capfun - Camping Atlantique Parc</t>
  </si>
  <si>
    <t>Eurocamping Vessem</t>
  </si>
  <si>
    <t>Camping L'Etang de Sologne</t>
  </si>
  <si>
    <t>ROMANEE Belle Henriette</t>
  </si>
  <si>
    <t>Camping Les Logeries</t>
  </si>
  <si>
    <t>Domaine des Pins</t>
  </si>
  <si>
    <t>Camping Le Mont Joli Bois</t>
  </si>
  <si>
    <t>Camping de La Falaise</t>
  </si>
  <si>
    <t>Camping Parfums d'été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</si>
  <si>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</si>
  <si>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</si>
  <si>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</si>
  <si>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</si>
  <si>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</si>
  <si>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</si>
  <si>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</si>
  <si>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- Base de Loisirs La Tuilerie</t>
  </si>
  <si>
    <t>Camping Sandaya Belle Plage</t>
  </si>
  <si>
    <t xml:space="preserve">Camping Homair -  Le Palavas</t>
  </si>
  <si>
    <t>Camping Le Chêne du Lac</t>
  </si>
  <si>
    <t>Camping LA CHENAIE</t>
  </si>
  <si>
    <t>Camping de l'Orival</t>
  </si>
  <si>
    <t xml:space="preserve">Camping CAP LEUCATE  MSS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</si>
  <si>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</si>
  <si>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</si>
  <si>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</si>
  <si>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</si>
  <si>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</si>
  <si>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</si>
  <si>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Sandaya Maguide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</si>
  <si>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</si>
  <si>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</si>
  <si>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</si>
  <si>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</si>
  <si>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</si>
  <si>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</si>
  <si>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</si>
  <si>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</si>
  <si>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</si>
  <si>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</si>
  <si>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</si>
  <si>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KERLAY</t>
  </si>
  <si>
    <t>Camping des Cerisiers</t>
  </si>
  <si>
    <t>WEST CAMPING</t>
  </si>
  <si>
    <t>Camping Le Dolmen</t>
  </si>
  <si>
    <t xml:space="preserve">Camping Sandaya Carnac </t>
  </si>
  <si>
    <t>Camping PRESQU'ILE DE PENERF</t>
  </si>
  <si>
    <t>Station Touristique le ValJoly</t>
  </si>
  <si>
    <t>Nord</t>
  </si>
  <si>
    <t>Camping La Promenade</t>
  </si>
  <si>
    <t>Village Vacances du Lac de Menet</t>
  </si>
  <si>
    <t>Camping Alegría del Mar</t>
  </si>
  <si>
    <t>Camping Resort Els Pins</t>
  </si>
  <si>
    <t>Camping Sandaya Mont Saint-Michel</t>
  </si>
  <si>
    <t>Camping du Perche Bellemois</t>
  </si>
  <si>
    <t>IDEAL CAMPING</t>
  </si>
  <si>
    <t>Village de Vacances Aux Portes des Monts d'Aubrac</t>
  </si>
  <si>
    <t>Camping L'Ambois</t>
  </si>
  <si>
    <t>Camping Sandaya Les Grenettes</t>
  </si>
  <si>
    <t xml:space="preserve">Camping  L'Hermitage</t>
  </si>
  <si>
    <t>Camping La Mouette Rieuse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</si>
  <si>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</si>
  <si>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</si>
  <si>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</si>
  <si>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</si>
  <si>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</si>
  <si>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</si>
  <si>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Argelès sur Mer - J'aime le camping</t>
  </si>
  <si>
    <t>Camping Fuentes Carrionas</t>
  </si>
  <si>
    <t>Palencia</t>
  </si>
  <si>
    <t>Camping l'Ile Blanche</t>
  </si>
  <si>
    <t>TAIGA Delta de l'Ebre</t>
  </si>
  <si>
    <t>Camping Homair - Côté Mer</t>
  </si>
  <si>
    <t>Camping Seasonova Les Marguerites</t>
  </si>
  <si>
    <t>Domaine EcÔtelia</t>
  </si>
  <si>
    <t>Camping L'Hippocampe</t>
  </si>
  <si>
    <t>Aux Lodges du Mas de Nadal</t>
  </si>
  <si>
    <t>Horsens City camping ApS</t>
  </si>
  <si>
    <t>Plein Air Locations - Camping Palmyre Loisirs</t>
  </si>
  <si>
    <t>Camping Papillon Rochefort</t>
  </si>
  <si>
    <t>Namur</t>
  </si>
  <si>
    <t>Domaine des Grands Pins</t>
  </si>
  <si>
    <t>Camping Bleu Marine</t>
  </si>
  <si>
    <t>De Hvide Svaner Camping</t>
  </si>
  <si>
    <t>Region Sjælland</t>
  </si>
  <si>
    <t>Næstved Kommune</t>
  </si>
  <si>
    <t>Camping du Lac</t>
  </si>
  <si>
    <t>Camping &amp; Bungalows Zumaia</t>
  </si>
  <si>
    <t>Camping le Picardy</t>
  </si>
  <si>
    <t>Camping Valbonheur</t>
  </si>
  <si>
    <t>Camping Château de Bouafles</t>
  </si>
  <si>
    <t>Camping Des Familles</t>
  </si>
  <si>
    <t>Flower Camping de Rouffiac</t>
  </si>
  <si>
    <t>Camping Campo dei Fiori</t>
  </si>
  <si>
    <t>Camping Clara</t>
  </si>
  <si>
    <t>Tigullio Camping Resort</t>
  </si>
  <si>
    <t>Rosenvold Strand Camping</t>
  </si>
  <si>
    <t>Hedensted Kommune</t>
  </si>
  <si>
    <t>Resort de Otterberg</t>
  </si>
  <si>
    <t>Campingplatz Platzermühle</t>
  </si>
  <si>
    <t>Camping Homair - L'Oasis Palavasienne</t>
  </si>
  <si>
    <t>Camping Les Préveils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</si>
  <si>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</si>
  <si>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</si>
  <si>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</si>
  <si>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</si>
  <si>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</si>
  <si>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de l'Ile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</si>
  <si>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</si>
  <si>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</si>
  <si>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</si>
  <si>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</si>
  <si>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</si>
  <si>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</si>
  <si>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</si>
  <si>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</si>
  <si>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</si>
  <si>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</si>
  <si>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</si>
  <si>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</si>
  <si>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</si>
  <si>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Meuse</t>
  </si>
  <si>
    <t>Lodges de Blois-Chambord</t>
  </si>
  <si>
    <t>Village Insolite</t>
  </si>
  <si>
    <t>Camping La Pause Atypi'k</t>
  </si>
  <si>
    <t>Siblu – Les Rives de Condrieu</t>
  </si>
  <si>
    <t>Buytenplaets Suydersee</t>
  </si>
  <si>
    <t>Camping Les Cent Chênes</t>
  </si>
  <si>
    <t>Siblu - Mimizan La Plage</t>
  </si>
  <si>
    <t>Domaine la Résinière</t>
  </si>
  <si>
    <t>Camping La Roussie</t>
  </si>
  <si>
    <t>Le Château de Termes</t>
  </si>
  <si>
    <t>Flower Camping les Tomasses</t>
  </si>
  <si>
    <t xml:space="preserve">Residence Onda Blu </t>
  </si>
  <si>
    <t>Domaine de la Forge - Sea Green by Sunêlia</t>
  </si>
  <si>
    <t>Paradies-Camp</t>
  </si>
  <si>
    <t>Village Vacances Chanteduc</t>
  </si>
  <si>
    <t>Camping Park Baita Dolomiti Village</t>
  </si>
  <si>
    <t>Camping de Regenboog</t>
  </si>
  <si>
    <t>Tchéquie</t>
  </si>
  <si>
    <t>Ústecký kraj</t>
  </si>
  <si>
    <t>Le Bois de la Pause</t>
  </si>
  <si>
    <t>Camping la Ferme des 4 Chênes</t>
  </si>
  <si>
    <t>Camping Les Pommiers</t>
  </si>
  <si>
    <t>Camping La Mola</t>
  </si>
  <si>
    <t>Camping Borken am See</t>
  </si>
  <si>
    <t>Rhénanie-du-Nord-Westphalie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</si>
  <si>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</si>
  <si>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</si>
  <si>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</si>
  <si>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</si>
  <si>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Abijune</t>
  </si>
  <si>
    <t>Camping Homair - Coeur de Vendée</t>
  </si>
  <si>
    <t>Rimini</t>
  </si>
  <si>
    <t>Camping Verona Village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</si>
  <si>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</si>
  <si>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</si>
  <si>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</si>
  <si>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</si>
  <si>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</si>
  <si>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</si>
  <si>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Ushuaïa Villages - Camping les Fougères ****</t>
  </si>
  <si>
    <t>La Ferme de Penquelen</t>
  </si>
  <si>
    <t>Camping Demoiselles Plage</t>
  </si>
  <si>
    <t>Camping Milella</t>
  </si>
  <si>
    <t>Camping Les Patis</t>
  </si>
  <si>
    <t>Flower Camping Le Kerarno</t>
  </si>
  <si>
    <t>Camping Ugljan Resort</t>
  </si>
  <si>
    <t>Camping Sandaya Port Manec’h</t>
  </si>
  <si>
    <t>Campingplatz HOCHoben</t>
  </si>
  <si>
    <t>Camping Le Cians</t>
  </si>
  <si>
    <t>Camping de L'Eden</t>
  </si>
  <si>
    <t>Seecamping Kleblach-Lind</t>
  </si>
  <si>
    <t>Camping Ar Roc'h</t>
  </si>
  <si>
    <t xml:space="preserve">Sandaya Toscana Bella </t>
  </si>
  <si>
    <t>River Camping Bled</t>
  </si>
  <si>
    <t>Agriturismo Malapezza</t>
  </si>
  <si>
    <t>Village les Pins d'Or</t>
  </si>
  <si>
    <t>Camping La Croix du Sud</t>
  </si>
  <si>
    <t>Opatija Camping</t>
  </si>
  <si>
    <t>Camping Veli Joze</t>
  </si>
  <si>
    <t>Camper Park Playas de Luz</t>
  </si>
  <si>
    <t>Camping Miremer</t>
  </si>
  <si>
    <t>Camping Grottes d'Azé</t>
  </si>
  <si>
    <t>Camping Les Gravelets</t>
  </si>
  <si>
    <t>Camping Les Cerisiers</t>
  </si>
  <si>
    <t>Camping l'Air du Temps</t>
  </si>
  <si>
    <t>Rouilleres</t>
  </si>
  <si>
    <t>Hoeve Linnerveld</t>
  </si>
  <si>
    <t>Colombaia Village</t>
  </si>
  <si>
    <t>Camping de la Prairie</t>
  </si>
  <si>
    <t>Pielachtal Camping</t>
  </si>
  <si>
    <t>Bezirk St. Pölten</t>
  </si>
  <si>
    <t>Camping du Vieux Moulin</t>
  </si>
  <si>
    <t>Camping Tikayan Beauséjour</t>
  </si>
  <si>
    <t>Genuss-Campingplatz Bad Gleichenberg</t>
  </si>
  <si>
    <t>Styrie</t>
  </si>
  <si>
    <t>Bezirk Südoststeiermark</t>
  </si>
  <si>
    <t>Écodomaine "La Rêverie"</t>
  </si>
  <si>
    <t>TAIGA Conil</t>
  </si>
  <si>
    <t>Camping de Meeuw</t>
  </si>
  <si>
    <t xml:space="preserve">Village Vacances Sandaya Cap Sud </t>
  </si>
  <si>
    <t>Camping Homair - Le Val de Durance</t>
  </si>
  <si>
    <t>Camping Homair - Les Lacs du Verdon</t>
  </si>
  <si>
    <t>Camping-Village Kallisté</t>
  </si>
  <si>
    <t>Huttopia Forêt des Vosges</t>
  </si>
  <si>
    <t>Camping et Lodges de Coucouzac</t>
  </si>
  <si>
    <t>Domaine du Téno</t>
  </si>
  <si>
    <t>Domaine de l'Orée d'Arzal</t>
  </si>
  <si>
    <t>Camping og Familiepark West</t>
  </si>
  <si>
    <t>Ringkøbing-Skjern Kommune</t>
  </si>
  <si>
    <t>Camping Montorfano</t>
  </si>
  <si>
    <t>Macugnaga Natural Camping</t>
  </si>
  <si>
    <t>Camping l’Eglantier</t>
  </si>
  <si>
    <t>Camping Municipal de l'Étang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</si>
  <si>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</si>
  <si>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</si>
  <si>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</si>
  <si>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</si>
  <si>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</si>
  <si>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>Agricampeggio Abbruzzetti</t>
  </si>
  <si>
    <t>Fermo</t>
  </si>
  <si>
    <t xml:space="preserve">Talaia Plaza Ecoresort 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</si>
  <si>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</si>
  <si>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</si>
  <si>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</si>
  <si>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</si>
  <si>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</si>
  <si>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</si>
  <si>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</si>
  <si>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</si>
  <si>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Camping-Village Acqua E Sole</t>
  </si>
  <si>
    <t>Île de Loisirs de Buthiers</t>
  </si>
  <si>
    <t>U Pinarellu</t>
  </si>
  <si>
    <t>MeerReise Camping</t>
  </si>
  <si>
    <t>Camping Côté Vercors</t>
  </si>
  <si>
    <t>Camping Sandaya Le Carbonnier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</si>
  <si>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</si>
  <si>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</si>
  <si>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</si>
  <si>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</si>
  <si>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</si>
  <si>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</si>
  <si>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</si>
  <si>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</si>
  <si>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</si>
  <si>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</si>
  <si>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und Pension Bergheimat</t>
  </si>
  <si>
    <t>Camping aux 4 vues</t>
  </si>
  <si>
    <t xml:space="preserve">IKUNA Naturresort </t>
  </si>
  <si>
    <t>Bezirk Grieskirchen</t>
  </si>
  <si>
    <t>Camping Seasonova La Pointe de Roscoff</t>
  </si>
  <si>
    <t>Papillon Kinrooi</t>
  </si>
  <si>
    <t>Siblu - le Bois de Bayadène</t>
  </si>
  <si>
    <t>Camping Sandaya Valencia</t>
  </si>
  <si>
    <t>Valence</t>
  </si>
  <si>
    <t>Clico Chic - Camping Les Chevaliers</t>
  </si>
  <si>
    <t>Camping Port Meleu</t>
  </si>
  <si>
    <t>Kampari</t>
  </si>
  <si>
    <t>VVF Camping Fouesnant</t>
  </si>
  <si>
    <t>Camping Du Grand Pré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</si>
  <si>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</si>
  <si>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</si>
  <si>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</si>
  <si>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</si>
  <si>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</si>
  <si>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</si>
  <si>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</si>
  <si>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</si>
  <si>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Suède</t>
  </si>
  <si>
    <t>Comté de Blekinge</t>
  </si>
  <si>
    <t xml:space="preserve">Flower Camping Les Iles </t>
  </si>
  <si>
    <t>Camping Homair - Les Vignes</t>
  </si>
  <si>
    <t>Camping Framura</t>
  </si>
  <si>
    <t>VVF Camping Martel-Gluges</t>
  </si>
  <si>
    <t>VVF Camping Pays d'Eygurande</t>
  </si>
  <si>
    <t>VVF Camping Saint-Bonnet-en-Champsaur</t>
  </si>
  <si>
    <t>Wecamp Sao Miguel</t>
  </si>
  <si>
    <t>Portugal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</si>
  <si>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</si>
  <si>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</si>
  <si>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</si>
  <si>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</si>
  <si>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</si>
  <si>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</si>
  <si>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</si>
  <si>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</si>
  <si>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</si>
  <si>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</si>
  <si>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</si>
  <si>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</si>
  <si>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</si>
  <si>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</si>
  <si>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</si>
  <si>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</si>
  <si>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</si>
  <si>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</si>
  <si>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Verdon</t>
  </si>
  <si>
    <t xml:space="preserve"> Camping Dörpen </t>
  </si>
  <si>
    <t>Agricamping La Pietra e l'Ulivo</t>
  </si>
  <si>
    <t>VVF Créances</t>
  </si>
  <si>
    <t>Domaine Lapédagne</t>
  </si>
  <si>
    <t>Campingplatz Dümmersee</t>
  </si>
  <si>
    <t>Les chalets de Booz</t>
  </si>
  <si>
    <t>Camping Homair - Domaine de la Marina</t>
  </si>
  <si>
    <t>Villaggio Turistico La Cecinella</t>
  </si>
  <si>
    <t>Camping Homair - Falaise Narbonne-Plage</t>
  </si>
  <si>
    <t>Camping Le Lac Amance</t>
  </si>
  <si>
    <t>Aube</t>
  </si>
  <si>
    <t>Baia Holiday La Gallura</t>
  </si>
  <si>
    <t>Baia Holiday Garda See</t>
  </si>
  <si>
    <t>Camping Homair - Sol à Gogo</t>
  </si>
  <si>
    <t>Camping Confort</t>
  </si>
  <si>
    <t>HolaCamp La Franca</t>
  </si>
  <si>
    <t>Camping Le Chaponnet</t>
  </si>
  <si>
    <t>Camping Las Cabañas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</si>
  <si>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</si>
  <si>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</si>
  <si>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</si>
  <si>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</si>
  <si>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</si>
  <si>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</si>
  <si>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</si>
  <si>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</si>
  <si>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</si>
  <si>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</si>
  <si>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</si>
  <si>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</si>
  <si>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07/10/2026 13:26:25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</si>
  <si>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</si>
  <si>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</si>
  <si>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</si>
  <si>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</si>
  <si>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</si>
  <si>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</si>
  <si>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</si>
  <si>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06/10/2026 00h00 - 06/10/2026 23h59</t>
  </si>
  <si>
    <t>Database PsLineIn</t>
  </si>
  <si>
    <t>2953</t>
  </si>
  <si>
    <t>Database PsLineOut</t>
  </si>
  <si>
    <t>2107</t>
  </si>
  <si>
    <t>Database Extraction Duration</t>
  </si>
  <si>
    <t>2,346 seconds</t>
  </si>
  <si>
    <t>C# Calcul Duration</t>
  </si>
  <si>
    <t>0,07 seconds</t>
  </si>
  <si>
    <t>C# ExcelFormating Duration</t>
  </si>
  <si>
    <t>1,719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</si>
</sst>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809</v>
      </c>
      <c r="D3" s="5">
        <v>120</v>
      </c>
      <c r="E3" s="6">
        <v>1479</v>
      </c>
      <c r="F3" s="5">
        <v>704</v>
      </c>
      <c r="G3" s="5">
        <v>92</v>
      </c>
      <c r="H3" s="5">
        <v>289</v>
      </c>
      <c r="I3" s="5">
        <v>128</v>
      </c>
      <c r="J3" s="5">
        <v>138</v>
      </c>
      <c r="K3" s="5">
        <v>89</v>
      </c>
      <c r="L3" s="7">
        <v>0</v>
      </c>
      <c r="M3" s="5">
        <v>39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1398</v>
      </c>
      <c r="U3" s="5">
        <v>659</v>
      </c>
      <c r="V3" s="5">
        <v>88</v>
      </c>
      <c r="W3" s="5">
        <v>268</v>
      </c>
      <c r="X3" s="5">
        <v>121</v>
      </c>
      <c r="Y3" s="5">
        <v>136</v>
      </c>
      <c r="Z3" s="5">
        <v>87</v>
      </c>
      <c r="AA3" s="7">
        <v>0</v>
      </c>
      <c r="AB3" s="5">
        <v>39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1.42</v>
      </c>
      <c r="AK3" s="5">
        <v>1</v>
      </c>
      <c r="AL3" s="5">
        <v>7</v>
      </c>
      <c r="AM3" s="28">
        <v>46.77</v>
      </c>
    </row>
    <row r="4">
      <c r="A4" s="24">
        <v>850</v>
      </c>
      <c r="B4" s="9" t="s">
        <v>28</v>
      </c>
      <c r="C4" s="10">
        <v>6</v>
      </c>
      <c r="D4" s="10">
        <v>6</v>
      </c>
      <c r="E4" s="11">
        <v>9</v>
      </c>
      <c r="F4" s="10">
        <v>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6</v>
      </c>
      <c r="U4" s="10">
        <v>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</v>
      </c>
      <c r="AK4" s="10">
        <v>1</v>
      </c>
      <c r="AL4" s="10">
        <v>3</v>
      </c>
      <c r="AM4" s="29">
        <v>2.17</v>
      </c>
    </row>
    <row r="5">
      <c r="A5" s="23">
        <v>892</v>
      </c>
      <c r="B5" s="4" t="s">
        <v>29</v>
      </c>
      <c r="C5" s="5">
        <v>70</v>
      </c>
      <c r="D5" s="5">
        <v>70</v>
      </c>
      <c r="E5" s="6">
        <v>86</v>
      </c>
      <c r="F5" s="5">
        <v>86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76</v>
      </c>
      <c r="U5" s="5">
        <v>76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1.23</v>
      </c>
      <c r="AK5" s="5">
        <v>1</v>
      </c>
      <c r="AL5" s="5">
        <v>4</v>
      </c>
      <c r="AM5" s="28">
        <v>21.97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0.36</v>
      </c>
    </row>
    <row r="7">
      <c r="A7" s="23">
        <v>1104</v>
      </c>
      <c r="B7" s="4" t="s">
        <v>31</v>
      </c>
      <c r="C7" s="5">
        <v>38</v>
      </c>
      <c r="D7" s="5">
        <v>2</v>
      </c>
      <c r="E7" s="6">
        <v>43</v>
      </c>
      <c r="F7" s="5">
        <v>28</v>
      </c>
      <c r="G7" s="5">
        <v>2</v>
      </c>
      <c r="H7" s="5">
        <v>2</v>
      </c>
      <c r="I7" s="5">
        <v>2</v>
      </c>
      <c r="J7" s="5">
        <v>6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40</v>
      </c>
      <c r="U7" s="5">
        <v>26</v>
      </c>
      <c r="V7" s="5">
        <v>2</v>
      </c>
      <c r="W7" s="5">
        <v>2</v>
      </c>
      <c r="X7" s="5">
        <v>2</v>
      </c>
      <c r="Y7" s="5">
        <v>5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2</v>
      </c>
      <c r="AM7" s="28">
        <v>0.5</v>
      </c>
    </row>
    <row r="8">
      <c r="A8" s="24">
        <v>1139</v>
      </c>
      <c r="B8" s="9" t="s">
        <v>32</v>
      </c>
      <c r="C8" s="10">
        <v>57</v>
      </c>
      <c r="D8" s="10">
        <v>57</v>
      </c>
      <c r="E8" s="11">
        <v>73</v>
      </c>
      <c r="F8" s="12">
        <v>0</v>
      </c>
      <c r="G8" s="12">
        <v>0</v>
      </c>
      <c r="H8" s="12">
        <v>0</v>
      </c>
      <c r="I8" s="10">
        <v>73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72</v>
      </c>
      <c r="U8" s="12">
        <v>0</v>
      </c>
      <c r="V8" s="12">
        <v>0</v>
      </c>
      <c r="W8" s="12">
        <v>0</v>
      </c>
      <c r="X8" s="10">
        <v>72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1.28</v>
      </c>
      <c r="AK8" s="10">
        <v>1</v>
      </c>
      <c r="AL8" s="10">
        <v>10</v>
      </c>
      <c r="AM8" s="29">
        <v>17.8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3</v>
      </c>
      <c r="AJ9" s="8">
        <v>3</v>
      </c>
      <c r="AK9" s="5">
        <v>3</v>
      </c>
      <c r="AL9" s="5">
        <v>3</v>
      </c>
      <c r="AM9" s="28">
        <v>0.35</v>
      </c>
    </row>
    <row r="10">
      <c r="A10" s="24">
        <v>1172</v>
      </c>
      <c r="B10" s="9" t="s">
        <v>34</v>
      </c>
      <c r="C10" s="10">
        <v>31</v>
      </c>
      <c r="D10" s="10">
        <v>3</v>
      </c>
      <c r="E10" s="11">
        <v>34</v>
      </c>
      <c r="F10" s="10">
        <v>33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33</v>
      </c>
      <c r="U10" s="10">
        <v>32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</v>
      </c>
      <c r="AK10" s="10">
        <v>1</v>
      </c>
      <c r="AL10" s="10">
        <v>2</v>
      </c>
      <c r="AM10" s="29">
        <v>0.76</v>
      </c>
    </row>
    <row r="11">
      <c r="A11" s="23">
        <v>1199</v>
      </c>
      <c r="B11" s="4" t="s">
        <v>35</v>
      </c>
      <c r="C11" s="5">
        <v>153</v>
      </c>
      <c r="D11" s="5">
        <v>153</v>
      </c>
      <c r="E11" s="6">
        <v>159</v>
      </c>
      <c r="F11" s="7">
        <v>0</v>
      </c>
      <c r="G11" s="7">
        <v>0</v>
      </c>
      <c r="H11" s="5">
        <v>159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158</v>
      </c>
      <c r="U11" s="7">
        <v>0</v>
      </c>
      <c r="V11" s="7">
        <v>0</v>
      </c>
      <c r="W11" s="5">
        <v>158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1.04</v>
      </c>
      <c r="AK11" s="5">
        <v>1</v>
      </c>
      <c r="AL11" s="5">
        <v>2</v>
      </c>
      <c r="AM11" s="28">
        <v>38.74</v>
      </c>
    </row>
    <row r="12">
      <c r="A12" s="24">
        <v>1213</v>
      </c>
      <c r="B12" s="9" t="s">
        <v>36</v>
      </c>
      <c r="C12" s="10">
        <v>140</v>
      </c>
      <c r="D12" s="10">
        <v>137</v>
      </c>
      <c r="E12" s="11">
        <v>234</v>
      </c>
      <c r="F12" s="12">
        <v>0</v>
      </c>
      <c r="G12" s="12">
        <v>0</v>
      </c>
      <c r="H12" s="12">
        <v>0</v>
      </c>
      <c r="I12" s="10">
        <v>234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216</v>
      </c>
      <c r="U12" s="12">
        <v>0</v>
      </c>
      <c r="V12" s="12">
        <v>0</v>
      </c>
      <c r="W12" s="12">
        <v>0</v>
      </c>
      <c r="X12" s="10">
        <v>216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1.67</v>
      </c>
      <c r="AK12" s="10">
        <v>1</v>
      </c>
      <c r="AL12" s="10">
        <v>27</v>
      </c>
      <c r="AM12" s="29">
        <v>53.11</v>
      </c>
    </row>
    <row r="13">
      <c r="A13" s="23">
        <v>1221</v>
      </c>
      <c r="B13" s="4" t="s">
        <v>37</v>
      </c>
      <c r="C13" s="5">
        <v>68</v>
      </c>
      <c r="D13" s="5">
        <v>68</v>
      </c>
      <c r="E13" s="6">
        <v>76</v>
      </c>
      <c r="F13" s="5">
        <v>2</v>
      </c>
      <c r="G13" s="5">
        <v>1</v>
      </c>
      <c r="H13" s="5">
        <v>10</v>
      </c>
      <c r="I13" s="5">
        <v>63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72</v>
      </c>
      <c r="U13" s="5">
        <v>2</v>
      </c>
      <c r="V13" s="5">
        <v>1</v>
      </c>
      <c r="W13" s="5">
        <v>10</v>
      </c>
      <c r="X13" s="5">
        <v>59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</v>
      </c>
      <c r="AK13" s="5">
        <v>1</v>
      </c>
      <c r="AL13" s="5">
        <v>3</v>
      </c>
      <c r="AM13" s="28">
        <v>17.84</v>
      </c>
    </row>
    <row r="14">
      <c r="A14" s="24">
        <v>1222</v>
      </c>
      <c r="B14" s="9" t="s">
        <v>38</v>
      </c>
      <c r="C14" s="10">
        <v>27</v>
      </c>
      <c r="D14" s="10">
        <v>27</v>
      </c>
      <c r="E14" s="11">
        <v>31</v>
      </c>
      <c r="F14" s="10">
        <v>31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30</v>
      </c>
      <c r="U14" s="10">
        <v>30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1.15</v>
      </c>
      <c r="AK14" s="10">
        <v>1</v>
      </c>
      <c r="AL14" s="10">
        <v>2</v>
      </c>
      <c r="AM14" s="29">
        <v>10.94</v>
      </c>
    </row>
    <row r="15">
      <c r="A15" s="23">
        <v>1254</v>
      </c>
      <c r="B15" s="4" t="s">
        <v>39</v>
      </c>
      <c r="C15" s="5">
        <v>21</v>
      </c>
      <c r="D15" s="5">
        <v>21</v>
      </c>
      <c r="E15" s="6">
        <v>31</v>
      </c>
      <c r="F15" s="7">
        <v>0</v>
      </c>
      <c r="G15" s="7">
        <v>0</v>
      </c>
      <c r="H15" s="7">
        <v>0</v>
      </c>
      <c r="I15" s="5">
        <v>31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31</v>
      </c>
      <c r="U15" s="7">
        <v>0</v>
      </c>
      <c r="V15" s="7">
        <v>0</v>
      </c>
      <c r="W15" s="7">
        <v>0</v>
      </c>
      <c r="X15" s="5">
        <v>31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1.48</v>
      </c>
      <c r="AK15" s="5">
        <v>1</v>
      </c>
      <c r="AL15" s="5">
        <v>5</v>
      </c>
      <c r="AM15" s="28">
        <v>7.72</v>
      </c>
    </row>
    <row r="16">
      <c r="A16" s="24">
        <v>1293</v>
      </c>
      <c r="B16" s="9" t="s">
        <v>40</v>
      </c>
      <c r="C16" s="10">
        <v>2</v>
      </c>
      <c r="D16" s="10">
        <v>2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0.51</v>
      </c>
    </row>
    <row r="17">
      <c r="A17" s="23">
        <v>1379</v>
      </c>
      <c r="B17" s="4" t="s">
        <v>41</v>
      </c>
      <c r="C17" s="5">
        <v>146</v>
      </c>
      <c r="D17" s="5">
        <v>141</v>
      </c>
      <c r="E17" s="6">
        <v>319</v>
      </c>
      <c r="F17" s="7">
        <v>0</v>
      </c>
      <c r="G17" s="7">
        <v>0</v>
      </c>
      <c r="H17" s="7">
        <v>0</v>
      </c>
      <c r="I17" s="5">
        <v>319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301</v>
      </c>
      <c r="U17" s="7">
        <v>0</v>
      </c>
      <c r="V17" s="7">
        <v>0</v>
      </c>
      <c r="W17" s="7">
        <v>0</v>
      </c>
      <c r="X17" s="5">
        <v>301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2.18</v>
      </c>
      <c r="AK17" s="5">
        <v>1</v>
      </c>
      <c r="AL17" s="5">
        <v>37</v>
      </c>
      <c r="AM17" s="28">
        <v>74.65</v>
      </c>
    </row>
    <row r="18">
      <c r="A18" s="24">
        <v>1423</v>
      </c>
      <c r="B18" s="9" t="s">
        <v>42</v>
      </c>
      <c r="C18" s="10">
        <v>19</v>
      </c>
      <c r="D18" s="10">
        <v>18</v>
      </c>
      <c r="E18" s="11">
        <v>22</v>
      </c>
      <c r="F18" s="12">
        <v>0</v>
      </c>
      <c r="G18" s="12">
        <v>0</v>
      </c>
      <c r="H18" s="12">
        <v>0</v>
      </c>
      <c r="I18" s="10">
        <v>22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20</v>
      </c>
      <c r="U18" s="12">
        <v>0</v>
      </c>
      <c r="V18" s="12">
        <v>0</v>
      </c>
      <c r="W18" s="12">
        <v>0</v>
      </c>
      <c r="X18" s="10">
        <v>20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1.16</v>
      </c>
      <c r="AK18" s="10">
        <v>1</v>
      </c>
      <c r="AL18" s="10">
        <v>3</v>
      </c>
      <c r="AM18" s="29">
        <v>4.72</v>
      </c>
    </row>
    <row r="19">
      <c r="A19" s="23">
        <v>1445</v>
      </c>
      <c r="B19" s="4" t="s">
        <v>43</v>
      </c>
      <c r="C19" s="5">
        <v>12</v>
      </c>
      <c r="D19" s="5">
        <v>2</v>
      </c>
      <c r="E19" s="6">
        <v>13</v>
      </c>
      <c r="F19" s="5">
        <v>4</v>
      </c>
      <c r="G19" s="7">
        <v>0</v>
      </c>
      <c r="H19" s="7">
        <v>0</v>
      </c>
      <c r="I19" s="7">
        <v>0</v>
      </c>
      <c r="J19" s="5">
        <v>9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12</v>
      </c>
      <c r="U19" s="5">
        <v>4</v>
      </c>
      <c r="V19" s="7">
        <v>0</v>
      </c>
      <c r="W19" s="7">
        <v>0</v>
      </c>
      <c r="X19" s="7">
        <v>0</v>
      </c>
      <c r="Y19" s="5">
        <v>8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1.08</v>
      </c>
      <c r="AK19" s="5">
        <v>1</v>
      </c>
      <c r="AL19" s="5">
        <v>2</v>
      </c>
      <c r="AM19" s="28">
        <v>0.58</v>
      </c>
    </row>
    <row r="20">
      <c r="A20" s="24">
        <v>1538</v>
      </c>
      <c r="B20" s="9" t="s">
        <v>44</v>
      </c>
      <c r="C20" s="10">
        <v>37</v>
      </c>
      <c r="D20" s="10">
        <v>36</v>
      </c>
      <c r="E20" s="11">
        <v>42</v>
      </c>
      <c r="F20" s="12">
        <v>0</v>
      </c>
      <c r="G20" s="12">
        <v>0</v>
      </c>
      <c r="H20" s="12">
        <v>0</v>
      </c>
      <c r="I20" s="10">
        <v>42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39</v>
      </c>
      <c r="U20" s="12">
        <v>0</v>
      </c>
      <c r="V20" s="12">
        <v>0</v>
      </c>
      <c r="W20" s="12">
        <v>0</v>
      </c>
      <c r="X20" s="10">
        <v>39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1.14</v>
      </c>
      <c r="AK20" s="10">
        <v>1</v>
      </c>
      <c r="AL20" s="10">
        <v>2</v>
      </c>
      <c r="AM20" s="29">
        <v>9.49</v>
      </c>
    </row>
    <row r="21">
      <c r="A21" s="23">
        <v>1552</v>
      </c>
      <c r="B21" s="4" t="s">
        <v>45</v>
      </c>
      <c r="C21" s="5">
        <v>5</v>
      </c>
      <c r="D21" s="5">
        <v>2</v>
      </c>
      <c r="E21" s="6">
        <v>5</v>
      </c>
      <c r="F21" s="7">
        <v>0</v>
      </c>
      <c r="G21" s="7">
        <v>0</v>
      </c>
      <c r="H21" s="5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5</v>
      </c>
      <c r="U21" s="7">
        <v>0</v>
      </c>
      <c r="V21" s="7">
        <v>0</v>
      </c>
      <c r="W21" s="5">
        <v>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0.6</v>
      </c>
    </row>
    <row r="22">
      <c r="A22" s="24">
        <v>1559</v>
      </c>
      <c r="B22" s="9" t="s">
        <v>46</v>
      </c>
      <c r="C22" s="10">
        <v>53</v>
      </c>
      <c r="D22" s="10">
        <v>52</v>
      </c>
      <c r="E22" s="11">
        <v>81</v>
      </c>
      <c r="F22" s="12">
        <v>0</v>
      </c>
      <c r="G22" s="12">
        <v>0</v>
      </c>
      <c r="H22" s="12">
        <v>0</v>
      </c>
      <c r="I22" s="10">
        <v>81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74</v>
      </c>
      <c r="U22" s="12">
        <v>0</v>
      </c>
      <c r="V22" s="12">
        <v>0</v>
      </c>
      <c r="W22" s="12">
        <v>0</v>
      </c>
      <c r="X22" s="10">
        <v>74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1.53</v>
      </c>
      <c r="AK22" s="10">
        <v>1</v>
      </c>
      <c r="AL22" s="10">
        <v>11</v>
      </c>
      <c r="AM22" s="29">
        <v>18.25</v>
      </c>
    </row>
    <row r="23">
      <c r="A23" s="23">
        <v>1603</v>
      </c>
      <c r="B23" s="4" t="s">
        <v>47</v>
      </c>
      <c r="C23" s="5">
        <v>4</v>
      </c>
      <c r="D23" s="7">
        <v>0</v>
      </c>
      <c r="E23" s="6">
        <v>4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4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4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0">
        <v>0</v>
      </c>
    </row>
    <row r="24">
      <c r="A24" s="24">
        <v>1750</v>
      </c>
      <c r="B24" s="9" t="s">
        <v>48</v>
      </c>
      <c r="C24" s="10">
        <v>3</v>
      </c>
      <c r="D24" s="10">
        <v>2</v>
      </c>
      <c r="E24" s="11">
        <v>3</v>
      </c>
      <c r="F24" s="12">
        <v>0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</v>
      </c>
      <c r="U24" s="12">
        <v>0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0.47</v>
      </c>
    </row>
    <row r="25">
      <c r="A25" s="23">
        <v>1761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7">
        <v>0</v>
      </c>
      <c r="H25" s="7">
        <v>0</v>
      </c>
      <c r="I25" s="5">
        <v>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</v>
      </c>
      <c r="U25" s="7">
        <v>0</v>
      </c>
      <c r="V25" s="7">
        <v>0</v>
      </c>
      <c r="W25" s="7">
        <v>0</v>
      </c>
      <c r="X25" s="5">
        <v>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0.5</v>
      </c>
    </row>
    <row r="26">
      <c r="A26" s="24">
        <v>1779</v>
      </c>
      <c r="B26" s="9" t="s">
        <v>50</v>
      </c>
      <c r="C26" s="10">
        <v>17</v>
      </c>
      <c r="D26" s="10">
        <v>17</v>
      </c>
      <c r="E26" s="11">
        <v>23</v>
      </c>
      <c r="F26" s="12">
        <v>0</v>
      </c>
      <c r="G26" s="12">
        <v>0</v>
      </c>
      <c r="H26" s="12">
        <v>0</v>
      </c>
      <c r="I26" s="10">
        <v>23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22</v>
      </c>
      <c r="U26" s="12">
        <v>0</v>
      </c>
      <c r="V26" s="12">
        <v>0</v>
      </c>
      <c r="W26" s="12">
        <v>0</v>
      </c>
      <c r="X26" s="10">
        <v>22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1.35</v>
      </c>
      <c r="AK26" s="10">
        <v>1</v>
      </c>
      <c r="AL26" s="10">
        <v>2</v>
      </c>
      <c r="AM26" s="29">
        <v>5.53</v>
      </c>
    </row>
    <row r="27">
      <c r="A27" s="23">
        <v>1937</v>
      </c>
      <c r="B27" s="4" t="s">
        <v>51</v>
      </c>
      <c r="C27" s="5">
        <v>9</v>
      </c>
      <c r="D27" s="5">
        <v>7</v>
      </c>
      <c r="E27" s="6">
        <v>12</v>
      </c>
      <c r="F27" s="5">
        <v>12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9</v>
      </c>
      <c r="U27" s="5">
        <v>9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2</v>
      </c>
      <c r="AM27" s="28">
        <v>1.72</v>
      </c>
    </row>
    <row r="28">
      <c r="A28" s="24">
        <v>1939</v>
      </c>
      <c r="B28" s="9" t="s">
        <v>52</v>
      </c>
      <c r="C28" s="10">
        <v>2</v>
      </c>
      <c r="D28" s="10">
        <v>2</v>
      </c>
      <c r="E28" s="11">
        <v>3</v>
      </c>
      <c r="F28" s="12">
        <v>0</v>
      </c>
      <c r="G28" s="12">
        <v>0</v>
      </c>
      <c r="H28" s="10">
        <v>3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</v>
      </c>
      <c r="U28" s="12">
        <v>0</v>
      </c>
      <c r="V28" s="12">
        <v>0</v>
      </c>
      <c r="W28" s="10">
        <v>2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2</v>
      </c>
      <c r="AM28" s="29">
        <v>0.48</v>
      </c>
    </row>
    <row r="29">
      <c r="A29" s="23">
        <v>1985</v>
      </c>
      <c r="B29" s="4" t="s">
        <v>53</v>
      </c>
      <c r="C29" s="5">
        <v>30</v>
      </c>
      <c r="D29" s="5">
        <v>30</v>
      </c>
      <c r="E29" s="6">
        <v>38</v>
      </c>
      <c r="F29" s="5">
        <v>38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37</v>
      </c>
      <c r="U29" s="5">
        <v>37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1.27</v>
      </c>
      <c r="AK29" s="5">
        <v>1</v>
      </c>
      <c r="AL29" s="5">
        <v>2</v>
      </c>
      <c r="AM29" s="28">
        <v>9.03</v>
      </c>
    </row>
    <row r="30">
      <c r="A30" s="24">
        <v>1988</v>
      </c>
      <c r="B30" s="9" t="s">
        <v>54</v>
      </c>
      <c r="C30" s="10">
        <v>52</v>
      </c>
      <c r="D30" s="10">
        <v>49</v>
      </c>
      <c r="E30" s="11">
        <v>65</v>
      </c>
      <c r="F30" s="12">
        <v>0</v>
      </c>
      <c r="G30" s="10">
        <v>65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57</v>
      </c>
      <c r="U30" s="12">
        <v>0</v>
      </c>
      <c r="V30" s="10">
        <v>57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1.25</v>
      </c>
      <c r="AK30" s="10">
        <v>1</v>
      </c>
      <c r="AL30" s="10">
        <v>4</v>
      </c>
      <c r="AM30" s="29">
        <v>16.28</v>
      </c>
    </row>
    <row r="31">
      <c r="A31" s="23">
        <v>2063</v>
      </c>
      <c r="B31" s="4" t="s">
        <v>55</v>
      </c>
      <c r="C31" s="5">
        <v>2</v>
      </c>
      <c r="D31" s="5">
        <v>2</v>
      </c>
      <c r="E31" s="6">
        <v>4</v>
      </c>
      <c r="F31" s="7">
        <v>0</v>
      </c>
      <c r="G31" s="7">
        <v>0</v>
      </c>
      <c r="H31" s="7">
        <v>0</v>
      </c>
      <c r="I31" s="5">
        <v>4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</v>
      </c>
      <c r="U31" s="7">
        <v>0</v>
      </c>
      <c r="V31" s="7">
        <v>0</v>
      </c>
      <c r="W31" s="7">
        <v>0</v>
      </c>
      <c r="X31" s="5">
        <v>4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2</v>
      </c>
      <c r="AJ31" s="8">
        <v>2</v>
      </c>
      <c r="AK31" s="5">
        <v>2</v>
      </c>
      <c r="AL31" s="5">
        <v>2</v>
      </c>
      <c r="AM31" s="28">
        <v>1.04</v>
      </c>
    </row>
    <row r="32">
      <c r="A32" s="25">
        <v>2072</v>
      </c>
      <c r="B32" s="16" t="s">
        <v>56</v>
      </c>
      <c r="C32" s="17">
        <v>55</v>
      </c>
      <c r="D32" s="17">
        <v>55</v>
      </c>
      <c r="E32" s="18">
        <v>56</v>
      </c>
      <c r="F32" s="19">
        <v>0</v>
      </c>
      <c r="G32" s="17">
        <v>56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56</v>
      </c>
      <c r="U32" s="19">
        <v>0</v>
      </c>
      <c r="V32" s="17">
        <v>56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1.02</v>
      </c>
      <c r="AK32" s="17">
        <v>1</v>
      </c>
      <c r="AL32" s="17">
        <v>2</v>
      </c>
      <c r="AM32" s="31">
        <v>13.8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9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4</v>
      </c>
      <c r="G3" s="7">
        <v>0</v>
      </c>
      <c r="H3" s="5">
        <v>3</v>
      </c>
      <c r="I3" s="5">
        <v>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7">
        <v>0</v>
      </c>
      <c r="W3" s="5">
        <v>3</v>
      </c>
      <c r="X3" s="5">
        <v>1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3</v>
      </c>
      <c r="AN3" s="28">
        <v>1.1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4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5">
        <v>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5">
        <v>1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</v>
      </c>
      <c r="AL5" s="5">
        <v>2</v>
      </c>
      <c r="AM5" s="5">
        <v>3</v>
      </c>
      <c r="AN5" s="28">
        <v>0.35</v>
      </c>
    </row>
    <row r="6">
      <c r="A6" s="24">
        <v>111</v>
      </c>
      <c r="B6" s="9" t="s">
        <v>71</v>
      </c>
      <c r="C6" s="9" t="s">
        <v>64</v>
      </c>
      <c r="D6" s="9" t="s">
        <v>72</v>
      </c>
      <c r="E6" s="9" t="s">
        <v>73</v>
      </c>
      <c r="F6" s="11">
        <v>6</v>
      </c>
      <c r="G6" s="10">
        <v>2</v>
      </c>
      <c r="H6" s="12">
        <v>0</v>
      </c>
      <c r="I6" s="10">
        <v>2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6</v>
      </c>
      <c r="V6" s="10">
        <v>2</v>
      </c>
      <c r="W6" s="12">
        <v>0</v>
      </c>
      <c r="X6" s="10">
        <v>2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1.2</v>
      </c>
      <c r="AL6" s="10">
        <v>1</v>
      </c>
      <c r="AM6" s="10">
        <v>2</v>
      </c>
      <c r="AN6" s="29">
        <v>0.25</v>
      </c>
    </row>
    <row r="7">
      <c r="A7" s="23">
        <v>112</v>
      </c>
      <c r="B7" s="4" t="s">
        <v>74</v>
      </c>
      <c r="C7" s="4" t="s">
        <v>64</v>
      </c>
      <c r="D7" s="4" t="s">
        <v>72</v>
      </c>
      <c r="E7" s="4" t="s">
        <v>73</v>
      </c>
      <c r="F7" s="6">
        <v>1</v>
      </c>
      <c r="G7" s="5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5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130</v>
      </c>
      <c r="B8" s="9" t="s">
        <v>75</v>
      </c>
      <c r="C8" s="9" t="s">
        <v>64</v>
      </c>
      <c r="D8" s="9" t="s">
        <v>76</v>
      </c>
      <c r="E8" s="9" t="s">
        <v>77</v>
      </c>
      <c r="F8" s="11">
        <v>2</v>
      </c>
      <c r="G8" s="10">
        <v>1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0">
        <v>1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142</v>
      </c>
      <c r="B9" s="4" t="s">
        <v>78</v>
      </c>
      <c r="C9" s="4" t="s">
        <v>64</v>
      </c>
      <c r="D9" s="4" t="s">
        <v>76</v>
      </c>
      <c r="E9" s="4" t="s">
        <v>79</v>
      </c>
      <c r="F9" s="6">
        <v>3</v>
      </c>
      <c r="G9" s="5">
        <v>3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3</v>
      </c>
      <c r="AK9" s="8">
        <v>3</v>
      </c>
      <c r="AL9" s="5">
        <v>3</v>
      </c>
      <c r="AM9" s="5">
        <v>3</v>
      </c>
      <c r="AN9" s="30">
        <v>0</v>
      </c>
    </row>
    <row r="10">
      <c r="A10" s="24">
        <v>145</v>
      </c>
      <c r="B10" s="9" t="s">
        <v>80</v>
      </c>
      <c r="C10" s="9" t="s">
        <v>64</v>
      </c>
      <c r="D10" s="9" t="s">
        <v>72</v>
      </c>
      <c r="E10" s="9" t="s">
        <v>81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146</v>
      </c>
      <c r="B11" s="4" t="s">
        <v>82</v>
      </c>
      <c r="C11" s="4" t="s">
        <v>64</v>
      </c>
      <c r="D11" s="4" t="s">
        <v>72</v>
      </c>
      <c r="E11" s="4" t="s">
        <v>83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7">
        <v>0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0">
        <v>0</v>
      </c>
    </row>
    <row r="12">
      <c r="A12" s="24">
        <v>152</v>
      </c>
      <c r="B12" s="9" t="s">
        <v>84</v>
      </c>
      <c r="C12" s="9" t="s">
        <v>64</v>
      </c>
      <c r="D12" s="9" t="s">
        <v>85</v>
      </c>
      <c r="E12" s="9" t="s">
        <v>86</v>
      </c>
      <c r="F12" s="11">
        <v>6</v>
      </c>
      <c r="G12" s="12">
        <v>0</v>
      </c>
      <c r="H12" s="12">
        <v>0</v>
      </c>
      <c r="I12" s="12">
        <v>0</v>
      </c>
      <c r="J12" s="10">
        <v>6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2">
        <v>0</v>
      </c>
      <c r="W12" s="12">
        <v>0</v>
      </c>
      <c r="X12" s="12">
        <v>0</v>
      </c>
      <c r="Y12" s="10">
        <v>5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6</v>
      </c>
      <c r="AK12" s="13">
        <v>6</v>
      </c>
      <c r="AL12" s="10">
        <v>6</v>
      </c>
      <c r="AM12" s="10">
        <v>6</v>
      </c>
      <c r="AN12" s="29">
        <v>1.25</v>
      </c>
    </row>
    <row r="13">
      <c r="A13" s="23">
        <v>154</v>
      </c>
      <c r="B13" s="4" t="s">
        <v>87</v>
      </c>
      <c r="C13" s="4" t="s">
        <v>64</v>
      </c>
      <c r="D13" s="4" t="s">
        <v>76</v>
      </c>
      <c r="E13" s="4" t="s">
        <v>88</v>
      </c>
      <c r="F13" s="6">
        <v>2</v>
      </c>
      <c r="G13" s="7">
        <v>0</v>
      </c>
      <c r="H13" s="7">
        <v>0</v>
      </c>
      <c r="I13" s="5">
        <v>1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7">
        <v>0</v>
      </c>
      <c r="W13" s="7">
        <v>0</v>
      </c>
      <c r="X13" s="5">
        <v>1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0.48</v>
      </c>
    </row>
    <row r="14">
      <c r="A14" s="24">
        <v>158</v>
      </c>
      <c r="B14" s="9" t="s">
        <v>89</v>
      </c>
      <c r="C14" s="9" t="s">
        <v>64</v>
      </c>
      <c r="D14" s="9" t="s">
        <v>90</v>
      </c>
      <c r="E14" s="9" t="s">
        <v>91</v>
      </c>
      <c r="F14" s="11">
        <v>2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</v>
      </c>
      <c r="AL14" s="10">
        <v>2</v>
      </c>
      <c r="AM14" s="10">
        <v>2</v>
      </c>
      <c r="AN14" s="29">
        <v>0.25</v>
      </c>
    </row>
    <row r="15">
      <c r="A15" s="23">
        <v>162</v>
      </c>
      <c r="B15" s="4" t="s">
        <v>92</v>
      </c>
      <c r="C15" s="4" t="s">
        <v>64</v>
      </c>
      <c r="D15" s="4" t="s">
        <v>93</v>
      </c>
      <c r="E15" s="4" t="s">
        <v>94</v>
      </c>
      <c r="F15" s="6">
        <v>1</v>
      </c>
      <c r="G15" s="7">
        <v>0</v>
      </c>
      <c r="H15" s="7">
        <v>0</v>
      </c>
      <c r="I15" s="7">
        <v>0</v>
      </c>
      <c r="J15" s="7">
        <v>0</v>
      </c>
      <c r="K15" s="5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7">
        <v>0</v>
      </c>
      <c r="Z15" s="5">
        <v>1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164</v>
      </c>
      <c r="B16" s="9" t="s">
        <v>95</v>
      </c>
      <c r="C16" s="9" t="s">
        <v>64</v>
      </c>
      <c r="D16" s="9" t="s">
        <v>85</v>
      </c>
      <c r="E16" s="9" t="s">
        <v>96</v>
      </c>
      <c r="F16" s="11">
        <v>1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168</v>
      </c>
      <c r="B17" s="4" t="s">
        <v>97</v>
      </c>
      <c r="C17" s="4" t="s">
        <v>64</v>
      </c>
      <c r="D17" s="4" t="s">
        <v>85</v>
      </c>
      <c r="E17" s="4" t="s">
        <v>96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178</v>
      </c>
      <c r="B18" s="9" t="s">
        <v>98</v>
      </c>
      <c r="C18" s="9" t="s">
        <v>64</v>
      </c>
      <c r="D18" s="9" t="s">
        <v>76</v>
      </c>
      <c r="E18" s="9" t="s">
        <v>77</v>
      </c>
      <c r="F18" s="11">
        <v>3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3</v>
      </c>
      <c r="AK18" s="13">
        <v>3</v>
      </c>
      <c r="AL18" s="10">
        <v>3</v>
      </c>
      <c r="AM18" s="10">
        <v>3</v>
      </c>
      <c r="AN18" s="49">
        <v>0</v>
      </c>
    </row>
    <row r="19">
      <c r="A19" s="23">
        <v>179</v>
      </c>
      <c r="B19" s="4" t="s">
        <v>99</v>
      </c>
      <c r="C19" s="4" t="s">
        <v>64</v>
      </c>
      <c r="D19" s="4" t="s">
        <v>85</v>
      </c>
      <c r="E19" s="4" t="s">
        <v>100</v>
      </c>
      <c r="F19" s="6">
        <v>3</v>
      </c>
      <c r="G19" s="5">
        <v>1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5">
        <v>1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0.78</v>
      </c>
    </row>
    <row r="20">
      <c r="A20" s="24">
        <v>187</v>
      </c>
      <c r="B20" s="9" t="s">
        <v>101</v>
      </c>
      <c r="C20" s="9" t="s">
        <v>64</v>
      </c>
      <c r="D20" s="9" t="s">
        <v>102</v>
      </c>
      <c r="E20" s="9" t="s">
        <v>103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9">
        <v>0</v>
      </c>
    </row>
    <row r="21">
      <c r="A21" s="23">
        <v>190</v>
      </c>
      <c r="B21" s="4" t="s">
        <v>104</v>
      </c>
      <c r="C21" s="4" t="s">
        <v>64</v>
      </c>
      <c r="D21" s="4" t="s">
        <v>105</v>
      </c>
      <c r="E21" s="4" t="s">
        <v>106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0.5</v>
      </c>
    </row>
    <row r="22">
      <c r="A22" s="24">
        <v>191</v>
      </c>
      <c r="B22" s="9" t="s">
        <v>107</v>
      </c>
      <c r="C22" s="9" t="s">
        <v>64</v>
      </c>
      <c r="D22" s="9" t="s">
        <v>105</v>
      </c>
      <c r="E22" s="9" t="s">
        <v>108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9">
        <v>0</v>
      </c>
    </row>
    <row r="23">
      <c r="A23" s="23">
        <v>200</v>
      </c>
      <c r="B23" s="4" t="s">
        <v>109</v>
      </c>
      <c r="C23" s="4" t="s">
        <v>64</v>
      </c>
      <c r="D23" s="4" t="s">
        <v>105</v>
      </c>
      <c r="E23" s="4" t="s">
        <v>106</v>
      </c>
      <c r="F23" s="6">
        <v>2</v>
      </c>
      <c r="G23" s="7">
        <v>0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28">
        <v>0.5</v>
      </c>
    </row>
    <row r="24">
      <c r="A24" s="24">
        <v>203</v>
      </c>
      <c r="B24" s="9" t="s">
        <v>110</v>
      </c>
      <c r="C24" s="9" t="s">
        <v>64</v>
      </c>
      <c r="D24" s="9" t="s">
        <v>72</v>
      </c>
      <c r="E24" s="9" t="s">
        <v>81</v>
      </c>
      <c r="F24" s="11">
        <v>3</v>
      </c>
      <c r="G24" s="10">
        <v>2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2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0.63</v>
      </c>
    </row>
    <row r="25">
      <c r="A25" s="23">
        <v>207</v>
      </c>
      <c r="B25" s="4" t="s">
        <v>111</v>
      </c>
      <c r="C25" s="4" t="s">
        <v>64</v>
      </c>
      <c r="D25" s="4" t="s">
        <v>68</v>
      </c>
      <c r="E25" s="4" t="s">
        <v>112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208</v>
      </c>
      <c r="B26" s="9" t="s">
        <v>113</v>
      </c>
      <c r="C26" s="9" t="s">
        <v>64</v>
      </c>
      <c r="D26" s="9" t="s">
        <v>114</v>
      </c>
      <c r="E26" s="9" t="s">
        <v>115</v>
      </c>
      <c r="F26" s="11">
        <v>5</v>
      </c>
      <c r="G26" s="10">
        <v>3</v>
      </c>
      <c r="H26" s="10">
        <v>1</v>
      </c>
      <c r="I26" s="12">
        <v>0</v>
      </c>
      <c r="J26" s="12">
        <v>0</v>
      </c>
      <c r="K26" s="12">
        <v>0</v>
      </c>
      <c r="L26" s="10">
        <v>1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0">
        <v>3</v>
      </c>
      <c r="W26" s="10">
        <v>1</v>
      </c>
      <c r="X26" s="12">
        <v>0</v>
      </c>
      <c r="Y26" s="12">
        <v>0</v>
      </c>
      <c r="Z26" s="12">
        <v>0</v>
      </c>
      <c r="AA26" s="10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1.25</v>
      </c>
      <c r="AL26" s="10">
        <v>1</v>
      </c>
      <c r="AM26" s="10">
        <v>2</v>
      </c>
      <c r="AN26" s="49">
        <v>0</v>
      </c>
    </row>
    <row r="27">
      <c r="A27" s="23">
        <v>210</v>
      </c>
      <c r="B27" s="4" t="s">
        <v>116</v>
      </c>
      <c r="C27" s="4" t="s">
        <v>64</v>
      </c>
      <c r="D27" s="4" t="s">
        <v>68</v>
      </c>
      <c r="E27" s="4" t="s">
        <v>112</v>
      </c>
      <c r="F27" s="6">
        <v>1</v>
      </c>
      <c r="G27" s="7">
        <v>0</v>
      </c>
      <c r="H27" s="5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7">
        <v>0</v>
      </c>
      <c r="W27" s="5">
        <v>1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214</v>
      </c>
      <c r="B28" s="9" t="s">
        <v>117</v>
      </c>
      <c r="C28" s="9" t="s">
        <v>64</v>
      </c>
      <c r="D28" s="9" t="s">
        <v>72</v>
      </c>
      <c r="E28" s="9" t="s">
        <v>118</v>
      </c>
      <c r="F28" s="11">
        <v>1</v>
      </c>
      <c r="G28" s="12">
        <v>0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2">
        <v>0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9">
        <v>0</v>
      </c>
    </row>
    <row r="29">
      <c r="A29" s="23">
        <v>215</v>
      </c>
      <c r="B29" s="4" t="s">
        <v>119</v>
      </c>
      <c r="C29" s="4" t="s">
        <v>64</v>
      </c>
      <c r="D29" s="4" t="s">
        <v>114</v>
      </c>
      <c r="E29" s="4" t="s">
        <v>120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218</v>
      </c>
      <c r="B30" s="9" t="s">
        <v>121</v>
      </c>
      <c r="C30" s="9" t="s">
        <v>64</v>
      </c>
      <c r="D30" s="9" t="s">
        <v>76</v>
      </c>
      <c r="E30" s="9" t="s">
        <v>122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49">
        <v>0</v>
      </c>
    </row>
    <row r="31">
      <c r="A31" s="23">
        <v>221</v>
      </c>
      <c r="B31" s="4" t="s">
        <v>123</v>
      </c>
      <c r="C31" s="4" t="s">
        <v>64</v>
      </c>
      <c r="D31" s="4" t="s">
        <v>90</v>
      </c>
      <c r="E31" s="4" t="s">
        <v>91</v>
      </c>
      <c r="F31" s="6">
        <v>5</v>
      </c>
      <c r="G31" s="5">
        <v>1</v>
      </c>
      <c r="H31" s="7">
        <v>0</v>
      </c>
      <c r="I31" s="7">
        <v>0</v>
      </c>
      <c r="J31" s="5">
        <v>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1</v>
      </c>
      <c r="W31" s="7">
        <v>0</v>
      </c>
      <c r="X31" s="7">
        <v>0</v>
      </c>
      <c r="Y31" s="5">
        <v>4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1</v>
      </c>
      <c r="AM31" s="5">
        <v>3</v>
      </c>
      <c r="AN31" s="28">
        <v>1</v>
      </c>
    </row>
    <row r="32">
      <c r="A32" s="24">
        <v>227</v>
      </c>
      <c r="B32" s="9" t="s">
        <v>124</v>
      </c>
      <c r="C32" s="9" t="s">
        <v>64</v>
      </c>
      <c r="D32" s="9" t="s">
        <v>125</v>
      </c>
      <c r="E32" s="9" t="s">
        <v>126</v>
      </c>
      <c r="F32" s="11">
        <v>6</v>
      </c>
      <c r="G32" s="10">
        <v>4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6</v>
      </c>
      <c r="V32" s="10">
        <v>4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0.88</v>
      </c>
    </row>
    <row r="33">
      <c r="A33" s="23">
        <v>230</v>
      </c>
      <c r="B33" s="4" t="s">
        <v>127</v>
      </c>
      <c r="C33" s="4" t="s">
        <v>64</v>
      </c>
      <c r="D33" s="4" t="s">
        <v>76</v>
      </c>
      <c r="E33" s="4" t="s">
        <v>77</v>
      </c>
      <c r="F33" s="6">
        <v>1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235</v>
      </c>
      <c r="B34" s="9" t="s">
        <v>128</v>
      </c>
      <c r="C34" s="9" t="s">
        <v>64</v>
      </c>
      <c r="D34" s="9" t="s">
        <v>72</v>
      </c>
      <c r="E34" s="9" t="s">
        <v>81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0.22</v>
      </c>
    </row>
    <row r="35">
      <c r="A35" s="23">
        <v>236</v>
      </c>
      <c r="B35" s="4" t="s">
        <v>129</v>
      </c>
      <c r="C35" s="4" t="s">
        <v>64</v>
      </c>
      <c r="D35" s="4" t="s">
        <v>85</v>
      </c>
      <c r="E35" s="4" t="s">
        <v>130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240</v>
      </c>
      <c r="B36" s="9" t="s">
        <v>131</v>
      </c>
      <c r="C36" s="9" t="s">
        <v>64</v>
      </c>
      <c r="D36" s="9" t="s">
        <v>85</v>
      </c>
      <c r="E36" s="9" t="s">
        <v>132</v>
      </c>
      <c r="F36" s="11">
        <v>4</v>
      </c>
      <c r="G36" s="10">
        <v>2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0">
        <v>2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0.75</v>
      </c>
    </row>
    <row r="37">
      <c r="A37" s="23">
        <v>245</v>
      </c>
      <c r="B37" s="4" t="s">
        <v>133</v>
      </c>
      <c r="C37" s="4" t="s">
        <v>134</v>
      </c>
      <c r="D37" s="4" t="s">
        <v>135</v>
      </c>
      <c r="E37" s="4" t="s">
        <v>136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0.24</v>
      </c>
    </row>
    <row r="38">
      <c r="A38" s="24">
        <v>250</v>
      </c>
      <c r="B38" s="9" t="s">
        <v>137</v>
      </c>
      <c r="C38" s="9" t="s">
        <v>64</v>
      </c>
      <c r="D38" s="9" t="s">
        <v>85</v>
      </c>
      <c r="E38" s="9" t="s">
        <v>138</v>
      </c>
      <c r="F38" s="11">
        <v>2</v>
      </c>
      <c r="G38" s="12">
        <v>0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2">
        <v>0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253</v>
      </c>
      <c r="B39" s="4" t="s">
        <v>139</v>
      </c>
      <c r="C39" s="4" t="s">
        <v>64</v>
      </c>
      <c r="D39" s="4" t="s">
        <v>114</v>
      </c>
      <c r="E39" s="4" t="s">
        <v>140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257</v>
      </c>
      <c r="B40" s="9" t="s">
        <v>141</v>
      </c>
      <c r="C40" s="9" t="s">
        <v>64</v>
      </c>
      <c r="D40" s="9" t="s">
        <v>76</v>
      </c>
      <c r="E40" s="9" t="s">
        <v>77</v>
      </c>
      <c r="F40" s="11">
        <v>5</v>
      </c>
      <c r="G40" s="10">
        <v>4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5</v>
      </c>
      <c r="V40" s="10">
        <v>4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49">
        <v>0</v>
      </c>
    </row>
    <row r="41">
      <c r="A41" s="23">
        <v>258</v>
      </c>
      <c r="B41" s="4" t="s">
        <v>142</v>
      </c>
      <c r="C41" s="4" t="s">
        <v>64</v>
      </c>
      <c r="D41" s="4" t="s">
        <v>114</v>
      </c>
      <c r="E41" s="4" t="s">
        <v>143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265</v>
      </c>
      <c r="B42" s="9" t="s">
        <v>144</v>
      </c>
      <c r="C42" s="9" t="s">
        <v>64</v>
      </c>
      <c r="D42" s="9" t="s">
        <v>85</v>
      </c>
      <c r="E42" s="9" t="s">
        <v>138</v>
      </c>
      <c r="F42" s="11">
        <v>2</v>
      </c>
      <c r="G42" s="10">
        <v>1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268</v>
      </c>
      <c r="B43" s="4" t="s">
        <v>145</v>
      </c>
      <c r="C43" s="4" t="s">
        <v>64</v>
      </c>
      <c r="D43" s="4" t="s">
        <v>146</v>
      </c>
      <c r="E43" s="4" t="s">
        <v>147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2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0.35</v>
      </c>
    </row>
    <row r="44">
      <c r="A44" s="24">
        <v>274</v>
      </c>
      <c r="B44" s="9" t="s">
        <v>148</v>
      </c>
      <c r="C44" s="9" t="s">
        <v>64</v>
      </c>
      <c r="D44" s="9" t="s">
        <v>114</v>
      </c>
      <c r="E44" s="9" t="s">
        <v>140</v>
      </c>
      <c r="F44" s="11">
        <v>3</v>
      </c>
      <c r="G44" s="10">
        <v>2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282</v>
      </c>
      <c r="B45" s="4" t="s">
        <v>149</v>
      </c>
      <c r="C45" s="4" t="s">
        <v>64</v>
      </c>
      <c r="D45" s="4" t="s">
        <v>114</v>
      </c>
      <c r="E45" s="4" t="s">
        <v>143</v>
      </c>
      <c r="F45" s="6">
        <v>2</v>
      </c>
      <c r="G45" s="5">
        <v>1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1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288</v>
      </c>
      <c r="B46" s="9" t="s">
        <v>150</v>
      </c>
      <c r="C46" s="9" t="s">
        <v>64</v>
      </c>
      <c r="D46" s="9" t="s">
        <v>114</v>
      </c>
      <c r="E46" s="9" t="s">
        <v>140</v>
      </c>
      <c r="F46" s="11">
        <v>1</v>
      </c>
      <c r="G46" s="12">
        <v>0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290</v>
      </c>
      <c r="B47" s="4" t="s">
        <v>151</v>
      </c>
      <c r="C47" s="4" t="s">
        <v>64</v>
      </c>
      <c r="D47" s="4" t="s">
        <v>72</v>
      </c>
      <c r="E47" s="4" t="s">
        <v>152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293</v>
      </c>
      <c r="B48" s="9" t="s">
        <v>153</v>
      </c>
      <c r="C48" s="9" t="s">
        <v>64</v>
      </c>
      <c r="D48" s="9" t="s">
        <v>76</v>
      </c>
      <c r="E48" s="9" t="s">
        <v>88</v>
      </c>
      <c r="F48" s="11">
        <v>4</v>
      </c>
      <c r="G48" s="10">
        <v>3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2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49">
        <v>0</v>
      </c>
    </row>
    <row r="49">
      <c r="A49" s="23">
        <v>295</v>
      </c>
      <c r="B49" s="4" t="s">
        <v>154</v>
      </c>
      <c r="C49" s="4" t="s">
        <v>64</v>
      </c>
      <c r="D49" s="4" t="s">
        <v>72</v>
      </c>
      <c r="E49" s="4" t="s">
        <v>81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297</v>
      </c>
      <c r="B50" s="9" t="s">
        <v>155</v>
      </c>
      <c r="C50" s="9" t="s">
        <v>64</v>
      </c>
      <c r="D50" s="9" t="s">
        <v>156</v>
      </c>
      <c r="E50" s="9" t="s">
        <v>157</v>
      </c>
      <c r="F50" s="11">
        <v>2</v>
      </c>
      <c r="G50" s="10">
        <v>1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299</v>
      </c>
      <c r="B51" s="4" t="s">
        <v>158</v>
      </c>
      <c r="C51" s="4" t="s">
        <v>64</v>
      </c>
      <c r="D51" s="4" t="s">
        <v>85</v>
      </c>
      <c r="E51" s="4" t="s">
        <v>86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0.35</v>
      </c>
    </row>
    <row r="52">
      <c r="A52" s="24">
        <v>303</v>
      </c>
      <c r="B52" s="9" t="s">
        <v>159</v>
      </c>
      <c r="C52" s="9" t="s">
        <v>64</v>
      </c>
      <c r="D52" s="9" t="s">
        <v>72</v>
      </c>
      <c r="E52" s="9" t="s">
        <v>160</v>
      </c>
      <c r="F52" s="11">
        <v>1</v>
      </c>
      <c r="G52" s="12">
        <v>0</v>
      </c>
      <c r="H52" s="12">
        <v>0</v>
      </c>
      <c r="I52" s="12">
        <v>0</v>
      </c>
      <c r="J52" s="12">
        <v>0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2">
        <v>0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9">
        <v>0</v>
      </c>
    </row>
    <row r="53">
      <c r="A53" s="23">
        <v>309</v>
      </c>
      <c r="B53" s="4" t="s">
        <v>161</v>
      </c>
      <c r="C53" s="4" t="s">
        <v>162</v>
      </c>
      <c r="D53" s="4" t="s">
        <v>163</v>
      </c>
      <c r="E53" s="4" t="s">
        <v>164</v>
      </c>
      <c r="F53" s="6">
        <v>7</v>
      </c>
      <c r="G53" s="7">
        <v>0</v>
      </c>
      <c r="H53" s="5">
        <v>3</v>
      </c>
      <c r="I53" s="5">
        <v>1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5</v>
      </c>
      <c r="V53" s="7">
        <v>0</v>
      </c>
      <c r="W53" s="5">
        <v>2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1.75</v>
      </c>
      <c r="AL53" s="5">
        <v>1</v>
      </c>
      <c r="AM53" s="5">
        <v>3</v>
      </c>
      <c r="AN53" s="28">
        <v>0.44</v>
      </c>
    </row>
    <row r="54">
      <c r="A54" s="24">
        <v>310</v>
      </c>
      <c r="B54" s="9" t="s">
        <v>165</v>
      </c>
      <c r="C54" s="9" t="s">
        <v>64</v>
      </c>
      <c r="D54" s="9" t="s">
        <v>72</v>
      </c>
      <c r="E54" s="9" t="s">
        <v>73</v>
      </c>
      <c r="F54" s="11">
        <v>2</v>
      </c>
      <c r="G54" s="10">
        <v>1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0.5</v>
      </c>
    </row>
    <row r="55">
      <c r="A55" s="23">
        <v>311</v>
      </c>
      <c r="B55" s="4" t="s">
        <v>166</v>
      </c>
      <c r="C55" s="4" t="s">
        <v>64</v>
      </c>
      <c r="D55" s="4" t="s">
        <v>72</v>
      </c>
      <c r="E55" s="4" t="s">
        <v>118</v>
      </c>
      <c r="F55" s="6">
        <v>2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5">
        <v>1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5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0.52</v>
      </c>
    </row>
    <row r="56">
      <c r="A56" s="24">
        <v>312</v>
      </c>
      <c r="B56" s="9" t="s">
        <v>167</v>
      </c>
      <c r="C56" s="9" t="s">
        <v>64</v>
      </c>
      <c r="D56" s="9" t="s">
        <v>76</v>
      </c>
      <c r="E56" s="9" t="s">
        <v>77</v>
      </c>
      <c r="F56" s="11">
        <v>2</v>
      </c>
      <c r="G56" s="10">
        <v>2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29">
        <v>0.25</v>
      </c>
    </row>
    <row r="57">
      <c r="A57" s="23">
        <v>317</v>
      </c>
      <c r="B57" s="4" t="s">
        <v>168</v>
      </c>
      <c r="C57" s="4" t="s">
        <v>64</v>
      </c>
      <c r="D57" s="4" t="s">
        <v>85</v>
      </c>
      <c r="E57" s="4" t="s">
        <v>86</v>
      </c>
      <c r="F57" s="6">
        <v>3</v>
      </c>
      <c r="G57" s="7">
        <v>0</v>
      </c>
      <c r="H57" s="5">
        <v>1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7">
        <v>0</v>
      </c>
      <c r="W57" s="5">
        <v>1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0.72</v>
      </c>
    </row>
    <row r="58">
      <c r="A58" s="24">
        <v>321</v>
      </c>
      <c r="B58" s="9" t="s">
        <v>169</v>
      </c>
      <c r="C58" s="9" t="s">
        <v>64</v>
      </c>
      <c r="D58" s="9" t="s">
        <v>93</v>
      </c>
      <c r="E58" s="9" t="s">
        <v>170</v>
      </c>
      <c r="F58" s="11">
        <v>2</v>
      </c>
      <c r="G58" s="10">
        <v>1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1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9">
        <v>0</v>
      </c>
    </row>
    <row r="59">
      <c r="A59" s="23">
        <v>322</v>
      </c>
      <c r="B59" s="4" t="s">
        <v>171</v>
      </c>
      <c r="C59" s="4" t="s">
        <v>64</v>
      </c>
      <c r="D59" s="4" t="s">
        <v>93</v>
      </c>
      <c r="E59" s="4" t="s">
        <v>170</v>
      </c>
      <c r="F59" s="6">
        <v>3</v>
      </c>
      <c r="G59" s="5">
        <v>1</v>
      </c>
      <c r="H59" s="7">
        <v>0</v>
      </c>
      <c r="I59" s="5">
        <v>1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5">
        <v>1</v>
      </c>
      <c r="W59" s="7">
        <v>0</v>
      </c>
      <c r="X59" s="5">
        <v>1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324</v>
      </c>
      <c r="B60" s="9" t="s">
        <v>172</v>
      </c>
      <c r="C60" s="9" t="s">
        <v>64</v>
      </c>
      <c r="D60" s="9" t="s">
        <v>93</v>
      </c>
      <c r="E60" s="9" t="s">
        <v>170</v>
      </c>
      <c r="F60" s="11">
        <v>4</v>
      </c>
      <c r="G60" s="10">
        <v>1</v>
      </c>
      <c r="H60" s="12">
        <v>0</v>
      </c>
      <c r="I60" s="12">
        <v>0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4</v>
      </c>
      <c r="V60" s="10">
        <v>1</v>
      </c>
      <c r="W60" s="12">
        <v>0</v>
      </c>
      <c r="X60" s="12">
        <v>0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1</v>
      </c>
    </row>
    <row r="61">
      <c r="A61" s="23">
        <v>325</v>
      </c>
      <c r="B61" s="4" t="s">
        <v>173</v>
      </c>
      <c r="C61" s="4" t="s">
        <v>64</v>
      </c>
      <c r="D61" s="4" t="s">
        <v>93</v>
      </c>
      <c r="E61" s="4" t="s">
        <v>170</v>
      </c>
      <c r="F61" s="6">
        <v>4</v>
      </c>
      <c r="G61" s="5">
        <v>4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4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4</v>
      </c>
      <c r="AK61" s="8">
        <v>4</v>
      </c>
      <c r="AL61" s="5">
        <v>4</v>
      </c>
      <c r="AM61" s="5">
        <v>4</v>
      </c>
      <c r="AN61" s="30">
        <v>0</v>
      </c>
    </row>
    <row r="62">
      <c r="A62" s="24">
        <v>326</v>
      </c>
      <c r="B62" s="9" t="s">
        <v>174</v>
      </c>
      <c r="C62" s="9" t="s">
        <v>64</v>
      </c>
      <c r="D62" s="9" t="s">
        <v>93</v>
      </c>
      <c r="E62" s="9" t="s">
        <v>170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49">
        <v>0</v>
      </c>
    </row>
    <row r="63">
      <c r="A63" s="23">
        <v>328</v>
      </c>
      <c r="B63" s="4" t="s">
        <v>175</v>
      </c>
      <c r="C63" s="4" t="s">
        <v>162</v>
      </c>
      <c r="D63" s="4" t="s">
        <v>163</v>
      </c>
      <c r="E63" s="4" t="s">
        <v>176</v>
      </c>
      <c r="F63" s="6">
        <v>2</v>
      </c>
      <c r="G63" s="5">
        <v>1</v>
      </c>
      <c r="H63" s="7">
        <v>0</v>
      </c>
      <c r="I63" s="7">
        <v>0</v>
      </c>
      <c r="J63" s="7">
        <v>0</v>
      </c>
      <c r="K63" s="5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1</v>
      </c>
      <c r="W63" s="7">
        <v>0</v>
      </c>
      <c r="X63" s="7">
        <v>0</v>
      </c>
      <c r="Y63" s="7">
        <v>0</v>
      </c>
      <c r="Z63" s="5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329</v>
      </c>
      <c r="B64" s="9" t="s">
        <v>177</v>
      </c>
      <c r="C64" s="9" t="s">
        <v>162</v>
      </c>
      <c r="D64" s="9" t="s">
        <v>163</v>
      </c>
      <c r="E64" s="9" t="s">
        <v>178</v>
      </c>
      <c r="F64" s="11">
        <v>3</v>
      </c>
      <c r="G64" s="10">
        <v>1</v>
      </c>
      <c r="H64" s="12">
        <v>0</v>
      </c>
      <c r="I64" s="12">
        <v>0</v>
      </c>
      <c r="J64" s="12">
        <v>0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1</v>
      </c>
      <c r="W64" s="12">
        <v>0</v>
      </c>
      <c r="X64" s="12">
        <v>0</v>
      </c>
      <c r="Y64" s="12">
        <v>0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0.25</v>
      </c>
    </row>
    <row r="65">
      <c r="A65" s="23">
        <v>331</v>
      </c>
      <c r="B65" s="4" t="s">
        <v>179</v>
      </c>
      <c r="C65" s="4" t="s">
        <v>162</v>
      </c>
      <c r="D65" s="4" t="s">
        <v>180</v>
      </c>
      <c r="E65" s="4" t="s">
        <v>181</v>
      </c>
      <c r="F65" s="6">
        <v>1</v>
      </c>
      <c r="G65" s="7">
        <v>0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337</v>
      </c>
      <c r="B66" s="9" t="s">
        <v>182</v>
      </c>
      <c r="C66" s="9" t="s">
        <v>162</v>
      </c>
      <c r="D66" s="9" t="s">
        <v>163</v>
      </c>
      <c r="E66" s="9" t="s">
        <v>176</v>
      </c>
      <c r="F66" s="11">
        <v>1</v>
      </c>
      <c r="G66" s="12">
        <v>0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9">
        <v>0</v>
      </c>
    </row>
    <row r="67">
      <c r="A67" s="23">
        <v>339</v>
      </c>
      <c r="B67" s="4" t="s">
        <v>183</v>
      </c>
      <c r="C67" s="4" t="s">
        <v>162</v>
      </c>
      <c r="D67" s="4" t="s">
        <v>184</v>
      </c>
      <c r="E67" s="4" t="s">
        <v>185</v>
      </c>
      <c r="F67" s="6">
        <v>2</v>
      </c>
      <c r="G67" s="5">
        <v>1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0.22</v>
      </c>
    </row>
    <row r="68">
      <c r="A68" s="24">
        <v>344</v>
      </c>
      <c r="B68" s="9" t="s">
        <v>186</v>
      </c>
      <c r="C68" s="9" t="s">
        <v>162</v>
      </c>
      <c r="D68" s="9" t="s">
        <v>187</v>
      </c>
      <c r="E68" s="9" t="s">
        <v>188</v>
      </c>
      <c r="F68" s="11">
        <v>7</v>
      </c>
      <c r="G68" s="10">
        <v>3</v>
      </c>
      <c r="H68" s="10">
        <v>3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1</v>
      </c>
      <c r="W68" s="10">
        <v>2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2.33</v>
      </c>
      <c r="AL68" s="10">
        <v>3</v>
      </c>
      <c r="AM68" s="10">
        <v>3</v>
      </c>
      <c r="AN68" s="29">
        <v>0.7</v>
      </c>
    </row>
    <row r="69">
      <c r="A69" s="23">
        <v>347</v>
      </c>
      <c r="B69" s="4" t="s">
        <v>189</v>
      </c>
      <c r="C69" s="4" t="s">
        <v>162</v>
      </c>
      <c r="D69" s="4" t="s">
        <v>190</v>
      </c>
      <c r="E69" s="4" t="s">
        <v>191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350</v>
      </c>
      <c r="B70" s="9" t="s">
        <v>192</v>
      </c>
      <c r="C70" s="9" t="s">
        <v>162</v>
      </c>
      <c r="D70" s="9" t="s">
        <v>163</v>
      </c>
      <c r="E70" s="9" t="s">
        <v>176</v>
      </c>
      <c r="F70" s="11">
        <v>1</v>
      </c>
      <c r="G70" s="12">
        <v>0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351</v>
      </c>
      <c r="B71" s="4" t="s">
        <v>193</v>
      </c>
      <c r="C71" s="4" t="s">
        <v>64</v>
      </c>
      <c r="D71" s="4" t="s">
        <v>76</v>
      </c>
      <c r="E71" s="4" t="s">
        <v>194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355</v>
      </c>
      <c r="B72" s="9" t="s">
        <v>195</v>
      </c>
      <c r="C72" s="9" t="s">
        <v>162</v>
      </c>
      <c r="D72" s="9" t="s">
        <v>187</v>
      </c>
      <c r="E72" s="9" t="s">
        <v>188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49">
        <v>0</v>
      </c>
    </row>
    <row r="73">
      <c r="A73" s="23">
        <v>358</v>
      </c>
      <c r="B73" s="4" t="s">
        <v>196</v>
      </c>
      <c r="C73" s="4" t="s">
        <v>162</v>
      </c>
      <c r="D73" s="4" t="s">
        <v>163</v>
      </c>
      <c r="E73" s="4" t="s">
        <v>164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359</v>
      </c>
      <c r="B74" s="9" t="s">
        <v>197</v>
      </c>
      <c r="C74" s="9" t="s">
        <v>162</v>
      </c>
      <c r="D74" s="9" t="s">
        <v>187</v>
      </c>
      <c r="E74" s="9" t="s">
        <v>198</v>
      </c>
      <c r="F74" s="11">
        <v>6</v>
      </c>
      <c r="G74" s="12">
        <v>0</v>
      </c>
      <c r="H74" s="12">
        <v>0</v>
      </c>
      <c r="I74" s="10">
        <v>1</v>
      </c>
      <c r="J74" s="10">
        <v>4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2">
        <v>0</v>
      </c>
      <c r="W74" s="12">
        <v>0</v>
      </c>
      <c r="X74" s="10">
        <v>1</v>
      </c>
      <c r="Y74" s="10">
        <v>2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4</v>
      </c>
      <c r="AN74" s="29">
        <v>0.5</v>
      </c>
    </row>
    <row r="75">
      <c r="A75" s="23">
        <v>363</v>
      </c>
      <c r="B75" s="4" t="s">
        <v>199</v>
      </c>
      <c r="C75" s="4" t="s">
        <v>162</v>
      </c>
      <c r="D75" s="4" t="s">
        <v>187</v>
      </c>
      <c r="E75" s="4" t="s">
        <v>200</v>
      </c>
      <c r="F75" s="6">
        <v>3</v>
      </c>
      <c r="G75" s="7">
        <v>0</v>
      </c>
      <c r="H75" s="5">
        <v>3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5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28">
        <v>0.33</v>
      </c>
    </row>
    <row r="76">
      <c r="A76" s="24">
        <v>364</v>
      </c>
      <c r="B76" s="9" t="s">
        <v>201</v>
      </c>
      <c r="C76" s="9" t="s">
        <v>162</v>
      </c>
      <c r="D76" s="9" t="s">
        <v>187</v>
      </c>
      <c r="E76" s="9" t="s">
        <v>188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367</v>
      </c>
      <c r="B77" s="4" t="s">
        <v>202</v>
      </c>
      <c r="C77" s="4" t="s">
        <v>64</v>
      </c>
      <c r="D77" s="4" t="s">
        <v>114</v>
      </c>
      <c r="E77" s="4" t="s">
        <v>115</v>
      </c>
      <c r="F77" s="6">
        <v>3</v>
      </c>
      <c r="G77" s="5">
        <v>1</v>
      </c>
      <c r="H77" s="7">
        <v>0</v>
      </c>
      <c r="I77" s="5">
        <v>1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1</v>
      </c>
      <c r="W77" s="7">
        <v>0</v>
      </c>
      <c r="X77" s="5">
        <v>1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0.75</v>
      </c>
    </row>
    <row r="78">
      <c r="A78" s="24">
        <v>388</v>
      </c>
      <c r="B78" s="9" t="s">
        <v>203</v>
      </c>
      <c r="C78" s="9" t="s">
        <v>64</v>
      </c>
      <c r="D78" s="9" t="s">
        <v>72</v>
      </c>
      <c r="E78" s="9" t="s">
        <v>118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0.26</v>
      </c>
    </row>
    <row r="79">
      <c r="A79" s="23">
        <v>397</v>
      </c>
      <c r="B79" s="4" t="s">
        <v>204</v>
      </c>
      <c r="C79" s="4" t="s">
        <v>64</v>
      </c>
      <c r="D79" s="4" t="s">
        <v>125</v>
      </c>
      <c r="E79" s="4" t="s">
        <v>205</v>
      </c>
      <c r="F79" s="6">
        <v>2</v>
      </c>
      <c r="G79" s="5">
        <v>1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0.5</v>
      </c>
    </row>
    <row r="80">
      <c r="A80" s="24">
        <v>405</v>
      </c>
      <c r="B80" s="9" t="s">
        <v>206</v>
      </c>
      <c r="C80" s="9" t="s">
        <v>64</v>
      </c>
      <c r="D80" s="9" t="s">
        <v>72</v>
      </c>
      <c r="E80" s="9" t="s">
        <v>81</v>
      </c>
      <c r="F80" s="11">
        <v>7</v>
      </c>
      <c r="G80" s="10">
        <v>4</v>
      </c>
      <c r="H80" s="12">
        <v>0</v>
      </c>
      <c r="I80" s="10">
        <v>1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2</v>
      </c>
      <c r="W80" s="12">
        <v>0</v>
      </c>
      <c r="X80" s="10">
        <v>1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1.4</v>
      </c>
      <c r="AL80" s="10">
        <v>1</v>
      </c>
      <c r="AM80" s="10">
        <v>3</v>
      </c>
      <c r="AN80" s="29">
        <v>0.78</v>
      </c>
    </row>
    <row r="81">
      <c r="A81" s="23">
        <v>407</v>
      </c>
      <c r="B81" s="4" t="s">
        <v>207</v>
      </c>
      <c r="C81" s="4" t="s">
        <v>64</v>
      </c>
      <c r="D81" s="4" t="s">
        <v>76</v>
      </c>
      <c r="E81" s="4" t="s">
        <v>122</v>
      </c>
      <c r="F81" s="6">
        <v>1</v>
      </c>
      <c r="G81" s="7">
        <v>0</v>
      </c>
      <c r="H81" s="5">
        <v>1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5">
        <v>1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0.22</v>
      </c>
    </row>
    <row r="82">
      <c r="A82" s="24">
        <v>408</v>
      </c>
      <c r="B82" s="9" t="s">
        <v>208</v>
      </c>
      <c r="C82" s="9" t="s">
        <v>64</v>
      </c>
      <c r="D82" s="9" t="s">
        <v>102</v>
      </c>
      <c r="E82" s="9" t="s">
        <v>209</v>
      </c>
      <c r="F82" s="11">
        <v>3</v>
      </c>
      <c r="G82" s="10">
        <v>2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2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0.75</v>
      </c>
    </row>
    <row r="83">
      <c r="A83" s="23">
        <v>413</v>
      </c>
      <c r="B83" s="4" t="s">
        <v>210</v>
      </c>
      <c r="C83" s="4" t="s">
        <v>64</v>
      </c>
      <c r="D83" s="4" t="s">
        <v>114</v>
      </c>
      <c r="E83" s="4" t="s">
        <v>115</v>
      </c>
      <c r="F83" s="6">
        <v>3</v>
      </c>
      <c r="G83" s="5">
        <v>1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5">
        <v>1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0.5</v>
      </c>
    </row>
    <row r="84">
      <c r="A84" s="24">
        <v>414</v>
      </c>
      <c r="B84" s="9" t="s">
        <v>211</v>
      </c>
      <c r="C84" s="9" t="s">
        <v>64</v>
      </c>
      <c r="D84" s="9" t="s">
        <v>114</v>
      </c>
      <c r="E84" s="9" t="s">
        <v>212</v>
      </c>
      <c r="F84" s="11">
        <v>5</v>
      </c>
      <c r="G84" s="10">
        <v>5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5</v>
      </c>
      <c r="AK84" s="13">
        <v>5</v>
      </c>
      <c r="AL84" s="10">
        <v>5</v>
      </c>
      <c r="AM84" s="10">
        <v>5</v>
      </c>
      <c r="AN84" s="49">
        <v>0</v>
      </c>
    </row>
    <row r="85">
      <c r="A85" s="23">
        <v>415</v>
      </c>
      <c r="B85" s="4" t="s">
        <v>213</v>
      </c>
      <c r="C85" s="4" t="s">
        <v>64</v>
      </c>
      <c r="D85" s="4" t="s">
        <v>72</v>
      </c>
      <c r="E85" s="4" t="s">
        <v>118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0.35</v>
      </c>
    </row>
    <row r="86">
      <c r="A86" s="24">
        <v>416</v>
      </c>
      <c r="B86" s="9" t="s">
        <v>214</v>
      </c>
      <c r="C86" s="9" t="s">
        <v>64</v>
      </c>
      <c r="D86" s="9" t="s">
        <v>72</v>
      </c>
      <c r="E86" s="9" t="s">
        <v>73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0.25</v>
      </c>
    </row>
    <row r="87">
      <c r="A87" s="23">
        <v>417</v>
      </c>
      <c r="B87" s="4" t="s">
        <v>215</v>
      </c>
      <c r="C87" s="4" t="s">
        <v>64</v>
      </c>
      <c r="D87" s="4" t="s">
        <v>76</v>
      </c>
      <c r="E87" s="4" t="s">
        <v>77</v>
      </c>
      <c r="F87" s="6">
        <v>1</v>
      </c>
      <c r="G87" s="7">
        <v>0</v>
      </c>
      <c r="H87" s="5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5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419</v>
      </c>
      <c r="B88" s="9" t="s">
        <v>216</v>
      </c>
      <c r="C88" s="9" t="s">
        <v>64</v>
      </c>
      <c r="D88" s="9" t="s">
        <v>114</v>
      </c>
      <c r="E88" s="9" t="s">
        <v>143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0.22</v>
      </c>
    </row>
    <row r="89">
      <c r="A89" s="23">
        <v>420</v>
      </c>
      <c r="B89" s="4" t="s">
        <v>217</v>
      </c>
      <c r="C89" s="4" t="s">
        <v>64</v>
      </c>
      <c r="D89" s="4" t="s">
        <v>114</v>
      </c>
      <c r="E89" s="4" t="s">
        <v>218</v>
      </c>
      <c r="F89" s="6">
        <v>3</v>
      </c>
      <c r="G89" s="5">
        <v>1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5">
        <v>1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0.9</v>
      </c>
    </row>
    <row r="90">
      <c r="A90" s="24">
        <v>428</v>
      </c>
      <c r="B90" s="9" t="s">
        <v>219</v>
      </c>
      <c r="C90" s="9" t="s">
        <v>64</v>
      </c>
      <c r="D90" s="9" t="s">
        <v>85</v>
      </c>
      <c r="E90" s="9" t="s">
        <v>220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430</v>
      </c>
      <c r="B91" s="4" t="s">
        <v>221</v>
      </c>
      <c r="C91" s="4" t="s">
        <v>64</v>
      </c>
      <c r="D91" s="4" t="s">
        <v>76</v>
      </c>
      <c r="E91" s="4" t="s">
        <v>77</v>
      </c>
      <c r="F91" s="6">
        <v>3</v>
      </c>
      <c r="G91" s="5">
        <v>1</v>
      </c>
      <c r="H91" s="5">
        <v>1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1</v>
      </c>
      <c r="W91" s="5">
        <v>1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435</v>
      </c>
      <c r="B92" s="9" t="s">
        <v>222</v>
      </c>
      <c r="C92" s="9" t="s">
        <v>64</v>
      </c>
      <c r="D92" s="9" t="s">
        <v>114</v>
      </c>
      <c r="E92" s="9" t="s">
        <v>120</v>
      </c>
      <c r="F92" s="11">
        <v>8</v>
      </c>
      <c r="G92" s="10">
        <v>2</v>
      </c>
      <c r="H92" s="12">
        <v>0</v>
      </c>
      <c r="I92" s="12">
        <v>0</v>
      </c>
      <c r="J92" s="10">
        <v>6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8</v>
      </c>
      <c r="V92" s="10">
        <v>2</v>
      </c>
      <c r="W92" s="12">
        <v>0</v>
      </c>
      <c r="X92" s="12">
        <v>0</v>
      </c>
      <c r="Y92" s="10">
        <v>6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</v>
      </c>
      <c r="AL92" s="10">
        <v>1</v>
      </c>
      <c r="AM92" s="10">
        <v>4</v>
      </c>
      <c r="AN92" s="29">
        <v>1.3</v>
      </c>
    </row>
    <row r="93">
      <c r="A93" s="23">
        <v>441</v>
      </c>
      <c r="B93" s="4" t="s">
        <v>223</v>
      </c>
      <c r="C93" s="4" t="s">
        <v>64</v>
      </c>
      <c r="D93" s="4" t="s">
        <v>102</v>
      </c>
      <c r="E93" s="4" t="s">
        <v>224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443</v>
      </c>
      <c r="B94" s="9" t="s">
        <v>225</v>
      </c>
      <c r="C94" s="9" t="s">
        <v>64</v>
      </c>
      <c r="D94" s="9" t="s">
        <v>72</v>
      </c>
      <c r="E94" s="9" t="s">
        <v>160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445</v>
      </c>
      <c r="B95" s="4" t="s">
        <v>226</v>
      </c>
      <c r="C95" s="4" t="s">
        <v>64</v>
      </c>
      <c r="D95" s="4" t="s">
        <v>76</v>
      </c>
      <c r="E95" s="4" t="s">
        <v>77</v>
      </c>
      <c r="F95" s="6">
        <v>3</v>
      </c>
      <c r="G95" s="5">
        <v>1</v>
      </c>
      <c r="H95" s="7">
        <v>0</v>
      </c>
      <c r="I95" s="5">
        <v>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1</v>
      </c>
      <c r="W95" s="7">
        <v>0</v>
      </c>
      <c r="X95" s="5">
        <v>2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30">
        <v>0</v>
      </c>
    </row>
    <row r="96">
      <c r="A96" s="24">
        <v>449</v>
      </c>
      <c r="B96" s="9" t="s">
        <v>227</v>
      </c>
      <c r="C96" s="9" t="s">
        <v>64</v>
      </c>
      <c r="D96" s="9" t="s">
        <v>76</v>
      </c>
      <c r="E96" s="9" t="s">
        <v>77</v>
      </c>
      <c r="F96" s="11">
        <v>5</v>
      </c>
      <c r="G96" s="10">
        <v>3</v>
      </c>
      <c r="H96" s="10">
        <v>1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5</v>
      </c>
      <c r="V96" s="10">
        <v>3</v>
      </c>
      <c r="W96" s="10">
        <v>1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1.67</v>
      </c>
      <c r="AL96" s="10">
        <v>1</v>
      </c>
      <c r="AM96" s="10">
        <v>3</v>
      </c>
      <c r="AN96" s="29">
        <v>1.35</v>
      </c>
    </row>
    <row r="97">
      <c r="A97" s="23">
        <v>450</v>
      </c>
      <c r="B97" s="4" t="s">
        <v>228</v>
      </c>
      <c r="C97" s="4" t="s">
        <v>64</v>
      </c>
      <c r="D97" s="4" t="s">
        <v>76</v>
      </c>
      <c r="E97" s="4" t="s">
        <v>77</v>
      </c>
      <c r="F97" s="6">
        <v>1</v>
      </c>
      <c r="G97" s="7">
        <v>0</v>
      </c>
      <c r="H97" s="7">
        <v>0</v>
      </c>
      <c r="I97" s="5"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0.24</v>
      </c>
    </row>
    <row r="98">
      <c r="A98" s="24">
        <v>452</v>
      </c>
      <c r="B98" s="9" t="s">
        <v>229</v>
      </c>
      <c r="C98" s="9" t="s">
        <v>64</v>
      </c>
      <c r="D98" s="9" t="s">
        <v>72</v>
      </c>
      <c r="E98" s="9" t="s">
        <v>81</v>
      </c>
      <c r="F98" s="11">
        <v>4</v>
      </c>
      <c r="G98" s="10">
        <v>1</v>
      </c>
      <c r="H98" s="12">
        <v>0</v>
      </c>
      <c r="I98" s="12">
        <v>0</v>
      </c>
      <c r="J98" s="10">
        <v>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</v>
      </c>
      <c r="V98" s="10">
        <v>1</v>
      </c>
      <c r="W98" s="12">
        <v>0</v>
      </c>
      <c r="X98" s="12">
        <v>0</v>
      </c>
      <c r="Y98" s="10">
        <v>3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29">
        <v>1.12</v>
      </c>
    </row>
    <row r="99">
      <c r="A99" s="23">
        <v>469</v>
      </c>
      <c r="B99" s="4" t="s">
        <v>230</v>
      </c>
      <c r="C99" s="4" t="s">
        <v>64</v>
      </c>
      <c r="D99" s="4" t="s">
        <v>85</v>
      </c>
      <c r="E99" s="4" t="s">
        <v>130</v>
      </c>
      <c r="F99" s="6">
        <v>1</v>
      </c>
      <c r="G99" s="7">
        <v>0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470</v>
      </c>
      <c r="B100" s="9" t="s">
        <v>231</v>
      </c>
      <c r="C100" s="9" t="s">
        <v>64</v>
      </c>
      <c r="D100" s="9" t="s">
        <v>72</v>
      </c>
      <c r="E100" s="9" t="s">
        <v>232</v>
      </c>
      <c r="F100" s="11">
        <v>2</v>
      </c>
      <c r="G100" s="10">
        <v>1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0">
        <v>1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471</v>
      </c>
      <c r="B101" s="4" t="s">
        <v>233</v>
      </c>
      <c r="C101" s="4" t="s">
        <v>64</v>
      </c>
      <c r="D101" s="4" t="s">
        <v>72</v>
      </c>
      <c r="E101" s="4" t="s">
        <v>152</v>
      </c>
      <c r="F101" s="6">
        <v>2</v>
      </c>
      <c r="G101" s="7">
        <v>0</v>
      </c>
      <c r="H101" s="7">
        <v>0</v>
      </c>
      <c r="I101" s="7">
        <v>0</v>
      </c>
      <c r="J101" s="5">
        <v>2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7">
        <v>0</v>
      </c>
      <c r="W101" s="7">
        <v>0</v>
      </c>
      <c r="X101" s="7">
        <v>0</v>
      </c>
      <c r="Y101" s="5">
        <v>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28">
        <v>0.5</v>
      </c>
    </row>
    <row r="102">
      <c r="A102" s="24">
        <v>473</v>
      </c>
      <c r="B102" s="9" t="s">
        <v>234</v>
      </c>
      <c r="C102" s="9" t="s">
        <v>162</v>
      </c>
      <c r="D102" s="9" t="s">
        <v>190</v>
      </c>
      <c r="E102" s="9" t="s">
        <v>191</v>
      </c>
      <c r="F102" s="11">
        <v>2</v>
      </c>
      <c r="G102" s="12">
        <v>0</v>
      </c>
      <c r="H102" s="10">
        <v>1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2">
        <v>0</v>
      </c>
      <c r="W102" s="10">
        <v>1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478</v>
      </c>
      <c r="B103" s="4" t="s">
        <v>235</v>
      </c>
      <c r="C103" s="4" t="s">
        <v>64</v>
      </c>
      <c r="D103" s="4" t="s">
        <v>114</v>
      </c>
      <c r="E103" s="4" t="s">
        <v>120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482</v>
      </c>
      <c r="B104" s="9" t="s">
        <v>236</v>
      </c>
      <c r="C104" s="9" t="s">
        <v>64</v>
      </c>
      <c r="D104" s="9" t="s">
        <v>114</v>
      </c>
      <c r="E104" s="9" t="s">
        <v>237</v>
      </c>
      <c r="F104" s="11">
        <v>2</v>
      </c>
      <c r="G104" s="10">
        <v>1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1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9">
        <v>0</v>
      </c>
    </row>
    <row r="105">
      <c r="A105" s="23">
        <v>486</v>
      </c>
      <c r="B105" s="4" t="s">
        <v>238</v>
      </c>
      <c r="C105" s="4" t="s">
        <v>64</v>
      </c>
      <c r="D105" s="4" t="s">
        <v>76</v>
      </c>
      <c r="E105" s="4" t="s">
        <v>77</v>
      </c>
      <c r="F105" s="6">
        <v>2</v>
      </c>
      <c r="G105" s="7">
        <v>0</v>
      </c>
      <c r="H105" s="7">
        <v>0</v>
      </c>
      <c r="I105" s="7">
        <v>0</v>
      </c>
      <c r="J105" s="5">
        <v>2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7">
        <v>0</v>
      </c>
      <c r="X105" s="7">
        <v>0</v>
      </c>
      <c r="Y105" s="5">
        <v>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28">
        <v>0.5</v>
      </c>
    </row>
    <row r="106">
      <c r="A106" s="24">
        <v>490</v>
      </c>
      <c r="B106" s="9" t="s">
        <v>239</v>
      </c>
      <c r="C106" s="9" t="s">
        <v>64</v>
      </c>
      <c r="D106" s="9" t="s">
        <v>76</v>
      </c>
      <c r="E106" s="9" t="s">
        <v>77</v>
      </c>
      <c r="F106" s="11">
        <v>3</v>
      </c>
      <c r="G106" s="10">
        <v>1</v>
      </c>
      <c r="H106" s="12">
        <v>0</v>
      </c>
      <c r="I106" s="12">
        <v>0</v>
      </c>
      <c r="J106" s="10">
        <v>1</v>
      </c>
      <c r="K106" s="12">
        <v>0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0">
        <v>1</v>
      </c>
      <c r="W106" s="12">
        <v>0</v>
      </c>
      <c r="X106" s="12">
        <v>0</v>
      </c>
      <c r="Y106" s="10">
        <v>1</v>
      </c>
      <c r="Z106" s="12">
        <v>0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0.26</v>
      </c>
    </row>
    <row r="107">
      <c r="A107" s="23">
        <v>493</v>
      </c>
      <c r="B107" s="4" t="s">
        <v>240</v>
      </c>
      <c r="C107" s="4" t="s">
        <v>64</v>
      </c>
      <c r="D107" s="4" t="s">
        <v>102</v>
      </c>
      <c r="E107" s="4" t="s">
        <v>103</v>
      </c>
      <c r="F107" s="6">
        <v>1</v>
      </c>
      <c r="G107" s="7">
        <v>0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495</v>
      </c>
      <c r="B108" s="9" t="s">
        <v>241</v>
      </c>
      <c r="C108" s="9" t="s">
        <v>64</v>
      </c>
      <c r="D108" s="9" t="s">
        <v>85</v>
      </c>
      <c r="E108" s="9" t="s">
        <v>86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0.26</v>
      </c>
    </row>
    <row r="109">
      <c r="A109" s="23">
        <v>496</v>
      </c>
      <c r="B109" s="4" t="s">
        <v>242</v>
      </c>
      <c r="C109" s="4" t="s">
        <v>64</v>
      </c>
      <c r="D109" s="4" t="s">
        <v>72</v>
      </c>
      <c r="E109" s="4" t="s">
        <v>81</v>
      </c>
      <c r="F109" s="6">
        <v>2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5">
        <v>1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5">
        <v>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500</v>
      </c>
      <c r="B110" s="9" t="s">
        <v>243</v>
      </c>
      <c r="C110" s="9" t="s">
        <v>134</v>
      </c>
      <c r="D110" s="9" t="s">
        <v>244</v>
      </c>
      <c r="E110" s="9" t="s">
        <v>245</v>
      </c>
      <c r="F110" s="11">
        <v>2</v>
      </c>
      <c r="G110" s="12">
        <v>0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2">
        <v>0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0.52</v>
      </c>
    </row>
    <row r="111">
      <c r="A111" s="23">
        <v>512</v>
      </c>
      <c r="B111" s="4" t="s">
        <v>246</v>
      </c>
      <c r="C111" s="4" t="s">
        <v>64</v>
      </c>
      <c r="D111" s="4" t="s">
        <v>114</v>
      </c>
      <c r="E111" s="4" t="s">
        <v>143</v>
      </c>
      <c r="F111" s="6">
        <v>1</v>
      </c>
      <c r="G111" s="7">
        <v>0</v>
      </c>
      <c r="H111" s="7">
        <v>0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520</v>
      </c>
      <c r="B112" s="9" t="s">
        <v>247</v>
      </c>
      <c r="C112" s="9" t="s">
        <v>64</v>
      </c>
      <c r="D112" s="9" t="s">
        <v>102</v>
      </c>
      <c r="E112" s="9" t="s">
        <v>248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0.26</v>
      </c>
    </row>
    <row r="113">
      <c r="A113" s="23">
        <v>521</v>
      </c>
      <c r="B113" s="4" t="s">
        <v>249</v>
      </c>
      <c r="C113" s="4" t="s">
        <v>64</v>
      </c>
      <c r="D113" s="4" t="s">
        <v>68</v>
      </c>
      <c r="E113" s="4" t="s">
        <v>112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0.26</v>
      </c>
    </row>
    <row r="114">
      <c r="A114" s="24">
        <v>522</v>
      </c>
      <c r="B114" s="9" t="s">
        <v>250</v>
      </c>
      <c r="C114" s="9" t="s">
        <v>64</v>
      </c>
      <c r="D114" s="9" t="s">
        <v>114</v>
      </c>
      <c r="E114" s="9" t="s">
        <v>143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0.26</v>
      </c>
    </row>
    <row r="115">
      <c r="A115" s="23">
        <v>523</v>
      </c>
      <c r="B115" s="4" t="s">
        <v>251</v>
      </c>
      <c r="C115" s="4" t="s">
        <v>64</v>
      </c>
      <c r="D115" s="4" t="s">
        <v>114</v>
      </c>
      <c r="E115" s="4" t="s">
        <v>143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0.52</v>
      </c>
    </row>
    <row r="116">
      <c r="A116" s="24">
        <v>524</v>
      </c>
      <c r="B116" s="9" t="s">
        <v>252</v>
      </c>
      <c r="C116" s="9" t="s">
        <v>64</v>
      </c>
      <c r="D116" s="9" t="s">
        <v>114</v>
      </c>
      <c r="E116" s="9" t="s">
        <v>115</v>
      </c>
      <c r="F116" s="11">
        <v>2</v>
      </c>
      <c r="G116" s="10">
        <v>1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0.52</v>
      </c>
    </row>
    <row r="117">
      <c r="A117" s="23">
        <v>528</v>
      </c>
      <c r="B117" s="4" t="s">
        <v>253</v>
      </c>
      <c r="C117" s="4" t="s">
        <v>64</v>
      </c>
      <c r="D117" s="4" t="s">
        <v>114</v>
      </c>
      <c r="E117" s="4" t="s">
        <v>237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30">
        <v>0</v>
      </c>
    </row>
    <row r="118">
      <c r="A118" s="24">
        <v>529</v>
      </c>
      <c r="B118" s="9" t="s">
        <v>254</v>
      </c>
      <c r="C118" s="9" t="s">
        <v>64</v>
      </c>
      <c r="D118" s="9" t="s">
        <v>76</v>
      </c>
      <c r="E118" s="9" t="s">
        <v>88</v>
      </c>
      <c r="F118" s="11">
        <v>4</v>
      </c>
      <c r="G118" s="10">
        <v>1</v>
      </c>
      <c r="H118" s="12">
        <v>0</v>
      </c>
      <c r="I118" s="12">
        <v>0</v>
      </c>
      <c r="J118" s="10">
        <v>1</v>
      </c>
      <c r="K118" s="10">
        <v>2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4</v>
      </c>
      <c r="V118" s="10">
        <v>1</v>
      </c>
      <c r="W118" s="12">
        <v>0</v>
      </c>
      <c r="X118" s="12">
        <v>0</v>
      </c>
      <c r="Y118" s="10">
        <v>1</v>
      </c>
      <c r="Z118" s="10">
        <v>2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1.33</v>
      </c>
      <c r="AL118" s="10">
        <v>1</v>
      </c>
      <c r="AM118" s="10">
        <v>2</v>
      </c>
      <c r="AN118" s="29">
        <v>0.25</v>
      </c>
    </row>
    <row r="119">
      <c r="A119" s="23">
        <v>531</v>
      </c>
      <c r="B119" s="4" t="s">
        <v>255</v>
      </c>
      <c r="C119" s="4" t="s">
        <v>64</v>
      </c>
      <c r="D119" s="4" t="s">
        <v>72</v>
      </c>
      <c r="E119" s="4" t="s">
        <v>256</v>
      </c>
      <c r="F119" s="6">
        <v>1</v>
      </c>
      <c r="G119" s="7">
        <v>0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0.15</v>
      </c>
    </row>
    <row r="120">
      <c r="A120" s="24">
        <v>534</v>
      </c>
      <c r="B120" s="9" t="s">
        <v>257</v>
      </c>
      <c r="C120" s="9" t="s">
        <v>64</v>
      </c>
      <c r="D120" s="9" t="s">
        <v>72</v>
      </c>
      <c r="E120" s="9" t="s">
        <v>256</v>
      </c>
      <c r="F120" s="11">
        <v>1</v>
      </c>
      <c r="G120" s="12">
        <v>0</v>
      </c>
      <c r="H120" s="12">
        <v>0</v>
      </c>
      <c r="I120" s="12">
        <v>0</v>
      </c>
      <c r="J120" s="12">
        <v>0</v>
      </c>
      <c r="K120" s="10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2">
        <v>0</v>
      </c>
      <c r="X120" s="12">
        <v>0</v>
      </c>
      <c r="Y120" s="12">
        <v>0</v>
      </c>
      <c r="Z120" s="10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9">
        <v>0</v>
      </c>
    </row>
    <row r="121">
      <c r="A121" s="23">
        <v>537</v>
      </c>
      <c r="B121" s="4" t="s">
        <v>258</v>
      </c>
      <c r="C121" s="4" t="s">
        <v>64</v>
      </c>
      <c r="D121" s="4" t="s">
        <v>72</v>
      </c>
      <c r="E121" s="4" t="s">
        <v>256</v>
      </c>
      <c r="F121" s="6">
        <v>2</v>
      </c>
      <c r="G121" s="5">
        <v>1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542</v>
      </c>
      <c r="B122" s="9" t="s">
        <v>259</v>
      </c>
      <c r="C122" s="9" t="s">
        <v>64</v>
      </c>
      <c r="D122" s="9" t="s">
        <v>72</v>
      </c>
      <c r="E122" s="9" t="s">
        <v>256</v>
      </c>
      <c r="F122" s="11">
        <v>2</v>
      </c>
      <c r="G122" s="12">
        <v>0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2">
        <v>0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543</v>
      </c>
      <c r="B123" s="4" t="s">
        <v>260</v>
      </c>
      <c r="C123" s="4" t="s">
        <v>64</v>
      </c>
      <c r="D123" s="4" t="s">
        <v>72</v>
      </c>
      <c r="E123" s="4" t="s">
        <v>256</v>
      </c>
      <c r="F123" s="6">
        <v>3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5">
        <v>2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5">
        <v>2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0.25</v>
      </c>
    </row>
    <row r="124">
      <c r="A124" s="24">
        <v>551</v>
      </c>
      <c r="B124" s="9" t="s">
        <v>261</v>
      </c>
      <c r="C124" s="9" t="s">
        <v>64</v>
      </c>
      <c r="D124" s="9" t="s">
        <v>72</v>
      </c>
      <c r="E124" s="9" t="s">
        <v>256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559</v>
      </c>
      <c r="B125" s="4" t="s">
        <v>262</v>
      </c>
      <c r="C125" s="4" t="s">
        <v>64</v>
      </c>
      <c r="D125" s="4" t="s">
        <v>93</v>
      </c>
      <c r="E125" s="4" t="s">
        <v>170</v>
      </c>
      <c r="F125" s="6">
        <v>3</v>
      </c>
      <c r="G125" s="5">
        <v>2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2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567</v>
      </c>
      <c r="B126" s="9" t="s">
        <v>263</v>
      </c>
      <c r="C126" s="9" t="s">
        <v>64</v>
      </c>
      <c r="D126" s="9" t="s">
        <v>68</v>
      </c>
      <c r="E126" s="9" t="s">
        <v>264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579</v>
      </c>
      <c r="B127" s="4" t="s">
        <v>265</v>
      </c>
      <c r="C127" s="4" t="s">
        <v>64</v>
      </c>
      <c r="D127" s="4" t="s">
        <v>68</v>
      </c>
      <c r="E127" s="4" t="s">
        <v>264</v>
      </c>
      <c r="F127" s="6">
        <v>1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5">
        <v>1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5">
        <v>1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582</v>
      </c>
      <c r="B128" s="9" t="s">
        <v>266</v>
      </c>
      <c r="C128" s="9" t="s">
        <v>64</v>
      </c>
      <c r="D128" s="9" t="s">
        <v>68</v>
      </c>
      <c r="E128" s="9" t="s">
        <v>267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594</v>
      </c>
      <c r="B129" s="4" t="s">
        <v>268</v>
      </c>
      <c r="C129" s="4" t="s">
        <v>64</v>
      </c>
      <c r="D129" s="4" t="s">
        <v>68</v>
      </c>
      <c r="E129" s="4" t="s">
        <v>112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597</v>
      </c>
      <c r="B130" s="9" t="s">
        <v>269</v>
      </c>
      <c r="C130" s="9" t="s">
        <v>64</v>
      </c>
      <c r="D130" s="9" t="s">
        <v>68</v>
      </c>
      <c r="E130" s="9" t="s">
        <v>112</v>
      </c>
      <c r="F130" s="11">
        <v>1</v>
      </c>
      <c r="G130" s="12">
        <v>0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599</v>
      </c>
      <c r="B131" s="4" t="s">
        <v>270</v>
      </c>
      <c r="C131" s="4" t="s">
        <v>64</v>
      </c>
      <c r="D131" s="4" t="s">
        <v>68</v>
      </c>
      <c r="E131" s="4" t="s">
        <v>112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0.22</v>
      </c>
    </row>
    <row r="132">
      <c r="A132" s="24">
        <v>601</v>
      </c>
      <c r="B132" s="9" t="s">
        <v>271</v>
      </c>
      <c r="C132" s="9" t="s">
        <v>64</v>
      </c>
      <c r="D132" s="9" t="s">
        <v>68</v>
      </c>
      <c r="E132" s="9" t="s">
        <v>112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613</v>
      </c>
      <c r="B133" s="4" t="s">
        <v>272</v>
      </c>
      <c r="C133" s="4" t="s">
        <v>64</v>
      </c>
      <c r="D133" s="4" t="s">
        <v>68</v>
      </c>
      <c r="E133" s="4" t="s">
        <v>112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620</v>
      </c>
      <c r="B134" s="9" t="s">
        <v>273</v>
      </c>
      <c r="C134" s="9" t="s">
        <v>64</v>
      </c>
      <c r="D134" s="9" t="s">
        <v>114</v>
      </c>
      <c r="E134" s="9" t="s">
        <v>274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0.22</v>
      </c>
    </row>
    <row r="135">
      <c r="A135" s="23">
        <v>621</v>
      </c>
      <c r="B135" s="4" t="s">
        <v>275</v>
      </c>
      <c r="C135" s="4" t="s">
        <v>64</v>
      </c>
      <c r="D135" s="4" t="s">
        <v>114</v>
      </c>
      <c r="E135" s="4" t="s">
        <v>120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625</v>
      </c>
      <c r="B136" s="9" t="s">
        <v>276</v>
      </c>
      <c r="C136" s="9" t="s">
        <v>64</v>
      </c>
      <c r="D136" s="9" t="s">
        <v>114</v>
      </c>
      <c r="E136" s="9" t="s">
        <v>274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0.22</v>
      </c>
    </row>
    <row r="137">
      <c r="A137" s="23">
        <v>667</v>
      </c>
      <c r="B137" s="4" t="s">
        <v>277</v>
      </c>
      <c r="C137" s="4" t="s">
        <v>64</v>
      </c>
      <c r="D137" s="4" t="s">
        <v>72</v>
      </c>
      <c r="E137" s="4" t="s">
        <v>81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676</v>
      </c>
      <c r="B138" s="9" t="s">
        <v>278</v>
      </c>
      <c r="C138" s="9" t="s">
        <v>64</v>
      </c>
      <c r="D138" s="9" t="s">
        <v>72</v>
      </c>
      <c r="E138" s="9" t="s">
        <v>81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678</v>
      </c>
      <c r="B139" s="4" t="s">
        <v>279</v>
      </c>
      <c r="C139" s="4" t="s">
        <v>64</v>
      </c>
      <c r="D139" s="4" t="s">
        <v>72</v>
      </c>
      <c r="E139" s="4" t="s">
        <v>81</v>
      </c>
      <c r="F139" s="6">
        <v>3</v>
      </c>
      <c r="G139" s="7">
        <v>0</v>
      </c>
      <c r="H139" s="7">
        <v>0</v>
      </c>
      <c r="I139" s="7">
        <v>0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7">
        <v>0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0.5</v>
      </c>
    </row>
    <row r="140">
      <c r="A140" s="24">
        <v>688</v>
      </c>
      <c r="B140" s="9" t="s">
        <v>280</v>
      </c>
      <c r="C140" s="9" t="s">
        <v>64</v>
      </c>
      <c r="D140" s="9" t="s">
        <v>72</v>
      </c>
      <c r="E140" s="9" t="s">
        <v>81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690</v>
      </c>
      <c r="B141" s="4" t="s">
        <v>281</v>
      </c>
      <c r="C141" s="4" t="s">
        <v>64</v>
      </c>
      <c r="D141" s="4" t="s">
        <v>72</v>
      </c>
      <c r="E141" s="4" t="s">
        <v>81</v>
      </c>
      <c r="F141" s="6">
        <v>3</v>
      </c>
      <c r="G141" s="7">
        <v>0</v>
      </c>
      <c r="H141" s="7">
        <v>0</v>
      </c>
      <c r="I141" s="5">
        <v>1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7">
        <v>0</v>
      </c>
      <c r="W141" s="7">
        <v>0</v>
      </c>
      <c r="X141" s="5">
        <v>1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0.5</v>
      </c>
    </row>
    <row r="142">
      <c r="A142" s="24">
        <v>698</v>
      </c>
      <c r="B142" s="9" t="s">
        <v>282</v>
      </c>
      <c r="C142" s="9" t="s">
        <v>64</v>
      </c>
      <c r="D142" s="9" t="s">
        <v>72</v>
      </c>
      <c r="E142" s="9" t="s">
        <v>81</v>
      </c>
      <c r="F142" s="11">
        <v>1</v>
      </c>
      <c r="G142" s="12">
        <v>0</v>
      </c>
      <c r="H142" s="12">
        <v>0</v>
      </c>
      <c r="I142" s="10">
        <v>1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2">
        <v>0</v>
      </c>
      <c r="W142" s="12">
        <v>0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699</v>
      </c>
      <c r="B143" s="4" t="s">
        <v>283</v>
      </c>
      <c r="C143" s="4" t="s">
        <v>64</v>
      </c>
      <c r="D143" s="4" t="s">
        <v>72</v>
      </c>
      <c r="E143" s="4" t="s">
        <v>81</v>
      </c>
      <c r="F143" s="6">
        <v>6</v>
      </c>
      <c r="G143" s="7">
        <v>0</v>
      </c>
      <c r="H143" s="7">
        <v>0</v>
      </c>
      <c r="I143" s="7">
        <v>0</v>
      </c>
      <c r="J143" s="5">
        <v>6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6</v>
      </c>
      <c r="V143" s="7">
        <v>0</v>
      </c>
      <c r="W143" s="7">
        <v>0</v>
      </c>
      <c r="X143" s="7">
        <v>0</v>
      </c>
      <c r="Y143" s="5">
        <v>6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6</v>
      </c>
      <c r="AK143" s="8">
        <v>6</v>
      </c>
      <c r="AL143" s="5">
        <v>6</v>
      </c>
      <c r="AM143" s="5">
        <v>6</v>
      </c>
      <c r="AN143" s="28">
        <v>1.56</v>
      </c>
    </row>
    <row r="144">
      <c r="A144" s="24">
        <v>710</v>
      </c>
      <c r="B144" s="9" t="s">
        <v>284</v>
      </c>
      <c r="C144" s="9" t="s">
        <v>64</v>
      </c>
      <c r="D144" s="9" t="s">
        <v>72</v>
      </c>
      <c r="E144" s="9" t="s">
        <v>285</v>
      </c>
      <c r="F144" s="11">
        <v>1</v>
      </c>
      <c r="G144" s="12">
        <v>0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716</v>
      </c>
      <c r="B145" s="4" t="s">
        <v>286</v>
      </c>
      <c r="C145" s="4" t="s">
        <v>64</v>
      </c>
      <c r="D145" s="4" t="s">
        <v>72</v>
      </c>
      <c r="E145" s="4" t="s">
        <v>285</v>
      </c>
      <c r="F145" s="6">
        <v>1</v>
      </c>
      <c r="G145" s="7">
        <v>0</v>
      </c>
      <c r="H145" s="7">
        <v>0</v>
      </c>
      <c r="I145" s="7">
        <v>0</v>
      </c>
      <c r="J145" s="7">
        <v>0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7">
        <v>0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727</v>
      </c>
      <c r="B146" s="9" t="s">
        <v>287</v>
      </c>
      <c r="C146" s="9" t="s">
        <v>64</v>
      </c>
      <c r="D146" s="9" t="s">
        <v>72</v>
      </c>
      <c r="E146" s="9" t="s">
        <v>285</v>
      </c>
      <c r="F146" s="11">
        <v>3</v>
      </c>
      <c r="G146" s="10">
        <v>2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0.22</v>
      </c>
    </row>
    <row r="147">
      <c r="A147" s="23">
        <v>731</v>
      </c>
      <c r="B147" s="4" t="s">
        <v>288</v>
      </c>
      <c r="C147" s="4" t="s">
        <v>64</v>
      </c>
      <c r="D147" s="4" t="s">
        <v>72</v>
      </c>
      <c r="E147" s="4" t="s">
        <v>285</v>
      </c>
      <c r="F147" s="6">
        <v>1</v>
      </c>
      <c r="G147" s="7">
        <v>0</v>
      </c>
      <c r="H147" s="5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735</v>
      </c>
      <c r="B148" s="9" t="s">
        <v>289</v>
      </c>
      <c r="C148" s="9" t="s">
        <v>64</v>
      </c>
      <c r="D148" s="9" t="s">
        <v>72</v>
      </c>
      <c r="E148" s="9" t="s">
        <v>285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738</v>
      </c>
      <c r="B149" s="4" t="s">
        <v>290</v>
      </c>
      <c r="C149" s="4" t="s">
        <v>64</v>
      </c>
      <c r="D149" s="4" t="s">
        <v>72</v>
      </c>
      <c r="E149" s="4" t="s">
        <v>285</v>
      </c>
      <c r="F149" s="6">
        <v>1</v>
      </c>
      <c r="G149" s="7">
        <v>0</v>
      </c>
      <c r="H149" s="7">
        <v>0</v>
      </c>
      <c r="I149" s="7">
        <v>0</v>
      </c>
      <c r="J149" s="7">
        <v>0</v>
      </c>
      <c r="K149" s="5">
        <v>1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7">
        <v>0</v>
      </c>
      <c r="Z149" s="5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747</v>
      </c>
      <c r="B150" s="9" t="s">
        <v>291</v>
      </c>
      <c r="C150" s="9" t="s">
        <v>64</v>
      </c>
      <c r="D150" s="9" t="s">
        <v>114</v>
      </c>
      <c r="E150" s="9" t="s">
        <v>274</v>
      </c>
      <c r="F150" s="11">
        <v>1</v>
      </c>
      <c r="G150" s="12">
        <v>0</v>
      </c>
      <c r="H150" s="12">
        <v>0</v>
      </c>
      <c r="I150" s="10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9">
        <v>0</v>
      </c>
    </row>
    <row r="151">
      <c r="A151" s="23">
        <v>763</v>
      </c>
      <c r="B151" s="4" t="s">
        <v>292</v>
      </c>
      <c r="C151" s="4" t="s">
        <v>64</v>
      </c>
      <c r="D151" s="4" t="s">
        <v>72</v>
      </c>
      <c r="E151" s="4" t="s">
        <v>293</v>
      </c>
      <c r="F151" s="6">
        <v>1</v>
      </c>
      <c r="G151" s="7">
        <v>0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765</v>
      </c>
      <c r="B152" s="9" t="s">
        <v>294</v>
      </c>
      <c r="C152" s="9" t="s">
        <v>64</v>
      </c>
      <c r="D152" s="9" t="s">
        <v>85</v>
      </c>
      <c r="E152" s="9" t="s">
        <v>100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766</v>
      </c>
      <c r="B153" s="4" t="s">
        <v>295</v>
      </c>
      <c r="C153" s="4" t="s">
        <v>64</v>
      </c>
      <c r="D153" s="4" t="s">
        <v>76</v>
      </c>
      <c r="E153" s="4" t="s">
        <v>88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0.37</v>
      </c>
    </row>
    <row r="154">
      <c r="A154" s="24">
        <v>776</v>
      </c>
      <c r="B154" s="9" t="s">
        <v>296</v>
      </c>
      <c r="C154" s="9" t="s">
        <v>64</v>
      </c>
      <c r="D154" s="9" t="s">
        <v>72</v>
      </c>
      <c r="E154" s="9" t="s">
        <v>293</v>
      </c>
      <c r="F154" s="11">
        <v>2</v>
      </c>
      <c r="G154" s="10">
        <v>1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0.5</v>
      </c>
    </row>
    <row r="155">
      <c r="A155" s="23">
        <v>799</v>
      </c>
      <c r="B155" s="4" t="s">
        <v>297</v>
      </c>
      <c r="C155" s="4" t="s">
        <v>64</v>
      </c>
      <c r="D155" s="4" t="s">
        <v>72</v>
      </c>
      <c r="E155" s="4" t="s">
        <v>293</v>
      </c>
      <c r="F155" s="6">
        <v>2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0.22</v>
      </c>
    </row>
    <row r="156">
      <c r="A156" s="24">
        <v>804</v>
      </c>
      <c r="B156" s="9" t="s">
        <v>298</v>
      </c>
      <c r="C156" s="9" t="s">
        <v>64</v>
      </c>
      <c r="D156" s="9" t="s">
        <v>72</v>
      </c>
      <c r="E156" s="9" t="s">
        <v>293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0.24</v>
      </c>
    </row>
    <row r="157">
      <c r="A157" s="23">
        <v>807</v>
      </c>
      <c r="B157" s="4" t="s">
        <v>299</v>
      </c>
      <c r="C157" s="4" t="s">
        <v>64</v>
      </c>
      <c r="D157" s="4" t="s">
        <v>72</v>
      </c>
      <c r="E157" s="4" t="s">
        <v>293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0.26</v>
      </c>
    </row>
    <row r="158">
      <c r="A158" s="24">
        <v>818</v>
      </c>
      <c r="B158" s="9" t="s">
        <v>300</v>
      </c>
      <c r="C158" s="9" t="s">
        <v>64</v>
      </c>
      <c r="D158" s="9" t="s">
        <v>72</v>
      </c>
      <c r="E158" s="9" t="s">
        <v>301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832</v>
      </c>
      <c r="B159" s="4" t="s">
        <v>302</v>
      </c>
      <c r="C159" s="4" t="s">
        <v>64</v>
      </c>
      <c r="D159" s="4" t="s">
        <v>72</v>
      </c>
      <c r="E159" s="4" t="s">
        <v>160</v>
      </c>
      <c r="F159" s="6">
        <v>2</v>
      </c>
      <c r="G159" s="7">
        <v>0</v>
      </c>
      <c r="H159" s="5">
        <v>2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30">
        <v>0</v>
      </c>
    </row>
    <row r="160">
      <c r="A160" s="24">
        <v>848</v>
      </c>
      <c r="B160" s="9" t="s">
        <v>303</v>
      </c>
      <c r="C160" s="9" t="s">
        <v>64</v>
      </c>
      <c r="D160" s="9" t="s">
        <v>72</v>
      </c>
      <c r="E160" s="9" t="s">
        <v>160</v>
      </c>
      <c r="F160" s="11">
        <v>2</v>
      </c>
      <c r="G160" s="12">
        <v>0</v>
      </c>
      <c r="H160" s="10">
        <v>1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0">
        <v>1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889</v>
      </c>
      <c r="B161" s="4" t="s">
        <v>304</v>
      </c>
      <c r="C161" s="4" t="s">
        <v>64</v>
      </c>
      <c r="D161" s="4" t="s">
        <v>72</v>
      </c>
      <c r="E161" s="4" t="s">
        <v>160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894</v>
      </c>
      <c r="B162" s="9" t="s">
        <v>305</v>
      </c>
      <c r="C162" s="9" t="s">
        <v>64</v>
      </c>
      <c r="D162" s="9" t="s">
        <v>72</v>
      </c>
      <c r="E162" s="9" t="s">
        <v>160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896</v>
      </c>
      <c r="B163" s="4" t="s">
        <v>306</v>
      </c>
      <c r="C163" s="4" t="s">
        <v>64</v>
      </c>
      <c r="D163" s="4" t="s">
        <v>72</v>
      </c>
      <c r="E163" s="4" t="s">
        <v>160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0">
        <v>0</v>
      </c>
    </row>
    <row r="164">
      <c r="A164" s="24">
        <v>904</v>
      </c>
      <c r="B164" s="9" t="s">
        <v>307</v>
      </c>
      <c r="C164" s="9" t="s">
        <v>64</v>
      </c>
      <c r="D164" s="9" t="s">
        <v>72</v>
      </c>
      <c r="E164" s="9" t="s">
        <v>160</v>
      </c>
      <c r="F164" s="11">
        <v>3</v>
      </c>
      <c r="G164" s="10">
        <v>2</v>
      </c>
      <c r="H164" s="12">
        <v>0</v>
      </c>
      <c r="I164" s="12">
        <v>0</v>
      </c>
      <c r="J164" s="12">
        <v>0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2</v>
      </c>
      <c r="W164" s="12">
        <v>0</v>
      </c>
      <c r="X164" s="12">
        <v>0</v>
      </c>
      <c r="Y164" s="12">
        <v>0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49">
        <v>0</v>
      </c>
    </row>
    <row r="165">
      <c r="A165" s="23">
        <v>909</v>
      </c>
      <c r="B165" s="4" t="s">
        <v>308</v>
      </c>
      <c r="C165" s="4" t="s">
        <v>64</v>
      </c>
      <c r="D165" s="4" t="s">
        <v>72</v>
      </c>
      <c r="E165" s="4" t="s">
        <v>160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927</v>
      </c>
      <c r="B166" s="9" t="s">
        <v>309</v>
      </c>
      <c r="C166" s="9" t="s">
        <v>64</v>
      </c>
      <c r="D166" s="9" t="s">
        <v>72</v>
      </c>
      <c r="E166" s="9" t="s">
        <v>160</v>
      </c>
      <c r="F166" s="11">
        <v>1</v>
      </c>
      <c r="G166" s="12">
        <v>0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9">
        <v>0</v>
      </c>
    </row>
    <row r="167">
      <c r="A167" s="23">
        <v>928</v>
      </c>
      <c r="B167" s="4" t="s">
        <v>310</v>
      </c>
      <c r="C167" s="4" t="s">
        <v>64</v>
      </c>
      <c r="D167" s="4" t="s">
        <v>72</v>
      </c>
      <c r="E167" s="4" t="s">
        <v>160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936</v>
      </c>
      <c r="B168" s="9" t="s">
        <v>311</v>
      </c>
      <c r="C168" s="9" t="s">
        <v>64</v>
      </c>
      <c r="D168" s="9" t="s">
        <v>72</v>
      </c>
      <c r="E168" s="9" t="s">
        <v>232</v>
      </c>
      <c r="F168" s="11">
        <v>1</v>
      </c>
      <c r="G168" s="12">
        <v>0</v>
      </c>
      <c r="H168" s="12">
        <v>0</v>
      </c>
      <c r="I168" s="12">
        <v>0</v>
      </c>
      <c r="J168" s="12">
        <v>0</v>
      </c>
      <c r="K168" s="10">
        <v>1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2">
        <v>0</v>
      </c>
      <c r="Z168" s="10">
        <v>1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938</v>
      </c>
      <c r="B169" s="4" t="s">
        <v>312</v>
      </c>
      <c r="C169" s="4" t="s">
        <v>64</v>
      </c>
      <c r="D169" s="4" t="s">
        <v>68</v>
      </c>
      <c r="E169" s="4" t="s">
        <v>112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941</v>
      </c>
      <c r="B170" s="9" t="s">
        <v>313</v>
      </c>
      <c r="C170" s="9" t="s">
        <v>64</v>
      </c>
      <c r="D170" s="9" t="s">
        <v>72</v>
      </c>
      <c r="E170" s="9" t="s">
        <v>232</v>
      </c>
      <c r="F170" s="11">
        <v>2</v>
      </c>
      <c r="G170" s="10">
        <v>1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943</v>
      </c>
      <c r="B171" s="4" t="s">
        <v>314</v>
      </c>
      <c r="C171" s="4" t="s">
        <v>64</v>
      </c>
      <c r="D171" s="4" t="s">
        <v>72</v>
      </c>
      <c r="E171" s="4" t="s">
        <v>232</v>
      </c>
      <c r="F171" s="6">
        <v>2</v>
      </c>
      <c r="G171" s="7">
        <v>0</v>
      </c>
      <c r="H171" s="7">
        <v>0</v>
      </c>
      <c r="I171" s="7">
        <v>0</v>
      </c>
      <c r="J171" s="5">
        <v>1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7">
        <v>0</v>
      </c>
      <c r="W171" s="7">
        <v>0</v>
      </c>
      <c r="X171" s="7">
        <v>0</v>
      </c>
      <c r="Y171" s="5">
        <v>1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960</v>
      </c>
      <c r="B172" s="9" t="s">
        <v>315</v>
      </c>
      <c r="C172" s="9" t="s">
        <v>64</v>
      </c>
      <c r="D172" s="9" t="s">
        <v>72</v>
      </c>
      <c r="E172" s="9" t="s">
        <v>316</v>
      </c>
      <c r="F172" s="11">
        <v>5</v>
      </c>
      <c r="G172" s="12">
        <v>0</v>
      </c>
      <c r="H172" s="12">
        <v>0</v>
      </c>
      <c r="I172" s="10">
        <v>1</v>
      </c>
      <c r="J172" s="10">
        <v>3</v>
      </c>
      <c r="K172" s="10">
        <v>1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5</v>
      </c>
      <c r="V172" s="12">
        <v>0</v>
      </c>
      <c r="W172" s="12">
        <v>0</v>
      </c>
      <c r="X172" s="10">
        <v>1</v>
      </c>
      <c r="Y172" s="10">
        <v>3</v>
      </c>
      <c r="Z172" s="10">
        <v>1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1.67</v>
      </c>
      <c r="AL172" s="10">
        <v>1</v>
      </c>
      <c r="AM172" s="10">
        <v>3</v>
      </c>
      <c r="AN172" s="29">
        <v>1</v>
      </c>
    </row>
    <row r="173">
      <c r="A173" s="23">
        <v>963</v>
      </c>
      <c r="B173" s="4" t="s">
        <v>317</v>
      </c>
      <c r="C173" s="4" t="s">
        <v>64</v>
      </c>
      <c r="D173" s="4" t="s">
        <v>68</v>
      </c>
      <c r="E173" s="4" t="s">
        <v>112</v>
      </c>
      <c r="F173" s="6">
        <v>1</v>
      </c>
      <c r="G173" s="7">
        <v>0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969</v>
      </c>
      <c r="B174" s="9" t="s">
        <v>318</v>
      </c>
      <c r="C174" s="9" t="s">
        <v>64</v>
      </c>
      <c r="D174" s="9" t="s">
        <v>72</v>
      </c>
      <c r="E174" s="9" t="s">
        <v>316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0.22</v>
      </c>
    </row>
    <row r="175">
      <c r="A175" s="23">
        <v>975</v>
      </c>
      <c r="B175" s="4" t="s">
        <v>319</v>
      </c>
      <c r="C175" s="4" t="s">
        <v>64</v>
      </c>
      <c r="D175" s="4" t="s">
        <v>72</v>
      </c>
      <c r="E175" s="4" t="s">
        <v>316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0.22</v>
      </c>
    </row>
    <row r="176">
      <c r="A176" s="24">
        <v>979</v>
      </c>
      <c r="B176" s="9" t="s">
        <v>320</v>
      </c>
      <c r="C176" s="9" t="s">
        <v>64</v>
      </c>
      <c r="D176" s="9" t="s">
        <v>72</v>
      </c>
      <c r="E176" s="9" t="s">
        <v>316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0.22</v>
      </c>
    </row>
    <row r="177">
      <c r="A177" s="23">
        <v>989</v>
      </c>
      <c r="B177" s="4" t="s">
        <v>321</v>
      </c>
      <c r="C177" s="4" t="s">
        <v>64</v>
      </c>
      <c r="D177" s="4" t="s">
        <v>72</v>
      </c>
      <c r="E177" s="4" t="s">
        <v>316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0.5</v>
      </c>
    </row>
    <row r="178">
      <c r="A178" s="24">
        <v>993</v>
      </c>
      <c r="B178" s="9" t="s">
        <v>322</v>
      </c>
      <c r="C178" s="9" t="s">
        <v>64</v>
      </c>
      <c r="D178" s="9" t="s">
        <v>72</v>
      </c>
      <c r="E178" s="9" t="s">
        <v>316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995</v>
      </c>
      <c r="B179" s="4" t="s">
        <v>323</v>
      </c>
      <c r="C179" s="4" t="s">
        <v>64</v>
      </c>
      <c r="D179" s="4" t="s">
        <v>72</v>
      </c>
      <c r="E179" s="4" t="s">
        <v>316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0.17</v>
      </c>
    </row>
    <row r="180">
      <c r="A180" s="24">
        <v>1004</v>
      </c>
      <c r="B180" s="9" t="s">
        <v>324</v>
      </c>
      <c r="C180" s="9" t="s">
        <v>64</v>
      </c>
      <c r="D180" s="9" t="s">
        <v>72</v>
      </c>
      <c r="E180" s="9" t="s">
        <v>316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1013</v>
      </c>
      <c r="B181" s="4" t="s">
        <v>325</v>
      </c>
      <c r="C181" s="4" t="s">
        <v>64</v>
      </c>
      <c r="D181" s="4" t="s">
        <v>93</v>
      </c>
      <c r="E181" s="4" t="s">
        <v>326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30">
        <v>0</v>
      </c>
    </row>
    <row r="182">
      <c r="A182" s="24">
        <v>1019</v>
      </c>
      <c r="B182" s="9" t="s">
        <v>327</v>
      </c>
      <c r="C182" s="9" t="s">
        <v>64</v>
      </c>
      <c r="D182" s="9" t="s">
        <v>72</v>
      </c>
      <c r="E182" s="9" t="s">
        <v>316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1026</v>
      </c>
      <c r="B183" s="4" t="s">
        <v>328</v>
      </c>
      <c r="C183" s="4" t="s">
        <v>64</v>
      </c>
      <c r="D183" s="4" t="s">
        <v>76</v>
      </c>
      <c r="E183" s="4" t="s">
        <v>329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1030</v>
      </c>
      <c r="B184" s="9" t="s">
        <v>330</v>
      </c>
      <c r="C184" s="9" t="s">
        <v>64</v>
      </c>
      <c r="D184" s="9" t="s">
        <v>102</v>
      </c>
      <c r="E184" s="9" t="s">
        <v>103</v>
      </c>
      <c r="F184" s="11">
        <v>4</v>
      </c>
      <c r="G184" s="10">
        <v>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4</v>
      </c>
      <c r="AK184" s="13">
        <v>4</v>
      </c>
      <c r="AL184" s="10">
        <v>4</v>
      </c>
      <c r="AM184" s="10">
        <v>4</v>
      </c>
      <c r="AN184" s="49">
        <v>0</v>
      </c>
    </row>
    <row r="185">
      <c r="A185" s="23">
        <v>1045</v>
      </c>
      <c r="B185" s="4" t="s">
        <v>331</v>
      </c>
      <c r="C185" s="4" t="s">
        <v>162</v>
      </c>
      <c r="D185" s="4" t="s">
        <v>163</v>
      </c>
      <c r="E185" s="4" t="s">
        <v>178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1058</v>
      </c>
      <c r="B186" s="9" t="s">
        <v>332</v>
      </c>
      <c r="C186" s="9" t="s">
        <v>64</v>
      </c>
      <c r="D186" s="9" t="s">
        <v>125</v>
      </c>
      <c r="E186" s="9" t="s">
        <v>333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0.26</v>
      </c>
    </row>
    <row r="187">
      <c r="A187" s="23">
        <v>1072</v>
      </c>
      <c r="B187" s="4" t="s">
        <v>334</v>
      </c>
      <c r="C187" s="4" t="s">
        <v>64</v>
      </c>
      <c r="D187" s="4" t="s">
        <v>102</v>
      </c>
      <c r="E187" s="4" t="s">
        <v>248</v>
      </c>
      <c r="F187" s="6">
        <v>3</v>
      </c>
      <c r="G187" s="5">
        <v>2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2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0.85</v>
      </c>
    </row>
    <row r="188">
      <c r="A188" s="24">
        <v>1074</v>
      </c>
      <c r="B188" s="9" t="s">
        <v>335</v>
      </c>
      <c r="C188" s="9" t="s">
        <v>64</v>
      </c>
      <c r="D188" s="9" t="s">
        <v>102</v>
      </c>
      <c r="E188" s="9" t="s">
        <v>103</v>
      </c>
      <c r="F188" s="11">
        <v>5</v>
      </c>
      <c r="G188" s="12">
        <v>0</v>
      </c>
      <c r="H188" s="12">
        <v>0</v>
      </c>
      <c r="I188" s="12">
        <v>0</v>
      </c>
      <c r="J188" s="10">
        <v>5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2">
        <v>0</v>
      </c>
      <c r="W188" s="12">
        <v>0</v>
      </c>
      <c r="X188" s="12">
        <v>0</v>
      </c>
      <c r="Y188" s="10">
        <v>3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5</v>
      </c>
      <c r="AK188" s="13">
        <v>5</v>
      </c>
      <c r="AL188" s="10">
        <v>5</v>
      </c>
      <c r="AM188" s="10">
        <v>5</v>
      </c>
      <c r="AN188" s="29">
        <v>0.78</v>
      </c>
    </row>
    <row r="189">
      <c r="A189" s="23">
        <v>1075</v>
      </c>
      <c r="B189" s="4" t="s">
        <v>336</v>
      </c>
      <c r="C189" s="4" t="s">
        <v>64</v>
      </c>
      <c r="D189" s="4" t="s">
        <v>102</v>
      </c>
      <c r="E189" s="4" t="s">
        <v>103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1076</v>
      </c>
      <c r="B190" s="9" t="s">
        <v>337</v>
      </c>
      <c r="C190" s="9" t="s">
        <v>64</v>
      </c>
      <c r="D190" s="9" t="s">
        <v>102</v>
      </c>
      <c r="E190" s="9" t="s">
        <v>103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1077</v>
      </c>
      <c r="B191" s="4" t="s">
        <v>338</v>
      </c>
      <c r="C191" s="4" t="s">
        <v>64</v>
      </c>
      <c r="D191" s="4" t="s">
        <v>102</v>
      </c>
      <c r="E191" s="4" t="s">
        <v>103</v>
      </c>
      <c r="F191" s="6">
        <v>1</v>
      </c>
      <c r="G191" s="7">
        <v>0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1078</v>
      </c>
      <c r="B192" s="9" t="s">
        <v>339</v>
      </c>
      <c r="C192" s="9" t="s">
        <v>64</v>
      </c>
      <c r="D192" s="9" t="s">
        <v>102</v>
      </c>
      <c r="E192" s="9" t="s">
        <v>103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0.17</v>
      </c>
    </row>
    <row r="193">
      <c r="A193" s="23">
        <v>1085</v>
      </c>
      <c r="B193" s="4" t="s">
        <v>340</v>
      </c>
      <c r="C193" s="4" t="s">
        <v>64</v>
      </c>
      <c r="D193" s="4" t="s">
        <v>102</v>
      </c>
      <c r="E193" s="4" t="s">
        <v>224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0.26</v>
      </c>
    </row>
    <row r="194">
      <c r="A194" s="24">
        <v>1089</v>
      </c>
      <c r="B194" s="9" t="s">
        <v>341</v>
      </c>
      <c r="C194" s="9" t="s">
        <v>64</v>
      </c>
      <c r="D194" s="9" t="s">
        <v>102</v>
      </c>
      <c r="E194" s="9" t="s">
        <v>103</v>
      </c>
      <c r="F194" s="11">
        <v>2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0">
        <v>1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0">
        <v>1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9">
        <v>0</v>
      </c>
    </row>
    <row r="195">
      <c r="A195" s="23">
        <v>1090</v>
      </c>
      <c r="B195" s="4" t="s">
        <v>342</v>
      </c>
      <c r="C195" s="4" t="s">
        <v>64</v>
      </c>
      <c r="D195" s="4" t="s">
        <v>102</v>
      </c>
      <c r="E195" s="4" t="s">
        <v>103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1165</v>
      </c>
      <c r="B196" s="9" t="s">
        <v>343</v>
      </c>
      <c r="C196" s="9" t="s">
        <v>64</v>
      </c>
      <c r="D196" s="9" t="s">
        <v>102</v>
      </c>
      <c r="E196" s="9" t="s">
        <v>103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0.38</v>
      </c>
    </row>
    <row r="197">
      <c r="A197" s="23">
        <v>1207</v>
      </c>
      <c r="B197" s="4" t="s">
        <v>344</v>
      </c>
      <c r="C197" s="4" t="s">
        <v>64</v>
      </c>
      <c r="D197" s="4" t="s">
        <v>114</v>
      </c>
      <c r="E197" s="4" t="s">
        <v>140</v>
      </c>
      <c r="F197" s="6">
        <v>2</v>
      </c>
      <c r="G197" s="7">
        <v>0</v>
      </c>
      <c r="H197" s="7">
        <v>0</v>
      </c>
      <c r="I197" s="5">
        <v>2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7">
        <v>0</v>
      </c>
      <c r="W197" s="7">
        <v>0</v>
      </c>
      <c r="X197" s="5">
        <v>2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1241</v>
      </c>
      <c r="B198" s="9" t="s">
        <v>345</v>
      </c>
      <c r="C198" s="9" t="s">
        <v>64</v>
      </c>
      <c r="D198" s="9" t="s">
        <v>76</v>
      </c>
      <c r="E198" s="9" t="s">
        <v>77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0.35</v>
      </c>
    </row>
    <row r="199">
      <c r="A199" s="23">
        <v>1245</v>
      </c>
      <c r="B199" s="4" t="s">
        <v>346</v>
      </c>
      <c r="C199" s="4" t="s">
        <v>64</v>
      </c>
      <c r="D199" s="4" t="s">
        <v>76</v>
      </c>
      <c r="E199" s="4" t="s">
        <v>77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1248</v>
      </c>
      <c r="B200" s="9" t="s">
        <v>347</v>
      </c>
      <c r="C200" s="9" t="s">
        <v>64</v>
      </c>
      <c r="D200" s="9" t="s">
        <v>72</v>
      </c>
      <c r="E200" s="9" t="s">
        <v>152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1267</v>
      </c>
      <c r="B201" s="4" t="s">
        <v>348</v>
      </c>
      <c r="C201" s="4" t="s">
        <v>64</v>
      </c>
      <c r="D201" s="4" t="s">
        <v>102</v>
      </c>
      <c r="E201" s="4" t="s">
        <v>248</v>
      </c>
      <c r="F201" s="6">
        <v>1</v>
      </c>
      <c r="G201" s="7">
        <v>0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1274</v>
      </c>
      <c r="B202" s="9" t="s">
        <v>349</v>
      </c>
      <c r="C202" s="9" t="s">
        <v>162</v>
      </c>
      <c r="D202" s="9" t="s">
        <v>163</v>
      </c>
      <c r="E202" s="9" t="s">
        <v>164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9">
        <v>0</v>
      </c>
    </row>
    <row r="203">
      <c r="A203" s="23">
        <v>1275</v>
      </c>
      <c r="B203" s="4" t="s">
        <v>350</v>
      </c>
      <c r="C203" s="4" t="s">
        <v>162</v>
      </c>
      <c r="D203" s="4" t="s">
        <v>163</v>
      </c>
      <c r="E203" s="4" t="s">
        <v>164</v>
      </c>
      <c r="F203" s="6">
        <v>1</v>
      </c>
      <c r="G203" s="7">
        <v>0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0.24</v>
      </c>
    </row>
    <row r="204">
      <c r="A204" s="24">
        <v>1331</v>
      </c>
      <c r="B204" s="9" t="s">
        <v>351</v>
      </c>
      <c r="C204" s="9" t="s">
        <v>64</v>
      </c>
      <c r="D204" s="9" t="s">
        <v>85</v>
      </c>
      <c r="E204" s="9" t="s">
        <v>352</v>
      </c>
      <c r="F204" s="11">
        <v>1</v>
      </c>
      <c r="G204" s="12">
        <v>0</v>
      </c>
      <c r="H204" s="10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0">
        <v>1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0.24</v>
      </c>
    </row>
    <row r="205">
      <c r="A205" s="23">
        <v>1337</v>
      </c>
      <c r="B205" s="4" t="s">
        <v>353</v>
      </c>
      <c r="C205" s="4" t="s">
        <v>64</v>
      </c>
      <c r="D205" s="4" t="s">
        <v>76</v>
      </c>
      <c r="E205" s="4" t="s">
        <v>77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0.24</v>
      </c>
    </row>
    <row r="206">
      <c r="A206" s="24">
        <v>1438</v>
      </c>
      <c r="B206" s="9" t="s">
        <v>354</v>
      </c>
      <c r="C206" s="9" t="s">
        <v>64</v>
      </c>
      <c r="D206" s="9" t="s">
        <v>72</v>
      </c>
      <c r="E206" s="9" t="s">
        <v>118</v>
      </c>
      <c r="F206" s="11">
        <v>1</v>
      </c>
      <c r="G206" s="12">
        <v>0</v>
      </c>
      <c r="H206" s="12">
        <v>0</v>
      </c>
      <c r="I206" s="12">
        <v>0</v>
      </c>
      <c r="J206" s="12">
        <v>0</v>
      </c>
      <c r="K206" s="10">
        <v>1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2">
        <v>0</v>
      </c>
      <c r="Z206" s="10">
        <v>1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0.26</v>
      </c>
    </row>
    <row r="207">
      <c r="A207" s="23">
        <v>1520</v>
      </c>
      <c r="B207" s="4" t="s">
        <v>355</v>
      </c>
      <c r="C207" s="4" t="s">
        <v>64</v>
      </c>
      <c r="D207" s="4" t="s">
        <v>68</v>
      </c>
      <c r="E207" s="4" t="s">
        <v>112</v>
      </c>
      <c r="F207" s="6">
        <v>1</v>
      </c>
      <c r="G207" s="7">
        <v>0</v>
      </c>
      <c r="H207" s="5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5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0.35</v>
      </c>
    </row>
    <row r="208">
      <c r="A208" s="24">
        <v>1561</v>
      </c>
      <c r="B208" s="9" t="s">
        <v>356</v>
      </c>
      <c r="C208" s="9" t="s">
        <v>64</v>
      </c>
      <c r="D208" s="9" t="s">
        <v>90</v>
      </c>
      <c r="E208" s="9" t="s">
        <v>357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0.44</v>
      </c>
    </row>
    <row r="209">
      <c r="A209" s="23">
        <v>1614</v>
      </c>
      <c r="B209" s="4" t="s">
        <v>358</v>
      </c>
      <c r="C209" s="4" t="s">
        <v>64</v>
      </c>
      <c r="D209" s="4" t="s">
        <v>72</v>
      </c>
      <c r="E209" s="4" t="s">
        <v>316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1616</v>
      </c>
      <c r="B210" s="9" t="s">
        <v>359</v>
      </c>
      <c r="C210" s="9" t="s">
        <v>134</v>
      </c>
      <c r="D210" s="9" t="s">
        <v>360</v>
      </c>
      <c r="E210" s="9" t="s">
        <v>361</v>
      </c>
      <c r="F210" s="11">
        <v>2</v>
      </c>
      <c r="G210" s="12">
        <v>0</v>
      </c>
      <c r="H210" s="12">
        <v>0</v>
      </c>
      <c r="I210" s="10">
        <v>2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2">
        <v>0</v>
      </c>
      <c r="W210" s="12">
        <v>0</v>
      </c>
      <c r="X210" s="10">
        <v>2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0.48</v>
      </c>
    </row>
    <row r="211">
      <c r="A211" s="23">
        <v>1619</v>
      </c>
      <c r="B211" s="4" t="s">
        <v>342</v>
      </c>
      <c r="C211" s="4" t="s">
        <v>64</v>
      </c>
      <c r="D211" s="4" t="s">
        <v>90</v>
      </c>
      <c r="E211" s="4" t="s">
        <v>91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30">
        <v>0</v>
      </c>
    </row>
    <row r="212">
      <c r="A212" s="24">
        <v>1631</v>
      </c>
      <c r="B212" s="9" t="s">
        <v>362</v>
      </c>
      <c r="C212" s="9" t="s">
        <v>64</v>
      </c>
      <c r="D212" s="9" t="s">
        <v>68</v>
      </c>
      <c r="E212" s="9" t="s">
        <v>264</v>
      </c>
      <c r="F212" s="11">
        <v>2</v>
      </c>
      <c r="G212" s="12">
        <v>0</v>
      </c>
      <c r="H212" s="10">
        <v>1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2">
        <v>0</v>
      </c>
      <c r="W212" s="10">
        <v>1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0.5</v>
      </c>
    </row>
    <row r="213">
      <c r="A213" s="23">
        <v>1676</v>
      </c>
      <c r="B213" s="4" t="s">
        <v>363</v>
      </c>
      <c r="C213" s="4" t="s">
        <v>64</v>
      </c>
      <c r="D213" s="4" t="s">
        <v>76</v>
      </c>
      <c r="E213" s="4" t="s">
        <v>194</v>
      </c>
      <c r="F213" s="6">
        <v>1</v>
      </c>
      <c r="G213" s="7">
        <v>0</v>
      </c>
      <c r="H213" s="5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5">
        <v>1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0.24</v>
      </c>
    </row>
    <row r="214">
      <c r="A214" s="24">
        <v>1715</v>
      </c>
      <c r="B214" s="9" t="s">
        <v>364</v>
      </c>
      <c r="C214" s="9" t="s">
        <v>64</v>
      </c>
      <c r="D214" s="9" t="s">
        <v>85</v>
      </c>
      <c r="E214" s="9" t="s">
        <v>96</v>
      </c>
      <c r="F214" s="11">
        <v>1</v>
      </c>
      <c r="G214" s="12">
        <v>0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9">
        <v>0</v>
      </c>
    </row>
    <row r="215">
      <c r="A215" s="23">
        <v>1722</v>
      </c>
      <c r="B215" s="4" t="s">
        <v>365</v>
      </c>
      <c r="C215" s="4" t="s">
        <v>64</v>
      </c>
      <c r="D215" s="4" t="s">
        <v>85</v>
      </c>
      <c r="E215" s="4" t="s">
        <v>96</v>
      </c>
      <c r="F215" s="6">
        <v>2</v>
      </c>
      <c r="G215" s="7">
        <v>0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7">
        <v>0</v>
      </c>
      <c r="W215" s="7">
        <v>0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0.52</v>
      </c>
    </row>
    <row r="216">
      <c r="A216" s="24">
        <v>1723</v>
      </c>
      <c r="B216" s="9" t="s">
        <v>366</v>
      </c>
      <c r="C216" s="9" t="s">
        <v>64</v>
      </c>
      <c r="D216" s="9" t="s">
        <v>85</v>
      </c>
      <c r="E216" s="9" t="s">
        <v>96</v>
      </c>
      <c r="F216" s="11">
        <v>3</v>
      </c>
      <c r="G216" s="10">
        <v>1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1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0.87</v>
      </c>
    </row>
    <row r="217">
      <c r="A217" s="23">
        <v>1758</v>
      </c>
      <c r="B217" s="4" t="s">
        <v>367</v>
      </c>
      <c r="C217" s="4" t="s">
        <v>64</v>
      </c>
      <c r="D217" s="4" t="s">
        <v>114</v>
      </c>
      <c r="E217" s="4" t="s">
        <v>212</v>
      </c>
      <c r="F217" s="6">
        <v>4</v>
      </c>
      <c r="G217" s="5">
        <v>3</v>
      </c>
      <c r="H217" s="7">
        <v>0</v>
      </c>
      <c r="I217" s="7">
        <v>0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3</v>
      </c>
      <c r="W217" s="7">
        <v>0</v>
      </c>
      <c r="X217" s="7">
        <v>0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1.33</v>
      </c>
      <c r="AL217" s="5">
        <v>1</v>
      </c>
      <c r="AM217" s="5">
        <v>2</v>
      </c>
      <c r="AN217" s="28">
        <v>0.34</v>
      </c>
    </row>
    <row r="218">
      <c r="A218" s="24">
        <v>1760</v>
      </c>
      <c r="B218" s="9" t="s">
        <v>368</v>
      </c>
      <c r="C218" s="9" t="s">
        <v>64</v>
      </c>
      <c r="D218" s="9" t="s">
        <v>85</v>
      </c>
      <c r="E218" s="9" t="s">
        <v>96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1762</v>
      </c>
      <c r="B219" s="4" t="s">
        <v>369</v>
      </c>
      <c r="C219" s="4" t="s">
        <v>64</v>
      </c>
      <c r="D219" s="4" t="s">
        <v>114</v>
      </c>
      <c r="E219" s="4" t="s">
        <v>212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0">
        <v>0</v>
      </c>
    </row>
    <row r="220">
      <c r="A220" s="24">
        <v>1764</v>
      </c>
      <c r="B220" s="9" t="s">
        <v>370</v>
      </c>
      <c r="C220" s="9" t="s">
        <v>64</v>
      </c>
      <c r="D220" s="9" t="s">
        <v>85</v>
      </c>
      <c r="E220" s="9" t="s">
        <v>96</v>
      </c>
      <c r="F220" s="11">
        <v>2</v>
      </c>
      <c r="G220" s="12">
        <v>0</v>
      </c>
      <c r="H220" s="10">
        <v>2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2">
        <v>0</v>
      </c>
      <c r="W220" s="10">
        <v>2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9">
        <v>0</v>
      </c>
    </row>
    <row r="221">
      <c r="A221" s="23">
        <v>1769</v>
      </c>
      <c r="B221" s="4" t="s">
        <v>371</v>
      </c>
      <c r="C221" s="4" t="s">
        <v>64</v>
      </c>
      <c r="D221" s="4" t="s">
        <v>85</v>
      </c>
      <c r="E221" s="4" t="s">
        <v>96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0.26</v>
      </c>
    </row>
    <row r="222">
      <c r="A222" s="24">
        <v>1777</v>
      </c>
      <c r="B222" s="9" t="s">
        <v>372</v>
      </c>
      <c r="C222" s="9" t="s">
        <v>162</v>
      </c>
      <c r="D222" s="9" t="s">
        <v>163</v>
      </c>
      <c r="E222" s="9" t="s">
        <v>164</v>
      </c>
      <c r="F222" s="11">
        <v>1</v>
      </c>
      <c r="G222" s="12">
        <v>0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1779</v>
      </c>
      <c r="B223" s="4" t="s">
        <v>373</v>
      </c>
      <c r="C223" s="4" t="s">
        <v>134</v>
      </c>
      <c r="D223" s="4" t="s">
        <v>374</v>
      </c>
      <c r="E223" s="4" t="s">
        <v>375</v>
      </c>
      <c r="F223" s="6">
        <v>8</v>
      </c>
      <c r="G223" s="5">
        <v>1</v>
      </c>
      <c r="H223" s="5">
        <v>1</v>
      </c>
      <c r="I223" s="5">
        <v>1</v>
      </c>
      <c r="J223" s="5">
        <v>3</v>
      </c>
      <c r="K223" s="7">
        <v>0</v>
      </c>
      <c r="L223" s="5">
        <v>2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8</v>
      </c>
      <c r="V223" s="5">
        <v>1</v>
      </c>
      <c r="W223" s="5">
        <v>1</v>
      </c>
      <c r="X223" s="5">
        <v>1</v>
      </c>
      <c r="Y223" s="5">
        <v>3</v>
      </c>
      <c r="Z223" s="7">
        <v>0</v>
      </c>
      <c r="AA223" s="5">
        <v>2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1.14</v>
      </c>
      <c r="AL223" s="5">
        <v>1</v>
      </c>
      <c r="AM223" s="5">
        <v>2</v>
      </c>
      <c r="AN223" s="28">
        <v>0.75</v>
      </c>
    </row>
    <row r="224">
      <c r="A224" s="24">
        <v>1806</v>
      </c>
      <c r="B224" s="9" t="s">
        <v>376</v>
      </c>
      <c r="C224" s="9" t="s">
        <v>64</v>
      </c>
      <c r="D224" s="9" t="s">
        <v>146</v>
      </c>
      <c r="E224" s="9" t="s">
        <v>147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1807</v>
      </c>
      <c r="B225" s="4" t="s">
        <v>377</v>
      </c>
      <c r="C225" s="4" t="s">
        <v>64</v>
      </c>
      <c r="D225" s="4" t="s">
        <v>85</v>
      </c>
      <c r="E225" s="4" t="s">
        <v>86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1808</v>
      </c>
      <c r="B226" s="9" t="s">
        <v>378</v>
      </c>
      <c r="C226" s="9" t="s">
        <v>64</v>
      </c>
      <c r="D226" s="9" t="s">
        <v>85</v>
      </c>
      <c r="E226" s="9" t="s">
        <v>86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0.6</v>
      </c>
    </row>
    <row r="227">
      <c r="A227" s="23">
        <v>1813</v>
      </c>
      <c r="B227" s="4" t="s">
        <v>379</v>
      </c>
      <c r="C227" s="4" t="s">
        <v>64</v>
      </c>
      <c r="D227" s="4" t="s">
        <v>68</v>
      </c>
      <c r="E227" s="4" t="s">
        <v>112</v>
      </c>
      <c r="F227" s="6">
        <v>2</v>
      </c>
      <c r="G227" s="7">
        <v>0</v>
      </c>
      <c r="H227" s="7">
        <v>0</v>
      </c>
      <c r="I227" s="5">
        <v>1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7">
        <v>0</v>
      </c>
      <c r="W227" s="7">
        <v>0</v>
      </c>
      <c r="X227" s="5">
        <v>1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1815</v>
      </c>
      <c r="B228" s="9" t="s">
        <v>380</v>
      </c>
      <c r="C228" s="9" t="s">
        <v>64</v>
      </c>
      <c r="D228" s="9" t="s">
        <v>114</v>
      </c>
      <c r="E228" s="9" t="s">
        <v>143</v>
      </c>
      <c r="F228" s="11">
        <v>2</v>
      </c>
      <c r="G228" s="12">
        <v>0</v>
      </c>
      <c r="H228" s="10">
        <v>1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0">
        <v>1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</v>
      </c>
    </row>
    <row r="229">
      <c r="A229" s="23">
        <v>1816</v>
      </c>
      <c r="B229" s="4" t="s">
        <v>381</v>
      </c>
      <c r="C229" s="4" t="s">
        <v>134</v>
      </c>
      <c r="D229" s="4" t="s">
        <v>374</v>
      </c>
      <c r="E229" s="4" t="s">
        <v>382</v>
      </c>
      <c r="F229" s="6">
        <v>10</v>
      </c>
      <c r="G229" s="5">
        <v>4</v>
      </c>
      <c r="H229" s="5">
        <v>1</v>
      </c>
      <c r="I229" s="5">
        <v>2</v>
      </c>
      <c r="J229" s="5">
        <v>2</v>
      </c>
      <c r="K229" s="7">
        <v>0</v>
      </c>
      <c r="L229" s="5">
        <v>1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8</v>
      </c>
      <c r="V229" s="5">
        <v>2</v>
      </c>
      <c r="W229" s="5">
        <v>1</v>
      </c>
      <c r="X229" s="5">
        <v>2</v>
      </c>
      <c r="Y229" s="5">
        <v>2</v>
      </c>
      <c r="Z229" s="7">
        <v>0</v>
      </c>
      <c r="AA229" s="5">
        <v>1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1.67</v>
      </c>
      <c r="AL229" s="5">
        <v>1</v>
      </c>
      <c r="AM229" s="5">
        <v>4</v>
      </c>
      <c r="AN229" s="28">
        <v>0.6</v>
      </c>
    </row>
    <row r="230">
      <c r="A230" s="24">
        <v>1817</v>
      </c>
      <c r="B230" s="9" t="s">
        <v>383</v>
      </c>
      <c r="C230" s="9" t="s">
        <v>134</v>
      </c>
      <c r="D230" s="9" t="s">
        <v>374</v>
      </c>
      <c r="E230" s="9" t="s">
        <v>384</v>
      </c>
      <c r="F230" s="11">
        <v>3</v>
      </c>
      <c r="G230" s="12">
        <v>0</v>
      </c>
      <c r="H230" s="12">
        <v>0</v>
      </c>
      <c r="I230" s="12">
        <v>0</v>
      </c>
      <c r="J230" s="10">
        <v>1</v>
      </c>
      <c r="K230" s="10">
        <v>2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2">
        <v>0</v>
      </c>
      <c r="W230" s="12">
        <v>0</v>
      </c>
      <c r="X230" s="12">
        <v>0</v>
      </c>
      <c r="Y230" s="10">
        <v>1</v>
      </c>
      <c r="Z230" s="10">
        <v>2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0.25</v>
      </c>
    </row>
    <row r="231">
      <c r="A231" s="23">
        <v>1820</v>
      </c>
      <c r="B231" s="4" t="s">
        <v>385</v>
      </c>
      <c r="C231" s="4" t="s">
        <v>64</v>
      </c>
      <c r="D231" s="4" t="s">
        <v>156</v>
      </c>
      <c r="E231" s="4" t="s">
        <v>386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1821</v>
      </c>
      <c r="B232" s="9" t="s">
        <v>387</v>
      </c>
      <c r="C232" s="9" t="s">
        <v>162</v>
      </c>
      <c r="D232" s="9" t="s">
        <v>388</v>
      </c>
      <c r="E232" s="9" t="s">
        <v>389</v>
      </c>
      <c r="F232" s="11">
        <v>4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0">
        <v>1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0">
        <v>1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</v>
      </c>
      <c r="AL232" s="10">
        <v>2</v>
      </c>
      <c r="AM232" s="10">
        <v>3</v>
      </c>
      <c r="AN232" s="49">
        <v>0</v>
      </c>
    </row>
    <row r="233">
      <c r="A233" s="23">
        <v>1824</v>
      </c>
      <c r="B233" s="4" t="s">
        <v>390</v>
      </c>
      <c r="C233" s="4" t="s">
        <v>134</v>
      </c>
      <c r="D233" s="4" t="s">
        <v>374</v>
      </c>
      <c r="E233" s="4" t="s">
        <v>382</v>
      </c>
      <c r="F233" s="6">
        <v>3</v>
      </c>
      <c r="G233" s="7">
        <v>0</v>
      </c>
      <c r="H233" s="7">
        <v>0</v>
      </c>
      <c r="I233" s="5">
        <v>3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7">
        <v>0</v>
      </c>
      <c r="W233" s="7">
        <v>0</v>
      </c>
      <c r="X233" s="5">
        <v>3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</v>
      </c>
      <c r="AL233" s="5">
        <v>3</v>
      </c>
      <c r="AM233" s="5">
        <v>3</v>
      </c>
      <c r="AN233" s="30">
        <v>0</v>
      </c>
    </row>
    <row r="234">
      <c r="A234" s="24">
        <v>1825</v>
      </c>
      <c r="B234" s="9" t="s">
        <v>391</v>
      </c>
      <c r="C234" s="9" t="s">
        <v>134</v>
      </c>
      <c r="D234" s="9" t="s">
        <v>374</v>
      </c>
      <c r="E234" s="9" t="s">
        <v>384</v>
      </c>
      <c r="F234" s="11">
        <v>2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0">
        <v>1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0">
        <v>1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1831</v>
      </c>
      <c r="B235" s="4" t="s">
        <v>392</v>
      </c>
      <c r="C235" s="4" t="s">
        <v>64</v>
      </c>
      <c r="D235" s="4" t="s">
        <v>68</v>
      </c>
      <c r="E235" s="4" t="s">
        <v>112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1833</v>
      </c>
      <c r="B236" s="9" t="s">
        <v>393</v>
      </c>
      <c r="C236" s="9" t="s">
        <v>64</v>
      </c>
      <c r="D236" s="9" t="s">
        <v>114</v>
      </c>
      <c r="E236" s="9" t="s">
        <v>143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1840</v>
      </c>
      <c r="B237" s="4" t="s">
        <v>394</v>
      </c>
      <c r="C237" s="4" t="s">
        <v>64</v>
      </c>
      <c r="D237" s="4" t="s">
        <v>105</v>
      </c>
      <c r="E237" s="4" t="s">
        <v>106</v>
      </c>
      <c r="F237" s="6">
        <v>2</v>
      </c>
      <c r="G237" s="7">
        <v>0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7">
        <v>0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28">
        <v>0.5</v>
      </c>
    </row>
    <row r="238">
      <c r="A238" s="24">
        <v>1841</v>
      </c>
      <c r="B238" s="9" t="s">
        <v>395</v>
      </c>
      <c r="C238" s="9" t="s">
        <v>64</v>
      </c>
      <c r="D238" s="9" t="s">
        <v>93</v>
      </c>
      <c r="E238" s="9" t="s">
        <v>326</v>
      </c>
      <c r="F238" s="11">
        <v>5</v>
      </c>
      <c r="G238" s="10">
        <v>4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4</v>
      </c>
      <c r="V238" s="10">
        <v>3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1.67</v>
      </c>
      <c r="AL238" s="10">
        <v>2</v>
      </c>
      <c r="AM238" s="10">
        <v>2</v>
      </c>
      <c r="AN238" s="29">
        <v>1</v>
      </c>
    </row>
    <row r="239">
      <c r="A239" s="23">
        <v>1842</v>
      </c>
      <c r="B239" s="4" t="s">
        <v>396</v>
      </c>
      <c r="C239" s="4" t="s">
        <v>64</v>
      </c>
      <c r="D239" s="4" t="s">
        <v>85</v>
      </c>
      <c r="E239" s="4" t="s">
        <v>220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1844</v>
      </c>
      <c r="B240" s="9" t="s">
        <v>397</v>
      </c>
      <c r="C240" s="9" t="s">
        <v>64</v>
      </c>
      <c r="D240" s="9" t="s">
        <v>102</v>
      </c>
      <c r="E240" s="9" t="s">
        <v>209</v>
      </c>
      <c r="F240" s="11">
        <v>3</v>
      </c>
      <c r="G240" s="10">
        <v>3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3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3</v>
      </c>
      <c r="AK240" s="13">
        <v>3</v>
      </c>
      <c r="AL240" s="10">
        <v>3</v>
      </c>
      <c r="AM240" s="10">
        <v>3</v>
      </c>
      <c r="AN240" s="49">
        <v>0</v>
      </c>
    </row>
    <row r="241">
      <c r="A241" s="23">
        <v>1863</v>
      </c>
      <c r="B241" s="4" t="s">
        <v>398</v>
      </c>
      <c r="C241" s="4" t="s">
        <v>64</v>
      </c>
      <c r="D241" s="4" t="s">
        <v>114</v>
      </c>
      <c r="E241" s="4" t="s">
        <v>115</v>
      </c>
      <c r="F241" s="6">
        <v>3</v>
      </c>
      <c r="G241" s="5">
        <v>1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1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30">
        <v>0</v>
      </c>
    </row>
    <row r="242">
      <c r="A242" s="24">
        <v>1866</v>
      </c>
      <c r="B242" s="9" t="s">
        <v>399</v>
      </c>
      <c r="C242" s="9" t="s">
        <v>64</v>
      </c>
      <c r="D242" s="9" t="s">
        <v>114</v>
      </c>
      <c r="E242" s="9" t="s">
        <v>140</v>
      </c>
      <c r="F242" s="11">
        <v>1</v>
      </c>
      <c r="G242" s="12">
        <v>0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0.26</v>
      </c>
    </row>
    <row r="243">
      <c r="A243" s="23">
        <v>1868</v>
      </c>
      <c r="B243" s="4" t="s">
        <v>400</v>
      </c>
      <c r="C243" s="4" t="s">
        <v>64</v>
      </c>
      <c r="D243" s="4" t="s">
        <v>114</v>
      </c>
      <c r="E243" s="4" t="s">
        <v>140</v>
      </c>
      <c r="F243" s="6">
        <v>3</v>
      </c>
      <c r="G243" s="5">
        <v>1</v>
      </c>
      <c r="H243" s="5">
        <v>2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1</v>
      </c>
      <c r="W243" s="5">
        <v>2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0">
        <v>0</v>
      </c>
    </row>
    <row r="244">
      <c r="A244" s="24">
        <v>1871</v>
      </c>
      <c r="B244" s="9" t="s">
        <v>401</v>
      </c>
      <c r="C244" s="9" t="s">
        <v>64</v>
      </c>
      <c r="D244" s="9" t="s">
        <v>114</v>
      </c>
      <c r="E244" s="9" t="s">
        <v>143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0.24</v>
      </c>
    </row>
    <row r="245">
      <c r="A245" s="23">
        <v>1876</v>
      </c>
      <c r="B245" s="4" t="s">
        <v>402</v>
      </c>
      <c r="C245" s="4" t="s">
        <v>64</v>
      </c>
      <c r="D245" s="4" t="s">
        <v>68</v>
      </c>
      <c r="E245" s="4" t="s">
        <v>112</v>
      </c>
      <c r="F245" s="6">
        <v>2</v>
      </c>
      <c r="G245" s="5">
        <v>1</v>
      </c>
      <c r="H245" s="5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5">
        <v>1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0.52</v>
      </c>
    </row>
    <row r="246">
      <c r="A246" s="24">
        <v>1881</v>
      </c>
      <c r="B246" s="9" t="s">
        <v>403</v>
      </c>
      <c r="C246" s="9" t="s">
        <v>64</v>
      </c>
      <c r="D246" s="9" t="s">
        <v>93</v>
      </c>
      <c r="E246" s="9" t="s">
        <v>170</v>
      </c>
      <c r="F246" s="11">
        <v>4</v>
      </c>
      <c r="G246" s="10">
        <v>1</v>
      </c>
      <c r="H246" s="12">
        <v>0</v>
      </c>
      <c r="I246" s="10">
        <v>1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1</v>
      </c>
      <c r="W246" s="12">
        <v>0</v>
      </c>
      <c r="X246" s="10">
        <v>1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1.33</v>
      </c>
      <c r="AL246" s="10">
        <v>1</v>
      </c>
      <c r="AM246" s="10">
        <v>2</v>
      </c>
      <c r="AN246" s="29">
        <v>0.48</v>
      </c>
    </row>
    <row r="247">
      <c r="A247" s="23">
        <v>1887</v>
      </c>
      <c r="B247" s="4" t="s">
        <v>404</v>
      </c>
      <c r="C247" s="4" t="s">
        <v>64</v>
      </c>
      <c r="D247" s="4" t="s">
        <v>85</v>
      </c>
      <c r="E247" s="4" t="s">
        <v>86</v>
      </c>
      <c r="F247" s="6">
        <v>2</v>
      </c>
      <c r="G247" s="5">
        <v>1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1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1906</v>
      </c>
      <c r="B248" s="9" t="s">
        <v>405</v>
      </c>
      <c r="C248" s="9" t="s">
        <v>64</v>
      </c>
      <c r="D248" s="9" t="s">
        <v>102</v>
      </c>
      <c r="E248" s="9" t="s">
        <v>248</v>
      </c>
      <c r="F248" s="11">
        <v>1</v>
      </c>
      <c r="G248" s="12">
        <v>0</v>
      </c>
      <c r="H248" s="10">
        <v>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0">
        <v>1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1993</v>
      </c>
      <c r="B249" s="4" t="s">
        <v>406</v>
      </c>
      <c r="C249" s="4" t="s">
        <v>64</v>
      </c>
      <c r="D249" s="4" t="s">
        <v>72</v>
      </c>
      <c r="E249" s="4" t="s">
        <v>316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2006</v>
      </c>
      <c r="B250" s="9" t="s">
        <v>407</v>
      </c>
      <c r="C250" s="9" t="s">
        <v>64</v>
      </c>
      <c r="D250" s="9" t="s">
        <v>125</v>
      </c>
      <c r="E250" s="9" t="s">
        <v>126</v>
      </c>
      <c r="F250" s="11">
        <v>4</v>
      </c>
      <c r="G250" s="10">
        <v>2</v>
      </c>
      <c r="H250" s="10">
        <v>1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1</v>
      </c>
      <c r="W250" s="10">
        <v>1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49">
        <v>0</v>
      </c>
    </row>
    <row r="251">
      <c r="A251" s="23">
        <v>2080</v>
      </c>
      <c r="B251" s="4" t="s">
        <v>408</v>
      </c>
      <c r="C251" s="4" t="s">
        <v>64</v>
      </c>
      <c r="D251" s="4" t="s">
        <v>72</v>
      </c>
      <c r="E251" s="4" t="s">
        <v>118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2087</v>
      </c>
      <c r="B252" s="9" t="s">
        <v>409</v>
      </c>
      <c r="C252" s="9" t="s">
        <v>64</v>
      </c>
      <c r="D252" s="9" t="s">
        <v>72</v>
      </c>
      <c r="E252" s="9" t="s">
        <v>118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2108</v>
      </c>
      <c r="B253" s="4" t="s">
        <v>410</v>
      </c>
      <c r="C253" s="4" t="s">
        <v>64</v>
      </c>
      <c r="D253" s="4" t="s">
        <v>72</v>
      </c>
      <c r="E253" s="4" t="s">
        <v>118</v>
      </c>
      <c r="F253" s="6">
        <v>4</v>
      </c>
      <c r="G253" s="5">
        <v>3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3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1.33</v>
      </c>
      <c r="AL253" s="5">
        <v>1</v>
      </c>
      <c r="AM253" s="5">
        <v>2</v>
      </c>
      <c r="AN253" s="30">
        <v>0</v>
      </c>
    </row>
    <row r="254">
      <c r="A254" s="24">
        <v>2198</v>
      </c>
      <c r="B254" s="9" t="s">
        <v>411</v>
      </c>
      <c r="C254" s="9" t="s">
        <v>64</v>
      </c>
      <c r="D254" s="9" t="s">
        <v>68</v>
      </c>
      <c r="E254" s="9" t="s">
        <v>112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2199</v>
      </c>
      <c r="B255" s="4" t="s">
        <v>412</v>
      </c>
      <c r="C255" s="4" t="s">
        <v>64</v>
      </c>
      <c r="D255" s="4" t="s">
        <v>76</v>
      </c>
      <c r="E255" s="4" t="s">
        <v>88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0.24</v>
      </c>
    </row>
    <row r="256">
      <c r="A256" s="24">
        <v>2201</v>
      </c>
      <c r="B256" s="9" t="s">
        <v>413</v>
      </c>
      <c r="C256" s="9" t="s">
        <v>64</v>
      </c>
      <c r="D256" s="9" t="s">
        <v>85</v>
      </c>
      <c r="E256" s="9" t="s">
        <v>86</v>
      </c>
      <c r="F256" s="11">
        <v>2</v>
      </c>
      <c r="G256" s="12">
        <v>0</v>
      </c>
      <c r="H256" s="12">
        <v>0</v>
      </c>
      <c r="I256" s="10">
        <v>2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0.26</v>
      </c>
    </row>
    <row r="257">
      <c r="A257" s="23">
        <v>2212</v>
      </c>
      <c r="B257" s="4" t="s">
        <v>414</v>
      </c>
      <c r="C257" s="4" t="s">
        <v>64</v>
      </c>
      <c r="D257" s="4" t="s">
        <v>65</v>
      </c>
      <c r="E257" s="4" t="s">
        <v>415</v>
      </c>
      <c r="F257" s="6">
        <v>1</v>
      </c>
      <c r="G257" s="7">
        <v>0</v>
      </c>
      <c r="H257" s="7">
        <v>0</v>
      </c>
      <c r="I257" s="7">
        <v>0</v>
      </c>
      <c r="J257" s="7">
        <v>0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2223</v>
      </c>
      <c r="B258" s="9" t="s">
        <v>416</v>
      </c>
      <c r="C258" s="9" t="s">
        <v>64</v>
      </c>
      <c r="D258" s="9" t="s">
        <v>68</v>
      </c>
      <c r="E258" s="9" t="s">
        <v>112</v>
      </c>
      <c r="F258" s="11">
        <v>2</v>
      </c>
      <c r="G258" s="12">
        <v>0</v>
      </c>
      <c r="H258" s="10">
        <v>2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0">
        <v>2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9">
        <v>0</v>
      </c>
    </row>
    <row r="259">
      <c r="A259" s="23">
        <v>2224</v>
      </c>
      <c r="B259" s="4" t="s">
        <v>417</v>
      </c>
      <c r="C259" s="4" t="s">
        <v>64</v>
      </c>
      <c r="D259" s="4" t="s">
        <v>72</v>
      </c>
      <c r="E259" s="4" t="s">
        <v>118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0.24</v>
      </c>
    </row>
    <row r="260">
      <c r="A260" s="24">
        <v>2225</v>
      </c>
      <c r="B260" s="9" t="s">
        <v>418</v>
      </c>
      <c r="C260" s="9" t="s">
        <v>64</v>
      </c>
      <c r="D260" s="9" t="s">
        <v>102</v>
      </c>
      <c r="E260" s="9" t="s">
        <v>103</v>
      </c>
      <c r="F260" s="11">
        <v>3</v>
      </c>
      <c r="G260" s="10">
        <v>2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0">
        <v>2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29">
        <v>0.24</v>
      </c>
    </row>
    <row r="261">
      <c r="A261" s="23">
        <v>2227</v>
      </c>
      <c r="B261" s="4" t="s">
        <v>419</v>
      </c>
      <c r="C261" s="4" t="s">
        <v>64</v>
      </c>
      <c r="D261" s="4" t="s">
        <v>93</v>
      </c>
      <c r="E261" s="4" t="s">
        <v>170</v>
      </c>
      <c r="F261" s="6">
        <v>1</v>
      </c>
      <c r="G261" s="7">
        <v>0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2256</v>
      </c>
      <c r="B262" s="9" t="s">
        <v>420</v>
      </c>
      <c r="C262" s="9" t="s">
        <v>64</v>
      </c>
      <c r="D262" s="9" t="s">
        <v>72</v>
      </c>
      <c r="E262" s="9" t="s">
        <v>118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2261</v>
      </c>
      <c r="B263" s="4" t="s">
        <v>421</v>
      </c>
      <c r="C263" s="4" t="s">
        <v>134</v>
      </c>
      <c r="D263" s="4" t="s">
        <v>422</v>
      </c>
      <c r="E263" s="4" t="s">
        <v>423</v>
      </c>
      <c r="F263" s="6">
        <v>1</v>
      </c>
      <c r="G263" s="7">
        <v>0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0.22</v>
      </c>
    </row>
    <row r="264">
      <c r="A264" s="24">
        <v>2268</v>
      </c>
      <c r="B264" s="9" t="s">
        <v>424</v>
      </c>
      <c r="C264" s="9" t="s">
        <v>64</v>
      </c>
      <c r="D264" s="9" t="s">
        <v>68</v>
      </c>
      <c r="E264" s="9" t="s">
        <v>264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49">
        <v>0</v>
      </c>
    </row>
    <row r="265">
      <c r="A265" s="23">
        <v>2269</v>
      </c>
      <c r="B265" s="4" t="s">
        <v>425</v>
      </c>
      <c r="C265" s="4" t="s">
        <v>64</v>
      </c>
      <c r="D265" s="4" t="s">
        <v>68</v>
      </c>
      <c r="E265" s="4" t="s">
        <v>112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2271</v>
      </c>
      <c r="B266" s="9" t="s">
        <v>426</v>
      </c>
      <c r="C266" s="9" t="s">
        <v>134</v>
      </c>
      <c r="D266" s="9" t="s">
        <v>135</v>
      </c>
      <c r="E266" s="9" t="s">
        <v>427</v>
      </c>
      <c r="F266" s="11">
        <v>2</v>
      </c>
      <c r="G266" s="10">
        <v>1</v>
      </c>
      <c r="H266" s="10">
        <v>1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1</v>
      </c>
      <c r="W266" s="10">
        <v>1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9">
        <v>0</v>
      </c>
    </row>
    <row r="267">
      <c r="A267" s="23">
        <v>2276</v>
      </c>
      <c r="B267" s="4" t="s">
        <v>428</v>
      </c>
      <c r="C267" s="4" t="s">
        <v>162</v>
      </c>
      <c r="D267" s="4" t="s">
        <v>163</v>
      </c>
      <c r="E267" s="4" t="s">
        <v>178</v>
      </c>
      <c r="F267" s="6">
        <v>3</v>
      </c>
      <c r="G267" s="7">
        <v>0</v>
      </c>
      <c r="H267" s="7">
        <v>0</v>
      </c>
      <c r="I267" s="7">
        <v>0</v>
      </c>
      <c r="J267" s="7">
        <v>0</v>
      </c>
      <c r="K267" s="5">
        <v>1</v>
      </c>
      <c r="L267" s="5">
        <v>2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7">
        <v>0</v>
      </c>
      <c r="W267" s="7">
        <v>0</v>
      </c>
      <c r="X267" s="7">
        <v>0</v>
      </c>
      <c r="Y267" s="7">
        <v>0</v>
      </c>
      <c r="Z267" s="5">
        <v>1</v>
      </c>
      <c r="AA267" s="5">
        <v>2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30">
        <v>0</v>
      </c>
    </row>
    <row r="268">
      <c r="A268" s="24">
        <v>2305</v>
      </c>
      <c r="B268" s="9" t="s">
        <v>429</v>
      </c>
      <c r="C268" s="9" t="s">
        <v>64</v>
      </c>
      <c r="D268" s="9" t="s">
        <v>72</v>
      </c>
      <c r="E268" s="9" t="s">
        <v>285</v>
      </c>
      <c r="F268" s="11">
        <v>1</v>
      </c>
      <c r="G268" s="12">
        <v>0</v>
      </c>
      <c r="H268" s="10">
        <v>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0">
        <v>1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0.24</v>
      </c>
    </row>
    <row r="269">
      <c r="A269" s="23">
        <v>2306</v>
      </c>
      <c r="B269" s="4" t="s">
        <v>430</v>
      </c>
      <c r="C269" s="4" t="s">
        <v>64</v>
      </c>
      <c r="D269" s="4" t="s">
        <v>102</v>
      </c>
      <c r="E269" s="4" t="s">
        <v>103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2310</v>
      </c>
      <c r="B270" s="9" t="s">
        <v>431</v>
      </c>
      <c r="C270" s="9" t="s">
        <v>134</v>
      </c>
      <c r="D270" s="9" t="s">
        <v>432</v>
      </c>
      <c r="E270" s="9" t="s">
        <v>433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0.22</v>
      </c>
    </row>
    <row r="271">
      <c r="A271" s="23">
        <v>2320</v>
      </c>
      <c r="B271" s="4" t="s">
        <v>434</v>
      </c>
      <c r="C271" s="4" t="s">
        <v>134</v>
      </c>
      <c r="D271" s="4" t="s">
        <v>432</v>
      </c>
      <c r="E271" s="4" t="s">
        <v>433</v>
      </c>
      <c r="F271" s="6">
        <v>2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5">
        <v>2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5">
        <v>2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2326</v>
      </c>
      <c r="B272" s="9" t="s">
        <v>435</v>
      </c>
      <c r="C272" s="9" t="s">
        <v>134</v>
      </c>
      <c r="D272" s="9" t="s">
        <v>432</v>
      </c>
      <c r="E272" s="9" t="s">
        <v>436</v>
      </c>
      <c r="F272" s="11">
        <v>1</v>
      </c>
      <c r="G272" s="12">
        <v>0</v>
      </c>
      <c r="H272" s="12">
        <v>0</v>
      </c>
      <c r="I272" s="10">
        <v>1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0">
        <v>1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9">
        <v>0</v>
      </c>
    </row>
    <row r="273">
      <c r="A273" s="23">
        <v>2327</v>
      </c>
      <c r="B273" s="4" t="s">
        <v>437</v>
      </c>
      <c r="C273" s="4" t="s">
        <v>64</v>
      </c>
      <c r="D273" s="4" t="s">
        <v>85</v>
      </c>
      <c r="E273" s="4" t="s">
        <v>220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2332</v>
      </c>
      <c r="B274" s="9" t="s">
        <v>438</v>
      </c>
      <c r="C274" s="9" t="s">
        <v>134</v>
      </c>
      <c r="D274" s="9" t="s">
        <v>439</v>
      </c>
      <c r="E274" s="9" t="s">
        <v>440</v>
      </c>
      <c r="F274" s="11">
        <v>5</v>
      </c>
      <c r="G274" s="12">
        <v>0</v>
      </c>
      <c r="H274" s="12">
        <v>0</v>
      </c>
      <c r="I274" s="12">
        <v>0</v>
      </c>
      <c r="J274" s="10">
        <v>5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2">
        <v>0</v>
      </c>
      <c r="W274" s="12">
        <v>0</v>
      </c>
      <c r="X274" s="12">
        <v>0</v>
      </c>
      <c r="Y274" s="10">
        <v>5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2.5</v>
      </c>
      <c r="AL274" s="10">
        <v>2</v>
      </c>
      <c r="AM274" s="10">
        <v>3</v>
      </c>
      <c r="AN274" s="29">
        <v>1.25</v>
      </c>
    </row>
    <row r="275">
      <c r="A275" s="23">
        <v>2333</v>
      </c>
      <c r="B275" s="4" t="s">
        <v>441</v>
      </c>
      <c r="C275" s="4" t="s">
        <v>64</v>
      </c>
      <c r="D275" s="4" t="s">
        <v>85</v>
      </c>
      <c r="E275" s="4" t="s">
        <v>132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0.5</v>
      </c>
    </row>
    <row r="276">
      <c r="A276" s="24">
        <v>2334</v>
      </c>
      <c r="B276" s="9" t="s">
        <v>442</v>
      </c>
      <c r="C276" s="9" t="s">
        <v>64</v>
      </c>
      <c r="D276" s="9" t="s">
        <v>146</v>
      </c>
      <c r="E276" s="9" t="s">
        <v>147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9">
        <v>0</v>
      </c>
    </row>
    <row r="277">
      <c r="A277" s="23">
        <v>2335</v>
      </c>
      <c r="B277" s="4" t="s">
        <v>443</v>
      </c>
      <c r="C277" s="4" t="s">
        <v>64</v>
      </c>
      <c r="D277" s="4" t="s">
        <v>76</v>
      </c>
      <c r="E277" s="4" t="s">
        <v>77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2336</v>
      </c>
      <c r="B278" s="9" t="s">
        <v>444</v>
      </c>
      <c r="C278" s="9" t="s">
        <v>162</v>
      </c>
      <c r="D278" s="9" t="s">
        <v>163</v>
      </c>
      <c r="E278" s="9" t="s">
        <v>178</v>
      </c>
      <c r="F278" s="11">
        <v>3</v>
      </c>
      <c r="G278" s="12">
        <v>0</v>
      </c>
      <c r="H278" s="12">
        <v>0</v>
      </c>
      <c r="I278" s="10">
        <v>1</v>
      </c>
      <c r="J278" s="12">
        <v>0</v>
      </c>
      <c r="K278" s="10">
        <v>2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2">
        <v>0</v>
      </c>
      <c r="W278" s="12">
        <v>0</v>
      </c>
      <c r="X278" s="10">
        <v>1</v>
      </c>
      <c r="Y278" s="12">
        <v>0</v>
      </c>
      <c r="Z278" s="10">
        <v>2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29">
        <v>0.24</v>
      </c>
    </row>
    <row r="279">
      <c r="A279" s="23">
        <v>2338</v>
      </c>
      <c r="B279" s="4" t="s">
        <v>445</v>
      </c>
      <c r="C279" s="4" t="s">
        <v>162</v>
      </c>
      <c r="D279" s="4" t="s">
        <v>446</v>
      </c>
      <c r="E279" s="4" t="s">
        <v>447</v>
      </c>
      <c r="F279" s="6">
        <v>2</v>
      </c>
      <c r="G279" s="7">
        <v>0</v>
      </c>
      <c r="H279" s="7">
        <v>0</v>
      </c>
      <c r="I279" s="7">
        <v>0</v>
      </c>
      <c r="J279" s="7">
        <v>0</v>
      </c>
      <c r="K279" s="5">
        <v>2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7">
        <v>0</v>
      </c>
      <c r="W279" s="7">
        <v>0</v>
      </c>
      <c r="X279" s="7">
        <v>0</v>
      </c>
      <c r="Y279" s="7">
        <v>0</v>
      </c>
      <c r="Z279" s="5">
        <v>2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30">
        <v>0</v>
      </c>
    </row>
    <row r="280">
      <c r="A280" s="24">
        <v>2339</v>
      </c>
      <c r="B280" s="9" t="s">
        <v>448</v>
      </c>
      <c r="C280" s="9" t="s">
        <v>64</v>
      </c>
      <c r="D280" s="9" t="s">
        <v>114</v>
      </c>
      <c r="E280" s="9" t="s">
        <v>120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0.17</v>
      </c>
    </row>
    <row r="281">
      <c r="A281" s="23">
        <v>2349</v>
      </c>
      <c r="B281" s="4" t="s">
        <v>449</v>
      </c>
      <c r="C281" s="4" t="s">
        <v>64</v>
      </c>
      <c r="D281" s="4" t="s">
        <v>93</v>
      </c>
      <c r="E281" s="4" t="s">
        <v>450</v>
      </c>
      <c r="F281" s="6">
        <v>3</v>
      </c>
      <c r="G281" s="7">
        <v>0</v>
      </c>
      <c r="H281" s="7">
        <v>0</v>
      </c>
      <c r="I281" s="7">
        <v>0</v>
      </c>
      <c r="J281" s="5">
        <v>2</v>
      </c>
      <c r="K281" s="7">
        <v>0</v>
      </c>
      <c r="L281" s="5">
        <v>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7">
        <v>0</v>
      </c>
      <c r="W281" s="7">
        <v>0</v>
      </c>
      <c r="X281" s="7">
        <v>0</v>
      </c>
      <c r="Y281" s="5">
        <v>2</v>
      </c>
      <c r="Z281" s="7">
        <v>0</v>
      </c>
      <c r="AA281" s="5">
        <v>1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0.44</v>
      </c>
    </row>
    <row r="282">
      <c r="A282" s="24">
        <v>2353</v>
      </c>
      <c r="B282" s="9" t="s">
        <v>451</v>
      </c>
      <c r="C282" s="9" t="s">
        <v>162</v>
      </c>
      <c r="D282" s="9" t="s">
        <v>446</v>
      </c>
      <c r="E282" s="9" t="s">
        <v>452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2359</v>
      </c>
      <c r="B283" s="4" t="s">
        <v>453</v>
      </c>
      <c r="C283" s="4" t="s">
        <v>134</v>
      </c>
      <c r="D283" s="4" t="s">
        <v>432</v>
      </c>
      <c r="E283" s="4" t="s">
        <v>454</v>
      </c>
      <c r="F283" s="6">
        <v>2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5">
        <v>2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5">
        <v>2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2361</v>
      </c>
      <c r="B284" s="9" t="s">
        <v>455</v>
      </c>
      <c r="C284" s="9" t="s">
        <v>134</v>
      </c>
      <c r="D284" s="9" t="s">
        <v>374</v>
      </c>
      <c r="E284" s="9" t="s">
        <v>375</v>
      </c>
      <c r="F284" s="11">
        <v>5</v>
      </c>
      <c r="G284" s="12">
        <v>0</v>
      </c>
      <c r="H284" s="12">
        <v>0</v>
      </c>
      <c r="I284" s="10">
        <v>4</v>
      </c>
      <c r="J284" s="12">
        <v>0</v>
      </c>
      <c r="K284" s="12">
        <v>0</v>
      </c>
      <c r="L284" s="10">
        <v>1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5</v>
      </c>
      <c r="V284" s="12">
        <v>0</v>
      </c>
      <c r="W284" s="12">
        <v>0</v>
      </c>
      <c r="X284" s="10">
        <v>4</v>
      </c>
      <c r="Y284" s="12">
        <v>0</v>
      </c>
      <c r="Z284" s="12">
        <v>0</v>
      </c>
      <c r="AA284" s="10">
        <v>1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1.67</v>
      </c>
      <c r="AL284" s="10">
        <v>1</v>
      </c>
      <c r="AM284" s="10">
        <v>3</v>
      </c>
      <c r="AN284" s="29">
        <v>0.22</v>
      </c>
    </row>
    <row r="285">
      <c r="A285" s="23">
        <v>2365</v>
      </c>
      <c r="B285" s="4" t="s">
        <v>456</v>
      </c>
      <c r="C285" s="4" t="s">
        <v>64</v>
      </c>
      <c r="D285" s="4" t="s">
        <v>102</v>
      </c>
      <c r="E285" s="4" t="s">
        <v>248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2367</v>
      </c>
      <c r="B286" s="9" t="s">
        <v>457</v>
      </c>
      <c r="C286" s="9" t="s">
        <v>64</v>
      </c>
      <c r="D286" s="9" t="s">
        <v>85</v>
      </c>
      <c r="E286" s="9" t="s">
        <v>458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2372</v>
      </c>
      <c r="B287" s="4" t="s">
        <v>459</v>
      </c>
      <c r="C287" s="4" t="s">
        <v>64</v>
      </c>
      <c r="D287" s="4" t="s">
        <v>156</v>
      </c>
      <c r="E287" s="4" t="s">
        <v>386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2375</v>
      </c>
      <c r="B288" s="9" t="s">
        <v>460</v>
      </c>
      <c r="C288" s="9" t="s">
        <v>134</v>
      </c>
      <c r="D288" s="9" t="s">
        <v>461</v>
      </c>
      <c r="E288" s="9" t="s">
        <v>462</v>
      </c>
      <c r="F288" s="11">
        <v>3</v>
      </c>
      <c r="G288" s="12">
        <v>0</v>
      </c>
      <c r="H288" s="12">
        <v>0</v>
      </c>
      <c r="I288" s="10">
        <v>2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2">
        <v>0</v>
      </c>
      <c r="W288" s="12">
        <v>0</v>
      </c>
      <c r="X288" s="10">
        <v>2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0.24</v>
      </c>
    </row>
    <row r="289">
      <c r="A289" s="23">
        <v>2376</v>
      </c>
      <c r="B289" s="4" t="s">
        <v>463</v>
      </c>
      <c r="C289" s="4" t="s">
        <v>134</v>
      </c>
      <c r="D289" s="4" t="s">
        <v>135</v>
      </c>
      <c r="E289" s="4" t="s">
        <v>427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2380</v>
      </c>
      <c r="B290" s="9" t="s">
        <v>464</v>
      </c>
      <c r="C290" s="9" t="s">
        <v>64</v>
      </c>
      <c r="D290" s="9" t="s">
        <v>68</v>
      </c>
      <c r="E290" s="9" t="s">
        <v>69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2396</v>
      </c>
      <c r="B291" s="4" t="s">
        <v>465</v>
      </c>
      <c r="C291" s="4" t="s">
        <v>64</v>
      </c>
      <c r="D291" s="4" t="s">
        <v>68</v>
      </c>
      <c r="E291" s="4" t="s">
        <v>112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2398</v>
      </c>
      <c r="B292" s="9" t="s">
        <v>466</v>
      </c>
      <c r="C292" s="9" t="s">
        <v>162</v>
      </c>
      <c r="D292" s="9" t="s">
        <v>467</v>
      </c>
      <c r="E292" s="9" t="s">
        <v>468</v>
      </c>
      <c r="F292" s="11">
        <v>2</v>
      </c>
      <c r="G292" s="12">
        <v>0</v>
      </c>
      <c r="H292" s="12">
        <v>0</v>
      </c>
      <c r="I292" s="12">
        <v>0</v>
      </c>
      <c r="J292" s="12">
        <v>0</v>
      </c>
      <c r="K292" s="10">
        <v>2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2">
        <v>0</v>
      </c>
      <c r="Y292" s="12">
        <v>0</v>
      </c>
      <c r="Z292" s="10">
        <v>2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49">
        <v>0</v>
      </c>
    </row>
    <row r="293">
      <c r="A293" s="23">
        <v>2403</v>
      </c>
      <c r="B293" s="4" t="s">
        <v>469</v>
      </c>
      <c r="C293" s="4" t="s">
        <v>64</v>
      </c>
      <c r="D293" s="4" t="s">
        <v>114</v>
      </c>
      <c r="E293" s="4" t="s">
        <v>115</v>
      </c>
      <c r="F293" s="6">
        <v>3</v>
      </c>
      <c r="G293" s="7">
        <v>0</v>
      </c>
      <c r="H293" s="7">
        <v>0</v>
      </c>
      <c r="I293" s="5">
        <v>3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7">
        <v>0</v>
      </c>
      <c r="X293" s="5">
        <v>2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3</v>
      </c>
      <c r="AK293" s="8">
        <v>3</v>
      </c>
      <c r="AL293" s="5">
        <v>3</v>
      </c>
      <c r="AM293" s="5">
        <v>3</v>
      </c>
      <c r="AN293" s="28">
        <v>0.5</v>
      </c>
    </row>
    <row r="294">
      <c r="A294" s="24">
        <v>2406</v>
      </c>
      <c r="B294" s="9" t="s">
        <v>470</v>
      </c>
      <c r="C294" s="9" t="s">
        <v>64</v>
      </c>
      <c r="D294" s="9" t="s">
        <v>72</v>
      </c>
      <c r="E294" s="9" t="s">
        <v>73</v>
      </c>
      <c r="F294" s="11">
        <v>3</v>
      </c>
      <c r="G294" s="10">
        <v>1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1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0.75</v>
      </c>
    </row>
    <row r="295">
      <c r="A295" s="23">
        <v>2412</v>
      </c>
      <c r="B295" s="4" t="s">
        <v>471</v>
      </c>
      <c r="C295" s="4" t="s">
        <v>64</v>
      </c>
      <c r="D295" s="4" t="s">
        <v>76</v>
      </c>
      <c r="E295" s="4" t="s">
        <v>122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</v>
      </c>
    </row>
    <row r="296">
      <c r="A296" s="24">
        <v>2413</v>
      </c>
      <c r="B296" s="9" t="s">
        <v>472</v>
      </c>
      <c r="C296" s="9" t="s">
        <v>64</v>
      </c>
      <c r="D296" s="9" t="s">
        <v>85</v>
      </c>
      <c r="E296" s="9" t="s">
        <v>132</v>
      </c>
      <c r="F296" s="11">
        <v>2</v>
      </c>
      <c r="G296" s="10">
        <v>1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1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0.52</v>
      </c>
    </row>
    <row r="297">
      <c r="A297" s="23">
        <v>2418</v>
      </c>
      <c r="B297" s="4" t="s">
        <v>473</v>
      </c>
      <c r="C297" s="4" t="s">
        <v>64</v>
      </c>
      <c r="D297" s="4" t="s">
        <v>102</v>
      </c>
      <c r="E297" s="4" t="s">
        <v>248</v>
      </c>
      <c r="F297" s="6">
        <v>4</v>
      </c>
      <c r="G297" s="5">
        <v>4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4</v>
      </c>
      <c r="AK297" s="8">
        <v>4</v>
      </c>
      <c r="AL297" s="5">
        <v>4</v>
      </c>
      <c r="AM297" s="5">
        <v>4</v>
      </c>
      <c r="AN297" s="30">
        <v>0</v>
      </c>
    </row>
    <row r="298">
      <c r="A298" s="24">
        <v>2419</v>
      </c>
      <c r="B298" s="9" t="s">
        <v>474</v>
      </c>
      <c r="C298" s="9" t="s">
        <v>64</v>
      </c>
      <c r="D298" s="9" t="s">
        <v>72</v>
      </c>
      <c r="E298" s="9" t="s">
        <v>83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2425</v>
      </c>
      <c r="B299" s="4" t="s">
        <v>475</v>
      </c>
      <c r="C299" s="4" t="s">
        <v>134</v>
      </c>
      <c r="D299" s="4" t="s">
        <v>476</v>
      </c>
      <c r="E299" s="4" t="s">
        <v>477</v>
      </c>
      <c r="F299" s="6">
        <v>2</v>
      </c>
      <c r="G299" s="5">
        <v>1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2431</v>
      </c>
      <c r="B300" s="9" t="s">
        <v>478</v>
      </c>
      <c r="C300" s="9" t="s">
        <v>64</v>
      </c>
      <c r="D300" s="9" t="s">
        <v>85</v>
      </c>
      <c r="E300" s="9" t="s">
        <v>86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2432</v>
      </c>
      <c r="B301" s="4" t="s">
        <v>479</v>
      </c>
      <c r="C301" s="4" t="s">
        <v>64</v>
      </c>
      <c r="D301" s="4" t="s">
        <v>85</v>
      </c>
      <c r="E301" s="4" t="s">
        <v>86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2435</v>
      </c>
      <c r="B302" s="9" t="s">
        <v>480</v>
      </c>
      <c r="C302" s="9" t="s">
        <v>64</v>
      </c>
      <c r="D302" s="9" t="s">
        <v>76</v>
      </c>
      <c r="E302" s="9" t="s">
        <v>329</v>
      </c>
      <c r="F302" s="11">
        <v>2</v>
      </c>
      <c r="G302" s="10">
        <v>1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0.24</v>
      </c>
    </row>
    <row r="303">
      <c r="A303" s="23">
        <v>2436</v>
      </c>
      <c r="B303" s="4" t="s">
        <v>481</v>
      </c>
      <c r="C303" s="4" t="s">
        <v>64</v>
      </c>
      <c r="D303" s="4" t="s">
        <v>93</v>
      </c>
      <c r="E303" s="4" t="s">
        <v>450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0.5</v>
      </c>
    </row>
    <row r="304">
      <c r="A304" s="24">
        <v>2442</v>
      </c>
      <c r="B304" s="9" t="s">
        <v>482</v>
      </c>
      <c r="C304" s="9" t="s">
        <v>64</v>
      </c>
      <c r="D304" s="9" t="s">
        <v>90</v>
      </c>
      <c r="E304" s="9" t="s">
        <v>91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2443</v>
      </c>
      <c r="B305" s="4" t="s">
        <v>483</v>
      </c>
      <c r="C305" s="4" t="s">
        <v>64</v>
      </c>
      <c r="D305" s="4" t="s">
        <v>68</v>
      </c>
      <c r="E305" s="4" t="s">
        <v>112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2444</v>
      </c>
      <c r="B306" s="9" t="s">
        <v>484</v>
      </c>
      <c r="C306" s="9" t="s">
        <v>64</v>
      </c>
      <c r="D306" s="9" t="s">
        <v>68</v>
      </c>
      <c r="E306" s="9" t="s">
        <v>112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9">
        <v>0</v>
      </c>
    </row>
    <row r="307">
      <c r="A307" s="23">
        <v>2482</v>
      </c>
      <c r="B307" s="4" t="s">
        <v>485</v>
      </c>
      <c r="C307" s="4" t="s">
        <v>64</v>
      </c>
      <c r="D307" s="4" t="s">
        <v>72</v>
      </c>
      <c r="E307" s="4" t="s">
        <v>73</v>
      </c>
      <c r="F307" s="6">
        <v>4</v>
      </c>
      <c r="G307" s="5">
        <v>2</v>
      </c>
      <c r="H307" s="7">
        <v>0</v>
      </c>
      <c r="I307" s="5">
        <v>1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2</v>
      </c>
      <c r="W307" s="7">
        <v>0</v>
      </c>
      <c r="X307" s="5">
        <v>1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0.44</v>
      </c>
    </row>
    <row r="308">
      <c r="A308" s="24">
        <v>2486</v>
      </c>
      <c r="B308" s="9" t="s">
        <v>486</v>
      </c>
      <c r="C308" s="9" t="s">
        <v>162</v>
      </c>
      <c r="D308" s="9" t="s">
        <v>163</v>
      </c>
      <c r="E308" s="9" t="s">
        <v>164</v>
      </c>
      <c r="F308" s="11">
        <v>9</v>
      </c>
      <c r="G308" s="10">
        <v>1</v>
      </c>
      <c r="H308" s="12">
        <v>0</v>
      </c>
      <c r="I308" s="10">
        <v>2</v>
      </c>
      <c r="J308" s="10">
        <v>1</v>
      </c>
      <c r="K308" s="10">
        <v>3</v>
      </c>
      <c r="L308" s="10">
        <v>2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9</v>
      </c>
      <c r="V308" s="10">
        <v>1</v>
      </c>
      <c r="W308" s="12">
        <v>0</v>
      </c>
      <c r="X308" s="10">
        <v>2</v>
      </c>
      <c r="Y308" s="10">
        <v>1</v>
      </c>
      <c r="Z308" s="10">
        <v>3</v>
      </c>
      <c r="AA308" s="10">
        <v>2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1.8</v>
      </c>
      <c r="AL308" s="10">
        <v>2</v>
      </c>
      <c r="AM308" s="10">
        <v>3</v>
      </c>
      <c r="AN308" s="49">
        <v>0</v>
      </c>
    </row>
    <row r="309">
      <c r="A309" s="23">
        <v>2488</v>
      </c>
      <c r="B309" s="4" t="s">
        <v>487</v>
      </c>
      <c r="C309" s="4" t="s">
        <v>134</v>
      </c>
      <c r="D309" s="4" t="s">
        <v>422</v>
      </c>
      <c r="E309" s="4" t="s">
        <v>488</v>
      </c>
      <c r="F309" s="6">
        <v>5</v>
      </c>
      <c r="G309" s="7">
        <v>0</v>
      </c>
      <c r="H309" s="7">
        <v>0</v>
      </c>
      <c r="I309" s="5">
        <v>1</v>
      </c>
      <c r="J309" s="5">
        <v>2</v>
      </c>
      <c r="K309" s="7">
        <v>0</v>
      </c>
      <c r="L309" s="5">
        <v>2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7">
        <v>0</v>
      </c>
      <c r="W309" s="7">
        <v>0</v>
      </c>
      <c r="X309" s="5">
        <v>1</v>
      </c>
      <c r="Y309" s="5">
        <v>2</v>
      </c>
      <c r="Z309" s="7">
        <v>0</v>
      </c>
      <c r="AA309" s="5">
        <v>2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1.25</v>
      </c>
      <c r="AL309" s="5">
        <v>1</v>
      </c>
      <c r="AM309" s="5">
        <v>2</v>
      </c>
      <c r="AN309" s="28">
        <v>0.24</v>
      </c>
    </row>
    <row r="310">
      <c r="A310" s="24">
        <v>2489</v>
      </c>
      <c r="B310" s="9" t="s">
        <v>489</v>
      </c>
      <c r="C310" s="9" t="s">
        <v>162</v>
      </c>
      <c r="D310" s="9" t="s">
        <v>490</v>
      </c>
      <c r="E310" s="9" t="s">
        <v>490</v>
      </c>
      <c r="F310" s="11">
        <v>3</v>
      </c>
      <c r="G310" s="12">
        <v>0</v>
      </c>
      <c r="H310" s="12">
        <v>0</v>
      </c>
      <c r="I310" s="12">
        <v>0</v>
      </c>
      <c r="J310" s="12">
        <v>0</v>
      </c>
      <c r="K310" s="10">
        <v>3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2">
        <v>0</v>
      </c>
      <c r="W310" s="12">
        <v>0</v>
      </c>
      <c r="X310" s="12">
        <v>0</v>
      </c>
      <c r="Y310" s="12">
        <v>0</v>
      </c>
      <c r="Z310" s="10">
        <v>2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49">
        <v>0</v>
      </c>
    </row>
    <row r="311">
      <c r="A311" s="23">
        <v>2495</v>
      </c>
      <c r="B311" s="4" t="s">
        <v>491</v>
      </c>
      <c r="C311" s="4" t="s">
        <v>64</v>
      </c>
      <c r="D311" s="4" t="s">
        <v>85</v>
      </c>
      <c r="E311" s="4" t="s">
        <v>138</v>
      </c>
      <c r="F311" s="6">
        <v>3</v>
      </c>
      <c r="G311" s="7">
        <v>0</v>
      </c>
      <c r="H311" s="7">
        <v>0</v>
      </c>
      <c r="I311" s="5">
        <v>1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7">
        <v>0</v>
      </c>
      <c r="W311" s="7">
        <v>0</v>
      </c>
      <c r="X311" s="5">
        <v>1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0.24</v>
      </c>
    </row>
    <row r="312">
      <c r="A312" s="24">
        <v>2498</v>
      </c>
      <c r="B312" s="9" t="s">
        <v>492</v>
      </c>
      <c r="C312" s="9" t="s">
        <v>134</v>
      </c>
      <c r="D312" s="9" t="s">
        <v>432</v>
      </c>
      <c r="E312" s="9" t="s">
        <v>454</v>
      </c>
      <c r="F312" s="11">
        <v>2</v>
      </c>
      <c r="G312" s="10">
        <v>1</v>
      </c>
      <c r="H312" s="10">
        <v>1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1</v>
      </c>
      <c r="W312" s="10">
        <v>1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0.62</v>
      </c>
    </row>
    <row r="313">
      <c r="A313" s="23">
        <v>2501</v>
      </c>
      <c r="B313" s="4" t="s">
        <v>493</v>
      </c>
      <c r="C313" s="4" t="s">
        <v>64</v>
      </c>
      <c r="D313" s="4" t="s">
        <v>146</v>
      </c>
      <c r="E313" s="4" t="s">
        <v>494</v>
      </c>
      <c r="F313" s="6">
        <v>5</v>
      </c>
      <c r="G313" s="5">
        <v>2</v>
      </c>
      <c r="H313" s="5">
        <v>1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5</v>
      </c>
      <c r="V313" s="5">
        <v>2</v>
      </c>
      <c r="W313" s="5">
        <v>1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1.25</v>
      </c>
      <c r="AL313" s="5">
        <v>1</v>
      </c>
      <c r="AM313" s="5">
        <v>2</v>
      </c>
      <c r="AN313" s="28">
        <v>0.87</v>
      </c>
    </row>
    <row r="314">
      <c r="A314" s="24">
        <v>2502</v>
      </c>
      <c r="B314" s="9" t="s">
        <v>495</v>
      </c>
      <c r="C314" s="9" t="s">
        <v>64</v>
      </c>
      <c r="D314" s="9" t="s">
        <v>76</v>
      </c>
      <c r="E314" s="9" t="s">
        <v>79</v>
      </c>
      <c r="F314" s="11">
        <v>3</v>
      </c>
      <c r="G314" s="10">
        <v>2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2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2</v>
      </c>
      <c r="AN314" s="29">
        <v>0.24</v>
      </c>
    </row>
    <row r="315">
      <c r="A315" s="23">
        <v>2516</v>
      </c>
      <c r="B315" s="4" t="s">
        <v>496</v>
      </c>
      <c r="C315" s="4" t="s">
        <v>64</v>
      </c>
      <c r="D315" s="4" t="s">
        <v>114</v>
      </c>
      <c r="E315" s="4" t="s">
        <v>140</v>
      </c>
      <c r="F315" s="6">
        <v>2</v>
      </c>
      <c r="G315" s="7">
        <v>0</v>
      </c>
      <c r="H315" s="7">
        <v>0</v>
      </c>
      <c r="I315" s="5">
        <v>1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7">
        <v>0</v>
      </c>
      <c r="W315" s="7">
        <v>0</v>
      </c>
      <c r="X315" s="5">
        <v>1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0.5</v>
      </c>
    </row>
    <row r="316">
      <c r="A316" s="24">
        <v>2519</v>
      </c>
      <c r="B316" s="9" t="s">
        <v>497</v>
      </c>
      <c r="C316" s="9" t="s">
        <v>64</v>
      </c>
      <c r="D316" s="9" t="s">
        <v>85</v>
      </c>
      <c r="E316" s="9" t="s">
        <v>86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0.52</v>
      </c>
    </row>
    <row r="317">
      <c r="A317" s="23">
        <v>2524</v>
      </c>
      <c r="B317" s="4" t="s">
        <v>498</v>
      </c>
      <c r="C317" s="4" t="s">
        <v>64</v>
      </c>
      <c r="D317" s="4" t="s">
        <v>76</v>
      </c>
      <c r="E317" s="4" t="s">
        <v>122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2526</v>
      </c>
      <c r="B318" s="9" t="s">
        <v>499</v>
      </c>
      <c r="C318" s="9" t="s">
        <v>162</v>
      </c>
      <c r="D318" s="9" t="s">
        <v>163</v>
      </c>
      <c r="E318" s="9" t="s">
        <v>176</v>
      </c>
      <c r="F318" s="11">
        <v>2</v>
      </c>
      <c r="G318" s="12">
        <v>0</v>
      </c>
      <c r="H318" s="12">
        <v>0</v>
      </c>
      <c r="I318" s="12">
        <v>0</v>
      </c>
      <c r="J318" s="12">
        <v>0</v>
      </c>
      <c r="K318" s="10">
        <v>1</v>
      </c>
      <c r="L318" s="10">
        <v>1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2">
        <v>0</v>
      </c>
      <c r="W318" s="12">
        <v>0</v>
      </c>
      <c r="X318" s="12">
        <v>0</v>
      </c>
      <c r="Y318" s="12">
        <v>0</v>
      </c>
      <c r="Z318" s="10">
        <v>1</v>
      </c>
      <c r="AA318" s="10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2529</v>
      </c>
      <c r="B319" s="4" t="s">
        <v>500</v>
      </c>
      <c r="C319" s="4" t="s">
        <v>64</v>
      </c>
      <c r="D319" s="4" t="s">
        <v>85</v>
      </c>
      <c r="E319" s="4" t="s">
        <v>458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2539</v>
      </c>
      <c r="B320" s="9" t="s">
        <v>501</v>
      </c>
      <c r="C320" s="9" t="s">
        <v>64</v>
      </c>
      <c r="D320" s="9" t="s">
        <v>76</v>
      </c>
      <c r="E320" s="9" t="s">
        <v>77</v>
      </c>
      <c r="F320" s="11">
        <v>3</v>
      </c>
      <c r="G320" s="10">
        <v>2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2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49">
        <v>0</v>
      </c>
    </row>
    <row r="321">
      <c r="A321" s="23">
        <v>2540</v>
      </c>
      <c r="B321" s="4" t="s">
        <v>502</v>
      </c>
      <c r="C321" s="4" t="s">
        <v>64</v>
      </c>
      <c r="D321" s="4" t="s">
        <v>105</v>
      </c>
      <c r="E321" s="4" t="s">
        <v>108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2544</v>
      </c>
      <c r="B322" s="9" t="s">
        <v>503</v>
      </c>
      <c r="C322" s="9" t="s">
        <v>162</v>
      </c>
      <c r="D322" s="9" t="s">
        <v>446</v>
      </c>
      <c r="E322" s="9" t="s">
        <v>447</v>
      </c>
      <c r="F322" s="11">
        <v>2</v>
      </c>
      <c r="G322" s="12">
        <v>0</v>
      </c>
      <c r="H322" s="12">
        <v>0</v>
      </c>
      <c r="I322" s="10">
        <v>1</v>
      </c>
      <c r="J322" s="12">
        <v>0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2">
        <v>0</v>
      </c>
      <c r="X322" s="10">
        <v>1</v>
      </c>
      <c r="Y322" s="12">
        <v>0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9">
        <v>0</v>
      </c>
    </row>
    <row r="323">
      <c r="A323" s="23">
        <v>2546</v>
      </c>
      <c r="B323" s="4" t="s">
        <v>504</v>
      </c>
      <c r="C323" s="4" t="s">
        <v>64</v>
      </c>
      <c r="D323" s="4" t="s">
        <v>114</v>
      </c>
      <c r="E323" s="4" t="s">
        <v>120</v>
      </c>
      <c r="F323" s="6">
        <v>1</v>
      </c>
      <c r="G323" s="7">
        <v>0</v>
      </c>
      <c r="H323" s="5">
        <v>1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5">
        <v>1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2547</v>
      </c>
      <c r="B324" s="9" t="s">
        <v>505</v>
      </c>
      <c r="C324" s="9" t="s">
        <v>64</v>
      </c>
      <c r="D324" s="9" t="s">
        <v>76</v>
      </c>
      <c r="E324" s="9" t="s">
        <v>88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9">
        <v>0</v>
      </c>
    </row>
    <row r="325">
      <c r="A325" s="23">
        <v>2552</v>
      </c>
      <c r="B325" s="4" t="s">
        <v>506</v>
      </c>
      <c r="C325" s="4" t="s">
        <v>64</v>
      </c>
      <c r="D325" s="4" t="s">
        <v>85</v>
      </c>
      <c r="E325" s="4" t="s">
        <v>86</v>
      </c>
      <c r="F325" s="6">
        <v>4</v>
      </c>
      <c r="G325" s="5">
        <v>3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3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28">
        <v>0.26</v>
      </c>
    </row>
    <row r="326">
      <c r="A326" s="24">
        <v>2554</v>
      </c>
      <c r="B326" s="9" t="s">
        <v>507</v>
      </c>
      <c r="C326" s="9" t="s">
        <v>64</v>
      </c>
      <c r="D326" s="9" t="s">
        <v>85</v>
      </c>
      <c r="E326" s="9" t="s">
        <v>220</v>
      </c>
      <c r="F326" s="11">
        <v>2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0.22</v>
      </c>
    </row>
    <row r="327">
      <c r="A327" s="23">
        <v>2555</v>
      </c>
      <c r="B327" s="4" t="s">
        <v>508</v>
      </c>
      <c r="C327" s="4" t="s">
        <v>64</v>
      </c>
      <c r="D327" s="4" t="s">
        <v>85</v>
      </c>
      <c r="E327" s="4" t="s">
        <v>220</v>
      </c>
      <c r="F327" s="6">
        <v>1</v>
      </c>
      <c r="G327" s="7">
        <v>0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0.26</v>
      </c>
    </row>
    <row r="328">
      <c r="A328" s="24">
        <v>2559</v>
      </c>
      <c r="B328" s="9" t="s">
        <v>509</v>
      </c>
      <c r="C328" s="9" t="s">
        <v>64</v>
      </c>
      <c r="D328" s="9" t="s">
        <v>85</v>
      </c>
      <c r="E328" s="9" t="s">
        <v>220</v>
      </c>
      <c r="F328" s="11">
        <v>4</v>
      </c>
      <c r="G328" s="10">
        <v>1</v>
      </c>
      <c r="H328" s="12">
        <v>0</v>
      </c>
      <c r="I328" s="12">
        <v>0</v>
      </c>
      <c r="J328" s="10">
        <v>3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1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1.33</v>
      </c>
      <c r="AL328" s="10">
        <v>1</v>
      </c>
      <c r="AM328" s="10">
        <v>2</v>
      </c>
      <c r="AN328" s="29">
        <v>0.5</v>
      </c>
    </row>
    <row r="329">
      <c r="A329" s="23">
        <v>2561</v>
      </c>
      <c r="B329" s="4" t="s">
        <v>510</v>
      </c>
      <c r="C329" s="4" t="s">
        <v>64</v>
      </c>
      <c r="D329" s="4" t="s">
        <v>85</v>
      </c>
      <c r="E329" s="4" t="s">
        <v>220</v>
      </c>
      <c r="F329" s="6">
        <v>37</v>
      </c>
      <c r="G329" s="5">
        <v>1</v>
      </c>
      <c r="H329" s="7">
        <v>0</v>
      </c>
      <c r="I329" s="7">
        <v>0</v>
      </c>
      <c r="J329" s="5">
        <v>36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37</v>
      </c>
      <c r="V329" s="5">
        <v>1</v>
      </c>
      <c r="W329" s="7">
        <v>0</v>
      </c>
      <c r="X329" s="7">
        <v>0</v>
      </c>
      <c r="Y329" s="5">
        <v>36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18.5</v>
      </c>
      <c r="AL329" s="5">
        <v>18</v>
      </c>
      <c r="AM329" s="5">
        <v>36</v>
      </c>
      <c r="AN329" s="28">
        <v>9.35</v>
      </c>
    </row>
    <row r="330">
      <c r="A330" s="24">
        <v>2566</v>
      </c>
      <c r="B330" s="9" t="s">
        <v>511</v>
      </c>
      <c r="C330" s="9" t="s">
        <v>64</v>
      </c>
      <c r="D330" s="9" t="s">
        <v>85</v>
      </c>
      <c r="E330" s="9" t="s">
        <v>220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2569</v>
      </c>
      <c r="B331" s="4" t="s">
        <v>512</v>
      </c>
      <c r="C331" s="4" t="s">
        <v>64</v>
      </c>
      <c r="D331" s="4" t="s">
        <v>156</v>
      </c>
      <c r="E331" s="4" t="s">
        <v>513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2574</v>
      </c>
      <c r="B332" s="9" t="s">
        <v>514</v>
      </c>
      <c r="C332" s="9" t="s">
        <v>64</v>
      </c>
      <c r="D332" s="9" t="s">
        <v>85</v>
      </c>
      <c r="E332" s="9" t="s">
        <v>220</v>
      </c>
      <c r="F332" s="11">
        <v>3</v>
      </c>
      <c r="G332" s="10">
        <v>1</v>
      </c>
      <c r="H332" s="12">
        <v>0</v>
      </c>
      <c r="I332" s="12">
        <v>0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1</v>
      </c>
      <c r="W332" s="12">
        <v>0</v>
      </c>
      <c r="X332" s="12">
        <v>0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0.5</v>
      </c>
    </row>
    <row r="333">
      <c r="A333" s="23">
        <v>2577</v>
      </c>
      <c r="B333" s="4" t="s">
        <v>515</v>
      </c>
      <c r="C333" s="4" t="s">
        <v>64</v>
      </c>
      <c r="D333" s="4" t="s">
        <v>85</v>
      </c>
      <c r="E333" s="4" t="s">
        <v>138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2583</v>
      </c>
      <c r="B334" s="9" t="s">
        <v>516</v>
      </c>
      <c r="C334" s="9" t="s">
        <v>162</v>
      </c>
      <c r="D334" s="9" t="s">
        <v>163</v>
      </c>
      <c r="E334" s="9" t="s">
        <v>164</v>
      </c>
      <c r="F334" s="11">
        <v>5</v>
      </c>
      <c r="G334" s="12">
        <v>0</v>
      </c>
      <c r="H334" s="12">
        <v>0</v>
      </c>
      <c r="I334" s="10">
        <v>1</v>
      </c>
      <c r="J334" s="10">
        <v>1</v>
      </c>
      <c r="K334" s="10">
        <v>2</v>
      </c>
      <c r="L334" s="10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2">
        <v>0</v>
      </c>
      <c r="W334" s="12">
        <v>0</v>
      </c>
      <c r="X334" s="10">
        <v>1</v>
      </c>
      <c r="Y334" s="10">
        <v>1</v>
      </c>
      <c r="Z334" s="10">
        <v>2</v>
      </c>
      <c r="AA334" s="10">
        <v>1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1.25</v>
      </c>
      <c r="AL334" s="10">
        <v>1</v>
      </c>
      <c r="AM334" s="10">
        <v>2</v>
      </c>
      <c r="AN334" s="49">
        <v>0</v>
      </c>
    </row>
    <row r="335">
      <c r="A335" s="23">
        <v>2586</v>
      </c>
      <c r="B335" s="4" t="s">
        <v>517</v>
      </c>
      <c r="C335" s="4" t="s">
        <v>162</v>
      </c>
      <c r="D335" s="4" t="s">
        <v>446</v>
      </c>
      <c r="E335" s="4" t="s">
        <v>447</v>
      </c>
      <c r="F335" s="6">
        <v>4</v>
      </c>
      <c r="G335" s="5">
        <v>1</v>
      </c>
      <c r="H335" s="5">
        <v>1</v>
      </c>
      <c r="I335" s="5">
        <v>1</v>
      </c>
      <c r="J335" s="7">
        <v>0</v>
      </c>
      <c r="K335" s="5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1</v>
      </c>
      <c r="W335" s="5">
        <v>1</v>
      </c>
      <c r="X335" s="5">
        <v>1</v>
      </c>
      <c r="Y335" s="7">
        <v>0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0.36</v>
      </c>
    </row>
    <row r="336">
      <c r="A336" s="24">
        <v>2587</v>
      </c>
      <c r="B336" s="9" t="s">
        <v>518</v>
      </c>
      <c r="C336" s="9" t="s">
        <v>64</v>
      </c>
      <c r="D336" s="9" t="s">
        <v>85</v>
      </c>
      <c r="E336" s="9" t="s">
        <v>220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2602</v>
      </c>
      <c r="B337" s="4" t="s">
        <v>519</v>
      </c>
      <c r="C337" s="4" t="s">
        <v>134</v>
      </c>
      <c r="D337" s="4" t="s">
        <v>461</v>
      </c>
      <c r="E337" s="4" t="s">
        <v>462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2603</v>
      </c>
      <c r="B338" s="9" t="s">
        <v>520</v>
      </c>
      <c r="C338" s="9" t="s">
        <v>134</v>
      </c>
      <c r="D338" s="9" t="s">
        <v>432</v>
      </c>
      <c r="E338" s="9" t="s">
        <v>521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2605</v>
      </c>
      <c r="B339" s="4" t="s">
        <v>522</v>
      </c>
      <c r="C339" s="4" t="s">
        <v>64</v>
      </c>
      <c r="D339" s="4" t="s">
        <v>114</v>
      </c>
      <c r="E339" s="4" t="s">
        <v>120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2607</v>
      </c>
      <c r="B340" s="9" t="s">
        <v>523</v>
      </c>
      <c r="C340" s="9" t="s">
        <v>134</v>
      </c>
      <c r="D340" s="9" t="s">
        <v>524</v>
      </c>
      <c r="E340" s="9" t="s">
        <v>525</v>
      </c>
      <c r="F340" s="11">
        <v>1</v>
      </c>
      <c r="G340" s="12">
        <v>0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0.35</v>
      </c>
    </row>
    <row r="341">
      <c r="A341" s="23">
        <v>2611</v>
      </c>
      <c r="B341" s="4" t="s">
        <v>526</v>
      </c>
      <c r="C341" s="4" t="s">
        <v>134</v>
      </c>
      <c r="D341" s="4" t="s">
        <v>244</v>
      </c>
      <c r="E341" s="4" t="s">
        <v>245</v>
      </c>
      <c r="F341" s="6">
        <v>2</v>
      </c>
      <c r="G341" s="7">
        <v>0</v>
      </c>
      <c r="H341" s="7">
        <v>0</v>
      </c>
      <c r="I341" s="5">
        <v>1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5">
        <v>1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2612</v>
      </c>
      <c r="B342" s="9" t="s">
        <v>527</v>
      </c>
      <c r="C342" s="9" t="s">
        <v>162</v>
      </c>
      <c r="D342" s="9" t="s">
        <v>187</v>
      </c>
      <c r="E342" s="9" t="s">
        <v>188</v>
      </c>
      <c r="F342" s="11">
        <v>2</v>
      </c>
      <c r="G342" s="12">
        <v>0</v>
      </c>
      <c r="H342" s="10">
        <v>1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2">
        <v>0</v>
      </c>
      <c r="W342" s="10">
        <v>1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0.24</v>
      </c>
    </row>
    <row r="343">
      <c r="A343" s="23">
        <v>2613</v>
      </c>
      <c r="B343" s="4" t="s">
        <v>528</v>
      </c>
      <c r="C343" s="4" t="s">
        <v>162</v>
      </c>
      <c r="D343" s="4" t="s">
        <v>163</v>
      </c>
      <c r="E343" s="4" t="s">
        <v>164</v>
      </c>
      <c r="F343" s="6">
        <v>6</v>
      </c>
      <c r="G343" s="5">
        <v>1</v>
      </c>
      <c r="H343" s="7">
        <v>0</v>
      </c>
      <c r="I343" s="5">
        <v>1</v>
      </c>
      <c r="J343" s="7">
        <v>0</v>
      </c>
      <c r="K343" s="5">
        <v>2</v>
      </c>
      <c r="L343" s="5">
        <v>2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6</v>
      </c>
      <c r="V343" s="5">
        <v>1</v>
      </c>
      <c r="W343" s="7">
        <v>0</v>
      </c>
      <c r="X343" s="5">
        <v>1</v>
      </c>
      <c r="Y343" s="7">
        <v>0</v>
      </c>
      <c r="Z343" s="5">
        <v>2</v>
      </c>
      <c r="AA343" s="5">
        <v>2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30">
        <v>0</v>
      </c>
    </row>
    <row r="344">
      <c r="A344" s="24">
        <v>2615</v>
      </c>
      <c r="B344" s="9" t="s">
        <v>529</v>
      </c>
      <c r="C344" s="9" t="s">
        <v>162</v>
      </c>
      <c r="D344" s="9" t="s">
        <v>163</v>
      </c>
      <c r="E344" s="9" t="s">
        <v>164</v>
      </c>
      <c r="F344" s="11">
        <v>7</v>
      </c>
      <c r="G344" s="10">
        <v>1</v>
      </c>
      <c r="H344" s="10">
        <v>2</v>
      </c>
      <c r="I344" s="10">
        <v>2</v>
      </c>
      <c r="J344" s="10">
        <v>1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1</v>
      </c>
      <c r="W344" s="10">
        <v>2</v>
      </c>
      <c r="X344" s="10">
        <v>2</v>
      </c>
      <c r="Y344" s="10">
        <v>1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1.4</v>
      </c>
      <c r="AL344" s="10">
        <v>1</v>
      </c>
      <c r="AM344" s="10">
        <v>2</v>
      </c>
      <c r="AN344" s="29">
        <v>0.92</v>
      </c>
    </row>
    <row r="345">
      <c r="A345" s="23">
        <v>2619</v>
      </c>
      <c r="B345" s="4" t="s">
        <v>530</v>
      </c>
      <c r="C345" s="4" t="s">
        <v>64</v>
      </c>
      <c r="D345" s="4" t="s">
        <v>102</v>
      </c>
      <c r="E345" s="4" t="s">
        <v>248</v>
      </c>
      <c r="F345" s="6">
        <v>6</v>
      </c>
      <c r="G345" s="5">
        <v>5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2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</v>
      </c>
      <c r="AL345" s="5">
        <v>3</v>
      </c>
      <c r="AM345" s="5">
        <v>5</v>
      </c>
      <c r="AN345" s="28">
        <v>0.22</v>
      </c>
    </row>
    <row r="346">
      <c r="A346" s="24">
        <v>2625</v>
      </c>
      <c r="B346" s="9" t="s">
        <v>531</v>
      </c>
      <c r="C346" s="9" t="s">
        <v>134</v>
      </c>
      <c r="D346" s="9" t="s">
        <v>244</v>
      </c>
      <c r="E346" s="9" t="s">
        <v>245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2629</v>
      </c>
      <c r="B347" s="4" t="s">
        <v>532</v>
      </c>
      <c r="C347" s="4" t="s">
        <v>64</v>
      </c>
      <c r="D347" s="4" t="s">
        <v>72</v>
      </c>
      <c r="E347" s="4" t="s">
        <v>73</v>
      </c>
      <c r="F347" s="6">
        <v>2</v>
      </c>
      <c r="G347" s="5">
        <v>1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1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0.5</v>
      </c>
    </row>
    <row r="348">
      <c r="A348" s="24">
        <v>2645</v>
      </c>
      <c r="B348" s="9" t="s">
        <v>533</v>
      </c>
      <c r="C348" s="9" t="s">
        <v>64</v>
      </c>
      <c r="D348" s="9" t="s">
        <v>114</v>
      </c>
      <c r="E348" s="9" t="s">
        <v>115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9">
        <v>0</v>
      </c>
    </row>
    <row r="349">
      <c r="A349" s="23">
        <v>2649</v>
      </c>
      <c r="B349" s="4" t="s">
        <v>534</v>
      </c>
      <c r="C349" s="4" t="s">
        <v>134</v>
      </c>
      <c r="D349" s="4" t="s">
        <v>461</v>
      </c>
      <c r="E349" s="4" t="s">
        <v>462</v>
      </c>
      <c r="F349" s="6">
        <v>2</v>
      </c>
      <c r="G349" s="7">
        <v>0</v>
      </c>
      <c r="H349" s="5">
        <v>2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5">
        <v>2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0.48</v>
      </c>
    </row>
    <row r="350">
      <c r="A350" s="24">
        <v>2654</v>
      </c>
      <c r="B350" s="9" t="s">
        <v>535</v>
      </c>
      <c r="C350" s="9" t="s">
        <v>134</v>
      </c>
      <c r="D350" s="9" t="s">
        <v>244</v>
      </c>
      <c r="E350" s="9" t="s">
        <v>245</v>
      </c>
      <c r="F350" s="11">
        <v>3</v>
      </c>
      <c r="G350" s="12">
        <v>0</v>
      </c>
      <c r="H350" s="12">
        <v>0</v>
      </c>
      <c r="I350" s="10">
        <v>1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2">
        <v>0</v>
      </c>
      <c r="W350" s="12">
        <v>0</v>
      </c>
      <c r="X350" s="10">
        <v>1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0.25</v>
      </c>
    </row>
    <row r="351">
      <c r="A351" s="23">
        <v>2658</v>
      </c>
      <c r="B351" s="4" t="s">
        <v>536</v>
      </c>
      <c r="C351" s="4" t="s">
        <v>64</v>
      </c>
      <c r="D351" s="4" t="s">
        <v>85</v>
      </c>
      <c r="E351" s="4" t="s">
        <v>86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2659</v>
      </c>
      <c r="B352" s="9" t="s">
        <v>537</v>
      </c>
      <c r="C352" s="9" t="s">
        <v>64</v>
      </c>
      <c r="D352" s="9" t="s">
        <v>72</v>
      </c>
      <c r="E352" s="9" t="s">
        <v>73</v>
      </c>
      <c r="F352" s="11">
        <v>3</v>
      </c>
      <c r="G352" s="10">
        <v>2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2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49">
        <v>0</v>
      </c>
    </row>
    <row r="353">
      <c r="A353" s="23">
        <v>2664</v>
      </c>
      <c r="B353" s="4" t="s">
        <v>538</v>
      </c>
      <c r="C353" s="4" t="s">
        <v>64</v>
      </c>
      <c r="D353" s="4" t="s">
        <v>114</v>
      </c>
      <c r="E353" s="4" t="s">
        <v>120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2665</v>
      </c>
      <c r="B354" s="9" t="s">
        <v>539</v>
      </c>
      <c r="C354" s="9" t="s">
        <v>64</v>
      </c>
      <c r="D354" s="9" t="s">
        <v>90</v>
      </c>
      <c r="E354" s="9" t="s">
        <v>357</v>
      </c>
      <c r="F354" s="11">
        <v>3</v>
      </c>
      <c r="G354" s="12">
        <v>0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0">
        <v>1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2">
        <v>0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0">
        <v>1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0.5</v>
      </c>
    </row>
    <row r="355">
      <c r="A355" s="23">
        <v>2669</v>
      </c>
      <c r="B355" s="4" t="s">
        <v>540</v>
      </c>
      <c r="C355" s="4" t="s">
        <v>64</v>
      </c>
      <c r="D355" s="4" t="s">
        <v>72</v>
      </c>
      <c r="E355" s="4" t="s">
        <v>152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2671</v>
      </c>
      <c r="B356" s="9" t="s">
        <v>541</v>
      </c>
      <c r="C356" s="9" t="s">
        <v>64</v>
      </c>
      <c r="D356" s="9" t="s">
        <v>72</v>
      </c>
      <c r="E356" s="9" t="s">
        <v>83</v>
      </c>
      <c r="F356" s="11">
        <v>2</v>
      </c>
      <c r="G356" s="12">
        <v>0</v>
      </c>
      <c r="H356" s="10">
        <v>1</v>
      </c>
      <c r="I356" s="12">
        <v>0</v>
      </c>
      <c r="J356" s="12">
        <v>0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0">
        <v>1</v>
      </c>
      <c r="X356" s="12">
        <v>0</v>
      </c>
      <c r="Y356" s="12">
        <v>0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0.22</v>
      </c>
    </row>
    <row r="357">
      <c r="A357" s="23">
        <v>2677</v>
      </c>
      <c r="B357" s="4" t="s">
        <v>542</v>
      </c>
      <c r="C357" s="4" t="s">
        <v>64</v>
      </c>
      <c r="D357" s="4" t="s">
        <v>114</v>
      </c>
      <c r="E357" s="4" t="s">
        <v>140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0.44</v>
      </c>
    </row>
    <row r="358">
      <c r="A358" s="24">
        <v>2684</v>
      </c>
      <c r="B358" s="9" t="s">
        <v>543</v>
      </c>
      <c r="C358" s="9" t="s">
        <v>134</v>
      </c>
      <c r="D358" s="9" t="s">
        <v>476</v>
      </c>
      <c r="E358" s="9" t="s">
        <v>544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9">
        <v>0</v>
      </c>
    </row>
    <row r="359">
      <c r="A359" s="23">
        <v>2688</v>
      </c>
      <c r="B359" s="4" t="s">
        <v>545</v>
      </c>
      <c r="C359" s="4" t="s">
        <v>64</v>
      </c>
      <c r="D359" s="4" t="s">
        <v>76</v>
      </c>
      <c r="E359" s="4" t="s">
        <v>122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2692</v>
      </c>
      <c r="B360" s="9" t="s">
        <v>546</v>
      </c>
      <c r="C360" s="9" t="s">
        <v>64</v>
      </c>
      <c r="D360" s="9" t="s">
        <v>76</v>
      </c>
      <c r="E360" s="9" t="s">
        <v>122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2693</v>
      </c>
      <c r="B361" s="4" t="s">
        <v>547</v>
      </c>
      <c r="C361" s="4" t="s">
        <v>64</v>
      </c>
      <c r="D361" s="4" t="s">
        <v>76</v>
      </c>
      <c r="E361" s="4" t="s">
        <v>122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0.33</v>
      </c>
    </row>
    <row r="362">
      <c r="A362" s="24">
        <v>2698</v>
      </c>
      <c r="B362" s="9" t="s">
        <v>548</v>
      </c>
      <c r="C362" s="9" t="s">
        <v>64</v>
      </c>
      <c r="D362" s="9" t="s">
        <v>76</v>
      </c>
      <c r="E362" s="9" t="s">
        <v>122</v>
      </c>
      <c r="F362" s="11">
        <v>2</v>
      </c>
      <c r="G362" s="10">
        <v>1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1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0.26</v>
      </c>
    </row>
    <row r="363">
      <c r="A363" s="23">
        <v>2700</v>
      </c>
      <c r="B363" s="4" t="s">
        <v>549</v>
      </c>
      <c r="C363" s="4" t="s">
        <v>64</v>
      </c>
      <c r="D363" s="4" t="s">
        <v>76</v>
      </c>
      <c r="E363" s="4" t="s">
        <v>122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2705</v>
      </c>
      <c r="B364" s="9" t="s">
        <v>550</v>
      </c>
      <c r="C364" s="9" t="s">
        <v>64</v>
      </c>
      <c r="D364" s="9" t="s">
        <v>76</v>
      </c>
      <c r="E364" s="9" t="s">
        <v>122</v>
      </c>
      <c r="F364" s="11">
        <v>2</v>
      </c>
      <c r="G364" s="12">
        <v>0</v>
      </c>
      <c r="H364" s="12">
        <v>0</v>
      </c>
      <c r="I364" s="10">
        <v>2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2">
        <v>0</v>
      </c>
      <c r="W364" s="12">
        <v>0</v>
      </c>
      <c r="X364" s="10">
        <v>2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49">
        <v>0</v>
      </c>
    </row>
    <row r="365">
      <c r="A365" s="23">
        <v>2706</v>
      </c>
      <c r="B365" s="4" t="s">
        <v>551</v>
      </c>
      <c r="C365" s="4" t="s">
        <v>64</v>
      </c>
      <c r="D365" s="4" t="s">
        <v>76</v>
      </c>
      <c r="E365" s="4" t="s">
        <v>122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0.26</v>
      </c>
    </row>
    <row r="366">
      <c r="A366" s="24">
        <v>2708</v>
      </c>
      <c r="B366" s="9" t="s">
        <v>552</v>
      </c>
      <c r="C366" s="9" t="s">
        <v>64</v>
      </c>
      <c r="D366" s="9" t="s">
        <v>76</v>
      </c>
      <c r="E366" s="9" t="s">
        <v>122</v>
      </c>
      <c r="F366" s="11">
        <v>1</v>
      </c>
      <c r="G366" s="12">
        <v>0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0.22</v>
      </c>
    </row>
    <row r="367">
      <c r="A367" s="23">
        <v>2711</v>
      </c>
      <c r="B367" s="4" t="s">
        <v>553</v>
      </c>
      <c r="C367" s="4" t="s">
        <v>64</v>
      </c>
      <c r="D367" s="4" t="s">
        <v>85</v>
      </c>
      <c r="E367" s="4" t="s">
        <v>554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5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2713</v>
      </c>
      <c r="B368" s="9" t="s">
        <v>555</v>
      </c>
      <c r="C368" s="9" t="s">
        <v>64</v>
      </c>
      <c r="D368" s="9" t="s">
        <v>76</v>
      </c>
      <c r="E368" s="9" t="s">
        <v>122</v>
      </c>
      <c r="F368" s="11">
        <v>1</v>
      </c>
      <c r="G368" s="12">
        <v>0</v>
      </c>
      <c r="H368" s="12">
        <v>0</v>
      </c>
      <c r="I368" s="10">
        <v>1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0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2725</v>
      </c>
      <c r="B369" s="4" t="s">
        <v>556</v>
      </c>
      <c r="C369" s="4" t="s">
        <v>64</v>
      </c>
      <c r="D369" s="4" t="s">
        <v>102</v>
      </c>
      <c r="E369" s="4" t="s">
        <v>248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2727</v>
      </c>
      <c r="B370" s="9" t="s">
        <v>557</v>
      </c>
      <c r="C370" s="9" t="s">
        <v>64</v>
      </c>
      <c r="D370" s="9" t="s">
        <v>68</v>
      </c>
      <c r="E370" s="9" t="s">
        <v>264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0.35</v>
      </c>
    </row>
    <row r="371">
      <c r="A371" s="23">
        <v>2730</v>
      </c>
      <c r="B371" s="4" t="s">
        <v>558</v>
      </c>
      <c r="C371" s="4" t="s">
        <v>64</v>
      </c>
      <c r="D371" s="4" t="s">
        <v>114</v>
      </c>
      <c r="E371" s="4" t="s">
        <v>115</v>
      </c>
      <c r="F371" s="6">
        <v>3</v>
      </c>
      <c r="G371" s="5">
        <v>2</v>
      </c>
      <c r="H371" s="7">
        <v>0</v>
      </c>
      <c r="I371" s="7">
        <v>0</v>
      </c>
      <c r="J371" s="7">
        <v>0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2</v>
      </c>
      <c r="W371" s="7">
        <v>0</v>
      </c>
      <c r="X371" s="7">
        <v>0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0.26</v>
      </c>
    </row>
    <row r="372">
      <c r="A372" s="24">
        <v>2731</v>
      </c>
      <c r="B372" s="9" t="s">
        <v>559</v>
      </c>
      <c r="C372" s="9" t="s">
        <v>64</v>
      </c>
      <c r="D372" s="9" t="s">
        <v>146</v>
      </c>
      <c r="E372" s="9" t="s">
        <v>147</v>
      </c>
      <c r="F372" s="11">
        <v>4</v>
      </c>
      <c r="G372" s="10">
        <v>1</v>
      </c>
      <c r="H372" s="12">
        <v>0</v>
      </c>
      <c r="I372" s="10">
        <v>2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0">
        <v>1</v>
      </c>
      <c r="W372" s="12">
        <v>0</v>
      </c>
      <c r="X372" s="10">
        <v>2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0.75</v>
      </c>
    </row>
    <row r="373">
      <c r="A373" s="23">
        <v>2734</v>
      </c>
      <c r="B373" s="4" t="s">
        <v>560</v>
      </c>
      <c r="C373" s="4" t="s">
        <v>64</v>
      </c>
      <c r="D373" s="4" t="s">
        <v>146</v>
      </c>
      <c r="E373" s="4" t="s">
        <v>494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0.35</v>
      </c>
    </row>
    <row r="374">
      <c r="A374" s="24">
        <v>2740</v>
      </c>
      <c r="B374" s="9" t="s">
        <v>561</v>
      </c>
      <c r="C374" s="9" t="s">
        <v>134</v>
      </c>
      <c r="D374" s="9" t="s">
        <v>562</v>
      </c>
      <c r="E374" s="9" t="s">
        <v>563</v>
      </c>
      <c r="F374" s="11">
        <v>5</v>
      </c>
      <c r="G374" s="12">
        <v>0</v>
      </c>
      <c r="H374" s="12">
        <v>0</v>
      </c>
      <c r="I374" s="12">
        <v>0</v>
      </c>
      <c r="J374" s="10">
        <v>3</v>
      </c>
      <c r="K374" s="10">
        <v>2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2">
        <v>0</v>
      </c>
      <c r="W374" s="12">
        <v>0</v>
      </c>
      <c r="X374" s="12">
        <v>0</v>
      </c>
      <c r="Y374" s="10">
        <v>2</v>
      </c>
      <c r="Z374" s="10">
        <v>2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1.67</v>
      </c>
      <c r="AL374" s="10">
        <v>2</v>
      </c>
      <c r="AM374" s="10">
        <v>2</v>
      </c>
      <c r="AN374" s="29">
        <v>0.24</v>
      </c>
    </row>
    <row r="375">
      <c r="A375" s="23">
        <v>2742</v>
      </c>
      <c r="B375" s="4" t="s">
        <v>564</v>
      </c>
      <c r="C375" s="4" t="s">
        <v>64</v>
      </c>
      <c r="D375" s="4" t="s">
        <v>68</v>
      </c>
      <c r="E375" s="4" t="s">
        <v>264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0.24</v>
      </c>
    </row>
    <row r="376">
      <c r="A376" s="24">
        <v>2757</v>
      </c>
      <c r="B376" s="9" t="s">
        <v>565</v>
      </c>
      <c r="C376" s="9" t="s">
        <v>64</v>
      </c>
      <c r="D376" s="9" t="s">
        <v>72</v>
      </c>
      <c r="E376" s="9" t="s">
        <v>73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0.6</v>
      </c>
    </row>
    <row r="377">
      <c r="A377" s="23">
        <v>2768</v>
      </c>
      <c r="B377" s="4" t="s">
        <v>566</v>
      </c>
      <c r="C377" s="4" t="s">
        <v>64</v>
      </c>
      <c r="D377" s="4" t="s">
        <v>93</v>
      </c>
      <c r="E377" s="4" t="s">
        <v>326</v>
      </c>
      <c r="F377" s="6">
        <v>3</v>
      </c>
      <c r="G377" s="5">
        <v>1</v>
      </c>
      <c r="H377" s="5">
        <v>2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1</v>
      </c>
      <c r="W377" s="5">
        <v>2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0.75</v>
      </c>
    </row>
    <row r="378">
      <c r="A378" s="24">
        <v>2772</v>
      </c>
      <c r="B378" s="9" t="s">
        <v>567</v>
      </c>
      <c r="C378" s="9" t="s">
        <v>64</v>
      </c>
      <c r="D378" s="9" t="s">
        <v>114</v>
      </c>
      <c r="E378" s="9" t="s">
        <v>143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2777</v>
      </c>
      <c r="B379" s="4" t="s">
        <v>568</v>
      </c>
      <c r="C379" s="4" t="s">
        <v>64</v>
      </c>
      <c r="D379" s="4" t="s">
        <v>72</v>
      </c>
      <c r="E379" s="4" t="s">
        <v>73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2780</v>
      </c>
      <c r="B380" s="9" t="s">
        <v>569</v>
      </c>
      <c r="C380" s="9" t="s">
        <v>64</v>
      </c>
      <c r="D380" s="9" t="s">
        <v>72</v>
      </c>
      <c r="E380" s="9" t="s">
        <v>81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9">
        <v>0</v>
      </c>
    </row>
    <row r="381">
      <c r="A381" s="23">
        <v>2790</v>
      </c>
      <c r="B381" s="4" t="s">
        <v>570</v>
      </c>
      <c r="C381" s="4" t="s">
        <v>64</v>
      </c>
      <c r="D381" s="4" t="s">
        <v>72</v>
      </c>
      <c r="E381" s="4" t="s">
        <v>73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2791</v>
      </c>
      <c r="B382" s="9" t="s">
        <v>571</v>
      </c>
      <c r="C382" s="9" t="s">
        <v>64</v>
      </c>
      <c r="D382" s="9" t="s">
        <v>72</v>
      </c>
      <c r="E382" s="9" t="s">
        <v>73</v>
      </c>
      <c r="F382" s="11">
        <v>1</v>
      </c>
      <c r="G382" s="12">
        <v>0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0.22</v>
      </c>
    </row>
    <row r="383">
      <c r="A383" s="23">
        <v>2792</v>
      </c>
      <c r="B383" s="4" t="s">
        <v>572</v>
      </c>
      <c r="C383" s="4" t="s">
        <v>64</v>
      </c>
      <c r="D383" s="4" t="s">
        <v>125</v>
      </c>
      <c r="E383" s="4" t="s">
        <v>126</v>
      </c>
      <c r="F383" s="6">
        <v>6</v>
      </c>
      <c r="G383" s="5">
        <v>5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5</v>
      </c>
      <c r="V383" s="5">
        <v>4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</v>
      </c>
      <c r="AL383" s="5">
        <v>3</v>
      </c>
      <c r="AM383" s="5">
        <v>5</v>
      </c>
      <c r="AN383" s="28">
        <v>0.25</v>
      </c>
    </row>
    <row r="384">
      <c r="A384" s="24">
        <v>2802</v>
      </c>
      <c r="B384" s="9" t="s">
        <v>573</v>
      </c>
      <c r="C384" s="9" t="s">
        <v>64</v>
      </c>
      <c r="D384" s="9" t="s">
        <v>72</v>
      </c>
      <c r="E384" s="9" t="s">
        <v>73</v>
      </c>
      <c r="F384" s="11">
        <v>1</v>
      </c>
      <c r="G384" s="12">
        <v>0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0.25</v>
      </c>
    </row>
    <row r="385">
      <c r="A385" s="23">
        <v>2804</v>
      </c>
      <c r="B385" s="4" t="s">
        <v>574</v>
      </c>
      <c r="C385" s="4" t="s">
        <v>64</v>
      </c>
      <c r="D385" s="4" t="s">
        <v>93</v>
      </c>
      <c r="E385" s="4" t="s">
        <v>170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2813</v>
      </c>
      <c r="B386" s="9" t="s">
        <v>575</v>
      </c>
      <c r="C386" s="9" t="s">
        <v>64</v>
      </c>
      <c r="D386" s="9" t="s">
        <v>102</v>
      </c>
      <c r="E386" s="9" t="s">
        <v>224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2816</v>
      </c>
      <c r="B387" s="4" t="s">
        <v>576</v>
      </c>
      <c r="C387" s="4" t="s">
        <v>64</v>
      </c>
      <c r="D387" s="4" t="s">
        <v>76</v>
      </c>
      <c r="E387" s="4" t="s">
        <v>122</v>
      </c>
      <c r="F387" s="6">
        <v>2</v>
      </c>
      <c r="G387" s="5">
        <v>1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0.24</v>
      </c>
    </row>
    <row r="388">
      <c r="A388" s="24">
        <v>2829</v>
      </c>
      <c r="B388" s="9" t="s">
        <v>577</v>
      </c>
      <c r="C388" s="9" t="s">
        <v>64</v>
      </c>
      <c r="D388" s="9" t="s">
        <v>76</v>
      </c>
      <c r="E388" s="9" t="s">
        <v>79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2831</v>
      </c>
      <c r="B389" s="4" t="s">
        <v>578</v>
      </c>
      <c r="C389" s="4" t="s">
        <v>64</v>
      </c>
      <c r="D389" s="4" t="s">
        <v>72</v>
      </c>
      <c r="E389" s="4" t="s">
        <v>118</v>
      </c>
      <c r="F389" s="6">
        <v>1</v>
      </c>
      <c r="G389" s="7">
        <v>0</v>
      </c>
      <c r="H389" s="5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5">
        <v>1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2832</v>
      </c>
      <c r="B390" s="9" t="s">
        <v>579</v>
      </c>
      <c r="C390" s="9" t="s">
        <v>64</v>
      </c>
      <c r="D390" s="9" t="s">
        <v>105</v>
      </c>
      <c r="E390" s="9" t="s">
        <v>106</v>
      </c>
      <c r="F390" s="11">
        <v>2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2">
        <v>0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0.48</v>
      </c>
    </row>
    <row r="391">
      <c r="A391" s="23">
        <v>2837</v>
      </c>
      <c r="B391" s="4" t="s">
        <v>580</v>
      </c>
      <c r="C391" s="4" t="s">
        <v>64</v>
      </c>
      <c r="D391" s="4" t="s">
        <v>68</v>
      </c>
      <c r="E391" s="4" t="s">
        <v>112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0.26</v>
      </c>
    </row>
    <row r="392">
      <c r="A392" s="24">
        <v>2839</v>
      </c>
      <c r="B392" s="9" t="s">
        <v>581</v>
      </c>
      <c r="C392" s="9" t="s">
        <v>64</v>
      </c>
      <c r="D392" s="9" t="s">
        <v>76</v>
      </c>
      <c r="E392" s="9" t="s">
        <v>122</v>
      </c>
      <c r="F392" s="11">
        <v>5</v>
      </c>
      <c r="G392" s="12">
        <v>0</v>
      </c>
      <c r="H392" s="12">
        <v>0</v>
      </c>
      <c r="I392" s="12">
        <v>0</v>
      </c>
      <c r="J392" s="10">
        <v>5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2">
        <v>0</v>
      </c>
      <c r="W392" s="12">
        <v>0</v>
      </c>
      <c r="X392" s="12">
        <v>0</v>
      </c>
      <c r="Y392" s="10">
        <v>5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2.5</v>
      </c>
      <c r="AL392" s="10">
        <v>2</v>
      </c>
      <c r="AM392" s="10">
        <v>3</v>
      </c>
      <c r="AN392" s="29">
        <v>1.25</v>
      </c>
    </row>
    <row r="393">
      <c r="A393" s="23">
        <v>2841</v>
      </c>
      <c r="B393" s="4" t="s">
        <v>582</v>
      </c>
      <c r="C393" s="4" t="s">
        <v>64</v>
      </c>
      <c r="D393" s="4" t="s">
        <v>72</v>
      </c>
      <c r="E393" s="4" t="s">
        <v>152</v>
      </c>
      <c r="F393" s="6">
        <v>2</v>
      </c>
      <c r="G393" s="7">
        <v>0</v>
      </c>
      <c r="H393" s="5">
        <v>1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7">
        <v>0</v>
      </c>
      <c r="W393" s="5">
        <v>1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2844</v>
      </c>
      <c r="B394" s="9" t="s">
        <v>583</v>
      </c>
      <c r="C394" s="9" t="s">
        <v>64</v>
      </c>
      <c r="D394" s="9" t="s">
        <v>76</v>
      </c>
      <c r="E394" s="9" t="s">
        <v>122</v>
      </c>
      <c r="F394" s="11">
        <v>1</v>
      </c>
      <c r="G394" s="12">
        <v>0</v>
      </c>
      <c r="H394" s="10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0">
        <v>1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2846</v>
      </c>
      <c r="B395" s="4" t="s">
        <v>584</v>
      </c>
      <c r="C395" s="4" t="s">
        <v>134</v>
      </c>
      <c r="D395" s="4" t="s">
        <v>135</v>
      </c>
      <c r="E395" s="4" t="s">
        <v>136</v>
      </c>
      <c r="F395" s="6">
        <v>6</v>
      </c>
      <c r="G395" s="5">
        <v>3</v>
      </c>
      <c r="H395" s="5">
        <v>1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5">
        <v>1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6</v>
      </c>
      <c r="V395" s="5">
        <v>3</v>
      </c>
      <c r="W395" s="5">
        <v>1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5">
        <v>1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1.2</v>
      </c>
      <c r="AL395" s="5">
        <v>1</v>
      </c>
      <c r="AM395" s="5">
        <v>2</v>
      </c>
      <c r="AN395" s="30">
        <v>0</v>
      </c>
    </row>
    <row r="396">
      <c r="A396" s="24">
        <v>2874</v>
      </c>
      <c r="B396" s="9" t="s">
        <v>585</v>
      </c>
      <c r="C396" s="9" t="s">
        <v>64</v>
      </c>
      <c r="D396" s="9" t="s">
        <v>102</v>
      </c>
      <c r="E396" s="9" t="s">
        <v>248</v>
      </c>
      <c r="F396" s="11">
        <v>1</v>
      </c>
      <c r="G396" s="12">
        <v>0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0.24</v>
      </c>
    </row>
    <row r="397">
      <c r="A397" s="23">
        <v>2876</v>
      </c>
      <c r="B397" s="4" t="s">
        <v>586</v>
      </c>
      <c r="C397" s="4" t="s">
        <v>64</v>
      </c>
      <c r="D397" s="4" t="s">
        <v>102</v>
      </c>
      <c r="E397" s="4" t="s">
        <v>248</v>
      </c>
      <c r="F397" s="6">
        <v>1</v>
      </c>
      <c r="G397" s="7">
        <v>0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2883</v>
      </c>
      <c r="B398" s="9" t="s">
        <v>587</v>
      </c>
      <c r="C398" s="9" t="s">
        <v>64</v>
      </c>
      <c r="D398" s="9" t="s">
        <v>85</v>
      </c>
      <c r="E398" s="9" t="s">
        <v>138</v>
      </c>
      <c r="F398" s="11">
        <v>5</v>
      </c>
      <c r="G398" s="12">
        <v>0</v>
      </c>
      <c r="H398" s="12">
        <v>0</v>
      </c>
      <c r="I398" s="12">
        <v>0</v>
      </c>
      <c r="J398" s="10">
        <v>5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5</v>
      </c>
      <c r="V398" s="12">
        <v>0</v>
      </c>
      <c r="W398" s="12">
        <v>0</v>
      </c>
      <c r="X398" s="12">
        <v>0</v>
      </c>
      <c r="Y398" s="10">
        <v>5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5</v>
      </c>
      <c r="AK398" s="13">
        <v>5</v>
      </c>
      <c r="AL398" s="10">
        <v>5</v>
      </c>
      <c r="AM398" s="10">
        <v>5</v>
      </c>
      <c r="AN398" s="29">
        <v>1.3</v>
      </c>
    </row>
    <row r="399">
      <c r="A399" s="23">
        <v>2884</v>
      </c>
      <c r="B399" s="4" t="s">
        <v>588</v>
      </c>
      <c r="C399" s="4" t="s">
        <v>64</v>
      </c>
      <c r="D399" s="4" t="s">
        <v>72</v>
      </c>
      <c r="E399" s="4" t="s">
        <v>83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2888</v>
      </c>
      <c r="B400" s="9" t="s">
        <v>589</v>
      </c>
      <c r="C400" s="9" t="s">
        <v>64</v>
      </c>
      <c r="D400" s="9" t="s">
        <v>72</v>
      </c>
      <c r="E400" s="9" t="s">
        <v>73</v>
      </c>
      <c r="F400" s="11">
        <v>2</v>
      </c>
      <c r="G400" s="12">
        <v>0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2">
        <v>0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49">
        <v>0</v>
      </c>
    </row>
    <row r="401">
      <c r="A401" s="23">
        <v>2889</v>
      </c>
      <c r="B401" s="4" t="s">
        <v>590</v>
      </c>
      <c r="C401" s="4" t="s">
        <v>64</v>
      </c>
      <c r="D401" s="4" t="s">
        <v>72</v>
      </c>
      <c r="E401" s="4" t="s">
        <v>152</v>
      </c>
      <c r="F401" s="6">
        <v>1</v>
      </c>
      <c r="G401" s="7">
        <v>0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2902</v>
      </c>
      <c r="B402" s="9" t="s">
        <v>591</v>
      </c>
      <c r="C402" s="9" t="s">
        <v>64</v>
      </c>
      <c r="D402" s="9" t="s">
        <v>72</v>
      </c>
      <c r="E402" s="9" t="s">
        <v>73</v>
      </c>
      <c r="F402" s="11">
        <v>3</v>
      </c>
      <c r="G402" s="10">
        <v>2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0">
        <v>2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29">
        <v>0.25</v>
      </c>
    </row>
    <row r="403">
      <c r="A403" s="23">
        <v>2903</v>
      </c>
      <c r="B403" s="4" t="s">
        <v>592</v>
      </c>
      <c r="C403" s="4" t="s">
        <v>64</v>
      </c>
      <c r="D403" s="4" t="s">
        <v>102</v>
      </c>
      <c r="E403" s="4" t="s">
        <v>209</v>
      </c>
      <c r="F403" s="6">
        <v>2</v>
      </c>
      <c r="G403" s="5">
        <v>1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1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0.62</v>
      </c>
    </row>
    <row r="404">
      <c r="A404" s="24">
        <v>2909</v>
      </c>
      <c r="B404" s="9" t="s">
        <v>593</v>
      </c>
      <c r="C404" s="9" t="s">
        <v>134</v>
      </c>
      <c r="D404" s="9" t="s">
        <v>594</v>
      </c>
      <c r="E404" s="9" t="s">
        <v>595</v>
      </c>
      <c r="F404" s="11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9">
        <v>0</v>
      </c>
    </row>
    <row r="405">
      <c r="A405" s="23">
        <v>2912</v>
      </c>
      <c r="B405" s="4" t="s">
        <v>596</v>
      </c>
      <c r="C405" s="4" t="s">
        <v>64</v>
      </c>
      <c r="D405" s="4" t="s">
        <v>72</v>
      </c>
      <c r="E405" s="4" t="s">
        <v>83</v>
      </c>
      <c r="F405" s="6">
        <v>3</v>
      </c>
      <c r="G405" s="7">
        <v>0</v>
      </c>
      <c r="H405" s="7">
        <v>0</v>
      </c>
      <c r="I405" s="7">
        <v>0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7">
        <v>0</v>
      </c>
      <c r="W405" s="7">
        <v>0</v>
      </c>
      <c r="X405" s="7">
        <v>0</v>
      </c>
      <c r="Y405" s="5">
        <v>3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3</v>
      </c>
      <c r="AK405" s="8">
        <v>3</v>
      </c>
      <c r="AL405" s="5">
        <v>3</v>
      </c>
      <c r="AM405" s="5">
        <v>3</v>
      </c>
      <c r="AN405" s="28">
        <v>0.75</v>
      </c>
    </row>
    <row r="406">
      <c r="A406" s="24">
        <v>2915</v>
      </c>
      <c r="B406" s="9" t="s">
        <v>597</v>
      </c>
      <c r="C406" s="9" t="s">
        <v>598</v>
      </c>
      <c r="D406" s="9" t="s">
        <v>599</v>
      </c>
      <c r="E406" s="9" t="s">
        <v>389</v>
      </c>
      <c r="F406" s="11">
        <v>1</v>
      </c>
      <c r="G406" s="12">
        <v>0</v>
      </c>
      <c r="H406" s="10">
        <v>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0.24</v>
      </c>
    </row>
    <row r="407">
      <c r="A407" s="23">
        <v>2916</v>
      </c>
      <c r="B407" s="4" t="s">
        <v>600</v>
      </c>
      <c r="C407" s="4" t="s">
        <v>598</v>
      </c>
      <c r="D407" s="4" t="s">
        <v>601</v>
      </c>
      <c r="E407" s="4" t="s">
        <v>389</v>
      </c>
      <c r="F407" s="6">
        <v>1</v>
      </c>
      <c r="G407" s="7">
        <v>0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0.22</v>
      </c>
    </row>
    <row r="408">
      <c r="A408" s="24">
        <v>2922</v>
      </c>
      <c r="B408" s="9" t="s">
        <v>602</v>
      </c>
      <c r="C408" s="9" t="s">
        <v>64</v>
      </c>
      <c r="D408" s="9" t="s">
        <v>72</v>
      </c>
      <c r="E408" s="9" t="s">
        <v>83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2930</v>
      </c>
      <c r="B409" s="4" t="s">
        <v>603</v>
      </c>
      <c r="C409" s="4" t="s">
        <v>64</v>
      </c>
      <c r="D409" s="4" t="s">
        <v>72</v>
      </c>
      <c r="E409" s="4" t="s">
        <v>73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2932</v>
      </c>
      <c r="B410" s="9" t="s">
        <v>604</v>
      </c>
      <c r="C410" s="9" t="s">
        <v>64</v>
      </c>
      <c r="D410" s="9" t="s">
        <v>72</v>
      </c>
      <c r="E410" s="9" t="s">
        <v>83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9">
        <v>0</v>
      </c>
    </row>
    <row r="411">
      <c r="A411" s="23">
        <v>2933</v>
      </c>
      <c r="B411" s="4" t="s">
        <v>605</v>
      </c>
      <c r="C411" s="4" t="s">
        <v>64</v>
      </c>
      <c r="D411" s="4" t="s">
        <v>72</v>
      </c>
      <c r="E411" s="4" t="s">
        <v>83</v>
      </c>
      <c r="F411" s="6">
        <v>1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5">
        <v>1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5">
        <v>1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2942</v>
      </c>
      <c r="B412" s="9" t="s">
        <v>606</v>
      </c>
      <c r="C412" s="9" t="s">
        <v>598</v>
      </c>
      <c r="D412" s="9" t="s">
        <v>607</v>
      </c>
      <c r="E412" s="9" t="s">
        <v>389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0.24</v>
      </c>
    </row>
    <row r="413">
      <c r="A413" s="23">
        <v>2945</v>
      </c>
      <c r="B413" s="4" t="s">
        <v>608</v>
      </c>
      <c r="C413" s="4" t="s">
        <v>598</v>
      </c>
      <c r="D413" s="4" t="s">
        <v>609</v>
      </c>
      <c r="E413" s="4" t="s">
        <v>389</v>
      </c>
      <c r="F413" s="6">
        <v>2</v>
      </c>
      <c r="G413" s="7">
        <v>0</v>
      </c>
      <c r="H413" s="7">
        <v>0</v>
      </c>
      <c r="I413" s="5">
        <v>1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7">
        <v>0</v>
      </c>
      <c r="X413" s="5">
        <v>1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2948</v>
      </c>
      <c r="B414" s="9" t="s">
        <v>610</v>
      </c>
      <c r="C414" s="9" t="s">
        <v>611</v>
      </c>
      <c r="D414" s="9" t="s">
        <v>612</v>
      </c>
      <c r="E414" s="9" t="s">
        <v>613</v>
      </c>
      <c r="F414" s="11">
        <v>3</v>
      </c>
      <c r="G414" s="12">
        <v>0</v>
      </c>
      <c r="H414" s="12">
        <v>0</v>
      </c>
      <c r="I414" s="12">
        <v>0</v>
      </c>
      <c r="J414" s="10">
        <v>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2">
        <v>0</v>
      </c>
      <c r="W414" s="12">
        <v>0</v>
      </c>
      <c r="X414" s="12">
        <v>0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2950</v>
      </c>
      <c r="B415" s="4" t="s">
        <v>614</v>
      </c>
      <c r="C415" s="4" t="s">
        <v>611</v>
      </c>
      <c r="D415" s="4" t="s">
        <v>615</v>
      </c>
      <c r="E415" s="4" t="s">
        <v>616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2952</v>
      </c>
      <c r="B416" s="9" t="s">
        <v>617</v>
      </c>
      <c r="C416" s="9" t="s">
        <v>64</v>
      </c>
      <c r="D416" s="9" t="s">
        <v>76</v>
      </c>
      <c r="E416" s="9" t="s">
        <v>194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29">
        <v>0.48</v>
      </c>
    </row>
    <row r="417">
      <c r="A417" s="23">
        <v>2953</v>
      </c>
      <c r="B417" s="4" t="s">
        <v>618</v>
      </c>
      <c r="C417" s="4" t="s">
        <v>64</v>
      </c>
      <c r="D417" s="4" t="s">
        <v>85</v>
      </c>
      <c r="E417" s="4" t="s">
        <v>138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0.22</v>
      </c>
    </row>
    <row r="418">
      <c r="A418" s="24">
        <v>2954</v>
      </c>
      <c r="B418" s="9" t="s">
        <v>619</v>
      </c>
      <c r="C418" s="9" t="s">
        <v>611</v>
      </c>
      <c r="D418" s="9" t="s">
        <v>612</v>
      </c>
      <c r="E418" s="9" t="s">
        <v>620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2955</v>
      </c>
      <c r="B419" s="4" t="s">
        <v>621</v>
      </c>
      <c r="C419" s="4" t="s">
        <v>611</v>
      </c>
      <c r="D419" s="4" t="s">
        <v>612</v>
      </c>
      <c r="E419" s="4" t="s">
        <v>620</v>
      </c>
      <c r="F419" s="6">
        <v>3</v>
      </c>
      <c r="G419" s="5">
        <v>2</v>
      </c>
      <c r="H419" s="7">
        <v>0</v>
      </c>
      <c r="I419" s="7">
        <v>0</v>
      </c>
      <c r="J419" s="7">
        <v>0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2</v>
      </c>
      <c r="W419" s="7">
        <v>0</v>
      </c>
      <c r="X419" s="7">
        <v>0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30">
        <v>0</v>
      </c>
    </row>
    <row r="420">
      <c r="A420" s="24">
        <v>2961</v>
      </c>
      <c r="B420" s="9" t="s">
        <v>622</v>
      </c>
      <c r="C420" s="9" t="s">
        <v>162</v>
      </c>
      <c r="D420" s="9" t="s">
        <v>187</v>
      </c>
      <c r="E420" s="9" t="s">
        <v>198</v>
      </c>
      <c r="F420" s="11">
        <v>1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0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0">
        <v>1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2967</v>
      </c>
      <c r="B421" s="4" t="s">
        <v>623</v>
      </c>
      <c r="C421" s="4" t="s">
        <v>624</v>
      </c>
      <c r="D421" s="4" t="s">
        <v>625</v>
      </c>
      <c r="E421" s="4" t="s">
        <v>626</v>
      </c>
      <c r="F421" s="6">
        <v>3</v>
      </c>
      <c r="G421" s="7">
        <v>0</v>
      </c>
      <c r="H421" s="7">
        <v>0</v>
      </c>
      <c r="I421" s="7">
        <v>0</v>
      </c>
      <c r="J421" s="5">
        <v>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7">
        <v>0</v>
      </c>
      <c r="W421" s="7">
        <v>0</v>
      </c>
      <c r="X421" s="7">
        <v>0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28">
        <v>0.5</v>
      </c>
    </row>
    <row r="422">
      <c r="A422" s="24">
        <v>2983</v>
      </c>
      <c r="B422" s="9" t="s">
        <v>627</v>
      </c>
      <c r="C422" s="9" t="s">
        <v>64</v>
      </c>
      <c r="D422" s="9" t="s">
        <v>85</v>
      </c>
      <c r="E422" s="9" t="s">
        <v>132</v>
      </c>
      <c r="F422" s="11">
        <v>3</v>
      </c>
      <c r="G422" s="10">
        <v>1</v>
      </c>
      <c r="H422" s="12">
        <v>0</v>
      </c>
      <c r="I422" s="10">
        <v>1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3</v>
      </c>
      <c r="V422" s="10">
        <v>1</v>
      </c>
      <c r="W422" s="12">
        <v>0</v>
      </c>
      <c r="X422" s="10">
        <v>1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0.48</v>
      </c>
    </row>
    <row r="423">
      <c r="A423" s="23">
        <v>2989</v>
      </c>
      <c r="B423" s="4" t="s">
        <v>628</v>
      </c>
      <c r="C423" s="4" t="s">
        <v>64</v>
      </c>
      <c r="D423" s="4" t="s">
        <v>72</v>
      </c>
      <c r="E423" s="4" t="s">
        <v>293</v>
      </c>
      <c r="F423" s="6">
        <v>4</v>
      </c>
      <c r="G423" s="5">
        <v>4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</v>
      </c>
      <c r="V423" s="5">
        <v>4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4</v>
      </c>
      <c r="AK423" s="8">
        <v>4</v>
      </c>
      <c r="AL423" s="5">
        <v>4</v>
      </c>
      <c r="AM423" s="5">
        <v>4</v>
      </c>
      <c r="AN423" s="30">
        <v>0</v>
      </c>
    </row>
    <row r="424">
      <c r="A424" s="24">
        <v>2995</v>
      </c>
      <c r="B424" s="9" t="s">
        <v>629</v>
      </c>
      <c r="C424" s="9" t="s">
        <v>64</v>
      </c>
      <c r="D424" s="9" t="s">
        <v>72</v>
      </c>
      <c r="E424" s="9" t="s">
        <v>301</v>
      </c>
      <c r="F424" s="11">
        <v>1</v>
      </c>
      <c r="G424" s="12">
        <v>0</v>
      </c>
      <c r="H424" s="10">
        <v>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0">
        <v>1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0.24</v>
      </c>
    </row>
    <row r="425">
      <c r="A425" s="23">
        <v>2998</v>
      </c>
      <c r="B425" s="4" t="s">
        <v>630</v>
      </c>
      <c r="C425" s="4" t="s">
        <v>64</v>
      </c>
      <c r="D425" s="4" t="s">
        <v>72</v>
      </c>
      <c r="E425" s="4" t="s">
        <v>301</v>
      </c>
      <c r="F425" s="6">
        <v>1</v>
      </c>
      <c r="G425" s="7">
        <v>0</v>
      </c>
      <c r="H425" s="5">
        <v>1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5">
        <v>1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3001</v>
      </c>
      <c r="B426" s="9" t="s">
        <v>631</v>
      </c>
      <c r="C426" s="9" t="s">
        <v>598</v>
      </c>
      <c r="D426" s="9" t="s">
        <v>609</v>
      </c>
      <c r="E426" s="9" t="s">
        <v>389</v>
      </c>
      <c r="F426" s="11">
        <v>2</v>
      </c>
      <c r="G426" s="12">
        <v>0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0.5</v>
      </c>
    </row>
    <row r="427">
      <c r="A427" s="23">
        <v>3004</v>
      </c>
      <c r="B427" s="4" t="s">
        <v>632</v>
      </c>
      <c r="C427" s="4" t="s">
        <v>64</v>
      </c>
      <c r="D427" s="4" t="s">
        <v>156</v>
      </c>
      <c r="E427" s="4" t="s">
        <v>386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3012</v>
      </c>
      <c r="B428" s="9" t="s">
        <v>633</v>
      </c>
      <c r="C428" s="9" t="s">
        <v>64</v>
      </c>
      <c r="D428" s="9" t="s">
        <v>76</v>
      </c>
      <c r="E428" s="9" t="s">
        <v>77</v>
      </c>
      <c r="F428" s="11">
        <v>3</v>
      </c>
      <c r="G428" s="12">
        <v>0</v>
      </c>
      <c r="H428" s="10">
        <v>1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2">
        <v>0</v>
      </c>
      <c r="W428" s="10">
        <v>1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0.4</v>
      </c>
    </row>
    <row r="429">
      <c r="A429" s="23">
        <v>3026</v>
      </c>
      <c r="B429" s="4" t="s">
        <v>634</v>
      </c>
      <c r="C429" s="4" t="s">
        <v>598</v>
      </c>
      <c r="D429" s="4" t="s">
        <v>635</v>
      </c>
      <c r="E429" s="4" t="s">
        <v>389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3040</v>
      </c>
      <c r="B430" s="9" t="s">
        <v>636</v>
      </c>
      <c r="C430" s="9" t="s">
        <v>611</v>
      </c>
      <c r="D430" s="9" t="s">
        <v>612</v>
      </c>
      <c r="E430" s="9" t="s">
        <v>613</v>
      </c>
      <c r="F430" s="11">
        <v>2</v>
      </c>
      <c r="G430" s="10">
        <v>1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0">
        <v>1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9">
        <v>0</v>
      </c>
    </row>
    <row r="431">
      <c r="A431" s="23">
        <v>3067</v>
      </c>
      <c r="B431" s="4" t="s">
        <v>171</v>
      </c>
      <c r="C431" s="4" t="s">
        <v>64</v>
      </c>
      <c r="D431" s="4" t="s">
        <v>76</v>
      </c>
      <c r="E431" s="4" t="s">
        <v>329</v>
      </c>
      <c r="F431" s="6">
        <v>3</v>
      </c>
      <c r="G431" s="5">
        <v>1</v>
      </c>
      <c r="H431" s="7">
        <v>0</v>
      </c>
      <c r="I431" s="5">
        <v>1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1</v>
      </c>
      <c r="W431" s="7">
        <v>0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0.5</v>
      </c>
    </row>
    <row r="432">
      <c r="A432" s="24">
        <v>3081</v>
      </c>
      <c r="B432" s="9" t="s">
        <v>637</v>
      </c>
      <c r="C432" s="9" t="s">
        <v>64</v>
      </c>
      <c r="D432" s="9" t="s">
        <v>76</v>
      </c>
      <c r="E432" s="9" t="s">
        <v>77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49">
        <v>0</v>
      </c>
    </row>
    <row r="433">
      <c r="A433" s="23">
        <v>3089</v>
      </c>
      <c r="B433" s="4" t="s">
        <v>638</v>
      </c>
      <c r="C433" s="4" t="s">
        <v>162</v>
      </c>
      <c r="D433" s="4" t="s">
        <v>639</v>
      </c>
      <c r="E433" s="4" t="s">
        <v>640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3090</v>
      </c>
      <c r="B434" s="9" t="s">
        <v>641</v>
      </c>
      <c r="C434" s="9" t="s">
        <v>64</v>
      </c>
      <c r="D434" s="9" t="s">
        <v>105</v>
      </c>
      <c r="E434" s="9" t="s">
        <v>642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3092</v>
      </c>
      <c r="B435" s="4" t="s">
        <v>643</v>
      </c>
      <c r="C435" s="4" t="s">
        <v>64</v>
      </c>
      <c r="D435" s="4" t="s">
        <v>68</v>
      </c>
      <c r="E435" s="4" t="s">
        <v>112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0.35</v>
      </c>
    </row>
    <row r="436">
      <c r="A436" s="24">
        <v>3093</v>
      </c>
      <c r="B436" s="9" t="s">
        <v>644</v>
      </c>
      <c r="C436" s="9" t="s">
        <v>64</v>
      </c>
      <c r="D436" s="9" t="s">
        <v>102</v>
      </c>
      <c r="E436" s="9" t="s">
        <v>248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3096</v>
      </c>
      <c r="B437" s="4" t="s">
        <v>645</v>
      </c>
      <c r="C437" s="4" t="s">
        <v>64</v>
      </c>
      <c r="D437" s="4" t="s">
        <v>72</v>
      </c>
      <c r="E437" s="4" t="s">
        <v>646</v>
      </c>
      <c r="F437" s="6">
        <v>1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3100</v>
      </c>
      <c r="B438" s="9" t="s">
        <v>647</v>
      </c>
      <c r="C438" s="9" t="s">
        <v>598</v>
      </c>
      <c r="D438" s="9" t="s">
        <v>648</v>
      </c>
      <c r="E438" s="9" t="s">
        <v>389</v>
      </c>
      <c r="F438" s="11">
        <v>1</v>
      </c>
      <c r="G438" s="12">
        <v>0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0.24</v>
      </c>
    </row>
    <row r="439">
      <c r="A439" s="23">
        <v>3119</v>
      </c>
      <c r="B439" s="4" t="s">
        <v>649</v>
      </c>
      <c r="C439" s="4" t="s">
        <v>64</v>
      </c>
      <c r="D439" s="4" t="s">
        <v>102</v>
      </c>
      <c r="E439" s="4" t="s">
        <v>248</v>
      </c>
      <c r="F439" s="6">
        <v>1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3127</v>
      </c>
      <c r="B440" s="9" t="s">
        <v>650</v>
      </c>
      <c r="C440" s="9" t="s">
        <v>64</v>
      </c>
      <c r="D440" s="9" t="s">
        <v>72</v>
      </c>
      <c r="E440" s="9" t="s">
        <v>73</v>
      </c>
      <c r="F440" s="11">
        <v>4</v>
      </c>
      <c r="G440" s="10">
        <v>2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1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29">
        <v>0.64</v>
      </c>
    </row>
    <row r="441">
      <c r="A441" s="23">
        <v>3128</v>
      </c>
      <c r="B441" s="4" t="s">
        <v>651</v>
      </c>
      <c r="C441" s="4" t="s">
        <v>162</v>
      </c>
      <c r="D441" s="4" t="s">
        <v>163</v>
      </c>
      <c r="E441" s="4" t="s">
        <v>178</v>
      </c>
      <c r="F441" s="6">
        <v>3</v>
      </c>
      <c r="G441" s="7">
        <v>0</v>
      </c>
      <c r="H441" s="7">
        <v>0</v>
      </c>
      <c r="I441" s="5">
        <v>1</v>
      </c>
      <c r="J441" s="7">
        <v>0</v>
      </c>
      <c r="K441" s="5">
        <v>1</v>
      </c>
      <c r="L441" s="7">
        <v>0</v>
      </c>
      <c r="M441" s="7">
        <v>0</v>
      </c>
      <c r="N441" s="5">
        <v>1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7">
        <v>0</v>
      </c>
      <c r="W441" s="7">
        <v>0</v>
      </c>
      <c r="X441" s="5">
        <v>1</v>
      </c>
      <c r="Y441" s="7">
        <v>0</v>
      </c>
      <c r="Z441" s="5">
        <v>1</v>
      </c>
      <c r="AA441" s="7">
        <v>0</v>
      </c>
      <c r="AB441" s="7">
        <v>0</v>
      </c>
      <c r="AC441" s="5">
        <v>1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3134</v>
      </c>
      <c r="B442" s="9" t="s">
        <v>652</v>
      </c>
      <c r="C442" s="9" t="s">
        <v>162</v>
      </c>
      <c r="D442" s="9" t="s">
        <v>163</v>
      </c>
      <c r="E442" s="9" t="s">
        <v>178</v>
      </c>
      <c r="F442" s="11">
        <v>1</v>
      </c>
      <c r="G442" s="12">
        <v>0</v>
      </c>
      <c r="H442" s="12">
        <v>0</v>
      </c>
      <c r="I442" s="12">
        <v>0</v>
      </c>
      <c r="J442" s="12">
        <v>0</v>
      </c>
      <c r="K442" s="10">
        <v>1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2">
        <v>0</v>
      </c>
      <c r="Y442" s="12">
        <v>0</v>
      </c>
      <c r="Z442" s="10">
        <v>1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3135</v>
      </c>
      <c r="B443" s="4" t="s">
        <v>653</v>
      </c>
      <c r="C443" s="4" t="s">
        <v>162</v>
      </c>
      <c r="D443" s="4" t="s">
        <v>187</v>
      </c>
      <c r="E443" s="4" t="s">
        <v>654</v>
      </c>
      <c r="F443" s="6">
        <v>3</v>
      </c>
      <c r="G443" s="5">
        <v>2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2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30">
        <v>0</v>
      </c>
    </row>
    <row r="444">
      <c r="A444" s="24">
        <v>3142</v>
      </c>
      <c r="B444" s="9" t="s">
        <v>655</v>
      </c>
      <c r="C444" s="9" t="s">
        <v>64</v>
      </c>
      <c r="D444" s="9" t="s">
        <v>76</v>
      </c>
      <c r="E444" s="9" t="s">
        <v>77</v>
      </c>
      <c r="F444" s="11">
        <v>8</v>
      </c>
      <c r="G444" s="10">
        <v>2</v>
      </c>
      <c r="H444" s="12">
        <v>0</v>
      </c>
      <c r="I444" s="10">
        <v>5</v>
      </c>
      <c r="J444" s="12">
        <v>0</v>
      </c>
      <c r="K444" s="12">
        <v>0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7</v>
      </c>
      <c r="V444" s="10">
        <v>2</v>
      </c>
      <c r="W444" s="12">
        <v>0</v>
      </c>
      <c r="X444" s="10">
        <v>4</v>
      </c>
      <c r="Y444" s="12">
        <v>0</v>
      </c>
      <c r="Z444" s="12">
        <v>0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1</v>
      </c>
      <c r="AM444" s="10">
        <v>5</v>
      </c>
      <c r="AN444" s="29">
        <v>0.32</v>
      </c>
    </row>
    <row r="445">
      <c r="A445" s="23">
        <v>3144</v>
      </c>
      <c r="B445" s="4" t="s">
        <v>656</v>
      </c>
      <c r="C445" s="4" t="s">
        <v>64</v>
      </c>
      <c r="D445" s="4" t="s">
        <v>72</v>
      </c>
      <c r="E445" s="4" t="s">
        <v>152</v>
      </c>
      <c r="F445" s="6">
        <v>2</v>
      </c>
      <c r="G445" s="7">
        <v>0</v>
      </c>
      <c r="H445" s="5">
        <v>1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7">
        <v>0</v>
      </c>
      <c r="W445" s="5">
        <v>1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3187</v>
      </c>
      <c r="B446" s="9" t="s">
        <v>657</v>
      </c>
      <c r="C446" s="9" t="s">
        <v>64</v>
      </c>
      <c r="D446" s="9" t="s">
        <v>72</v>
      </c>
      <c r="E446" s="9" t="s">
        <v>152</v>
      </c>
      <c r="F446" s="11">
        <v>1</v>
      </c>
      <c r="G446" s="12">
        <v>0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3191</v>
      </c>
      <c r="B447" s="4" t="s">
        <v>658</v>
      </c>
      <c r="C447" s="4" t="s">
        <v>64</v>
      </c>
      <c r="D447" s="4" t="s">
        <v>114</v>
      </c>
      <c r="E447" s="4" t="s">
        <v>120</v>
      </c>
      <c r="F447" s="6">
        <v>3</v>
      </c>
      <c r="G447" s="7">
        <v>0</v>
      </c>
      <c r="H447" s="7">
        <v>0</v>
      </c>
      <c r="I447" s="7">
        <v>0</v>
      </c>
      <c r="J447" s="5">
        <v>3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7">
        <v>0</v>
      </c>
      <c r="W447" s="7">
        <v>0</v>
      </c>
      <c r="X447" s="7">
        <v>0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1.5</v>
      </c>
      <c r="AL447" s="5">
        <v>1</v>
      </c>
      <c r="AM447" s="5">
        <v>2</v>
      </c>
      <c r="AN447" s="28">
        <v>0.75</v>
      </c>
    </row>
    <row r="448">
      <c r="A448" s="24">
        <v>3192</v>
      </c>
      <c r="B448" s="9" t="s">
        <v>659</v>
      </c>
      <c r="C448" s="9" t="s">
        <v>64</v>
      </c>
      <c r="D448" s="9" t="s">
        <v>125</v>
      </c>
      <c r="E448" s="9" t="s">
        <v>126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9">
        <v>0</v>
      </c>
    </row>
    <row r="449">
      <c r="A449" s="23">
        <v>3194</v>
      </c>
      <c r="B449" s="4" t="s">
        <v>660</v>
      </c>
      <c r="C449" s="4" t="s">
        <v>64</v>
      </c>
      <c r="D449" s="4" t="s">
        <v>102</v>
      </c>
      <c r="E449" s="4" t="s">
        <v>248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3198</v>
      </c>
      <c r="B450" s="9" t="s">
        <v>661</v>
      </c>
      <c r="C450" s="9" t="s">
        <v>64</v>
      </c>
      <c r="D450" s="9" t="s">
        <v>114</v>
      </c>
      <c r="E450" s="9" t="s">
        <v>120</v>
      </c>
      <c r="F450" s="11">
        <v>2</v>
      </c>
      <c r="G450" s="10">
        <v>1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1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3204</v>
      </c>
      <c r="B451" s="4" t="s">
        <v>662</v>
      </c>
      <c r="C451" s="4" t="s">
        <v>64</v>
      </c>
      <c r="D451" s="4" t="s">
        <v>68</v>
      </c>
      <c r="E451" s="4" t="s">
        <v>112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28">
        <v>0.5</v>
      </c>
    </row>
    <row r="452">
      <c r="A452" s="24">
        <v>3206</v>
      </c>
      <c r="B452" s="9" t="s">
        <v>663</v>
      </c>
      <c r="C452" s="9" t="s">
        <v>162</v>
      </c>
      <c r="D452" s="9" t="s">
        <v>163</v>
      </c>
      <c r="E452" s="9" t="s">
        <v>178</v>
      </c>
      <c r="F452" s="11">
        <v>3</v>
      </c>
      <c r="G452" s="10">
        <v>1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1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0.22</v>
      </c>
    </row>
    <row r="453">
      <c r="A453" s="23">
        <v>3216</v>
      </c>
      <c r="B453" s="4" t="s">
        <v>664</v>
      </c>
      <c r="C453" s="4" t="s">
        <v>64</v>
      </c>
      <c r="D453" s="4" t="s">
        <v>93</v>
      </c>
      <c r="E453" s="4" t="s">
        <v>326</v>
      </c>
      <c r="F453" s="6">
        <v>3</v>
      </c>
      <c r="G453" s="5">
        <v>3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5">
        <v>3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3</v>
      </c>
      <c r="AK453" s="8">
        <v>3</v>
      </c>
      <c r="AL453" s="5">
        <v>3</v>
      </c>
      <c r="AM453" s="5">
        <v>3</v>
      </c>
      <c r="AN453" s="30">
        <v>0</v>
      </c>
    </row>
    <row r="454">
      <c r="A454" s="24">
        <v>3269</v>
      </c>
      <c r="B454" s="9" t="s">
        <v>665</v>
      </c>
      <c r="C454" s="9" t="s">
        <v>64</v>
      </c>
      <c r="D454" s="9" t="s">
        <v>72</v>
      </c>
      <c r="E454" s="9" t="s">
        <v>73</v>
      </c>
      <c r="F454" s="11">
        <v>2</v>
      </c>
      <c r="G454" s="10">
        <v>1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0">
        <v>1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9">
        <v>0</v>
      </c>
    </row>
    <row r="455">
      <c r="A455" s="23">
        <v>3273</v>
      </c>
      <c r="B455" s="4" t="s">
        <v>666</v>
      </c>
      <c r="C455" s="4" t="s">
        <v>64</v>
      </c>
      <c r="D455" s="4" t="s">
        <v>72</v>
      </c>
      <c r="E455" s="4" t="s">
        <v>73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0.26</v>
      </c>
    </row>
    <row r="456">
      <c r="A456" s="24">
        <v>3281</v>
      </c>
      <c r="B456" s="9" t="s">
        <v>667</v>
      </c>
      <c r="C456" s="9" t="s">
        <v>64</v>
      </c>
      <c r="D456" s="9" t="s">
        <v>85</v>
      </c>
      <c r="E456" s="9" t="s">
        <v>132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3285</v>
      </c>
      <c r="B457" s="4" t="s">
        <v>668</v>
      </c>
      <c r="C457" s="4" t="s">
        <v>64</v>
      </c>
      <c r="D457" s="4" t="s">
        <v>114</v>
      </c>
      <c r="E457" s="4" t="s">
        <v>120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3287</v>
      </c>
      <c r="B458" s="9" t="s">
        <v>669</v>
      </c>
      <c r="C458" s="9" t="s">
        <v>64</v>
      </c>
      <c r="D458" s="9" t="s">
        <v>68</v>
      </c>
      <c r="E458" s="9" t="s">
        <v>112</v>
      </c>
      <c r="F458" s="11">
        <v>2</v>
      </c>
      <c r="G458" s="12">
        <v>0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0.48</v>
      </c>
    </row>
    <row r="459">
      <c r="A459" s="23">
        <v>3290</v>
      </c>
      <c r="B459" s="4" t="s">
        <v>670</v>
      </c>
      <c r="C459" s="4" t="s">
        <v>64</v>
      </c>
      <c r="D459" s="4" t="s">
        <v>72</v>
      </c>
      <c r="E459" s="4" t="s">
        <v>73</v>
      </c>
      <c r="F459" s="6">
        <v>2</v>
      </c>
      <c r="G459" s="7">
        <v>0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7">
        <v>0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0.5</v>
      </c>
    </row>
    <row r="460">
      <c r="A460" s="24">
        <v>3298</v>
      </c>
      <c r="B460" s="9" t="s">
        <v>671</v>
      </c>
      <c r="C460" s="9" t="s">
        <v>64</v>
      </c>
      <c r="D460" s="9" t="s">
        <v>114</v>
      </c>
      <c r="E460" s="9" t="s">
        <v>143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3300</v>
      </c>
      <c r="B461" s="4" t="s">
        <v>672</v>
      </c>
      <c r="C461" s="4" t="s">
        <v>673</v>
      </c>
      <c r="D461" s="4" t="s">
        <v>674</v>
      </c>
      <c r="E461" s="4" t="s">
        <v>675</v>
      </c>
      <c r="F461" s="6">
        <v>2</v>
      </c>
      <c r="G461" s="7">
        <v>0</v>
      </c>
      <c r="H461" s="5">
        <v>1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7">
        <v>0</v>
      </c>
      <c r="W461" s="5">
        <v>1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0.52</v>
      </c>
    </row>
    <row r="462">
      <c r="A462" s="24">
        <v>3313</v>
      </c>
      <c r="B462" s="9" t="s">
        <v>676</v>
      </c>
      <c r="C462" s="9" t="s">
        <v>64</v>
      </c>
      <c r="D462" s="9" t="s">
        <v>125</v>
      </c>
      <c r="E462" s="9" t="s">
        <v>126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0.26</v>
      </c>
    </row>
    <row r="463">
      <c r="A463" s="23">
        <v>3315</v>
      </c>
      <c r="B463" s="4" t="s">
        <v>677</v>
      </c>
      <c r="C463" s="4" t="s">
        <v>64</v>
      </c>
      <c r="D463" s="4" t="s">
        <v>114</v>
      </c>
      <c r="E463" s="4" t="s">
        <v>678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3318</v>
      </c>
      <c r="B464" s="9" t="s">
        <v>679</v>
      </c>
      <c r="C464" s="9" t="s">
        <v>680</v>
      </c>
      <c r="D464" s="9" t="s">
        <v>681</v>
      </c>
      <c r="E464" s="9" t="s">
        <v>389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9">
        <v>0</v>
      </c>
    </row>
    <row r="465">
      <c r="A465" s="23">
        <v>3325</v>
      </c>
      <c r="B465" s="4" t="s">
        <v>682</v>
      </c>
      <c r="C465" s="4" t="s">
        <v>134</v>
      </c>
      <c r="D465" s="4" t="s">
        <v>135</v>
      </c>
      <c r="E465" s="4" t="s">
        <v>427</v>
      </c>
      <c r="F465" s="6">
        <v>2</v>
      </c>
      <c r="G465" s="7">
        <v>0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7">
        <v>0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0.48</v>
      </c>
    </row>
    <row r="466">
      <c r="A466" s="24">
        <v>3330</v>
      </c>
      <c r="B466" s="9" t="s">
        <v>683</v>
      </c>
      <c r="C466" s="9" t="s">
        <v>134</v>
      </c>
      <c r="D466" s="9" t="s">
        <v>684</v>
      </c>
      <c r="E466" s="9" t="s">
        <v>685</v>
      </c>
      <c r="F466" s="11">
        <v>3</v>
      </c>
      <c r="G466" s="12">
        <v>0</v>
      </c>
      <c r="H466" s="12">
        <v>0</v>
      </c>
      <c r="I466" s="10">
        <v>1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2">
        <v>0</v>
      </c>
      <c r="W466" s="12">
        <v>0</v>
      </c>
      <c r="X466" s="10">
        <v>1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0.72</v>
      </c>
    </row>
    <row r="467">
      <c r="A467" s="23">
        <v>3332</v>
      </c>
      <c r="B467" s="4" t="s">
        <v>686</v>
      </c>
      <c r="C467" s="4" t="s">
        <v>64</v>
      </c>
      <c r="D467" s="4" t="s">
        <v>85</v>
      </c>
      <c r="E467" s="4" t="s">
        <v>220</v>
      </c>
      <c r="F467" s="6">
        <v>3</v>
      </c>
      <c r="G467" s="7">
        <v>0</v>
      </c>
      <c r="H467" s="7">
        <v>0</v>
      </c>
      <c r="I467" s="7">
        <v>0</v>
      </c>
      <c r="J467" s="5">
        <v>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7">
        <v>0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0.78</v>
      </c>
    </row>
    <row r="468">
      <c r="A468" s="24">
        <v>3342</v>
      </c>
      <c r="B468" s="9" t="s">
        <v>687</v>
      </c>
      <c r="C468" s="9" t="s">
        <v>64</v>
      </c>
      <c r="D468" s="9" t="s">
        <v>156</v>
      </c>
      <c r="E468" s="9" t="s">
        <v>386</v>
      </c>
      <c r="F468" s="11">
        <v>1</v>
      </c>
      <c r="G468" s="12">
        <v>0</v>
      </c>
      <c r="H468" s="12">
        <v>0</v>
      </c>
      <c r="I468" s="12">
        <v>0</v>
      </c>
      <c r="J468" s="12">
        <v>0</v>
      </c>
      <c r="K468" s="10">
        <v>1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2">
        <v>0</v>
      </c>
      <c r="Z468" s="10">
        <v>1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9">
        <v>0</v>
      </c>
    </row>
    <row r="469">
      <c r="A469" s="23">
        <v>3344</v>
      </c>
      <c r="B469" s="4" t="s">
        <v>688</v>
      </c>
      <c r="C469" s="4" t="s">
        <v>624</v>
      </c>
      <c r="D469" s="4" t="s">
        <v>625</v>
      </c>
      <c r="E469" s="4" t="s">
        <v>689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3350</v>
      </c>
      <c r="B470" s="9" t="s">
        <v>690</v>
      </c>
      <c r="C470" s="9" t="s">
        <v>680</v>
      </c>
      <c r="D470" s="9" t="s">
        <v>691</v>
      </c>
      <c r="E470" s="9" t="s">
        <v>389</v>
      </c>
      <c r="F470" s="11">
        <v>3</v>
      </c>
      <c r="G470" s="10">
        <v>1</v>
      </c>
      <c r="H470" s="12">
        <v>0</v>
      </c>
      <c r="I470" s="10">
        <v>1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1</v>
      </c>
      <c r="W470" s="12">
        <v>0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0.78</v>
      </c>
    </row>
    <row r="471">
      <c r="A471" s="23">
        <v>3351</v>
      </c>
      <c r="B471" s="4" t="s">
        <v>692</v>
      </c>
      <c r="C471" s="4" t="s">
        <v>680</v>
      </c>
      <c r="D471" s="4" t="s">
        <v>691</v>
      </c>
      <c r="E471" s="4" t="s">
        <v>389</v>
      </c>
      <c r="F471" s="6">
        <v>2</v>
      </c>
      <c r="G471" s="7">
        <v>0</v>
      </c>
      <c r="H471" s="7">
        <v>0</v>
      </c>
      <c r="I471" s="5">
        <v>1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7">
        <v>0</v>
      </c>
      <c r="W471" s="7">
        <v>0</v>
      </c>
      <c r="X471" s="5">
        <v>1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0.5</v>
      </c>
    </row>
    <row r="472">
      <c r="A472" s="24">
        <v>3353</v>
      </c>
      <c r="B472" s="9" t="s">
        <v>693</v>
      </c>
      <c r="C472" s="9" t="s">
        <v>680</v>
      </c>
      <c r="D472" s="9" t="s">
        <v>691</v>
      </c>
      <c r="E472" s="9" t="s">
        <v>389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0.26</v>
      </c>
    </row>
    <row r="473">
      <c r="A473" s="23">
        <v>3355</v>
      </c>
      <c r="B473" s="4" t="s">
        <v>694</v>
      </c>
      <c r="C473" s="4" t="s">
        <v>680</v>
      </c>
      <c r="D473" s="4" t="s">
        <v>691</v>
      </c>
      <c r="E473" s="4" t="s">
        <v>389</v>
      </c>
      <c r="F473" s="6">
        <v>5</v>
      </c>
      <c r="G473" s="7">
        <v>0</v>
      </c>
      <c r="H473" s="7">
        <v>0</v>
      </c>
      <c r="I473" s="5">
        <v>1</v>
      </c>
      <c r="J473" s="7">
        <v>0</v>
      </c>
      <c r="K473" s="5">
        <v>2</v>
      </c>
      <c r="L473" s="5">
        <v>2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7">
        <v>0</v>
      </c>
      <c r="W473" s="7">
        <v>0</v>
      </c>
      <c r="X473" s="5">
        <v>1</v>
      </c>
      <c r="Y473" s="7">
        <v>0</v>
      </c>
      <c r="Z473" s="5">
        <v>2</v>
      </c>
      <c r="AA473" s="5">
        <v>2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2</v>
      </c>
      <c r="AM473" s="5">
        <v>2</v>
      </c>
      <c r="AN473" s="28">
        <v>1.3</v>
      </c>
    </row>
    <row r="474">
      <c r="A474" s="24">
        <v>3356</v>
      </c>
      <c r="B474" s="9" t="s">
        <v>695</v>
      </c>
      <c r="C474" s="9" t="s">
        <v>680</v>
      </c>
      <c r="D474" s="9" t="s">
        <v>691</v>
      </c>
      <c r="E474" s="9" t="s">
        <v>389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0.26</v>
      </c>
    </row>
    <row r="475">
      <c r="A475" s="23">
        <v>3358</v>
      </c>
      <c r="B475" s="4" t="s">
        <v>696</v>
      </c>
      <c r="C475" s="4" t="s">
        <v>680</v>
      </c>
      <c r="D475" s="4" t="s">
        <v>691</v>
      </c>
      <c r="E475" s="4" t="s">
        <v>389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0.26</v>
      </c>
    </row>
    <row r="476">
      <c r="A476" s="24">
        <v>3360</v>
      </c>
      <c r="B476" s="9" t="s">
        <v>697</v>
      </c>
      <c r="C476" s="9" t="s">
        <v>680</v>
      </c>
      <c r="D476" s="9" t="s">
        <v>691</v>
      </c>
      <c r="E476" s="9" t="s">
        <v>389</v>
      </c>
      <c r="F476" s="11">
        <v>5</v>
      </c>
      <c r="G476" s="12">
        <v>0</v>
      </c>
      <c r="H476" s="12">
        <v>0</v>
      </c>
      <c r="I476" s="10">
        <v>3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2">
        <v>0</v>
      </c>
      <c r="W476" s="12">
        <v>0</v>
      </c>
      <c r="X476" s="10">
        <v>3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1.25</v>
      </c>
      <c r="AL476" s="10">
        <v>1</v>
      </c>
      <c r="AM476" s="10">
        <v>2</v>
      </c>
      <c r="AN476" s="29">
        <v>1.3</v>
      </c>
    </row>
    <row r="477">
      <c r="A477" s="23">
        <v>3365</v>
      </c>
      <c r="B477" s="4" t="s">
        <v>698</v>
      </c>
      <c r="C477" s="4" t="s">
        <v>64</v>
      </c>
      <c r="D477" s="4" t="s">
        <v>125</v>
      </c>
      <c r="E477" s="4" t="s">
        <v>699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3366</v>
      </c>
      <c r="B478" s="9" t="s">
        <v>700</v>
      </c>
      <c r="C478" s="9" t="s">
        <v>64</v>
      </c>
      <c r="D478" s="9" t="s">
        <v>72</v>
      </c>
      <c r="E478" s="9" t="s">
        <v>118</v>
      </c>
      <c r="F478" s="11">
        <v>2</v>
      </c>
      <c r="G478" s="12">
        <v>0</v>
      </c>
      <c r="H478" s="12">
        <v>0</v>
      </c>
      <c r="I478" s="12">
        <v>0</v>
      </c>
      <c r="J478" s="10">
        <v>2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2">
        <v>0</v>
      </c>
      <c r="W478" s="12">
        <v>0</v>
      </c>
      <c r="X478" s="12">
        <v>0</v>
      </c>
      <c r="Y478" s="10">
        <v>2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29">
        <v>0.5</v>
      </c>
    </row>
    <row r="479">
      <c r="A479" s="23">
        <v>3371</v>
      </c>
      <c r="B479" s="4" t="s">
        <v>701</v>
      </c>
      <c r="C479" s="4" t="s">
        <v>134</v>
      </c>
      <c r="D479" s="4" t="s">
        <v>135</v>
      </c>
      <c r="E479" s="4" t="s">
        <v>427</v>
      </c>
      <c r="F479" s="6">
        <v>1</v>
      </c>
      <c r="G479" s="7">
        <v>0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3379</v>
      </c>
      <c r="B480" s="9" t="s">
        <v>702</v>
      </c>
      <c r="C480" s="9" t="s">
        <v>134</v>
      </c>
      <c r="D480" s="9" t="s">
        <v>703</v>
      </c>
      <c r="E480" s="9" t="s">
        <v>704</v>
      </c>
      <c r="F480" s="11">
        <v>2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0">
        <v>2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0">
        <v>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49">
        <v>0</v>
      </c>
    </row>
    <row r="481">
      <c r="A481" s="23">
        <v>3384</v>
      </c>
      <c r="B481" s="4" t="s">
        <v>705</v>
      </c>
      <c r="C481" s="4" t="s">
        <v>134</v>
      </c>
      <c r="D481" s="4" t="s">
        <v>684</v>
      </c>
      <c r="E481" s="4" t="s">
        <v>685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3385</v>
      </c>
      <c r="B482" s="9" t="s">
        <v>706</v>
      </c>
      <c r="C482" s="9" t="s">
        <v>680</v>
      </c>
      <c r="D482" s="9" t="s">
        <v>707</v>
      </c>
      <c r="E482" s="9" t="s">
        <v>708</v>
      </c>
      <c r="F482" s="11">
        <v>3</v>
      </c>
      <c r="G482" s="12">
        <v>0</v>
      </c>
      <c r="H482" s="12">
        <v>0</v>
      </c>
      <c r="I482" s="12">
        <v>0</v>
      </c>
      <c r="J482" s="10">
        <v>3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2">
        <v>0</v>
      </c>
      <c r="W482" s="12">
        <v>0</v>
      </c>
      <c r="X482" s="12">
        <v>0</v>
      </c>
      <c r="Y482" s="10">
        <v>3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29">
        <v>0.78</v>
      </c>
    </row>
    <row r="483">
      <c r="A483" s="23">
        <v>3388</v>
      </c>
      <c r="B483" s="4" t="s">
        <v>709</v>
      </c>
      <c r="C483" s="4" t="s">
        <v>64</v>
      </c>
      <c r="D483" s="4" t="s">
        <v>114</v>
      </c>
      <c r="E483" s="4" t="s">
        <v>143</v>
      </c>
      <c r="F483" s="6">
        <v>1</v>
      </c>
      <c r="G483" s="7">
        <v>0</v>
      </c>
      <c r="H483" s="5">
        <v>1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5">
        <v>1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3401</v>
      </c>
      <c r="B484" s="9" t="s">
        <v>710</v>
      </c>
      <c r="C484" s="9" t="s">
        <v>64</v>
      </c>
      <c r="D484" s="9" t="s">
        <v>76</v>
      </c>
      <c r="E484" s="9" t="s">
        <v>79</v>
      </c>
      <c r="F484" s="11">
        <v>1</v>
      </c>
      <c r="G484" s="12">
        <v>0</v>
      </c>
      <c r="H484" s="10">
        <v>1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0">
        <v>1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3406</v>
      </c>
      <c r="B485" s="4" t="s">
        <v>711</v>
      </c>
      <c r="C485" s="4" t="s">
        <v>712</v>
      </c>
      <c r="D485" s="4" t="s">
        <v>713</v>
      </c>
      <c r="E485" s="4" t="s">
        <v>389</v>
      </c>
      <c r="F485" s="6">
        <v>4</v>
      </c>
      <c r="G485" s="7">
        <v>0</v>
      </c>
      <c r="H485" s="7">
        <v>0</v>
      </c>
      <c r="I485" s="5">
        <v>2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7">
        <v>0</v>
      </c>
      <c r="W485" s="7">
        <v>0</v>
      </c>
      <c r="X485" s="5">
        <v>1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30">
        <v>0</v>
      </c>
    </row>
    <row r="486">
      <c r="A486" s="24">
        <v>3426</v>
      </c>
      <c r="B486" s="9" t="s">
        <v>714</v>
      </c>
      <c r="C486" s="9" t="s">
        <v>64</v>
      </c>
      <c r="D486" s="9" t="s">
        <v>72</v>
      </c>
      <c r="E486" s="9" t="s">
        <v>73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9">
        <v>0</v>
      </c>
    </row>
    <row r="487">
      <c r="A487" s="23">
        <v>3432</v>
      </c>
      <c r="B487" s="4" t="s">
        <v>715</v>
      </c>
      <c r="C487" s="4" t="s">
        <v>134</v>
      </c>
      <c r="D487" s="4" t="s">
        <v>374</v>
      </c>
      <c r="E487" s="4" t="s">
        <v>384</v>
      </c>
      <c r="F487" s="6">
        <v>2</v>
      </c>
      <c r="G487" s="5">
        <v>1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1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3452</v>
      </c>
      <c r="B488" s="9" t="s">
        <v>716</v>
      </c>
      <c r="C488" s="9" t="s">
        <v>624</v>
      </c>
      <c r="D488" s="9" t="s">
        <v>717</v>
      </c>
      <c r="E488" s="9" t="s">
        <v>718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0.26</v>
      </c>
    </row>
    <row r="489">
      <c r="A489" s="23">
        <v>3458</v>
      </c>
      <c r="B489" s="4" t="s">
        <v>719</v>
      </c>
      <c r="C489" s="4" t="s">
        <v>162</v>
      </c>
      <c r="D489" s="4" t="s">
        <v>187</v>
      </c>
      <c r="E489" s="4" t="s">
        <v>188</v>
      </c>
      <c r="F489" s="6">
        <v>2</v>
      </c>
      <c r="G489" s="7">
        <v>0</v>
      </c>
      <c r="H489" s="7">
        <v>0</v>
      </c>
      <c r="I489" s="7">
        <v>0</v>
      </c>
      <c r="J489" s="7">
        <v>0</v>
      </c>
      <c r="K489" s="5">
        <v>1</v>
      </c>
      <c r="L489" s="5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7">
        <v>0</v>
      </c>
      <c r="W489" s="7">
        <v>0</v>
      </c>
      <c r="X489" s="7">
        <v>0</v>
      </c>
      <c r="Y489" s="7">
        <v>0</v>
      </c>
      <c r="Z489" s="5">
        <v>1</v>
      </c>
      <c r="AA489" s="5">
        <v>1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3466</v>
      </c>
      <c r="B490" s="9" t="s">
        <v>720</v>
      </c>
      <c r="C490" s="9" t="s">
        <v>64</v>
      </c>
      <c r="D490" s="9" t="s">
        <v>114</v>
      </c>
      <c r="E490" s="9" t="s">
        <v>274</v>
      </c>
      <c r="F490" s="11">
        <v>3</v>
      </c>
      <c r="G490" s="12">
        <v>0</v>
      </c>
      <c r="H490" s="12">
        <v>0</v>
      </c>
      <c r="I490" s="12">
        <v>0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2">
        <v>0</v>
      </c>
      <c r="W490" s="12">
        <v>0</v>
      </c>
      <c r="X490" s="12">
        <v>0</v>
      </c>
      <c r="Y490" s="10">
        <v>3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0.75</v>
      </c>
    </row>
    <row r="491">
      <c r="A491" s="23">
        <v>3474</v>
      </c>
      <c r="B491" s="4" t="s">
        <v>721</v>
      </c>
      <c r="C491" s="4" t="s">
        <v>64</v>
      </c>
      <c r="D491" s="4" t="s">
        <v>85</v>
      </c>
      <c r="E491" s="4" t="s">
        <v>86</v>
      </c>
      <c r="F491" s="6">
        <v>4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5">
        <v>4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5">
        <v>4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4</v>
      </c>
      <c r="AK491" s="8">
        <v>4</v>
      </c>
      <c r="AL491" s="5">
        <v>4</v>
      </c>
      <c r="AM491" s="5">
        <v>4</v>
      </c>
      <c r="AN491" s="30">
        <v>0</v>
      </c>
    </row>
    <row r="492">
      <c r="A492" s="24">
        <v>3475</v>
      </c>
      <c r="B492" s="9" t="s">
        <v>722</v>
      </c>
      <c r="C492" s="9" t="s">
        <v>64</v>
      </c>
      <c r="D492" s="9" t="s">
        <v>85</v>
      </c>
      <c r="E492" s="9" t="s">
        <v>86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3476</v>
      </c>
      <c r="B493" s="4" t="s">
        <v>723</v>
      </c>
      <c r="C493" s="4" t="s">
        <v>64</v>
      </c>
      <c r="D493" s="4" t="s">
        <v>85</v>
      </c>
      <c r="E493" s="4" t="s">
        <v>86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3479</v>
      </c>
      <c r="B494" s="9" t="s">
        <v>724</v>
      </c>
      <c r="C494" s="9" t="s">
        <v>64</v>
      </c>
      <c r="D494" s="9" t="s">
        <v>85</v>
      </c>
      <c r="E494" s="9" t="s">
        <v>86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0.26</v>
      </c>
    </row>
    <row r="495">
      <c r="A495" s="23">
        <v>3488</v>
      </c>
      <c r="B495" s="4" t="s">
        <v>725</v>
      </c>
      <c r="C495" s="4" t="s">
        <v>64</v>
      </c>
      <c r="D495" s="4" t="s">
        <v>85</v>
      </c>
      <c r="E495" s="4" t="s">
        <v>86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30">
        <v>0</v>
      </c>
    </row>
    <row r="496">
      <c r="A496" s="24">
        <v>3490</v>
      </c>
      <c r="B496" s="9" t="s">
        <v>726</v>
      </c>
      <c r="C496" s="9" t="s">
        <v>64</v>
      </c>
      <c r="D496" s="9" t="s">
        <v>85</v>
      </c>
      <c r="E496" s="9" t="s">
        <v>86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3494</v>
      </c>
      <c r="B497" s="4" t="s">
        <v>727</v>
      </c>
      <c r="C497" s="4" t="s">
        <v>64</v>
      </c>
      <c r="D497" s="4" t="s">
        <v>85</v>
      </c>
      <c r="E497" s="4" t="s">
        <v>86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5">
        <v>1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5">
        <v>1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3495</v>
      </c>
      <c r="B498" s="9" t="s">
        <v>728</v>
      </c>
      <c r="C498" s="9" t="s">
        <v>64</v>
      </c>
      <c r="D498" s="9" t="s">
        <v>85</v>
      </c>
      <c r="E498" s="9" t="s">
        <v>86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3501</v>
      </c>
      <c r="B499" s="4" t="s">
        <v>729</v>
      </c>
      <c r="C499" s="4" t="s">
        <v>64</v>
      </c>
      <c r="D499" s="4" t="s">
        <v>85</v>
      </c>
      <c r="E499" s="4" t="s">
        <v>86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3502</v>
      </c>
      <c r="B500" s="9" t="s">
        <v>730</v>
      </c>
      <c r="C500" s="9" t="s">
        <v>64</v>
      </c>
      <c r="D500" s="9" t="s">
        <v>85</v>
      </c>
      <c r="E500" s="9" t="s">
        <v>86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3505</v>
      </c>
      <c r="B501" s="4" t="s">
        <v>731</v>
      </c>
      <c r="C501" s="4" t="s">
        <v>64</v>
      </c>
      <c r="D501" s="4" t="s">
        <v>85</v>
      </c>
      <c r="E501" s="4" t="s">
        <v>86</v>
      </c>
      <c r="F501" s="6">
        <v>2</v>
      </c>
      <c r="G501" s="7">
        <v>0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0.5</v>
      </c>
    </row>
    <row r="502">
      <c r="A502" s="24">
        <v>3514</v>
      </c>
      <c r="B502" s="9" t="s">
        <v>732</v>
      </c>
      <c r="C502" s="9" t="s">
        <v>620</v>
      </c>
      <c r="D502" s="9" t="s">
        <v>733</v>
      </c>
      <c r="E502" s="9" t="s">
        <v>389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3521</v>
      </c>
      <c r="B503" s="4" t="s">
        <v>734</v>
      </c>
      <c r="C503" s="4" t="s">
        <v>64</v>
      </c>
      <c r="D503" s="4" t="s">
        <v>85</v>
      </c>
      <c r="E503" s="4" t="s">
        <v>86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3524</v>
      </c>
      <c r="B504" s="9" t="s">
        <v>735</v>
      </c>
      <c r="C504" s="9" t="s">
        <v>134</v>
      </c>
      <c r="D504" s="9" t="s">
        <v>374</v>
      </c>
      <c r="E504" s="9" t="s">
        <v>736</v>
      </c>
      <c r="F504" s="11">
        <v>4</v>
      </c>
      <c r="G504" s="10">
        <v>2</v>
      </c>
      <c r="H504" s="12">
        <v>0</v>
      </c>
      <c r="I504" s="10">
        <v>1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2</v>
      </c>
      <c r="W504" s="12">
        <v>0</v>
      </c>
      <c r="X504" s="10">
        <v>1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29">
        <v>0.22</v>
      </c>
    </row>
    <row r="505">
      <c r="A505" s="23">
        <v>3536</v>
      </c>
      <c r="B505" s="4" t="s">
        <v>737</v>
      </c>
      <c r="C505" s="4" t="s">
        <v>134</v>
      </c>
      <c r="D505" s="4" t="s">
        <v>476</v>
      </c>
      <c r="E505" s="4" t="s">
        <v>477</v>
      </c>
      <c r="F505" s="6">
        <v>1</v>
      </c>
      <c r="G505" s="7">
        <v>0</v>
      </c>
      <c r="H505" s="7">
        <v>0</v>
      </c>
      <c r="I505" s="7">
        <v>0</v>
      </c>
      <c r="J505" s="7">
        <v>0</v>
      </c>
      <c r="K505" s="5">
        <v>1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7">
        <v>0</v>
      </c>
      <c r="Z505" s="5">
        <v>1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0.24</v>
      </c>
    </row>
    <row r="506">
      <c r="A506" s="24">
        <v>3546</v>
      </c>
      <c r="B506" s="9" t="s">
        <v>738</v>
      </c>
      <c r="C506" s="9" t="s">
        <v>64</v>
      </c>
      <c r="D506" s="9" t="s">
        <v>85</v>
      </c>
      <c r="E506" s="9" t="s">
        <v>86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49">
        <v>0</v>
      </c>
    </row>
    <row r="507">
      <c r="A507" s="23">
        <v>3550</v>
      </c>
      <c r="B507" s="4" t="s">
        <v>739</v>
      </c>
      <c r="C507" s="4" t="s">
        <v>64</v>
      </c>
      <c r="D507" s="4" t="s">
        <v>85</v>
      </c>
      <c r="E507" s="4" t="s">
        <v>86</v>
      </c>
      <c r="F507" s="6">
        <v>1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3553</v>
      </c>
      <c r="B508" s="9" t="s">
        <v>740</v>
      </c>
      <c r="C508" s="9" t="s">
        <v>64</v>
      </c>
      <c r="D508" s="9" t="s">
        <v>85</v>
      </c>
      <c r="E508" s="9" t="s">
        <v>86</v>
      </c>
      <c r="F508" s="11">
        <v>2</v>
      </c>
      <c r="G508" s="10">
        <v>1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1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3555</v>
      </c>
      <c r="B509" s="4" t="s">
        <v>741</v>
      </c>
      <c r="C509" s="4" t="s">
        <v>64</v>
      </c>
      <c r="D509" s="4" t="s">
        <v>85</v>
      </c>
      <c r="E509" s="4" t="s">
        <v>86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28">
        <v>0.44</v>
      </c>
    </row>
    <row r="510">
      <c r="A510" s="24">
        <v>3557</v>
      </c>
      <c r="B510" s="9" t="s">
        <v>742</v>
      </c>
      <c r="C510" s="9" t="s">
        <v>64</v>
      </c>
      <c r="D510" s="9" t="s">
        <v>85</v>
      </c>
      <c r="E510" s="9" t="s">
        <v>86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9">
        <v>0</v>
      </c>
    </row>
    <row r="511">
      <c r="A511" s="23">
        <v>3563</v>
      </c>
      <c r="B511" s="4" t="s">
        <v>743</v>
      </c>
      <c r="C511" s="4" t="s">
        <v>64</v>
      </c>
      <c r="D511" s="4" t="s">
        <v>85</v>
      </c>
      <c r="E511" s="4" t="s">
        <v>86</v>
      </c>
      <c r="F511" s="6">
        <v>2</v>
      </c>
      <c r="G511" s="5">
        <v>1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1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0.5</v>
      </c>
    </row>
    <row r="512">
      <c r="A512" s="24">
        <v>3573</v>
      </c>
      <c r="B512" s="9" t="s">
        <v>744</v>
      </c>
      <c r="C512" s="9" t="s">
        <v>680</v>
      </c>
      <c r="D512" s="9" t="s">
        <v>745</v>
      </c>
      <c r="E512" s="9" t="s">
        <v>389</v>
      </c>
      <c r="F512" s="11">
        <v>2</v>
      </c>
      <c r="G512" s="12">
        <v>0</v>
      </c>
      <c r="H512" s="12">
        <v>0</v>
      </c>
      <c r="I512" s="10">
        <v>2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2">
        <v>0</v>
      </c>
      <c r="X512" s="10">
        <v>2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9">
        <v>0</v>
      </c>
    </row>
    <row r="513">
      <c r="A513" s="23">
        <v>3589</v>
      </c>
      <c r="B513" s="4" t="s">
        <v>746</v>
      </c>
      <c r="C513" s="4" t="s">
        <v>747</v>
      </c>
      <c r="D513" s="4" t="s">
        <v>748</v>
      </c>
      <c r="E513" s="4" t="s">
        <v>389</v>
      </c>
      <c r="F513" s="6">
        <v>1</v>
      </c>
      <c r="G513" s="7">
        <v>0</v>
      </c>
      <c r="H513" s="5">
        <v>1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5">
        <v>1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0.33</v>
      </c>
    </row>
    <row r="514">
      <c r="A514" s="24">
        <v>3593</v>
      </c>
      <c r="B514" s="9" t="s">
        <v>749</v>
      </c>
      <c r="C514" s="9" t="s">
        <v>134</v>
      </c>
      <c r="D514" s="9" t="s">
        <v>374</v>
      </c>
      <c r="E514" s="9" t="s">
        <v>384</v>
      </c>
      <c r="F514" s="11">
        <v>5</v>
      </c>
      <c r="G514" s="10">
        <v>3</v>
      </c>
      <c r="H514" s="12">
        <v>0</v>
      </c>
      <c r="I514" s="10">
        <v>1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3</v>
      </c>
      <c r="W514" s="12">
        <v>0</v>
      </c>
      <c r="X514" s="10">
        <v>1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1.67</v>
      </c>
      <c r="AL514" s="10">
        <v>1</v>
      </c>
      <c r="AM514" s="10">
        <v>3</v>
      </c>
      <c r="AN514" s="49">
        <v>0</v>
      </c>
    </row>
    <row r="515">
      <c r="A515" s="23">
        <v>3598</v>
      </c>
      <c r="B515" s="4" t="s">
        <v>750</v>
      </c>
      <c r="C515" s="4" t="s">
        <v>64</v>
      </c>
      <c r="D515" s="4" t="s">
        <v>102</v>
      </c>
      <c r="E515" s="4" t="s">
        <v>224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3612</v>
      </c>
      <c r="B516" s="9" t="s">
        <v>751</v>
      </c>
      <c r="C516" s="9" t="s">
        <v>134</v>
      </c>
      <c r="D516" s="9" t="s">
        <v>594</v>
      </c>
      <c r="E516" s="9" t="s">
        <v>752</v>
      </c>
      <c r="F516" s="11">
        <v>3</v>
      </c>
      <c r="G516" s="10">
        <v>2</v>
      </c>
      <c r="H516" s="10">
        <v>1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0">
        <v>2</v>
      </c>
      <c r="W516" s="10">
        <v>1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29">
        <v>0.72</v>
      </c>
    </row>
    <row r="517">
      <c r="A517" s="23">
        <v>3615</v>
      </c>
      <c r="B517" s="4" t="s">
        <v>753</v>
      </c>
      <c r="C517" s="4" t="s">
        <v>64</v>
      </c>
      <c r="D517" s="4" t="s">
        <v>114</v>
      </c>
      <c r="E517" s="4" t="s">
        <v>115</v>
      </c>
      <c r="F517" s="6">
        <v>3</v>
      </c>
      <c r="G517" s="7">
        <v>0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5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7">
        <v>0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5">
        <v>1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0.75</v>
      </c>
    </row>
    <row r="518">
      <c r="A518" s="24">
        <v>3616</v>
      </c>
      <c r="B518" s="9" t="s">
        <v>754</v>
      </c>
      <c r="C518" s="9" t="s">
        <v>64</v>
      </c>
      <c r="D518" s="9" t="s">
        <v>114</v>
      </c>
      <c r="E518" s="9" t="s">
        <v>120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3629</v>
      </c>
      <c r="B519" s="4" t="s">
        <v>755</v>
      </c>
      <c r="C519" s="4" t="s">
        <v>64</v>
      </c>
      <c r="D519" s="4" t="s">
        <v>72</v>
      </c>
      <c r="E519" s="4" t="s">
        <v>81</v>
      </c>
      <c r="F519" s="6">
        <v>1</v>
      </c>
      <c r="G519" s="7">
        <v>0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3638</v>
      </c>
      <c r="B520" s="9" t="s">
        <v>756</v>
      </c>
      <c r="C520" s="9" t="s">
        <v>64</v>
      </c>
      <c r="D520" s="9" t="s">
        <v>105</v>
      </c>
      <c r="E520" s="9" t="s">
        <v>757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0.38</v>
      </c>
    </row>
    <row r="521">
      <c r="A521" s="23">
        <v>3643</v>
      </c>
      <c r="B521" s="4" t="s">
        <v>758</v>
      </c>
      <c r="C521" s="4" t="s">
        <v>64</v>
      </c>
      <c r="D521" s="4" t="s">
        <v>114</v>
      </c>
      <c r="E521" s="4" t="s">
        <v>143</v>
      </c>
      <c r="F521" s="6">
        <v>3</v>
      </c>
      <c r="G521" s="5">
        <v>2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2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0.78</v>
      </c>
    </row>
    <row r="522">
      <c r="A522" s="24">
        <v>3658</v>
      </c>
      <c r="B522" s="9" t="s">
        <v>759</v>
      </c>
      <c r="C522" s="9" t="s">
        <v>64</v>
      </c>
      <c r="D522" s="9" t="s">
        <v>114</v>
      </c>
      <c r="E522" s="9" t="s">
        <v>115</v>
      </c>
      <c r="F522" s="11">
        <v>3</v>
      </c>
      <c r="G522" s="10">
        <v>1</v>
      </c>
      <c r="H522" s="12">
        <v>0</v>
      </c>
      <c r="I522" s="10">
        <v>2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0">
        <v>1</v>
      </c>
      <c r="W522" s="12">
        <v>0</v>
      </c>
      <c r="X522" s="10">
        <v>2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29">
        <v>0.75</v>
      </c>
    </row>
    <row r="523">
      <c r="A523" s="23">
        <v>3661</v>
      </c>
      <c r="B523" s="4" t="s">
        <v>760</v>
      </c>
      <c r="C523" s="4" t="s">
        <v>64</v>
      </c>
      <c r="D523" s="4" t="s">
        <v>114</v>
      </c>
      <c r="E523" s="4" t="s">
        <v>115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0.26</v>
      </c>
    </row>
    <row r="524">
      <c r="A524" s="24">
        <v>3666</v>
      </c>
      <c r="B524" s="9" t="s">
        <v>761</v>
      </c>
      <c r="C524" s="9" t="s">
        <v>64</v>
      </c>
      <c r="D524" s="9" t="s">
        <v>114</v>
      </c>
      <c r="E524" s="9" t="s">
        <v>140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3673</v>
      </c>
      <c r="B525" s="4" t="s">
        <v>762</v>
      </c>
      <c r="C525" s="4" t="s">
        <v>64</v>
      </c>
      <c r="D525" s="4" t="s">
        <v>76</v>
      </c>
      <c r="E525" s="4" t="s">
        <v>88</v>
      </c>
      <c r="F525" s="6">
        <v>2</v>
      </c>
      <c r="G525" s="7">
        <v>0</v>
      </c>
      <c r="H525" s="5">
        <v>2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5">
        <v>2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30">
        <v>0</v>
      </c>
    </row>
    <row r="526">
      <c r="A526" s="24">
        <v>3677</v>
      </c>
      <c r="B526" s="9" t="s">
        <v>763</v>
      </c>
      <c r="C526" s="9" t="s">
        <v>64</v>
      </c>
      <c r="D526" s="9" t="s">
        <v>102</v>
      </c>
      <c r="E526" s="9" t="s">
        <v>248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3692</v>
      </c>
      <c r="B527" s="4" t="s">
        <v>764</v>
      </c>
      <c r="C527" s="4" t="s">
        <v>64</v>
      </c>
      <c r="D527" s="4" t="s">
        <v>102</v>
      </c>
      <c r="E527" s="4" t="s">
        <v>224</v>
      </c>
      <c r="F527" s="6">
        <v>1</v>
      </c>
      <c r="G527" s="7">
        <v>0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0.22</v>
      </c>
    </row>
    <row r="528">
      <c r="A528" s="24">
        <v>3694</v>
      </c>
      <c r="B528" s="9" t="s">
        <v>765</v>
      </c>
      <c r="C528" s="9" t="s">
        <v>64</v>
      </c>
      <c r="D528" s="9" t="s">
        <v>90</v>
      </c>
      <c r="E528" s="9" t="s">
        <v>357</v>
      </c>
      <c r="F528" s="11">
        <v>5</v>
      </c>
      <c r="G528" s="10">
        <v>5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5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1.67</v>
      </c>
      <c r="AL528" s="10">
        <v>1</v>
      </c>
      <c r="AM528" s="10">
        <v>3</v>
      </c>
      <c r="AN528" s="29">
        <v>0.58</v>
      </c>
    </row>
    <row r="529">
      <c r="A529" s="23">
        <v>3695</v>
      </c>
      <c r="B529" s="4" t="s">
        <v>766</v>
      </c>
      <c r="C529" s="4" t="s">
        <v>134</v>
      </c>
      <c r="D529" s="4" t="s">
        <v>594</v>
      </c>
      <c r="E529" s="4" t="s">
        <v>752</v>
      </c>
      <c r="F529" s="6">
        <v>3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2</v>
      </c>
      <c r="W529" s="7">
        <v>0</v>
      </c>
      <c r="X529" s="7">
        <v>0</v>
      </c>
      <c r="Y529" s="7">
        <v>0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30">
        <v>0</v>
      </c>
    </row>
    <row r="530">
      <c r="A530" s="24">
        <v>3707</v>
      </c>
      <c r="B530" s="9" t="s">
        <v>767</v>
      </c>
      <c r="C530" s="9" t="s">
        <v>64</v>
      </c>
      <c r="D530" s="9" t="s">
        <v>125</v>
      </c>
      <c r="E530" s="9" t="s">
        <v>768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3711</v>
      </c>
      <c r="B531" s="4" t="s">
        <v>769</v>
      </c>
      <c r="C531" s="4" t="s">
        <v>64</v>
      </c>
      <c r="D531" s="4" t="s">
        <v>85</v>
      </c>
      <c r="E531" s="4" t="s">
        <v>138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3713</v>
      </c>
      <c r="B532" s="9" t="s">
        <v>770</v>
      </c>
      <c r="C532" s="9" t="s">
        <v>64</v>
      </c>
      <c r="D532" s="9" t="s">
        <v>114</v>
      </c>
      <c r="E532" s="9" t="s">
        <v>115</v>
      </c>
      <c r="F532" s="11">
        <v>5</v>
      </c>
      <c r="G532" s="10">
        <v>2</v>
      </c>
      <c r="H532" s="12">
        <v>0</v>
      </c>
      <c r="I532" s="10">
        <v>3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0">
        <v>2</v>
      </c>
      <c r="W532" s="12">
        <v>0</v>
      </c>
      <c r="X532" s="10">
        <v>3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1.67</v>
      </c>
      <c r="AL532" s="10">
        <v>1</v>
      </c>
      <c r="AM532" s="10">
        <v>3</v>
      </c>
      <c r="AN532" s="29">
        <v>0.26</v>
      </c>
    </row>
    <row r="533">
      <c r="A533" s="23">
        <v>3715</v>
      </c>
      <c r="B533" s="4" t="s">
        <v>771</v>
      </c>
      <c r="C533" s="4" t="s">
        <v>64</v>
      </c>
      <c r="D533" s="4" t="s">
        <v>125</v>
      </c>
      <c r="E533" s="4" t="s">
        <v>126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3719</v>
      </c>
      <c r="B534" s="9" t="s">
        <v>772</v>
      </c>
      <c r="C534" s="9" t="s">
        <v>64</v>
      </c>
      <c r="D534" s="9" t="s">
        <v>90</v>
      </c>
      <c r="E534" s="9" t="s">
        <v>357</v>
      </c>
      <c r="F534" s="11">
        <v>5</v>
      </c>
      <c r="G534" s="10">
        <v>2</v>
      </c>
      <c r="H534" s="10">
        <v>2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5</v>
      </c>
      <c r="V534" s="10">
        <v>2</v>
      </c>
      <c r="W534" s="10">
        <v>2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1.67</v>
      </c>
      <c r="AL534" s="10">
        <v>2</v>
      </c>
      <c r="AM534" s="10">
        <v>2</v>
      </c>
      <c r="AN534" s="49">
        <v>0</v>
      </c>
    </row>
    <row r="535">
      <c r="A535" s="23">
        <v>3726</v>
      </c>
      <c r="B535" s="4" t="s">
        <v>773</v>
      </c>
      <c r="C535" s="4" t="s">
        <v>64</v>
      </c>
      <c r="D535" s="4" t="s">
        <v>125</v>
      </c>
      <c r="E535" s="4" t="s">
        <v>126</v>
      </c>
      <c r="F535" s="6">
        <v>8</v>
      </c>
      <c r="G535" s="5">
        <v>3</v>
      </c>
      <c r="H535" s="7">
        <v>0</v>
      </c>
      <c r="I535" s="7">
        <v>0</v>
      </c>
      <c r="J535" s="5">
        <v>5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6</v>
      </c>
      <c r="V535" s="5">
        <v>2</v>
      </c>
      <c r="W535" s="7">
        <v>0</v>
      </c>
      <c r="X535" s="7">
        <v>0</v>
      </c>
      <c r="Y535" s="5">
        <v>4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1.6</v>
      </c>
      <c r="AL535" s="5">
        <v>2</v>
      </c>
      <c r="AM535" s="5">
        <v>2</v>
      </c>
      <c r="AN535" s="28">
        <v>1.35</v>
      </c>
    </row>
    <row r="536">
      <c r="A536" s="24">
        <v>3734</v>
      </c>
      <c r="B536" s="9" t="s">
        <v>774</v>
      </c>
      <c r="C536" s="9" t="s">
        <v>134</v>
      </c>
      <c r="D536" s="9" t="s">
        <v>135</v>
      </c>
      <c r="E536" s="9" t="s">
        <v>427</v>
      </c>
      <c r="F536" s="11">
        <v>2</v>
      </c>
      <c r="G536" s="12">
        <v>0</v>
      </c>
      <c r="H536" s="12">
        <v>0</v>
      </c>
      <c r="I536" s="12">
        <v>0</v>
      </c>
      <c r="J536" s="10">
        <v>1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2">
        <v>0</v>
      </c>
      <c r="Y536" s="10">
        <v>1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3735</v>
      </c>
      <c r="B537" s="4" t="s">
        <v>775</v>
      </c>
      <c r="C537" s="4" t="s">
        <v>134</v>
      </c>
      <c r="D537" s="4" t="s">
        <v>594</v>
      </c>
      <c r="E537" s="4" t="s">
        <v>595</v>
      </c>
      <c r="F537" s="6">
        <v>4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5">
        <v>2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5">
        <v>2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30">
        <v>0</v>
      </c>
    </row>
    <row r="538">
      <c r="A538" s="24">
        <v>3736</v>
      </c>
      <c r="B538" s="9" t="s">
        <v>776</v>
      </c>
      <c r="C538" s="9" t="s">
        <v>747</v>
      </c>
      <c r="D538" s="9" t="s">
        <v>777</v>
      </c>
      <c r="E538" s="9" t="s">
        <v>389</v>
      </c>
      <c r="F538" s="11">
        <v>2</v>
      </c>
      <c r="G538" s="12">
        <v>0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29">
        <v>0.25</v>
      </c>
    </row>
    <row r="539">
      <c r="A539" s="23">
        <v>3737</v>
      </c>
      <c r="B539" s="4" t="s">
        <v>778</v>
      </c>
      <c r="C539" s="4" t="s">
        <v>747</v>
      </c>
      <c r="D539" s="4" t="s">
        <v>777</v>
      </c>
      <c r="E539" s="4" t="s">
        <v>389</v>
      </c>
      <c r="F539" s="6">
        <v>2</v>
      </c>
      <c r="G539" s="7">
        <v>0</v>
      </c>
      <c r="H539" s="7">
        <v>0</v>
      </c>
      <c r="I539" s="5">
        <v>2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30">
        <v>0</v>
      </c>
    </row>
    <row r="540">
      <c r="A540" s="24">
        <v>3739</v>
      </c>
      <c r="B540" s="9" t="s">
        <v>779</v>
      </c>
      <c r="C540" s="9" t="s">
        <v>747</v>
      </c>
      <c r="D540" s="9" t="s">
        <v>777</v>
      </c>
      <c r="E540" s="9" t="s">
        <v>389</v>
      </c>
      <c r="F540" s="11">
        <v>2</v>
      </c>
      <c r="G540" s="12">
        <v>0</v>
      </c>
      <c r="H540" s="12">
        <v>0</v>
      </c>
      <c r="I540" s="10">
        <v>1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0">
        <v>1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9">
        <v>0</v>
      </c>
    </row>
    <row r="541">
      <c r="A541" s="23">
        <v>3740</v>
      </c>
      <c r="B541" s="4" t="s">
        <v>780</v>
      </c>
      <c r="C541" s="4" t="s">
        <v>747</v>
      </c>
      <c r="D541" s="4" t="s">
        <v>777</v>
      </c>
      <c r="E541" s="4" t="s">
        <v>389</v>
      </c>
      <c r="F541" s="6">
        <v>3</v>
      </c>
      <c r="G541" s="5">
        <v>1</v>
      </c>
      <c r="H541" s="7">
        <v>0</v>
      </c>
      <c r="I541" s="5">
        <v>1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5">
        <v>1</v>
      </c>
      <c r="W541" s="7">
        <v>0</v>
      </c>
      <c r="X541" s="5">
        <v>1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3741</v>
      </c>
      <c r="B542" s="9" t="s">
        <v>781</v>
      </c>
      <c r="C542" s="9" t="s">
        <v>747</v>
      </c>
      <c r="D542" s="9" t="s">
        <v>777</v>
      </c>
      <c r="E542" s="9" t="s">
        <v>389</v>
      </c>
      <c r="F542" s="11">
        <v>3</v>
      </c>
      <c r="G542" s="12">
        <v>0</v>
      </c>
      <c r="H542" s="10">
        <v>1</v>
      </c>
      <c r="I542" s="10">
        <v>2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0">
        <v>1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2</v>
      </c>
      <c r="AN542" s="29">
        <v>0.25</v>
      </c>
    </row>
    <row r="543">
      <c r="A543" s="23">
        <v>3745</v>
      </c>
      <c r="B543" s="4" t="s">
        <v>782</v>
      </c>
      <c r="C543" s="4" t="s">
        <v>64</v>
      </c>
      <c r="D543" s="4" t="s">
        <v>85</v>
      </c>
      <c r="E543" s="4" t="s">
        <v>86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3753</v>
      </c>
      <c r="B544" s="9" t="s">
        <v>783</v>
      </c>
      <c r="C544" s="9" t="s">
        <v>64</v>
      </c>
      <c r="D544" s="9" t="s">
        <v>125</v>
      </c>
      <c r="E544" s="9" t="s">
        <v>333</v>
      </c>
      <c r="F544" s="11">
        <v>6</v>
      </c>
      <c r="G544" s="10">
        <v>6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6</v>
      </c>
      <c r="V544" s="10">
        <v>6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6</v>
      </c>
      <c r="AK544" s="13">
        <v>6</v>
      </c>
      <c r="AL544" s="10">
        <v>6</v>
      </c>
      <c r="AM544" s="10">
        <v>6</v>
      </c>
      <c r="AN544" s="49">
        <v>0</v>
      </c>
    </row>
    <row r="545">
      <c r="A545" s="23">
        <v>3756</v>
      </c>
      <c r="B545" s="4" t="s">
        <v>784</v>
      </c>
      <c r="C545" s="4" t="s">
        <v>64</v>
      </c>
      <c r="D545" s="4" t="s">
        <v>114</v>
      </c>
      <c r="E545" s="4" t="s">
        <v>120</v>
      </c>
      <c r="F545" s="6">
        <v>2</v>
      </c>
      <c r="G545" s="7">
        <v>0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0.25</v>
      </c>
    </row>
    <row r="546">
      <c r="A546" s="24">
        <v>3784</v>
      </c>
      <c r="B546" s="9" t="s">
        <v>785</v>
      </c>
      <c r="C546" s="9" t="s">
        <v>64</v>
      </c>
      <c r="D546" s="9" t="s">
        <v>114</v>
      </c>
      <c r="E546" s="9" t="s">
        <v>120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0.17</v>
      </c>
    </row>
    <row r="547">
      <c r="A547" s="23">
        <v>3786</v>
      </c>
      <c r="B547" s="4" t="s">
        <v>786</v>
      </c>
      <c r="C547" s="4" t="s">
        <v>64</v>
      </c>
      <c r="D547" s="4" t="s">
        <v>85</v>
      </c>
      <c r="E547" s="4" t="s">
        <v>138</v>
      </c>
      <c r="F547" s="6">
        <v>5</v>
      </c>
      <c r="G547" s="7">
        <v>0</v>
      </c>
      <c r="H547" s="7">
        <v>0</v>
      </c>
      <c r="I547" s="7">
        <v>0</v>
      </c>
      <c r="J547" s="5">
        <v>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</v>
      </c>
      <c r="V547" s="7">
        <v>0</v>
      </c>
      <c r="W547" s="7">
        <v>0</v>
      </c>
      <c r="X547" s="7">
        <v>0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2.5</v>
      </c>
      <c r="AL547" s="5">
        <v>2</v>
      </c>
      <c r="AM547" s="5">
        <v>3</v>
      </c>
      <c r="AN547" s="28">
        <v>1</v>
      </c>
    </row>
    <row r="548">
      <c r="A548" s="24">
        <v>3798</v>
      </c>
      <c r="B548" s="9" t="s">
        <v>787</v>
      </c>
      <c r="C548" s="9" t="s">
        <v>64</v>
      </c>
      <c r="D548" s="9" t="s">
        <v>85</v>
      </c>
      <c r="E548" s="9" t="s">
        <v>86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3800</v>
      </c>
      <c r="B549" s="4" t="s">
        <v>788</v>
      </c>
      <c r="C549" s="4" t="s">
        <v>64</v>
      </c>
      <c r="D549" s="4" t="s">
        <v>125</v>
      </c>
      <c r="E549" s="4" t="s">
        <v>126</v>
      </c>
      <c r="F549" s="6">
        <v>3</v>
      </c>
      <c r="G549" s="5">
        <v>1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1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0.26</v>
      </c>
    </row>
    <row r="550">
      <c r="A550" s="24">
        <v>3802</v>
      </c>
      <c r="B550" s="9" t="s">
        <v>789</v>
      </c>
      <c r="C550" s="9" t="s">
        <v>64</v>
      </c>
      <c r="D550" s="9" t="s">
        <v>85</v>
      </c>
      <c r="E550" s="9" t="s">
        <v>86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3812</v>
      </c>
      <c r="B551" s="4" t="s">
        <v>790</v>
      </c>
      <c r="C551" s="4" t="s">
        <v>64</v>
      </c>
      <c r="D551" s="4" t="s">
        <v>76</v>
      </c>
      <c r="E551" s="4" t="s">
        <v>194</v>
      </c>
      <c r="F551" s="6">
        <v>11</v>
      </c>
      <c r="G551" s="5">
        <v>3</v>
      </c>
      <c r="H551" s="7">
        <v>0</v>
      </c>
      <c r="I551" s="7">
        <v>0</v>
      </c>
      <c r="J551" s="5">
        <v>8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8</v>
      </c>
      <c r="V551" s="5">
        <v>3</v>
      </c>
      <c r="W551" s="7">
        <v>0</v>
      </c>
      <c r="X551" s="7">
        <v>0</v>
      </c>
      <c r="Y551" s="5">
        <v>5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1.83</v>
      </c>
      <c r="AL551" s="5">
        <v>2</v>
      </c>
      <c r="AM551" s="5">
        <v>3</v>
      </c>
      <c r="AN551" s="28">
        <v>1.95</v>
      </c>
    </row>
    <row r="552">
      <c r="A552" s="24">
        <v>3814</v>
      </c>
      <c r="B552" s="9" t="s">
        <v>791</v>
      </c>
      <c r="C552" s="9" t="s">
        <v>64</v>
      </c>
      <c r="D552" s="9" t="s">
        <v>146</v>
      </c>
      <c r="E552" s="9" t="s">
        <v>792</v>
      </c>
      <c r="F552" s="11">
        <v>2</v>
      </c>
      <c r="G552" s="10">
        <v>1</v>
      </c>
      <c r="H552" s="10">
        <v>1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0">
        <v>1</v>
      </c>
      <c r="W552" s="10">
        <v>1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9">
        <v>0</v>
      </c>
    </row>
    <row r="553">
      <c r="A553" s="23">
        <v>3817</v>
      </c>
      <c r="B553" s="4" t="s">
        <v>793</v>
      </c>
      <c r="C553" s="4" t="s">
        <v>162</v>
      </c>
      <c r="D553" s="4" t="s">
        <v>163</v>
      </c>
      <c r="E553" s="4" t="s">
        <v>794</v>
      </c>
      <c r="F553" s="6">
        <v>3</v>
      </c>
      <c r="G553" s="7">
        <v>0</v>
      </c>
      <c r="H553" s="7">
        <v>0</v>
      </c>
      <c r="I553" s="7">
        <v>0</v>
      </c>
      <c r="J553" s="7">
        <v>0</v>
      </c>
      <c r="K553" s="5">
        <v>1</v>
      </c>
      <c r="L553" s="7">
        <v>0</v>
      </c>
      <c r="M553" s="7">
        <v>0</v>
      </c>
      <c r="N553" s="5">
        <v>2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7">
        <v>0</v>
      </c>
      <c r="W553" s="7">
        <v>0</v>
      </c>
      <c r="X553" s="7">
        <v>0</v>
      </c>
      <c r="Y553" s="7">
        <v>0</v>
      </c>
      <c r="Z553" s="5">
        <v>1</v>
      </c>
      <c r="AA553" s="7">
        <v>0</v>
      </c>
      <c r="AB553" s="7">
        <v>0</v>
      </c>
      <c r="AC553" s="5">
        <v>2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30">
        <v>0</v>
      </c>
    </row>
    <row r="554">
      <c r="A554" s="24">
        <v>3818</v>
      </c>
      <c r="B554" s="9" t="s">
        <v>795</v>
      </c>
      <c r="C554" s="9" t="s">
        <v>64</v>
      </c>
      <c r="D554" s="9" t="s">
        <v>76</v>
      </c>
      <c r="E554" s="9" t="s">
        <v>329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3826</v>
      </c>
      <c r="B555" s="4" t="s">
        <v>796</v>
      </c>
      <c r="C555" s="4" t="s">
        <v>64</v>
      </c>
      <c r="D555" s="4" t="s">
        <v>76</v>
      </c>
      <c r="E555" s="4" t="s">
        <v>77</v>
      </c>
      <c r="F555" s="6">
        <v>5</v>
      </c>
      <c r="G555" s="5">
        <v>4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</v>
      </c>
      <c r="V555" s="5">
        <v>4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1.35</v>
      </c>
    </row>
    <row r="556">
      <c r="A556" s="24">
        <v>3827</v>
      </c>
      <c r="B556" s="9" t="s">
        <v>797</v>
      </c>
      <c r="C556" s="9" t="s">
        <v>64</v>
      </c>
      <c r="D556" s="9" t="s">
        <v>76</v>
      </c>
      <c r="E556" s="9" t="s">
        <v>77</v>
      </c>
      <c r="F556" s="11">
        <v>19</v>
      </c>
      <c r="G556" s="12">
        <v>0</v>
      </c>
      <c r="H556" s="12">
        <v>0</v>
      </c>
      <c r="I556" s="12">
        <v>0</v>
      </c>
      <c r="J556" s="10">
        <v>18</v>
      </c>
      <c r="K556" s="10">
        <v>1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16</v>
      </c>
      <c r="V556" s="12">
        <v>0</v>
      </c>
      <c r="W556" s="12">
        <v>0</v>
      </c>
      <c r="X556" s="12">
        <v>0</v>
      </c>
      <c r="Y556" s="10">
        <v>15</v>
      </c>
      <c r="Z556" s="10">
        <v>1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9.5</v>
      </c>
      <c r="AL556" s="10">
        <v>9</v>
      </c>
      <c r="AM556" s="10">
        <v>18</v>
      </c>
      <c r="AN556" s="29">
        <v>3.75</v>
      </c>
    </row>
    <row r="557">
      <c r="A557" s="23">
        <v>3829</v>
      </c>
      <c r="B557" s="4" t="s">
        <v>798</v>
      </c>
      <c r="C557" s="4" t="s">
        <v>64</v>
      </c>
      <c r="D557" s="4" t="s">
        <v>114</v>
      </c>
      <c r="E557" s="4" t="s">
        <v>678</v>
      </c>
      <c r="F557" s="6">
        <v>3</v>
      </c>
      <c r="G557" s="5">
        <v>3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3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3</v>
      </c>
      <c r="AK557" s="8">
        <v>3</v>
      </c>
      <c r="AL557" s="5">
        <v>3</v>
      </c>
      <c r="AM557" s="5">
        <v>3</v>
      </c>
      <c r="AN557" s="30">
        <v>0</v>
      </c>
    </row>
    <row r="558">
      <c r="A558" s="24">
        <v>3836</v>
      </c>
      <c r="B558" s="9" t="s">
        <v>799</v>
      </c>
      <c r="C558" s="9" t="s">
        <v>64</v>
      </c>
      <c r="D558" s="9" t="s">
        <v>76</v>
      </c>
      <c r="E558" s="9" t="s">
        <v>77</v>
      </c>
      <c r="F558" s="11">
        <v>10</v>
      </c>
      <c r="G558" s="10">
        <v>4</v>
      </c>
      <c r="H558" s="12">
        <v>0</v>
      </c>
      <c r="I558" s="10">
        <v>6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8</v>
      </c>
      <c r="V558" s="10">
        <v>4</v>
      </c>
      <c r="W558" s="12">
        <v>0</v>
      </c>
      <c r="X558" s="10">
        <v>4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3.33</v>
      </c>
      <c r="AL558" s="10">
        <v>4</v>
      </c>
      <c r="AM558" s="10">
        <v>5</v>
      </c>
      <c r="AN558" s="29">
        <v>0.25</v>
      </c>
    </row>
    <row r="559">
      <c r="A559" s="23">
        <v>3839</v>
      </c>
      <c r="B559" s="4" t="s">
        <v>800</v>
      </c>
      <c r="C559" s="4" t="s">
        <v>64</v>
      </c>
      <c r="D559" s="4" t="s">
        <v>102</v>
      </c>
      <c r="E559" s="4" t="s">
        <v>103</v>
      </c>
      <c r="F559" s="6">
        <v>2</v>
      </c>
      <c r="G559" s="7">
        <v>0</v>
      </c>
      <c r="H559" s="5">
        <v>2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7">
        <v>0</v>
      </c>
      <c r="W559" s="5">
        <v>2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0">
        <v>0</v>
      </c>
    </row>
    <row r="560">
      <c r="A560" s="24">
        <v>3850</v>
      </c>
      <c r="B560" s="9" t="s">
        <v>801</v>
      </c>
      <c r="C560" s="9" t="s">
        <v>64</v>
      </c>
      <c r="D560" s="9" t="s">
        <v>114</v>
      </c>
      <c r="E560" s="9" t="s">
        <v>120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0.22</v>
      </c>
    </row>
    <row r="561">
      <c r="A561" s="23">
        <v>3857</v>
      </c>
      <c r="B561" s="4" t="s">
        <v>802</v>
      </c>
      <c r="C561" s="4" t="s">
        <v>64</v>
      </c>
      <c r="D561" s="4" t="s">
        <v>114</v>
      </c>
      <c r="E561" s="4" t="s">
        <v>120</v>
      </c>
      <c r="F561" s="6">
        <v>5</v>
      </c>
      <c r="G561" s="5">
        <v>1</v>
      </c>
      <c r="H561" s="5">
        <v>1</v>
      </c>
      <c r="I561" s="5">
        <v>3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1</v>
      </c>
      <c r="W561" s="5">
        <v>1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1.67</v>
      </c>
      <c r="AL561" s="5">
        <v>1</v>
      </c>
      <c r="AM561" s="5">
        <v>3</v>
      </c>
      <c r="AN561" s="28">
        <v>0.25</v>
      </c>
    </row>
    <row r="562">
      <c r="A562" s="24">
        <v>3860</v>
      </c>
      <c r="B562" s="9" t="s">
        <v>803</v>
      </c>
      <c r="C562" s="9" t="s">
        <v>64</v>
      </c>
      <c r="D562" s="9" t="s">
        <v>114</v>
      </c>
      <c r="E562" s="9" t="s">
        <v>120</v>
      </c>
      <c r="F562" s="11">
        <v>3</v>
      </c>
      <c r="G562" s="12">
        <v>0</v>
      </c>
      <c r="H562" s="12">
        <v>0</v>
      </c>
      <c r="I562" s="12">
        <v>0</v>
      </c>
      <c r="J562" s="10">
        <v>3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</v>
      </c>
      <c r="AL562" s="10">
        <v>3</v>
      </c>
      <c r="AM562" s="10">
        <v>3</v>
      </c>
      <c r="AN562" s="29">
        <v>0.5</v>
      </c>
    </row>
    <row r="563">
      <c r="A563" s="23">
        <v>3867</v>
      </c>
      <c r="B563" s="4" t="s">
        <v>804</v>
      </c>
      <c r="C563" s="4" t="s">
        <v>64</v>
      </c>
      <c r="D563" s="4" t="s">
        <v>114</v>
      </c>
      <c r="E563" s="4" t="s">
        <v>120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3868</v>
      </c>
      <c r="B564" s="9" t="s">
        <v>805</v>
      </c>
      <c r="C564" s="9" t="s">
        <v>64</v>
      </c>
      <c r="D564" s="9" t="s">
        <v>114</v>
      </c>
      <c r="E564" s="9" t="s">
        <v>120</v>
      </c>
      <c r="F564" s="11">
        <v>2</v>
      </c>
      <c r="G564" s="12">
        <v>0</v>
      </c>
      <c r="H564" s="12">
        <v>0</v>
      </c>
      <c r="I564" s="10">
        <v>1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2">
        <v>0</v>
      </c>
      <c r="X564" s="10">
        <v>1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0.5</v>
      </c>
    </row>
    <row r="565">
      <c r="A565" s="23">
        <v>3872</v>
      </c>
      <c r="B565" s="4" t="s">
        <v>806</v>
      </c>
      <c r="C565" s="4" t="s">
        <v>64</v>
      </c>
      <c r="D565" s="4" t="s">
        <v>114</v>
      </c>
      <c r="E565" s="4" t="s">
        <v>120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3875</v>
      </c>
      <c r="B566" s="9" t="s">
        <v>807</v>
      </c>
      <c r="C566" s="9" t="s">
        <v>64</v>
      </c>
      <c r="D566" s="9" t="s">
        <v>114</v>
      </c>
      <c r="E566" s="9" t="s">
        <v>120</v>
      </c>
      <c r="F566" s="11">
        <v>2</v>
      </c>
      <c r="G566" s="12">
        <v>0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2">
        <v>0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0.5</v>
      </c>
    </row>
    <row r="567">
      <c r="A567" s="23">
        <v>3884</v>
      </c>
      <c r="B567" s="4" t="s">
        <v>808</v>
      </c>
      <c r="C567" s="4" t="s">
        <v>64</v>
      </c>
      <c r="D567" s="4" t="s">
        <v>114</v>
      </c>
      <c r="E567" s="4" t="s">
        <v>120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0.22</v>
      </c>
    </row>
    <row r="568">
      <c r="A568" s="24">
        <v>3887</v>
      </c>
      <c r="B568" s="9" t="s">
        <v>809</v>
      </c>
      <c r="C568" s="9" t="s">
        <v>64</v>
      </c>
      <c r="D568" s="9" t="s">
        <v>114</v>
      </c>
      <c r="E568" s="9" t="s">
        <v>120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3889</v>
      </c>
      <c r="B569" s="4" t="s">
        <v>810</v>
      </c>
      <c r="C569" s="4" t="s">
        <v>64</v>
      </c>
      <c r="D569" s="4" t="s">
        <v>114</v>
      </c>
      <c r="E569" s="4" t="s">
        <v>120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0.24</v>
      </c>
    </row>
    <row r="570">
      <c r="A570" s="24">
        <v>3891</v>
      </c>
      <c r="B570" s="9" t="s">
        <v>811</v>
      </c>
      <c r="C570" s="9" t="s">
        <v>64</v>
      </c>
      <c r="D570" s="9" t="s">
        <v>114</v>
      </c>
      <c r="E570" s="9" t="s">
        <v>120</v>
      </c>
      <c r="F570" s="11">
        <v>3</v>
      </c>
      <c r="G570" s="10">
        <v>1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1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0.5</v>
      </c>
    </row>
    <row r="571">
      <c r="A571" s="23">
        <v>3894</v>
      </c>
      <c r="B571" s="4" t="s">
        <v>812</v>
      </c>
      <c r="C571" s="4" t="s">
        <v>64</v>
      </c>
      <c r="D571" s="4" t="s">
        <v>114</v>
      </c>
      <c r="E571" s="4" t="s">
        <v>120</v>
      </c>
      <c r="F571" s="6">
        <v>2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7">
        <v>0</v>
      </c>
      <c r="W571" s="7">
        <v>0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0.5</v>
      </c>
    </row>
    <row r="572">
      <c r="A572" s="24">
        <v>3897</v>
      </c>
      <c r="B572" s="9" t="s">
        <v>813</v>
      </c>
      <c r="C572" s="9" t="s">
        <v>64</v>
      </c>
      <c r="D572" s="9" t="s">
        <v>114</v>
      </c>
      <c r="E572" s="9" t="s">
        <v>120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0.24</v>
      </c>
    </row>
    <row r="573">
      <c r="A573" s="23">
        <v>3901</v>
      </c>
      <c r="B573" s="4" t="s">
        <v>814</v>
      </c>
      <c r="C573" s="4" t="s">
        <v>64</v>
      </c>
      <c r="D573" s="4" t="s">
        <v>114</v>
      </c>
      <c r="E573" s="4" t="s">
        <v>120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3906</v>
      </c>
      <c r="B574" s="9" t="s">
        <v>815</v>
      </c>
      <c r="C574" s="9" t="s">
        <v>64</v>
      </c>
      <c r="D574" s="9" t="s">
        <v>114</v>
      </c>
      <c r="E574" s="9" t="s">
        <v>120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3907</v>
      </c>
      <c r="B575" s="4" t="s">
        <v>816</v>
      </c>
      <c r="C575" s="4" t="s">
        <v>64</v>
      </c>
      <c r="D575" s="4" t="s">
        <v>114</v>
      </c>
      <c r="E575" s="4" t="s">
        <v>120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0.24</v>
      </c>
    </row>
    <row r="576">
      <c r="A576" s="24">
        <v>3910</v>
      </c>
      <c r="B576" s="9" t="s">
        <v>817</v>
      </c>
      <c r="C576" s="9" t="s">
        <v>64</v>
      </c>
      <c r="D576" s="9" t="s">
        <v>114</v>
      </c>
      <c r="E576" s="9" t="s">
        <v>120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0.26</v>
      </c>
    </row>
    <row r="577">
      <c r="A577" s="23">
        <v>3914</v>
      </c>
      <c r="B577" s="4" t="s">
        <v>818</v>
      </c>
      <c r="C577" s="4" t="s">
        <v>64</v>
      </c>
      <c r="D577" s="4" t="s">
        <v>114</v>
      </c>
      <c r="E577" s="4" t="s">
        <v>120</v>
      </c>
      <c r="F577" s="6">
        <v>8</v>
      </c>
      <c r="G577" s="5">
        <v>7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5</v>
      </c>
      <c r="V577" s="5">
        <v>4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4</v>
      </c>
      <c r="AL577" s="5">
        <v>4</v>
      </c>
      <c r="AM577" s="5">
        <v>7</v>
      </c>
      <c r="AN577" s="28">
        <v>0.25</v>
      </c>
    </row>
    <row r="578">
      <c r="A578" s="24">
        <v>3915</v>
      </c>
      <c r="B578" s="9" t="s">
        <v>819</v>
      </c>
      <c r="C578" s="9" t="s">
        <v>64</v>
      </c>
      <c r="D578" s="9" t="s">
        <v>114</v>
      </c>
      <c r="E578" s="9" t="s">
        <v>120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3916</v>
      </c>
      <c r="B579" s="4" t="s">
        <v>820</v>
      </c>
      <c r="C579" s="4" t="s">
        <v>64</v>
      </c>
      <c r="D579" s="4" t="s">
        <v>114</v>
      </c>
      <c r="E579" s="4" t="s">
        <v>120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0.24</v>
      </c>
    </row>
    <row r="580">
      <c r="A580" s="24">
        <v>3917</v>
      </c>
      <c r="B580" s="9" t="s">
        <v>821</v>
      </c>
      <c r="C580" s="9" t="s">
        <v>64</v>
      </c>
      <c r="D580" s="9" t="s">
        <v>114</v>
      </c>
      <c r="E580" s="9" t="s">
        <v>120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3920</v>
      </c>
      <c r="B581" s="4" t="s">
        <v>822</v>
      </c>
      <c r="C581" s="4" t="s">
        <v>64</v>
      </c>
      <c r="D581" s="4" t="s">
        <v>114</v>
      </c>
      <c r="E581" s="4" t="s">
        <v>120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0.26</v>
      </c>
    </row>
    <row r="582">
      <c r="A582" s="24">
        <v>3925</v>
      </c>
      <c r="B582" s="9" t="s">
        <v>823</v>
      </c>
      <c r="C582" s="9" t="s">
        <v>64</v>
      </c>
      <c r="D582" s="9" t="s">
        <v>114</v>
      </c>
      <c r="E582" s="9" t="s">
        <v>120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0.38</v>
      </c>
    </row>
    <row r="583">
      <c r="A583" s="23">
        <v>3934</v>
      </c>
      <c r="B583" s="4" t="s">
        <v>824</v>
      </c>
      <c r="C583" s="4" t="s">
        <v>64</v>
      </c>
      <c r="D583" s="4" t="s">
        <v>114</v>
      </c>
      <c r="E583" s="4" t="s">
        <v>120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3941</v>
      </c>
      <c r="B584" s="9" t="s">
        <v>825</v>
      </c>
      <c r="C584" s="9" t="s">
        <v>64</v>
      </c>
      <c r="D584" s="9" t="s">
        <v>114</v>
      </c>
      <c r="E584" s="9" t="s">
        <v>120</v>
      </c>
      <c r="F584" s="11">
        <v>3</v>
      </c>
      <c r="G584" s="10">
        <v>2</v>
      </c>
      <c r="H584" s="10">
        <v>1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0">
        <v>2</v>
      </c>
      <c r="W584" s="10">
        <v>1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2</v>
      </c>
      <c r="AN584" s="29">
        <v>0.74</v>
      </c>
    </row>
    <row r="585">
      <c r="A585" s="23">
        <v>3942</v>
      </c>
      <c r="B585" s="4" t="s">
        <v>826</v>
      </c>
      <c r="C585" s="4" t="s">
        <v>64</v>
      </c>
      <c r="D585" s="4" t="s">
        <v>114</v>
      </c>
      <c r="E585" s="4" t="s">
        <v>120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3946</v>
      </c>
      <c r="B586" s="9" t="s">
        <v>827</v>
      </c>
      <c r="C586" s="9" t="s">
        <v>64</v>
      </c>
      <c r="D586" s="9" t="s">
        <v>114</v>
      </c>
      <c r="E586" s="9" t="s">
        <v>120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9">
        <v>0</v>
      </c>
    </row>
    <row r="587">
      <c r="A587" s="23">
        <v>3952</v>
      </c>
      <c r="B587" s="4" t="s">
        <v>828</v>
      </c>
      <c r="C587" s="4" t="s">
        <v>64</v>
      </c>
      <c r="D587" s="4" t="s">
        <v>76</v>
      </c>
      <c r="E587" s="4" t="s">
        <v>194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0.36</v>
      </c>
    </row>
    <row r="588">
      <c r="A588" s="24">
        <v>3953</v>
      </c>
      <c r="B588" s="9" t="s">
        <v>829</v>
      </c>
      <c r="C588" s="9" t="s">
        <v>64</v>
      </c>
      <c r="D588" s="9" t="s">
        <v>76</v>
      </c>
      <c r="E588" s="9" t="s">
        <v>194</v>
      </c>
      <c r="F588" s="11">
        <v>1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3954</v>
      </c>
      <c r="B589" s="4" t="s">
        <v>830</v>
      </c>
      <c r="C589" s="4" t="s">
        <v>64</v>
      </c>
      <c r="D589" s="4" t="s">
        <v>114</v>
      </c>
      <c r="E589" s="4" t="s">
        <v>212</v>
      </c>
      <c r="F589" s="6">
        <v>3</v>
      </c>
      <c r="G589" s="5">
        <v>1</v>
      </c>
      <c r="H589" s="7">
        <v>0</v>
      </c>
      <c r="I589" s="7">
        <v>0</v>
      </c>
      <c r="J589" s="5">
        <v>1</v>
      </c>
      <c r="K589" s="5">
        <v>1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1</v>
      </c>
      <c r="W589" s="7">
        <v>0</v>
      </c>
      <c r="X589" s="7">
        <v>0</v>
      </c>
      <c r="Y589" s="5">
        <v>1</v>
      </c>
      <c r="Z589" s="5">
        <v>1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0.26</v>
      </c>
    </row>
    <row r="590">
      <c r="A590" s="24">
        <v>3955</v>
      </c>
      <c r="B590" s="9" t="s">
        <v>831</v>
      </c>
      <c r="C590" s="9" t="s">
        <v>64</v>
      </c>
      <c r="D590" s="9" t="s">
        <v>76</v>
      </c>
      <c r="E590" s="9" t="s">
        <v>194</v>
      </c>
      <c r="F590" s="11">
        <v>3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0">
        <v>2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0">
        <v>2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29">
        <v>0.25</v>
      </c>
    </row>
    <row r="591">
      <c r="A591" s="23">
        <v>3956</v>
      </c>
      <c r="B591" s="4" t="s">
        <v>832</v>
      </c>
      <c r="C591" s="4" t="s">
        <v>64</v>
      </c>
      <c r="D591" s="4" t="s">
        <v>76</v>
      </c>
      <c r="E591" s="4" t="s">
        <v>194</v>
      </c>
      <c r="F591" s="6">
        <v>3</v>
      </c>
      <c r="G591" s="7">
        <v>0</v>
      </c>
      <c r="H591" s="5">
        <v>2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7">
        <v>0</v>
      </c>
      <c r="W591" s="5">
        <v>2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0.48</v>
      </c>
    </row>
    <row r="592">
      <c r="A592" s="24">
        <v>3964</v>
      </c>
      <c r="B592" s="9" t="s">
        <v>833</v>
      </c>
      <c r="C592" s="9" t="s">
        <v>64</v>
      </c>
      <c r="D592" s="9" t="s">
        <v>72</v>
      </c>
      <c r="E592" s="9" t="s">
        <v>293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3966</v>
      </c>
      <c r="B593" s="4" t="s">
        <v>834</v>
      </c>
      <c r="C593" s="4" t="s">
        <v>64</v>
      </c>
      <c r="D593" s="4" t="s">
        <v>114</v>
      </c>
      <c r="E593" s="4" t="s">
        <v>120</v>
      </c>
      <c r="F593" s="6">
        <v>1</v>
      </c>
      <c r="G593" s="7">
        <v>0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3967</v>
      </c>
      <c r="B594" s="9" t="s">
        <v>835</v>
      </c>
      <c r="C594" s="9" t="s">
        <v>64</v>
      </c>
      <c r="D594" s="9" t="s">
        <v>76</v>
      </c>
      <c r="E594" s="9" t="s">
        <v>194</v>
      </c>
      <c r="F594" s="11">
        <v>2</v>
      </c>
      <c r="G594" s="12">
        <v>0</v>
      </c>
      <c r="H594" s="10">
        <v>1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0">
        <v>1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0">
        <v>1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9">
        <v>0</v>
      </c>
    </row>
    <row r="595">
      <c r="A595" s="23">
        <v>3970</v>
      </c>
      <c r="B595" s="4" t="s">
        <v>836</v>
      </c>
      <c r="C595" s="4" t="s">
        <v>134</v>
      </c>
      <c r="D595" s="4" t="s">
        <v>594</v>
      </c>
      <c r="E595" s="4" t="s">
        <v>752</v>
      </c>
      <c r="F595" s="6">
        <v>9</v>
      </c>
      <c r="G595" s="5">
        <v>1</v>
      </c>
      <c r="H595" s="5">
        <v>5</v>
      </c>
      <c r="I595" s="5">
        <v>1</v>
      </c>
      <c r="J595" s="7">
        <v>0</v>
      </c>
      <c r="K595" s="7">
        <v>0</v>
      </c>
      <c r="L595" s="5">
        <v>2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7</v>
      </c>
      <c r="V595" s="5">
        <v>1</v>
      </c>
      <c r="W595" s="5">
        <v>3</v>
      </c>
      <c r="X595" s="5">
        <v>1</v>
      </c>
      <c r="Y595" s="7">
        <v>0</v>
      </c>
      <c r="Z595" s="7">
        <v>0</v>
      </c>
      <c r="AA595" s="5">
        <v>2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1.8</v>
      </c>
      <c r="AL595" s="5">
        <v>1</v>
      </c>
      <c r="AM595" s="5">
        <v>4</v>
      </c>
      <c r="AN595" s="28">
        <v>0.9</v>
      </c>
    </row>
    <row r="596">
      <c r="A596" s="24">
        <v>3978</v>
      </c>
      <c r="B596" s="9" t="s">
        <v>837</v>
      </c>
      <c r="C596" s="9" t="s">
        <v>64</v>
      </c>
      <c r="D596" s="9" t="s">
        <v>114</v>
      </c>
      <c r="E596" s="9" t="s">
        <v>120</v>
      </c>
      <c r="F596" s="11">
        <v>3</v>
      </c>
      <c r="G596" s="12">
        <v>0</v>
      </c>
      <c r="H596" s="12">
        <v>0</v>
      </c>
      <c r="I596" s="12">
        <v>0</v>
      </c>
      <c r="J596" s="10">
        <v>3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2">
        <v>0</v>
      </c>
      <c r="W596" s="12">
        <v>0</v>
      </c>
      <c r="X596" s="12">
        <v>0</v>
      </c>
      <c r="Y596" s="10">
        <v>3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29">
        <v>0.75</v>
      </c>
    </row>
    <row r="597">
      <c r="A597" s="23">
        <v>3980</v>
      </c>
      <c r="B597" s="4" t="s">
        <v>838</v>
      </c>
      <c r="C597" s="4" t="s">
        <v>162</v>
      </c>
      <c r="D597" s="4" t="s">
        <v>163</v>
      </c>
      <c r="E597" s="4" t="s">
        <v>794</v>
      </c>
      <c r="F597" s="6">
        <v>2</v>
      </c>
      <c r="G597" s="7">
        <v>0</v>
      </c>
      <c r="H597" s="7">
        <v>0</v>
      </c>
      <c r="I597" s="7">
        <v>0</v>
      </c>
      <c r="J597" s="7">
        <v>0</v>
      </c>
      <c r="K597" s="5">
        <v>2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7">
        <v>0</v>
      </c>
      <c r="W597" s="7">
        <v>0</v>
      </c>
      <c r="X597" s="7">
        <v>0</v>
      </c>
      <c r="Y597" s="7">
        <v>0</v>
      </c>
      <c r="Z597" s="5">
        <v>2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30">
        <v>0</v>
      </c>
    </row>
    <row r="598">
      <c r="A598" s="24">
        <v>3989</v>
      </c>
      <c r="B598" s="9" t="s">
        <v>839</v>
      </c>
      <c r="C598" s="9" t="s">
        <v>64</v>
      </c>
      <c r="D598" s="9" t="s">
        <v>102</v>
      </c>
      <c r="E598" s="9" t="s">
        <v>103</v>
      </c>
      <c r="F598" s="11">
        <v>2</v>
      </c>
      <c r="G598" s="10">
        <v>1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1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9">
        <v>0</v>
      </c>
    </row>
    <row r="599">
      <c r="A599" s="23">
        <v>4031</v>
      </c>
      <c r="B599" s="4" t="s">
        <v>840</v>
      </c>
      <c r="C599" s="4" t="s">
        <v>64</v>
      </c>
      <c r="D599" s="4" t="s">
        <v>76</v>
      </c>
      <c r="E599" s="4" t="s">
        <v>194</v>
      </c>
      <c r="F599" s="6">
        <v>2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5">
        <v>2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5">
        <v>2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30">
        <v>0</v>
      </c>
    </row>
    <row r="600">
      <c r="A600" s="24">
        <v>4032</v>
      </c>
      <c r="B600" s="9" t="s">
        <v>841</v>
      </c>
      <c r="C600" s="9" t="s">
        <v>64</v>
      </c>
      <c r="D600" s="9" t="s">
        <v>72</v>
      </c>
      <c r="E600" s="9" t="s">
        <v>232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4040</v>
      </c>
      <c r="B601" s="4" t="s">
        <v>842</v>
      </c>
      <c r="C601" s="4" t="s">
        <v>64</v>
      </c>
      <c r="D601" s="4" t="s">
        <v>114</v>
      </c>
      <c r="E601" s="4" t="s">
        <v>120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0.25</v>
      </c>
    </row>
    <row r="602">
      <c r="A602" s="24">
        <v>4047</v>
      </c>
      <c r="B602" s="9" t="s">
        <v>843</v>
      </c>
      <c r="C602" s="9" t="s">
        <v>64</v>
      </c>
      <c r="D602" s="9" t="s">
        <v>76</v>
      </c>
      <c r="E602" s="9" t="s">
        <v>77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4054</v>
      </c>
      <c r="B603" s="4" t="s">
        <v>844</v>
      </c>
      <c r="C603" s="4" t="s">
        <v>64</v>
      </c>
      <c r="D603" s="4" t="s">
        <v>146</v>
      </c>
      <c r="E603" s="4" t="s">
        <v>147</v>
      </c>
      <c r="F603" s="6">
        <v>3</v>
      </c>
      <c r="G603" s="5">
        <v>2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2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2</v>
      </c>
      <c r="AN603" s="28">
        <v>0.25</v>
      </c>
    </row>
    <row r="604">
      <c r="A604" s="24">
        <v>4058</v>
      </c>
      <c r="B604" s="9" t="s">
        <v>845</v>
      </c>
      <c r="C604" s="9" t="s">
        <v>64</v>
      </c>
      <c r="D604" s="9" t="s">
        <v>114</v>
      </c>
      <c r="E604" s="9" t="s">
        <v>143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9">
        <v>0</v>
      </c>
    </row>
    <row r="605">
      <c r="A605" s="23">
        <v>4063</v>
      </c>
      <c r="B605" s="4" t="s">
        <v>846</v>
      </c>
      <c r="C605" s="4" t="s">
        <v>64</v>
      </c>
      <c r="D605" s="4" t="s">
        <v>146</v>
      </c>
      <c r="E605" s="4" t="s">
        <v>792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4065</v>
      </c>
      <c r="B606" s="9" t="s">
        <v>847</v>
      </c>
      <c r="C606" s="9" t="s">
        <v>64</v>
      </c>
      <c r="D606" s="9" t="s">
        <v>85</v>
      </c>
      <c r="E606" s="9" t="s">
        <v>132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9">
        <v>0</v>
      </c>
    </row>
    <row r="607">
      <c r="A607" s="23">
        <v>4074</v>
      </c>
      <c r="B607" s="4" t="s">
        <v>848</v>
      </c>
      <c r="C607" s="4" t="s">
        <v>134</v>
      </c>
      <c r="D607" s="4" t="s">
        <v>594</v>
      </c>
      <c r="E607" s="4" t="s">
        <v>752</v>
      </c>
      <c r="F607" s="6">
        <v>1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5">
        <v>1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5">
        <v>1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0.24</v>
      </c>
    </row>
    <row r="608">
      <c r="A608" s="24">
        <v>4076</v>
      </c>
      <c r="B608" s="9" t="s">
        <v>849</v>
      </c>
      <c r="C608" s="9" t="s">
        <v>64</v>
      </c>
      <c r="D608" s="9" t="s">
        <v>146</v>
      </c>
      <c r="E608" s="9" t="s">
        <v>147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9">
        <v>0</v>
      </c>
    </row>
    <row r="609">
      <c r="A609" s="23">
        <v>4080</v>
      </c>
      <c r="B609" s="4" t="s">
        <v>850</v>
      </c>
      <c r="C609" s="4" t="s">
        <v>64</v>
      </c>
      <c r="D609" s="4" t="s">
        <v>72</v>
      </c>
      <c r="E609" s="4" t="s">
        <v>316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4082</v>
      </c>
      <c r="B610" s="9" t="s">
        <v>851</v>
      </c>
      <c r="C610" s="9" t="s">
        <v>64</v>
      </c>
      <c r="D610" s="9" t="s">
        <v>68</v>
      </c>
      <c r="E610" s="9" t="s">
        <v>112</v>
      </c>
      <c r="F610" s="11">
        <v>4</v>
      </c>
      <c r="G610" s="10">
        <v>2</v>
      </c>
      <c r="H610" s="12">
        <v>0</v>
      </c>
      <c r="I610" s="10">
        <v>1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2</v>
      </c>
      <c r="W610" s="12">
        <v>0</v>
      </c>
      <c r="X610" s="10">
        <v>1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49">
        <v>0</v>
      </c>
    </row>
    <row r="611">
      <c r="A611" s="23">
        <v>4090</v>
      </c>
      <c r="B611" s="4" t="s">
        <v>852</v>
      </c>
      <c r="C611" s="4" t="s">
        <v>64</v>
      </c>
      <c r="D611" s="4" t="s">
        <v>76</v>
      </c>
      <c r="E611" s="4" t="s">
        <v>77</v>
      </c>
      <c r="F611" s="6">
        <v>3</v>
      </c>
      <c r="G611" s="7">
        <v>0</v>
      </c>
      <c r="H611" s="7">
        <v>0</v>
      </c>
      <c r="I611" s="7">
        <v>0</v>
      </c>
      <c r="J611" s="7">
        <v>0</v>
      </c>
      <c r="K611" s="5">
        <v>3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7">
        <v>0</v>
      </c>
      <c r="W611" s="7">
        <v>0</v>
      </c>
      <c r="X611" s="7">
        <v>0</v>
      </c>
      <c r="Y611" s="7">
        <v>0</v>
      </c>
      <c r="Z611" s="5">
        <v>3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30">
        <v>0</v>
      </c>
    </row>
    <row r="612">
      <c r="A612" s="24">
        <v>4104</v>
      </c>
      <c r="B612" s="9" t="s">
        <v>853</v>
      </c>
      <c r="C612" s="9" t="s">
        <v>64</v>
      </c>
      <c r="D612" s="9" t="s">
        <v>76</v>
      </c>
      <c r="E612" s="9" t="s">
        <v>77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4109</v>
      </c>
      <c r="B613" s="4" t="s">
        <v>854</v>
      </c>
      <c r="C613" s="4" t="s">
        <v>64</v>
      </c>
      <c r="D613" s="4" t="s">
        <v>76</v>
      </c>
      <c r="E613" s="4" t="s">
        <v>77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0.35</v>
      </c>
    </row>
    <row r="614">
      <c r="A614" s="24">
        <v>4116</v>
      </c>
      <c r="B614" s="9" t="s">
        <v>855</v>
      </c>
      <c r="C614" s="9" t="s">
        <v>134</v>
      </c>
      <c r="D614" s="9" t="s">
        <v>476</v>
      </c>
      <c r="E614" s="9" t="s">
        <v>544</v>
      </c>
      <c r="F614" s="11">
        <v>2</v>
      </c>
      <c r="G614" s="10">
        <v>1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4123</v>
      </c>
      <c r="B615" s="4" t="s">
        <v>856</v>
      </c>
      <c r="C615" s="4" t="s">
        <v>64</v>
      </c>
      <c r="D615" s="4" t="s">
        <v>76</v>
      </c>
      <c r="E615" s="4" t="s">
        <v>77</v>
      </c>
      <c r="F615" s="6">
        <v>1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4129</v>
      </c>
      <c r="B616" s="9" t="s">
        <v>857</v>
      </c>
      <c r="C616" s="9" t="s">
        <v>64</v>
      </c>
      <c r="D616" s="9" t="s">
        <v>72</v>
      </c>
      <c r="E616" s="9" t="s">
        <v>118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4133</v>
      </c>
      <c r="B617" s="4" t="s">
        <v>858</v>
      </c>
      <c r="C617" s="4" t="s">
        <v>64</v>
      </c>
      <c r="D617" s="4" t="s">
        <v>76</v>
      </c>
      <c r="E617" s="4" t="s">
        <v>77</v>
      </c>
      <c r="F617" s="6">
        <v>5</v>
      </c>
      <c r="G617" s="5">
        <v>1</v>
      </c>
      <c r="H617" s="7">
        <v>0</v>
      </c>
      <c r="I617" s="5">
        <v>2</v>
      </c>
      <c r="J617" s="7">
        <v>0</v>
      </c>
      <c r="K617" s="5">
        <v>1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5</v>
      </c>
      <c r="V617" s="5">
        <v>1</v>
      </c>
      <c r="W617" s="7">
        <v>0</v>
      </c>
      <c r="X617" s="5">
        <v>2</v>
      </c>
      <c r="Y617" s="7">
        <v>0</v>
      </c>
      <c r="Z617" s="5">
        <v>1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1.25</v>
      </c>
      <c r="AL617" s="5">
        <v>1</v>
      </c>
      <c r="AM617" s="5">
        <v>2</v>
      </c>
      <c r="AN617" s="30">
        <v>0</v>
      </c>
    </row>
    <row r="618">
      <c r="A618" s="24">
        <v>4140</v>
      </c>
      <c r="B618" s="9" t="s">
        <v>859</v>
      </c>
      <c r="C618" s="9" t="s">
        <v>64</v>
      </c>
      <c r="D618" s="9" t="s">
        <v>76</v>
      </c>
      <c r="E618" s="9" t="s">
        <v>77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</v>
      </c>
    </row>
    <row r="619">
      <c r="A619" s="23">
        <v>4145</v>
      </c>
      <c r="B619" s="4" t="s">
        <v>860</v>
      </c>
      <c r="C619" s="4" t="s">
        <v>64</v>
      </c>
      <c r="D619" s="4" t="s">
        <v>114</v>
      </c>
      <c r="E619" s="4" t="s">
        <v>237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0.35</v>
      </c>
    </row>
    <row r="620">
      <c r="A620" s="24">
        <v>4150</v>
      </c>
      <c r="B620" s="9" t="s">
        <v>861</v>
      </c>
      <c r="C620" s="9" t="s">
        <v>598</v>
      </c>
      <c r="D620" s="9" t="s">
        <v>607</v>
      </c>
      <c r="E620" s="9" t="s">
        <v>389</v>
      </c>
      <c r="F620" s="11">
        <v>3</v>
      </c>
      <c r="G620" s="12">
        <v>0</v>
      </c>
      <c r="H620" s="10">
        <v>1</v>
      </c>
      <c r="I620" s="10">
        <v>1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2">
        <v>0</v>
      </c>
      <c r="W620" s="10">
        <v>1</v>
      </c>
      <c r="X620" s="10">
        <v>1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0.22</v>
      </c>
    </row>
    <row r="621">
      <c r="A621" s="23">
        <v>4154</v>
      </c>
      <c r="B621" s="4" t="s">
        <v>862</v>
      </c>
      <c r="C621" s="4" t="s">
        <v>598</v>
      </c>
      <c r="D621" s="4" t="s">
        <v>863</v>
      </c>
      <c r="E621" s="4" t="s">
        <v>389</v>
      </c>
      <c r="F621" s="6">
        <v>3</v>
      </c>
      <c r="G621" s="7">
        <v>0</v>
      </c>
      <c r="H621" s="5">
        <v>2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7">
        <v>0</v>
      </c>
      <c r="W621" s="5">
        <v>2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0.76</v>
      </c>
    </row>
    <row r="622">
      <c r="A622" s="24">
        <v>4168</v>
      </c>
      <c r="B622" s="9" t="s">
        <v>864</v>
      </c>
      <c r="C622" s="9" t="s">
        <v>64</v>
      </c>
      <c r="D622" s="9" t="s">
        <v>85</v>
      </c>
      <c r="E622" s="9" t="s">
        <v>100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4187</v>
      </c>
      <c r="B623" s="4" t="s">
        <v>865</v>
      </c>
      <c r="C623" s="4" t="s">
        <v>598</v>
      </c>
      <c r="D623" s="4" t="s">
        <v>609</v>
      </c>
      <c r="E623" s="4" t="s">
        <v>389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0.22</v>
      </c>
    </row>
    <row r="624">
      <c r="A624" s="24">
        <v>4191</v>
      </c>
      <c r="B624" s="9" t="s">
        <v>866</v>
      </c>
      <c r="C624" s="9" t="s">
        <v>134</v>
      </c>
      <c r="D624" s="9" t="s">
        <v>684</v>
      </c>
      <c r="E624" s="9" t="s">
        <v>685</v>
      </c>
      <c r="F624" s="11">
        <v>8</v>
      </c>
      <c r="G624" s="12">
        <v>0</v>
      </c>
      <c r="H624" s="12">
        <v>0</v>
      </c>
      <c r="I624" s="12">
        <v>0</v>
      </c>
      <c r="J624" s="10">
        <v>8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2">
        <v>0</v>
      </c>
      <c r="W624" s="12">
        <v>0</v>
      </c>
      <c r="X624" s="12">
        <v>0</v>
      </c>
      <c r="Y624" s="10">
        <v>8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3</v>
      </c>
      <c r="AK624" s="13">
        <v>4</v>
      </c>
      <c r="AL624" s="10">
        <v>4</v>
      </c>
      <c r="AM624" s="10">
        <v>5</v>
      </c>
      <c r="AN624" s="29">
        <v>2.08</v>
      </c>
    </row>
    <row r="625">
      <c r="A625" s="23">
        <v>4198</v>
      </c>
      <c r="B625" s="4" t="s">
        <v>867</v>
      </c>
      <c r="C625" s="4" t="s">
        <v>64</v>
      </c>
      <c r="D625" s="4" t="s">
        <v>72</v>
      </c>
      <c r="E625" s="4" t="s">
        <v>152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0.26</v>
      </c>
    </row>
    <row r="626">
      <c r="A626" s="24">
        <v>4199</v>
      </c>
      <c r="B626" s="9" t="s">
        <v>868</v>
      </c>
      <c r="C626" s="9" t="s">
        <v>680</v>
      </c>
      <c r="D626" s="9" t="s">
        <v>869</v>
      </c>
      <c r="E626" s="9" t="s">
        <v>389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4207</v>
      </c>
      <c r="B627" s="4" t="s">
        <v>870</v>
      </c>
      <c r="C627" s="4" t="s">
        <v>64</v>
      </c>
      <c r="D627" s="4" t="s">
        <v>85</v>
      </c>
      <c r="E627" s="4" t="s">
        <v>138</v>
      </c>
      <c r="F627" s="6">
        <v>2</v>
      </c>
      <c r="G627" s="5">
        <v>1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1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0.52</v>
      </c>
    </row>
    <row r="628">
      <c r="A628" s="24">
        <v>4210</v>
      </c>
      <c r="B628" s="9" t="s">
        <v>871</v>
      </c>
      <c r="C628" s="9" t="s">
        <v>64</v>
      </c>
      <c r="D628" s="9" t="s">
        <v>85</v>
      </c>
      <c r="E628" s="9" t="s">
        <v>138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4213</v>
      </c>
      <c r="B629" s="4" t="s">
        <v>872</v>
      </c>
      <c r="C629" s="4" t="s">
        <v>680</v>
      </c>
      <c r="D629" s="4" t="s">
        <v>873</v>
      </c>
      <c r="E629" s="4" t="s">
        <v>389</v>
      </c>
      <c r="F629" s="6">
        <v>2</v>
      </c>
      <c r="G629" s="5">
        <v>1</v>
      </c>
      <c r="H629" s="5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1</v>
      </c>
      <c r="W629" s="5">
        <v>1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0.26</v>
      </c>
    </row>
    <row r="630">
      <c r="A630" s="24">
        <v>4225</v>
      </c>
      <c r="B630" s="9" t="s">
        <v>874</v>
      </c>
      <c r="C630" s="9" t="s">
        <v>64</v>
      </c>
      <c r="D630" s="9" t="s">
        <v>114</v>
      </c>
      <c r="E630" s="9" t="s">
        <v>120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4228</v>
      </c>
      <c r="B631" s="4" t="s">
        <v>875</v>
      </c>
      <c r="C631" s="4" t="s">
        <v>64</v>
      </c>
      <c r="D631" s="4" t="s">
        <v>76</v>
      </c>
      <c r="E631" s="4" t="s">
        <v>194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4230</v>
      </c>
      <c r="B632" s="9" t="s">
        <v>876</v>
      </c>
      <c r="C632" s="9" t="s">
        <v>64</v>
      </c>
      <c r="D632" s="9" t="s">
        <v>114</v>
      </c>
      <c r="E632" s="9" t="s">
        <v>120</v>
      </c>
      <c r="F632" s="11">
        <v>1</v>
      </c>
      <c r="G632" s="12">
        <v>0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4232</v>
      </c>
      <c r="B633" s="4" t="s">
        <v>877</v>
      </c>
      <c r="C633" s="4" t="s">
        <v>64</v>
      </c>
      <c r="D633" s="4" t="s">
        <v>72</v>
      </c>
      <c r="E633" s="4" t="s">
        <v>118</v>
      </c>
      <c r="F633" s="6">
        <v>3</v>
      </c>
      <c r="G633" s="5">
        <v>1</v>
      </c>
      <c r="H633" s="7">
        <v>0</v>
      </c>
      <c r="I633" s="5">
        <v>1</v>
      </c>
      <c r="J633" s="7">
        <v>0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1</v>
      </c>
      <c r="W633" s="7">
        <v>0</v>
      </c>
      <c r="X633" s="5">
        <v>1</v>
      </c>
      <c r="Y633" s="7">
        <v>0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0.75</v>
      </c>
    </row>
    <row r="634">
      <c r="A634" s="24">
        <v>4251</v>
      </c>
      <c r="B634" s="9" t="s">
        <v>878</v>
      </c>
      <c r="C634" s="9" t="s">
        <v>134</v>
      </c>
      <c r="D634" s="9" t="s">
        <v>374</v>
      </c>
      <c r="E634" s="9" t="s">
        <v>382</v>
      </c>
      <c r="F634" s="11">
        <v>2</v>
      </c>
      <c r="G634" s="12">
        <v>0</v>
      </c>
      <c r="H634" s="10">
        <v>1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2">
        <v>0</v>
      </c>
      <c r="W634" s="10">
        <v>1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0.24</v>
      </c>
    </row>
    <row r="635">
      <c r="A635" s="23">
        <v>4254</v>
      </c>
      <c r="B635" s="4" t="s">
        <v>879</v>
      </c>
      <c r="C635" s="4" t="s">
        <v>134</v>
      </c>
      <c r="D635" s="4" t="s">
        <v>374</v>
      </c>
      <c r="E635" s="4" t="s">
        <v>384</v>
      </c>
      <c r="F635" s="6">
        <v>2</v>
      </c>
      <c r="G635" s="7">
        <v>0</v>
      </c>
      <c r="H635" s="7">
        <v>0</v>
      </c>
      <c r="I635" s="5">
        <v>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7">
        <v>0</v>
      </c>
      <c r="W635" s="7">
        <v>0</v>
      </c>
      <c r="X635" s="5">
        <v>2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0.22</v>
      </c>
    </row>
    <row r="636">
      <c r="A636" s="24">
        <v>4278</v>
      </c>
      <c r="B636" s="9" t="s">
        <v>880</v>
      </c>
      <c r="C636" s="9" t="s">
        <v>64</v>
      </c>
      <c r="D636" s="9" t="s">
        <v>114</v>
      </c>
      <c r="E636" s="9" t="s">
        <v>120</v>
      </c>
      <c r="F636" s="11">
        <v>1</v>
      </c>
      <c r="G636" s="12">
        <v>0</v>
      </c>
      <c r="H636" s="10">
        <v>1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0">
        <v>1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4283</v>
      </c>
      <c r="B637" s="4" t="s">
        <v>881</v>
      </c>
      <c r="C637" s="4" t="s">
        <v>134</v>
      </c>
      <c r="D637" s="4" t="s">
        <v>432</v>
      </c>
      <c r="E637" s="4" t="s">
        <v>433</v>
      </c>
      <c r="F637" s="6">
        <v>2</v>
      </c>
      <c r="G637" s="5">
        <v>1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1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4289</v>
      </c>
      <c r="B638" s="9" t="s">
        <v>882</v>
      </c>
      <c r="C638" s="9" t="s">
        <v>64</v>
      </c>
      <c r="D638" s="9" t="s">
        <v>76</v>
      </c>
      <c r="E638" s="9" t="s">
        <v>77</v>
      </c>
      <c r="F638" s="11">
        <v>2</v>
      </c>
      <c r="G638" s="10">
        <v>2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0.35</v>
      </c>
    </row>
    <row r="639">
      <c r="A639" s="23">
        <v>4296</v>
      </c>
      <c r="B639" s="4" t="s">
        <v>883</v>
      </c>
      <c r="C639" s="4" t="s">
        <v>64</v>
      </c>
      <c r="D639" s="4" t="s">
        <v>72</v>
      </c>
      <c r="E639" s="4" t="s">
        <v>81</v>
      </c>
      <c r="F639" s="6">
        <v>2</v>
      </c>
      <c r="G639" s="7">
        <v>0</v>
      </c>
      <c r="H639" s="5">
        <v>1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7">
        <v>0</v>
      </c>
      <c r="W639" s="5">
        <v>1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0.22</v>
      </c>
    </row>
    <row r="640">
      <c r="A640" s="24">
        <v>4306</v>
      </c>
      <c r="B640" s="9" t="s">
        <v>884</v>
      </c>
      <c r="C640" s="9" t="s">
        <v>134</v>
      </c>
      <c r="D640" s="9" t="s">
        <v>374</v>
      </c>
      <c r="E640" s="9" t="s">
        <v>736</v>
      </c>
      <c r="F640" s="11">
        <v>4</v>
      </c>
      <c r="G640" s="10">
        <v>1</v>
      </c>
      <c r="H640" s="12">
        <v>0</v>
      </c>
      <c r="I640" s="10">
        <v>2</v>
      </c>
      <c r="J640" s="12">
        <v>0</v>
      </c>
      <c r="K640" s="12">
        <v>0</v>
      </c>
      <c r="L640" s="10">
        <v>1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4</v>
      </c>
      <c r="V640" s="10">
        <v>1</v>
      </c>
      <c r="W640" s="12">
        <v>0</v>
      </c>
      <c r="X640" s="10">
        <v>2</v>
      </c>
      <c r="Y640" s="12">
        <v>0</v>
      </c>
      <c r="Z640" s="12">
        <v>0</v>
      </c>
      <c r="AA640" s="10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1.33</v>
      </c>
      <c r="AL640" s="10">
        <v>1</v>
      </c>
      <c r="AM640" s="10">
        <v>2</v>
      </c>
      <c r="AN640" s="49">
        <v>0</v>
      </c>
    </row>
    <row r="641">
      <c r="A641" s="23">
        <v>4310</v>
      </c>
      <c r="B641" s="4" t="s">
        <v>885</v>
      </c>
      <c r="C641" s="4" t="s">
        <v>64</v>
      </c>
      <c r="D641" s="4" t="s">
        <v>76</v>
      </c>
      <c r="E641" s="4" t="s">
        <v>122</v>
      </c>
      <c r="F641" s="6">
        <v>1</v>
      </c>
      <c r="G641" s="7">
        <v>0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0.26</v>
      </c>
    </row>
    <row r="642">
      <c r="A642" s="24">
        <v>4313</v>
      </c>
      <c r="B642" s="9" t="s">
        <v>886</v>
      </c>
      <c r="C642" s="9" t="s">
        <v>64</v>
      </c>
      <c r="D642" s="9" t="s">
        <v>68</v>
      </c>
      <c r="E642" s="9" t="s">
        <v>267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0.36</v>
      </c>
    </row>
    <row r="643">
      <c r="A643" s="23">
        <v>4337</v>
      </c>
      <c r="B643" s="4" t="s">
        <v>887</v>
      </c>
      <c r="C643" s="4" t="s">
        <v>134</v>
      </c>
      <c r="D643" s="4" t="s">
        <v>374</v>
      </c>
      <c r="E643" s="4" t="s">
        <v>736</v>
      </c>
      <c r="F643" s="6">
        <v>2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0.24</v>
      </c>
    </row>
    <row r="644">
      <c r="A644" s="24">
        <v>4345</v>
      </c>
      <c r="B644" s="9" t="s">
        <v>888</v>
      </c>
      <c r="C644" s="9" t="s">
        <v>134</v>
      </c>
      <c r="D644" s="9" t="s">
        <v>432</v>
      </c>
      <c r="E644" s="9" t="s">
        <v>433</v>
      </c>
      <c r="F644" s="11">
        <v>5</v>
      </c>
      <c r="G644" s="12">
        <v>0</v>
      </c>
      <c r="H644" s="10">
        <v>1</v>
      </c>
      <c r="I644" s="10">
        <v>1</v>
      </c>
      <c r="J644" s="10">
        <v>3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4</v>
      </c>
      <c r="V644" s="12">
        <v>0</v>
      </c>
      <c r="W644" s="10">
        <v>1</v>
      </c>
      <c r="X644" s="10">
        <v>1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1.25</v>
      </c>
      <c r="AL644" s="10">
        <v>1</v>
      </c>
      <c r="AM644" s="10">
        <v>2</v>
      </c>
      <c r="AN644" s="29">
        <v>0.5</v>
      </c>
    </row>
    <row r="645">
      <c r="A645" s="23">
        <v>4388</v>
      </c>
      <c r="B645" s="4" t="s">
        <v>889</v>
      </c>
      <c r="C645" s="4" t="s">
        <v>611</v>
      </c>
      <c r="D645" s="4" t="s">
        <v>615</v>
      </c>
      <c r="E645" s="4" t="s">
        <v>890</v>
      </c>
      <c r="F645" s="6">
        <v>1</v>
      </c>
      <c r="G645" s="7">
        <v>0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4396</v>
      </c>
      <c r="B646" s="9" t="s">
        <v>891</v>
      </c>
      <c r="C646" s="9" t="s">
        <v>611</v>
      </c>
      <c r="D646" s="9" t="s">
        <v>615</v>
      </c>
      <c r="E646" s="9" t="s">
        <v>890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4399</v>
      </c>
      <c r="B647" s="4" t="s">
        <v>892</v>
      </c>
      <c r="C647" s="4" t="s">
        <v>64</v>
      </c>
      <c r="D647" s="4" t="s">
        <v>85</v>
      </c>
      <c r="E647" s="4" t="s">
        <v>86</v>
      </c>
      <c r="F647" s="6">
        <v>1</v>
      </c>
      <c r="G647" s="7">
        <v>0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4401</v>
      </c>
      <c r="B648" s="9" t="s">
        <v>893</v>
      </c>
      <c r="C648" s="9" t="s">
        <v>598</v>
      </c>
      <c r="D648" s="9" t="s">
        <v>607</v>
      </c>
      <c r="E648" s="9" t="s">
        <v>389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4402</v>
      </c>
      <c r="B649" s="4" t="s">
        <v>894</v>
      </c>
      <c r="C649" s="4" t="s">
        <v>162</v>
      </c>
      <c r="D649" s="4" t="s">
        <v>639</v>
      </c>
      <c r="E649" s="4" t="s">
        <v>895</v>
      </c>
      <c r="F649" s="6">
        <v>1</v>
      </c>
      <c r="G649" s="7">
        <v>0</v>
      </c>
      <c r="H649" s="7">
        <v>0</v>
      </c>
      <c r="I649" s="7">
        <v>0</v>
      </c>
      <c r="J649" s="7">
        <v>0</v>
      </c>
      <c r="K649" s="5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7">
        <v>0</v>
      </c>
      <c r="Z649" s="5">
        <v>1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4410</v>
      </c>
      <c r="B650" s="9" t="s">
        <v>896</v>
      </c>
      <c r="C650" s="9" t="s">
        <v>64</v>
      </c>
      <c r="D650" s="9" t="s">
        <v>85</v>
      </c>
      <c r="E650" s="9" t="s">
        <v>220</v>
      </c>
      <c r="F650" s="11">
        <v>2</v>
      </c>
      <c r="G650" s="12">
        <v>0</v>
      </c>
      <c r="H650" s="12">
        <v>0</v>
      </c>
      <c r="I650" s="12">
        <v>0</v>
      </c>
      <c r="J650" s="12">
        <v>0</v>
      </c>
      <c r="K650" s="10">
        <v>2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2">
        <v>0</v>
      </c>
      <c r="X650" s="12">
        <v>0</v>
      </c>
      <c r="Y650" s="12">
        <v>0</v>
      </c>
      <c r="Z650" s="10">
        <v>2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49">
        <v>0</v>
      </c>
    </row>
    <row r="651">
      <c r="A651" s="23">
        <v>4411</v>
      </c>
      <c r="B651" s="4" t="s">
        <v>897</v>
      </c>
      <c r="C651" s="4" t="s">
        <v>134</v>
      </c>
      <c r="D651" s="4" t="s">
        <v>898</v>
      </c>
      <c r="E651" s="4" t="s">
        <v>389</v>
      </c>
      <c r="F651" s="6">
        <v>4</v>
      </c>
      <c r="G651" s="5">
        <v>1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1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28">
        <v>1.04</v>
      </c>
    </row>
    <row r="652">
      <c r="A652" s="24">
        <v>4414</v>
      </c>
      <c r="B652" s="9" t="s">
        <v>899</v>
      </c>
      <c r="C652" s="9" t="s">
        <v>64</v>
      </c>
      <c r="D652" s="9" t="s">
        <v>72</v>
      </c>
      <c r="E652" s="9" t="s">
        <v>646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4418</v>
      </c>
      <c r="B653" s="4" t="s">
        <v>900</v>
      </c>
      <c r="C653" s="4" t="s">
        <v>64</v>
      </c>
      <c r="D653" s="4" t="s">
        <v>76</v>
      </c>
      <c r="E653" s="4" t="s">
        <v>77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4422</v>
      </c>
      <c r="B654" s="9" t="s">
        <v>901</v>
      </c>
      <c r="C654" s="9" t="s">
        <v>64</v>
      </c>
      <c r="D654" s="9" t="s">
        <v>114</v>
      </c>
      <c r="E654" s="9" t="s">
        <v>212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4432</v>
      </c>
      <c r="B655" s="4" t="s">
        <v>902</v>
      </c>
      <c r="C655" s="4" t="s">
        <v>64</v>
      </c>
      <c r="D655" s="4" t="s">
        <v>68</v>
      </c>
      <c r="E655" s="4" t="s">
        <v>267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28">
        <v>0.37</v>
      </c>
    </row>
    <row r="656">
      <c r="A656" s="24">
        <v>4440</v>
      </c>
      <c r="B656" s="9" t="s">
        <v>903</v>
      </c>
      <c r="C656" s="9" t="s">
        <v>64</v>
      </c>
      <c r="D656" s="9" t="s">
        <v>68</v>
      </c>
      <c r="E656" s="9" t="s">
        <v>267</v>
      </c>
      <c r="F656" s="11">
        <v>2</v>
      </c>
      <c r="G656" s="10">
        <v>1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0.63</v>
      </c>
    </row>
    <row r="657">
      <c r="A657" s="23">
        <v>4444</v>
      </c>
      <c r="B657" s="4" t="s">
        <v>904</v>
      </c>
      <c r="C657" s="4" t="s">
        <v>598</v>
      </c>
      <c r="D657" s="4" t="s">
        <v>609</v>
      </c>
      <c r="E657" s="4" t="s">
        <v>389</v>
      </c>
      <c r="F657" s="6">
        <v>2</v>
      </c>
      <c r="G657" s="7">
        <v>0</v>
      </c>
      <c r="H657" s="7">
        <v>0</v>
      </c>
      <c r="I657" s="5">
        <v>1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7">
        <v>0</v>
      </c>
      <c r="W657" s="7">
        <v>0</v>
      </c>
      <c r="X657" s="5">
        <v>1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4449</v>
      </c>
      <c r="B658" s="9" t="s">
        <v>905</v>
      </c>
      <c r="C658" s="9" t="s">
        <v>64</v>
      </c>
      <c r="D658" s="9" t="s">
        <v>76</v>
      </c>
      <c r="E658" s="9" t="s">
        <v>329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9">
        <v>0</v>
      </c>
    </row>
    <row r="659">
      <c r="A659" s="23">
        <v>4453</v>
      </c>
      <c r="B659" s="4" t="s">
        <v>906</v>
      </c>
      <c r="C659" s="4" t="s">
        <v>64</v>
      </c>
      <c r="D659" s="4" t="s">
        <v>68</v>
      </c>
      <c r="E659" s="4" t="s">
        <v>267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0.24</v>
      </c>
    </row>
    <row r="660">
      <c r="A660" s="24">
        <v>4457</v>
      </c>
      <c r="B660" s="9" t="s">
        <v>907</v>
      </c>
      <c r="C660" s="9" t="s">
        <v>162</v>
      </c>
      <c r="D660" s="9" t="s">
        <v>163</v>
      </c>
      <c r="E660" s="9" t="s">
        <v>178</v>
      </c>
      <c r="F660" s="11">
        <v>3</v>
      </c>
      <c r="G660" s="10">
        <v>2</v>
      </c>
      <c r="H660" s="12">
        <v>0</v>
      </c>
      <c r="I660" s="12">
        <v>0</v>
      </c>
      <c r="J660" s="12">
        <v>0</v>
      </c>
      <c r="K660" s="10">
        <v>1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</v>
      </c>
      <c r="V660" s="10">
        <v>2</v>
      </c>
      <c r="W660" s="12">
        <v>0</v>
      </c>
      <c r="X660" s="12">
        <v>0</v>
      </c>
      <c r="Y660" s="12">
        <v>0</v>
      </c>
      <c r="Z660" s="10">
        <v>1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49">
        <v>0</v>
      </c>
    </row>
    <row r="661">
      <c r="A661" s="23">
        <v>4467</v>
      </c>
      <c r="B661" s="4" t="s">
        <v>908</v>
      </c>
      <c r="C661" s="4" t="s">
        <v>64</v>
      </c>
      <c r="D661" s="4" t="s">
        <v>114</v>
      </c>
      <c r="E661" s="4" t="s">
        <v>909</v>
      </c>
      <c r="F661" s="6">
        <v>2</v>
      </c>
      <c r="G661" s="7">
        <v>0</v>
      </c>
      <c r="H661" s="7">
        <v>0</v>
      </c>
      <c r="I661" s="5">
        <v>1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7">
        <v>0</v>
      </c>
      <c r="W661" s="7">
        <v>0</v>
      </c>
      <c r="X661" s="5">
        <v>1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</v>
      </c>
    </row>
    <row r="662">
      <c r="A662" s="24">
        <v>4469</v>
      </c>
      <c r="B662" s="9" t="s">
        <v>910</v>
      </c>
      <c r="C662" s="9" t="s">
        <v>64</v>
      </c>
      <c r="D662" s="9" t="s">
        <v>114</v>
      </c>
      <c r="E662" s="9" t="s">
        <v>115</v>
      </c>
      <c r="F662" s="11">
        <v>1</v>
      </c>
      <c r="G662" s="12">
        <v>0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0.24</v>
      </c>
    </row>
    <row r="663">
      <c r="A663" s="23">
        <v>4478</v>
      </c>
      <c r="B663" s="4" t="s">
        <v>911</v>
      </c>
      <c r="C663" s="4" t="s">
        <v>598</v>
      </c>
      <c r="D663" s="4" t="s">
        <v>912</v>
      </c>
      <c r="E663" s="4" t="s">
        <v>389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0.26</v>
      </c>
    </row>
    <row r="664">
      <c r="A664" s="24">
        <v>4483</v>
      </c>
      <c r="B664" s="9" t="s">
        <v>913</v>
      </c>
      <c r="C664" s="9" t="s">
        <v>914</v>
      </c>
      <c r="D664" s="9" t="s">
        <v>389</v>
      </c>
      <c r="E664" s="9" t="s">
        <v>389</v>
      </c>
      <c r="F664" s="11">
        <v>2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4484</v>
      </c>
      <c r="B665" s="4" t="s">
        <v>915</v>
      </c>
      <c r="C665" s="4" t="s">
        <v>162</v>
      </c>
      <c r="D665" s="4" t="s">
        <v>187</v>
      </c>
      <c r="E665" s="4" t="s">
        <v>198</v>
      </c>
      <c r="F665" s="6">
        <v>6</v>
      </c>
      <c r="G665" s="5">
        <v>2</v>
      </c>
      <c r="H665" s="7">
        <v>0</v>
      </c>
      <c r="I665" s="5">
        <v>1</v>
      </c>
      <c r="J665" s="7">
        <v>0</v>
      </c>
      <c r="K665" s="5">
        <v>3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6</v>
      </c>
      <c r="V665" s="5">
        <v>2</v>
      </c>
      <c r="W665" s="7">
        <v>0</v>
      </c>
      <c r="X665" s="5">
        <v>1</v>
      </c>
      <c r="Y665" s="7">
        <v>0</v>
      </c>
      <c r="Z665" s="5">
        <v>3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30">
        <v>0</v>
      </c>
    </row>
    <row r="666">
      <c r="A666" s="24">
        <v>4490</v>
      </c>
      <c r="B666" s="9" t="s">
        <v>916</v>
      </c>
      <c r="C666" s="9" t="s">
        <v>64</v>
      </c>
      <c r="D666" s="9" t="s">
        <v>114</v>
      </c>
      <c r="E666" s="9" t="s">
        <v>115</v>
      </c>
      <c r="F666" s="11">
        <v>1</v>
      </c>
      <c r="G666" s="12">
        <v>0</v>
      </c>
      <c r="H666" s="10">
        <v>1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0">
        <v>1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0.35</v>
      </c>
    </row>
    <row r="667">
      <c r="A667" s="23">
        <v>4494</v>
      </c>
      <c r="B667" s="4" t="s">
        <v>917</v>
      </c>
      <c r="C667" s="4" t="s">
        <v>162</v>
      </c>
      <c r="D667" s="4" t="s">
        <v>163</v>
      </c>
      <c r="E667" s="4" t="s">
        <v>164</v>
      </c>
      <c r="F667" s="6">
        <v>1</v>
      </c>
      <c r="G667" s="7">
        <v>0</v>
      </c>
      <c r="H667" s="7">
        <v>0</v>
      </c>
      <c r="I667" s="7">
        <v>0</v>
      </c>
      <c r="J667" s="7">
        <v>0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7">
        <v>0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4501</v>
      </c>
      <c r="B668" s="9" t="s">
        <v>918</v>
      </c>
      <c r="C668" s="9" t="s">
        <v>598</v>
      </c>
      <c r="D668" s="9" t="s">
        <v>919</v>
      </c>
      <c r="E668" s="9" t="s">
        <v>389</v>
      </c>
      <c r="F668" s="11">
        <v>9</v>
      </c>
      <c r="G668" s="12">
        <v>0</v>
      </c>
      <c r="H668" s="12">
        <v>0</v>
      </c>
      <c r="I668" s="12">
        <v>0</v>
      </c>
      <c r="J668" s="10">
        <v>9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9</v>
      </c>
      <c r="V668" s="12">
        <v>0</v>
      </c>
      <c r="W668" s="12">
        <v>0</v>
      </c>
      <c r="X668" s="12">
        <v>0</v>
      </c>
      <c r="Y668" s="10">
        <v>9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9</v>
      </c>
      <c r="AK668" s="13">
        <v>9</v>
      </c>
      <c r="AL668" s="10">
        <v>9</v>
      </c>
      <c r="AM668" s="10">
        <v>9</v>
      </c>
      <c r="AN668" s="29">
        <v>2.34</v>
      </c>
    </row>
    <row r="669">
      <c r="A669" s="23">
        <v>4511</v>
      </c>
      <c r="B669" s="4" t="s">
        <v>920</v>
      </c>
      <c r="C669" s="4" t="s">
        <v>162</v>
      </c>
      <c r="D669" s="4" t="s">
        <v>163</v>
      </c>
      <c r="E669" s="4" t="s">
        <v>164</v>
      </c>
      <c r="F669" s="6">
        <v>3</v>
      </c>
      <c r="G669" s="7">
        <v>0</v>
      </c>
      <c r="H669" s="5">
        <v>1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7">
        <v>0</v>
      </c>
      <c r="W669" s="5">
        <v>1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0.75</v>
      </c>
    </row>
    <row r="670">
      <c r="A670" s="24">
        <v>4522</v>
      </c>
      <c r="B670" s="9" t="s">
        <v>921</v>
      </c>
      <c r="C670" s="9" t="s">
        <v>598</v>
      </c>
      <c r="D670" s="9" t="s">
        <v>922</v>
      </c>
      <c r="E670" s="9" t="s">
        <v>389</v>
      </c>
      <c r="F670" s="11">
        <v>1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0">
        <v>1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0">
        <v>1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0.26</v>
      </c>
    </row>
    <row r="671">
      <c r="A671" s="23">
        <v>4529</v>
      </c>
      <c r="B671" s="4" t="s">
        <v>923</v>
      </c>
      <c r="C671" s="4" t="s">
        <v>64</v>
      </c>
      <c r="D671" s="4" t="s">
        <v>93</v>
      </c>
      <c r="E671" s="4" t="s">
        <v>326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30">
        <v>0</v>
      </c>
    </row>
    <row r="672">
      <c r="A672" s="24">
        <v>4530</v>
      </c>
      <c r="B672" s="9" t="s">
        <v>924</v>
      </c>
      <c r="C672" s="9" t="s">
        <v>598</v>
      </c>
      <c r="D672" s="9" t="s">
        <v>609</v>
      </c>
      <c r="E672" s="9" t="s">
        <v>389</v>
      </c>
      <c r="F672" s="11">
        <v>1</v>
      </c>
      <c r="G672" s="12">
        <v>0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0.36</v>
      </c>
    </row>
    <row r="673">
      <c r="A673" s="23">
        <v>4543</v>
      </c>
      <c r="B673" s="4" t="s">
        <v>925</v>
      </c>
      <c r="C673" s="4" t="s">
        <v>598</v>
      </c>
      <c r="D673" s="4" t="s">
        <v>863</v>
      </c>
      <c r="E673" s="4" t="s">
        <v>389</v>
      </c>
      <c r="F673" s="6">
        <v>2</v>
      </c>
      <c r="G673" s="7">
        <v>0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28">
        <v>0.26</v>
      </c>
    </row>
    <row r="674">
      <c r="A674" s="24">
        <v>4544</v>
      </c>
      <c r="B674" s="9" t="s">
        <v>926</v>
      </c>
      <c r="C674" s="9" t="s">
        <v>598</v>
      </c>
      <c r="D674" s="9" t="s">
        <v>635</v>
      </c>
      <c r="E674" s="9" t="s">
        <v>389</v>
      </c>
      <c r="F674" s="11">
        <v>1</v>
      </c>
      <c r="G674" s="12">
        <v>0</v>
      </c>
      <c r="H674" s="12">
        <v>0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0.26</v>
      </c>
    </row>
    <row r="675">
      <c r="A675" s="23">
        <v>4546</v>
      </c>
      <c r="B675" s="4" t="s">
        <v>927</v>
      </c>
      <c r="C675" s="4" t="s">
        <v>64</v>
      </c>
      <c r="D675" s="4" t="s">
        <v>156</v>
      </c>
      <c r="E675" s="4" t="s">
        <v>157</v>
      </c>
      <c r="F675" s="6">
        <v>2</v>
      </c>
      <c r="G675" s="5">
        <v>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0">
        <v>0</v>
      </c>
    </row>
    <row r="676">
      <c r="A676" s="24">
        <v>4548</v>
      </c>
      <c r="B676" s="9" t="s">
        <v>928</v>
      </c>
      <c r="C676" s="9" t="s">
        <v>64</v>
      </c>
      <c r="D676" s="9" t="s">
        <v>114</v>
      </c>
      <c r="E676" s="9" t="s">
        <v>115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9">
        <v>0</v>
      </c>
    </row>
    <row r="677">
      <c r="A677" s="23">
        <v>4552</v>
      </c>
      <c r="B677" s="4" t="s">
        <v>929</v>
      </c>
      <c r="C677" s="4" t="s">
        <v>64</v>
      </c>
      <c r="D677" s="4" t="s">
        <v>85</v>
      </c>
      <c r="E677" s="4" t="s">
        <v>220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4564</v>
      </c>
      <c r="B678" s="9" t="s">
        <v>930</v>
      </c>
      <c r="C678" s="9" t="s">
        <v>611</v>
      </c>
      <c r="D678" s="9" t="s">
        <v>615</v>
      </c>
      <c r="E678" s="9" t="s">
        <v>890</v>
      </c>
      <c r="F678" s="11">
        <v>3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0">
        <v>2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0">
        <v>2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49">
        <v>0</v>
      </c>
    </row>
    <row r="679">
      <c r="A679" s="23">
        <v>4567</v>
      </c>
      <c r="B679" s="4" t="s">
        <v>931</v>
      </c>
      <c r="C679" s="4" t="s">
        <v>64</v>
      </c>
      <c r="D679" s="4" t="s">
        <v>72</v>
      </c>
      <c r="E679" s="4" t="s">
        <v>646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4582</v>
      </c>
      <c r="B680" s="9" t="s">
        <v>932</v>
      </c>
      <c r="C680" s="9" t="s">
        <v>64</v>
      </c>
      <c r="D680" s="9" t="s">
        <v>76</v>
      </c>
      <c r="E680" s="9" t="s">
        <v>77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4583</v>
      </c>
      <c r="B681" s="4" t="s">
        <v>933</v>
      </c>
      <c r="C681" s="4" t="s">
        <v>64</v>
      </c>
      <c r="D681" s="4" t="s">
        <v>114</v>
      </c>
      <c r="E681" s="4" t="s">
        <v>212</v>
      </c>
      <c r="F681" s="6">
        <v>6</v>
      </c>
      <c r="G681" s="5">
        <v>2</v>
      </c>
      <c r="H681" s="7">
        <v>0</v>
      </c>
      <c r="I681" s="5">
        <v>2</v>
      </c>
      <c r="J681" s="5">
        <v>1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6</v>
      </c>
      <c r="V681" s="5">
        <v>2</v>
      </c>
      <c r="W681" s="7">
        <v>0</v>
      </c>
      <c r="X681" s="5">
        <v>2</v>
      </c>
      <c r="Y681" s="5">
        <v>1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0.39</v>
      </c>
    </row>
    <row r="682">
      <c r="A682" s="24">
        <v>4596</v>
      </c>
      <c r="B682" s="9" t="s">
        <v>934</v>
      </c>
      <c r="C682" s="9" t="s">
        <v>162</v>
      </c>
      <c r="D682" s="9" t="s">
        <v>163</v>
      </c>
      <c r="E682" s="9" t="s">
        <v>164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4606</v>
      </c>
      <c r="B683" s="4" t="s">
        <v>935</v>
      </c>
      <c r="C683" s="4" t="s">
        <v>64</v>
      </c>
      <c r="D683" s="4" t="s">
        <v>93</v>
      </c>
      <c r="E683" s="4" t="s">
        <v>450</v>
      </c>
      <c r="F683" s="6">
        <v>3</v>
      </c>
      <c r="G683" s="5">
        <v>1</v>
      </c>
      <c r="H683" s="7">
        <v>0</v>
      </c>
      <c r="I683" s="5">
        <v>2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28">
        <v>0.26</v>
      </c>
    </row>
    <row r="684">
      <c r="A684" s="24">
        <v>4622</v>
      </c>
      <c r="B684" s="9" t="s">
        <v>936</v>
      </c>
      <c r="C684" s="9" t="s">
        <v>680</v>
      </c>
      <c r="D684" s="9" t="s">
        <v>937</v>
      </c>
      <c r="E684" s="9" t="s">
        <v>389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0.26</v>
      </c>
    </row>
    <row r="685">
      <c r="A685" s="23">
        <v>4625</v>
      </c>
      <c r="B685" s="4" t="s">
        <v>938</v>
      </c>
      <c r="C685" s="4" t="s">
        <v>64</v>
      </c>
      <c r="D685" s="4" t="s">
        <v>114</v>
      </c>
      <c r="E685" s="4" t="s">
        <v>143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0.26</v>
      </c>
    </row>
    <row r="686">
      <c r="A686" s="24">
        <v>4627</v>
      </c>
      <c r="B686" s="9" t="s">
        <v>939</v>
      </c>
      <c r="C686" s="9" t="s">
        <v>64</v>
      </c>
      <c r="D686" s="9" t="s">
        <v>68</v>
      </c>
      <c r="E686" s="9" t="s">
        <v>112</v>
      </c>
      <c r="F686" s="11">
        <v>1</v>
      </c>
      <c r="G686" s="12">
        <v>0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0.26</v>
      </c>
    </row>
    <row r="687">
      <c r="A687" s="23">
        <v>4630</v>
      </c>
      <c r="B687" s="4" t="s">
        <v>851</v>
      </c>
      <c r="C687" s="4" t="s">
        <v>64</v>
      </c>
      <c r="D687" s="4" t="s">
        <v>114</v>
      </c>
      <c r="E687" s="4" t="s">
        <v>143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4632</v>
      </c>
      <c r="B688" s="9" t="s">
        <v>940</v>
      </c>
      <c r="C688" s="9" t="s">
        <v>64</v>
      </c>
      <c r="D688" s="9" t="s">
        <v>76</v>
      </c>
      <c r="E688" s="9" t="s">
        <v>79</v>
      </c>
      <c r="F688" s="11">
        <v>1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9">
        <v>0</v>
      </c>
    </row>
    <row r="689">
      <c r="A689" s="23">
        <v>4637</v>
      </c>
      <c r="B689" s="4" t="s">
        <v>941</v>
      </c>
      <c r="C689" s="4" t="s">
        <v>64</v>
      </c>
      <c r="D689" s="4" t="s">
        <v>102</v>
      </c>
      <c r="E689" s="4" t="s">
        <v>224</v>
      </c>
      <c r="F689" s="6">
        <v>3</v>
      </c>
      <c r="G689" s="5">
        <v>2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2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30">
        <v>0</v>
      </c>
    </row>
    <row r="690">
      <c r="A690" s="24">
        <v>4639</v>
      </c>
      <c r="B690" s="9" t="s">
        <v>942</v>
      </c>
      <c r="C690" s="9" t="s">
        <v>64</v>
      </c>
      <c r="D690" s="9" t="s">
        <v>76</v>
      </c>
      <c r="E690" s="9" t="s">
        <v>77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4648</v>
      </c>
      <c r="B691" s="4" t="s">
        <v>943</v>
      </c>
      <c r="C691" s="4" t="s">
        <v>64</v>
      </c>
      <c r="D691" s="4" t="s">
        <v>68</v>
      </c>
      <c r="E691" s="4" t="s">
        <v>112</v>
      </c>
      <c r="F691" s="6">
        <v>2</v>
      </c>
      <c r="G691" s="7">
        <v>0</v>
      </c>
      <c r="H691" s="7">
        <v>0</v>
      </c>
      <c r="I691" s="7">
        <v>0</v>
      </c>
      <c r="J691" s="7">
        <v>0</v>
      </c>
      <c r="K691" s="5">
        <v>2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</v>
      </c>
      <c r="V691" s="7">
        <v>0</v>
      </c>
      <c r="W691" s="7">
        <v>0</v>
      </c>
      <c r="X691" s="7">
        <v>0</v>
      </c>
      <c r="Y691" s="7">
        <v>0</v>
      </c>
      <c r="Z691" s="5">
        <v>2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30">
        <v>0</v>
      </c>
    </row>
    <row r="692">
      <c r="A692" s="24">
        <v>4672</v>
      </c>
      <c r="B692" s="9" t="s">
        <v>944</v>
      </c>
      <c r="C692" s="9" t="s">
        <v>64</v>
      </c>
      <c r="D692" s="9" t="s">
        <v>156</v>
      </c>
      <c r="E692" s="9" t="s">
        <v>945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1.33</v>
      </c>
      <c r="AL692" s="10">
        <v>1</v>
      </c>
      <c r="AM692" s="10">
        <v>2</v>
      </c>
      <c r="AN692" s="29">
        <v>0.74</v>
      </c>
    </row>
    <row r="693">
      <c r="A693" s="23">
        <v>4674</v>
      </c>
      <c r="B693" s="4" t="s">
        <v>946</v>
      </c>
      <c r="C693" s="4" t="s">
        <v>64</v>
      </c>
      <c r="D693" s="4" t="s">
        <v>85</v>
      </c>
      <c r="E693" s="4" t="s">
        <v>86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0.26</v>
      </c>
    </row>
    <row r="694">
      <c r="A694" s="24">
        <v>4675</v>
      </c>
      <c r="B694" s="9" t="s">
        <v>947</v>
      </c>
      <c r="C694" s="9" t="s">
        <v>64</v>
      </c>
      <c r="D694" s="9" t="s">
        <v>146</v>
      </c>
      <c r="E694" s="9" t="s">
        <v>147</v>
      </c>
      <c r="F694" s="11">
        <v>4</v>
      </c>
      <c r="G694" s="10">
        <v>4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0">
        <v>4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2</v>
      </c>
      <c r="AM694" s="10">
        <v>3</v>
      </c>
      <c r="AN694" s="29">
        <v>0.35</v>
      </c>
    </row>
    <row r="695">
      <c r="A695" s="23">
        <v>4680</v>
      </c>
      <c r="B695" s="4" t="s">
        <v>948</v>
      </c>
      <c r="C695" s="4" t="s">
        <v>64</v>
      </c>
      <c r="D695" s="4" t="s">
        <v>85</v>
      </c>
      <c r="E695" s="4" t="s">
        <v>132</v>
      </c>
      <c r="F695" s="6">
        <v>1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4684</v>
      </c>
      <c r="B696" s="9" t="s">
        <v>949</v>
      </c>
      <c r="C696" s="9" t="s">
        <v>64</v>
      </c>
      <c r="D696" s="9" t="s">
        <v>85</v>
      </c>
      <c r="E696" s="9" t="s">
        <v>132</v>
      </c>
      <c r="F696" s="11">
        <v>1</v>
      </c>
      <c r="G696" s="12">
        <v>0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4687</v>
      </c>
      <c r="B697" s="4" t="s">
        <v>950</v>
      </c>
      <c r="C697" s="4" t="s">
        <v>64</v>
      </c>
      <c r="D697" s="4" t="s">
        <v>85</v>
      </c>
      <c r="E697" s="4" t="s">
        <v>130</v>
      </c>
      <c r="F697" s="6">
        <v>4</v>
      </c>
      <c r="G697" s="5">
        <v>2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</v>
      </c>
      <c r="V697" s="5">
        <v>2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1.12</v>
      </c>
    </row>
    <row r="698">
      <c r="A698" s="24">
        <v>4689</v>
      </c>
      <c r="B698" s="9" t="s">
        <v>951</v>
      </c>
      <c r="C698" s="9" t="s">
        <v>64</v>
      </c>
      <c r="D698" s="9" t="s">
        <v>102</v>
      </c>
      <c r="E698" s="9" t="s">
        <v>103</v>
      </c>
      <c r="F698" s="11">
        <v>3</v>
      </c>
      <c r="G698" s="10">
        <v>2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0">
        <v>2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29">
        <v>0.25</v>
      </c>
    </row>
    <row r="699">
      <c r="A699" s="23">
        <v>4695</v>
      </c>
      <c r="B699" s="4" t="s">
        <v>952</v>
      </c>
      <c r="C699" s="4" t="s">
        <v>64</v>
      </c>
      <c r="D699" s="4" t="s">
        <v>102</v>
      </c>
      <c r="E699" s="4" t="s">
        <v>248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0.36</v>
      </c>
    </row>
    <row r="700">
      <c r="A700" s="24">
        <v>4704</v>
      </c>
      <c r="B700" s="9" t="s">
        <v>953</v>
      </c>
      <c r="C700" s="9" t="s">
        <v>64</v>
      </c>
      <c r="D700" s="9" t="s">
        <v>146</v>
      </c>
      <c r="E700" s="9" t="s">
        <v>147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9">
        <v>0</v>
      </c>
    </row>
    <row r="701">
      <c r="A701" s="23">
        <v>4707</v>
      </c>
      <c r="B701" s="4" t="s">
        <v>954</v>
      </c>
      <c r="C701" s="4" t="s">
        <v>64</v>
      </c>
      <c r="D701" s="4" t="s">
        <v>146</v>
      </c>
      <c r="E701" s="4" t="s">
        <v>147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5">
        <v>2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</v>
      </c>
      <c r="AL701" s="5">
        <v>3</v>
      </c>
      <c r="AM701" s="5">
        <v>3</v>
      </c>
      <c r="AN701" s="30">
        <v>0</v>
      </c>
    </row>
    <row r="702">
      <c r="A702" s="24">
        <v>4709</v>
      </c>
      <c r="B702" s="9" t="s">
        <v>955</v>
      </c>
      <c r="C702" s="9" t="s">
        <v>64</v>
      </c>
      <c r="D702" s="9" t="s">
        <v>146</v>
      </c>
      <c r="E702" s="9" t="s">
        <v>147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9">
        <v>0</v>
      </c>
    </row>
    <row r="703">
      <c r="A703" s="23">
        <v>4712</v>
      </c>
      <c r="B703" s="4" t="s">
        <v>956</v>
      </c>
      <c r="C703" s="4" t="s">
        <v>64</v>
      </c>
      <c r="D703" s="4" t="s">
        <v>76</v>
      </c>
      <c r="E703" s="4" t="s">
        <v>88</v>
      </c>
      <c r="F703" s="6">
        <v>4</v>
      </c>
      <c r="G703" s="5">
        <v>1</v>
      </c>
      <c r="H703" s="5">
        <v>1</v>
      </c>
      <c r="I703" s="5">
        <v>2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1</v>
      </c>
      <c r="W703" s="5">
        <v>1</v>
      </c>
      <c r="X703" s="5">
        <v>2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30">
        <v>0</v>
      </c>
    </row>
    <row r="704">
      <c r="A704" s="24">
        <v>4716</v>
      </c>
      <c r="B704" s="9" t="s">
        <v>957</v>
      </c>
      <c r="C704" s="9" t="s">
        <v>64</v>
      </c>
      <c r="D704" s="9" t="s">
        <v>114</v>
      </c>
      <c r="E704" s="9" t="s">
        <v>120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4734</v>
      </c>
      <c r="B705" s="4" t="s">
        <v>958</v>
      </c>
      <c r="C705" s="4" t="s">
        <v>64</v>
      </c>
      <c r="D705" s="4" t="s">
        <v>85</v>
      </c>
      <c r="E705" s="4" t="s">
        <v>220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0.26</v>
      </c>
    </row>
    <row r="706">
      <c r="A706" s="24">
        <v>4745</v>
      </c>
      <c r="B706" s="9" t="s">
        <v>959</v>
      </c>
      <c r="C706" s="9" t="s">
        <v>134</v>
      </c>
      <c r="D706" s="9" t="s">
        <v>684</v>
      </c>
      <c r="E706" s="9" t="s">
        <v>685</v>
      </c>
      <c r="F706" s="11">
        <v>3</v>
      </c>
      <c r="G706" s="12">
        <v>0</v>
      </c>
      <c r="H706" s="12">
        <v>0</v>
      </c>
      <c r="I706" s="12">
        <v>0</v>
      </c>
      <c r="J706" s="10">
        <v>3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2">
        <v>0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3</v>
      </c>
      <c r="AK706" s="13">
        <v>3</v>
      </c>
      <c r="AL706" s="10">
        <v>3</v>
      </c>
      <c r="AM706" s="10">
        <v>3</v>
      </c>
      <c r="AN706" s="49">
        <v>0</v>
      </c>
    </row>
    <row r="707">
      <c r="A707" s="23">
        <v>4747</v>
      </c>
      <c r="B707" s="4" t="s">
        <v>960</v>
      </c>
      <c r="C707" s="4" t="s">
        <v>64</v>
      </c>
      <c r="D707" s="4" t="s">
        <v>68</v>
      </c>
      <c r="E707" s="4" t="s">
        <v>112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4752</v>
      </c>
      <c r="B708" s="9" t="s">
        <v>961</v>
      </c>
      <c r="C708" s="9" t="s">
        <v>64</v>
      </c>
      <c r="D708" s="9" t="s">
        <v>114</v>
      </c>
      <c r="E708" s="9" t="s">
        <v>140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4758</v>
      </c>
      <c r="B709" s="4" t="s">
        <v>962</v>
      </c>
      <c r="C709" s="4" t="s">
        <v>64</v>
      </c>
      <c r="D709" s="4" t="s">
        <v>76</v>
      </c>
      <c r="E709" s="4" t="s">
        <v>79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4765</v>
      </c>
      <c r="B710" s="9" t="s">
        <v>963</v>
      </c>
      <c r="C710" s="9" t="s">
        <v>64</v>
      </c>
      <c r="D710" s="9" t="s">
        <v>76</v>
      </c>
      <c r="E710" s="9" t="s">
        <v>88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0.26</v>
      </c>
    </row>
    <row r="711">
      <c r="A711" s="23">
        <v>4770</v>
      </c>
      <c r="B711" s="4" t="s">
        <v>964</v>
      </c>
      <c r="C711" s="4" t="s">
        <v>64</v>
      </c>
      <c r="D711" s="4" t="s">
        <v>76</v>
      </c>
      <c r="E711" s="4" t="s">
        <v>77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4781</v>
      </c>
      <c r="B712" s="9" t="s">
        <v>965</v>
      </c>
      <c r="C712" s="9" t="s">
        <v>162</v>
      </c>
      <c r="D712" s="9" t="s">
        <v>163</v>
      </c>
      <c r="E712" s="9" t="s">
        <v>164</v>
      </c>
      <c r="F712" s="11">
        <v>1</v>
      </c>
      <c r="G712" s="12">
        <v>0</v>
      </c>
      <c r="H712" s="12">
        <v>0</v>
      </c>
      <c r="I712" s="12">
        <v>0</v>
      </c>
      <c r="J712" s="12">
        <v>0</v>
      </c>
      <c r="K712" s="10">
        <v>1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2">
        <v>0</v>
      </c>
      <c r="Z712" s="10">
        <v>1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4785</v>
      </c>
      <c r="B713" s="4" t="s">
        <v>966</v>
      </c>
      <c r="C713" s="4" t="s">
        <v>673</v>
      </c>
      <c r="D713" s="4" t="s">
        <v>674</v>
      </c>
      <c r="E713" s="4" t="s">
        <v>967</v>
      </c>
      <c r="F713" s="6">
        <v>3</v>
      </c>
      <c r="G713" s="5">
        <v>1</v>
      </c>
      <c r="H713" s="5">
        <v>1</v>
      </c>
      <c r="I713" s="7">
        <v>0</v>
      </c>
      <c r="J713" s="7">
        <v>0</v>
      </c>
      <c r="K713" s="7">
        <v>0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5">
        <v>1</v>
      </c>
      <c r="W713" s="5">
        <v>1</v>
      </c>
      <c r="X713" s="7">
        <v>0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4790</v>
      </c>
      <c r="B714" s="9" t="s">
        <v>968</v>
      </c>
      <c r="C714" s="9" t="s">
        <v>64</v>
      </c>
      <c r="D714" s="9" t="s">
        <v>76</v>
      </c>
      <c r="E714" s="9" t="s">
        <v>329</v>
      </c>
      <c r="F714" s="11">
        <v>2</v>
      </c>
      <c r="G714" s="12">
        <v>0</v>
      </c>
      <c r="H714" s="10">
        <v>1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2">
        <v>0</v>
      </c>
      <c r="W714" s="10">
        <v>1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0.5</v>
      </c>
    </row>
    <row r="715">
      <c r="A715" s="23">
        <v>4792</v>
      </c>
      <c r="B715" s="4" t="s">
        <v>969</v>
      </c>
      <c r="C715" s="4" t="s">
        <v>64</v>
      </c>
      <c r="D715" s="4" t="s">
        <v>76</v>
      </c>
      <c r="E715" s="4" t="s">
        <v>329</v>
      </c>
      <c r="F715" s="6">
        <v>4</v>
      </c>
      <c r="G715" s="5">
        <v>3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5">
        <v>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3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5">
        <v>1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30">
        <v>0</v>
      </c>
    </row>
    <row r="716">
      <c r="A716" s="24">
        <v>4793</v>
      </c>
      <c r="B716" s="9" t="s">
        <v>970</v>
      </c>
      <c r="C716" s="9" t="s">
        <v>64</v>
      </c>
      <c r="D716" s="9" t="s">
        <v>93</v>
      </c>
      <c r="E716" s="9" t="s">
        <v>326</v>
      </c>
      <c r="F716" s="11">
        <v>1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9">
        <v>0</v>
      </c>
    </row>
    <row r="717">
      <c r="A717" s="23">
        <v>4808</v>
      </c>
      <c r="B717" s="4" t="s">
        <v>971</v>
      </c>
      <c r="C717" s="4" t="s">
        <v>64</v>
      </c>
      <c r="D717" s="4" t="s">
        <v>102</v>
      </c>
      <c r="E717" s="4" t="s">
        <v>248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4817</v>
      </c>
      <c r="B718" s="9" t="s">
        <v>972</v>
      </c>
      <c r="C718" s="9" t="s">
        <v>64</v>
      </c>
      <c r="D718" s="9" t="s">
        <v>156</v>
      </c>
      <c r="E718" s="9" t="s">
        <v>973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4819</v>
      </c>
      <c r="B719" s="4" t="s">
        <v>974</v>
      </c>
      <c r="C719" s="4" t="s">
        <v>64</v>
      </c>
      <c r="D719" s="4" t="s">
        <v>76</v>
      </c>
      <c r="E719" s="4" t="s">
        <v>79</v>
      </c>
      <c r="F719" s="6">
        <v>2</v>
      </c>
      <c r="G719" s="7">
        <v>0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7">
        <v>0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0.52</v>
      </c>
    </row>
    <row r="720">
      <c r="A720" s="24">
        <v>4820</v>
      </c>
      <c r="B720" s="9" t="s">
        <v>975</v>
      </c>
      <c r="C720" s="9" t="s">
        <v>64</v>
      </c>
      <c r="D720" s="9" t="s">
        <v>85</v>
      </c>
      <c r="E720" s="9" t="s">
        <v>352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9">
        <v>0</v>
      </c>
    </row>
    <row r="721">
      <c r="A721" s="23">
        <v>4821</v>
      </c>
      <c r="B721" s="4" t="s">
        <v>976</v>
      </c>
      <c r="C721" s="4" t="s">
        <v>64</v>
      </c>
      <c r="D721" s="4" t="s">
        <v>114</v>
      </c>
      <c r="E721" s="4" t="s">
        <v>143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4823</v>
      </c>
      <c r="B722" s="9" t="s">
        <v>977</v>
      </c>
      <c r="C722" s="9" t="s">
        <v>64</v>
      </c>
      <c r="D722" s="9" t="s">
        <v>76</v>
      </c>
      <c r="E722" s="9" t="s">
        <v>88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4831</v>
      </c>
      <c r="B723" s="4" t="s">
        <v>978</v>
      </c>
      <c r="C723" s="4" t="s">
        <v>64</v>
      </c>
      <c r="D723" s="4" t="s">
        <v>102</v>
      </c>
      <c r="E723" s="4" t="s">
        <v>248</v>
      </c>
      <c r="F723" s="6">
        <v>2</v>
      </c>
      <c r="G723" s="7">
        <v>0</v>
      </c>
      <c r="H723" s="7">
        <v>0</v>
      </c>
      <c r="I723" s="5">
        <v>1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7">
        <v>0</v>
      </c>
      <c r="W723" s="7">
        <v>0</v>
      </c>
      <c r="X723" s="5">
        <v>1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0.5</v>
      </c>
    </row>
    <row r="724">
      <c r="A724" s="24">
        <v>4835</v>
      </c>
      <c r="B724" s="9" t="s">
        <v>979</v>
      </c>
      <c r="C724" s="9" t="s">
        <v>64</v>
      </c>
      <c r="D724" s="9" t="s">
        <v>125</v>
      </c>
      <c r="E724" s="9" t="s">
        <v>768</v>
      </c>
      <c r="F724" s="11">
        <v>3</v>
      </c>
      <c r="G724" s="10">
        <v>3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3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3</v>
      </c>
      <c r="AK724" s="13">
        <v>3</v>
      </c>
      <c r="AL724" s="10">
        <v>3</v>
      </c>
      <c r="AM724" s="10">
        <v>3</v>
      </c>
      <c r="AN724" s="49">
        <v>0</v>
      </c>
    </row>
    <row r="725">
      <c r="A725" s="23">
        <v>4840</v>
      </c>
      <c r="B725" s="4" t="s">
        <v>980</v>
      </c>
      <c r="C725" s="4" t="s">
        <v>64</v>
      </c>
      <c r="D725" s="4" t="s">
        <v>114</v>
      </c>
      <c r="E725" s="4" t="s">
        <v>237</v>
      </c>
      <c r="F725" s="6">
        <v>2</v>
      </c>
      <c r="G725" s="7">
        <v>0</v>
      </c>
      <c r="H725" s="7">
        <v>0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7">
        <v>0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28">
        <v>0.52</v>
      </c>
    </row>
    <row r="726">
      <c r="A726" s="24">
        <v>4843</v>
      </c>
      <c r="B726" s="9" t="s">
        <v>981</v>
      </c>
      <c r="C726" s="9" t="s">
        <v>64</v>
      </c>
      <c r="D726" s="9" t="s">
        <v>114</v>
      </c>
      <c r="E726" s="9" t="s">
        <v>143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0.35</v>
      </c>
    </row>
    <row r="727">
      <c r="A727" s="23">
        <v>4845</v>
      </c>
      <c r="B727" s="4" t="s">
        <v>982</v>
      </c>
      <c r="C727" s="4" t="s">
        <v>64</v>
      </c>
      <c r="D727" s="4" t="s">
        <v>114</v>
      </c>
      <c r="E727" s="4" t="s">
        <v>143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4851</v>
      </c>
      <c r="B728" s="9" t="s">
        <v>983</v>
      </c>
      <c r="C728" s="9" t="s">
        <v>64</v>
      </c>
      <c r="D728" s="9" t="s">
        <v>105</v>
      </c>
      <c r="E728" s="9" t="s">
        <v>106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0.24</v>
      </c>
    </row>
    <row r="729">
      <c r="A729" s="23">
        <v>4852</v>
      </c>
      <c r="B729" s="4" t="s">
        <v>984</v>
      </c>
      <c r="C729" s="4" t="s">
        <v>64</v>
      </c>
      <c r="D729" s="4" t="s">
        <v>68</v>
      </c>
      <c r="E729" s="4" t="s">
        <v>264</v>
      </c>
      <c r="F729" s="6">
        <v>3</v>
      </c>
      <c r="G729" s="5">
        <v>1</v>
      </c>
      <c r="H729" s="5">
        <v>1</v>
      </c>
      <c r="I729" s="7">
        <v>0</v>
      </c>
      <c r="J729" s="7">
        <v>0</v>
      </c>
      <c r="K729" s="5">
        <v>1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1</v>
      </c>
      <c r="W729" s="5">
        <v>1</v>
      </c>
      <c r="X729" s="7">
        <v>0</v>
      </c>
      <c r="Y729" s="7">
        <v>0</v>
      </c>
      <c r="Z729" s="5">
        <v>1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4853</v>
      </c>
      <c r="B730" s="9" t="s">
        <v>985</v>
      </c>
      <c r="C730" s="9" t="s">
        <v>64</v>
      </c>
      <c r="D730" s="9" t="s">
        <v>102</v>
      </c>
      <c r="E730" s="9" t="s">
        <v>103</v>
      </c>
      <c r="F730" s="11">
        <v>3</v>
      </c>
      <c r="G730" s="10">
        <v>2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2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4864</v>
      </c>
      <c r="B731" s="4" t="s">
        <v>986</v>
      </c>
      <c r="C731" s="4" t="s">
        <v>64</v>
      </c>
      <c r="D731" s="4" t="s">
        <v>102</v>
      </c>
      <c r="E731" s="4" t="s">
        <v>224</v>
      </c>
      <c r="F731" s="6">
        <v>2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5">
        <v>1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5">
        <v>1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4867</v>
      </c>
      <c r="B732" s="9" t="s">
        <v>987</v>
      </c>
      <c r="C732" s="9" t="s">
        <v>64</v>
      </c>
      <c r="D732" s="9" t="s">
        <v>102</v>
      </c>
      <c r="E732" s="9" t="s">
        <v>248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4868</v>
      </c>
      <c r="B733" s="4" t="s">
        <v>988</v>
      </c>
      <c r="C733" s="4" t="s">
        <v>64</v>
      </c>
      <c r="D733" s="4" t="s">
        <v>114</v>
      </c>
      <c r="E733" s="4" t="s">
        <v>115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4870</v>
      </c>
      <c r="B734" s="9" t="s">
        <v>989</v>
      </c>
      <c r="C734" s="9" t="s">
        <v>64</v>
      </c>
      <c r="D734" s="9" t="s">
        <v>102</v>
      </c>
      <c r="E734" s="9" t="s">
        <v>248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9">
        <v>0</v>
      </c>
    </row>
    <row r="735">
      <c r="A735" s="23">
        <v>4871</v>
      </c>
      <c r="B735" s="4" t="s">
        <v>990</v>
      </c>
      <c r="C735" s="4" t="s">
        <v>64</v>
      </c>
      <c r="D735" s="4" t="s">
        <v>76</v>
      </c>
      <c r="E735" s="4" t="s">
        <v>88</v>
      </c>
      <c r="F735" s="6">
        <v>2</v>
      </c>
      <c r="G735" s="7">
        <v>0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0.5</v>
      </c>
    </row>
    <row r="736">
      <c r="A736" s="24">
        <v>4876</v>
      </c>
      <c r="B736" s="9" t="s">
        <v>991</v>
      </c>
      <c r="C736" s="9" t="s">
        <v>64</v>
      </c>
      <c r="D736" s="9" t="s">
        <v>114</v>
      </c>
      <c r="E736" s="9" t="s">
        <v>115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0.24</v>
      </c>
    </row>
    <row r="737">
      <c r="A737" s="23">
        <v>4881</v>
      </c>
      <c r="B737" s="4" t="s">
        <v>992</v>
      </c>
      <c r="C737" s="4" t="s">
        <v>64</v>
      </c>
      <c r="D737" s="4" t="s">
        <v>156</v>
      </c>
      <c r="E737" s="4" t="s">
        <v>993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0.26</v>
      </c>
    </row>
    <row r="738">
      <c r="A738" s="24">
        <v>4885</v>
      </c>
      <c r="B738" s="9" t="s">
        <v>994</v>
      </c>
      <c r="C738" s="9" t="s">
        <v>64</v>
      </c>
      <c r="D738" s="9" t="s">
        <v>76</v>
      </c>
      <c r="E738" s="9" t="s">
        <v>77</v>
      </c>
      <c r="F738" s="11">
        <v>3</v>
      </c>
      <c r="G738" s="10">
        <v>1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0">
        <v>1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0.5</v>
      </c>
    </row>
    <row r="739">
      <c r="A739" s="23">
        <v>4901</v>
      </c>
      <c r="B739" s="4" t="s">
        <v>995</v>
      </c>
      <c r="C739" s="4" t="s">
        <v>64</v>
      </c>
      <c r="D739" s="4" t="s">
        <v>93</v>
      </c>
      <c r="E739" s="4" t="s">
        <v>94</v>
      </c>
      <c r="F739" s="6">
        <v>2</v>
      </c>
      <c r="G739" s="5">
        <v>2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2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30">
        <v>0</v>
      </c>
    </row>
    <row r="740">
      <c r="A740" s="24">
        <v>4906</v>
      </c>
      <c r="B740" s="9" t="s">
        <v>996</v>
      </c>
      <c r="C740" s="9" t="s">
        <v>64</v>
      </c>
      <c r="D740" s="9" t="s">
        <v>76</v>
      </c>
      <c r="E740" s="9" t="s">
        <v>329</v>
      </c>
      <c r="F740" s="11">
        <v>2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0">
        <v>1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0">
        <v>1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4913</v>
      </c>
      <c r="B741" s="4" t="s">
        <v>997</v>
      </c>
      <c r="C741" s="4" t="s">
        <v>64</v>
      </c>
      <c r="D741" s="4" t="s">
        <v>72</v>
      </c>
      <c r="E741" s="4" t="s">
        <v>316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4920</v>
      </c>
      <c r="B742" s="9" t="s">
        <v>998</v>
      </c>
      <c r="C742" s="9" t="s">
        <v>64</v>
      </c>
      <c r="D742" s="9" t="s">
        <v>85</v>
      </c>
      <c r="E742" s="9" t="s">
        <v>86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4921</v>
      </c>
      <c r="B743" s="4" t="s">
        <v>999</v>
      </c>
      <c r="C743" s="4" t="s">
        <v>64</v>
      </c>
      <c r="D743" s="4" t="s">
        <v>102</v>
      </c>
      <c r="E743" s="4" t="s">
        <v>103</v>
      </c>
      <c r="F743" s="6">
        <v>3</v>
      </c>
      <c r="G743" s="7">
        <v>0</v>
      </c>
      <c r="H743" s="7">
        <v>0</v>
      </c>
      <c r="I743" s="7">
        <v>0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</v>
      </c>
      <c r="AL743" s="5">
        <v>3</v>
      </c>
      <c r="AM743" s="5">
        <v>3</v>
      </c>
      <c r="AN743" s="28">
        <v>0.22</v>
      </c>
    </row>
    <row r="744">
      <c r="A744" s="24">
        <v>4922</v>
      </c>
      <c r="B744" s="9" t="s">
        <v>1000</v>
      </c>
      <c r="C744" s="9" t="s">
        <v>64</v>
      </c>
      <c r="D744" s="9" t="s">
        <v>76</v>
      </c>
      <c r="E744" s="9" t="s">
        <v>79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4933</v>
      </c>
      <c r="B745" s="4" t="s">
        <v>1001</v>
      </c>
      <c r="C745" s="4" t="s">
        <v>64</v>
      </c>
      <c r="D745" s="4" t="s">
        <v>85</v>
      </c>
      <c r="E745" s="4" t="s">
        <v>458</v>
      </c>
      <c r="F745" s="6">
        <v>2</v>
      </c>
      <c r="G745" s="5">
        <v>1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1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4936</v>
      </c>
      <c r="B746" s="9" t="s">
        <v>1002</v>
      </c>
      <c r="C746" s="9" t="s">
        <v>162</v>
      </c>
      <c r="D746" s="9" t="s">
        <v>163</v>
      </c>
      <c r="E746" s="9" t="s">
        <v>178</v>
      </c>
      <c r="F746" s="11">
        <v>2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9">
        <v>0</v>
      </c>
    </row>
    <row r="747">
      <c r="A747" s="23">
        <v>4938</v>
      </c>
      <c r="B747" s="4" t="s">
        <v>1003</v>
      </c>
      <c r="C747" s="4" t="s">
        <v>64</v>
      </c>
      <c r="D747" s="4" t="s">
        <v>68</v>
      </c>
      <c r="E747" s="4" t="s">
        <v>69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4942</v>
      </c>
      <c r="B748" s="9" t="s">
        <v>1004</v>
      </c>
      <c r="C748" s="9" t="s">
        <v>64</v>
      </c>
      <c r="D748" s="9" t="s">
        <v>102</v>
      </c>
      <c r="E748" s="9" t="s">
        <v>248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4945</v>
      </c>
      <c r="B749" s="4" t="s">
        <v>1005</v>
      </c>
      <c r="C749" s="4" t="s">
        <v>64</v>
      </c>
      <c r="D749" s="4" t="s">
        <v>146</v>
      </c>
      <c r="E749" s="4" t="s">
        <v>147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4952</v>
      </c>
      <c r="B750" s="9" t="s">
        <v>1006</v>
      </c>
      <c r="C750" s="9" t="s">
        <v>598</v>
      </c>
      <c r="D750" s="9" t="s">
        <v>599</v>
      </c>
      <c r="E750" s="9" t="s">
        <v>389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0.26</v>
      </c>
    </row>
    <row r="751">
      <c r="A751" s="23">
        <v>4955</v>
      </c>
      <c r="B751" s="4" t="s">
        <v>1007</v>
      </c>
      <c r="C751" s="4" t="s">
        <v>64</v>
      </c>
      <c r="D751" s="4" t="s">
        <v>114</v>
      </c>
      <c r="E751" s="4" t="s">
        <v>212</v>
      </c>
      <c r="F751" s="6">
        <v>7</v>
      </c>
      <c r="G751" s="5">
        <v>5</v>
      </c>
      <c r="H751" s="5">
        <v>1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6</v>
      </c>
      <c r="V751" s="5">
        <v>4</v>
      </c>
      <c r="W751" s="5">
        <v>1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1.75</v>
      </c>
      <c r="AL751" s="5">
        <v>1</v>
      </c>
      <c r="AM751" s="5">
        <v>3</v>
      </c>
      <c r="AN751" s="28">
        <v>0.38</v>
      </c>
    </row>
    <row r="752">
      <c r="A752" s="24">
        <v>4957</v>
      </c>
      <c r="B752" s="9" t="s">
        <v>1008</v>
      </c>
      <c r="C752" s="9" t="s">
        <v>64</v>
      </c>
      <c r="D752" s="9" t="s">
        <v>76</v>
      </c>
      <c r="E752" s="9" t="s">
        <v>77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29">
        <v>0.6</v>
      </c>
    </row>
    <row r="753">
      <c r="A753" s="23">
        <v>4959</v>
      </c>
      <c r="B753" s="4" t="s">
        <v>1009</v>
      </c>
      <c r="C753" s="4" t="s">
        <v>64</v>
      </c>
      <c r="D753" s="4" t="s">
        <v>76</v>
      </c>
      <c r="E753" s="4" t="s">
        <v>329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4964</v>
      </c>
      <c r="B754" s="9" t="s">
        <v>1010</v>
      </c>
      <c r="C754" s="9" t="s">
        <v>64</v>
      </c>
      <c r="D754" s="9" t="s">
        <v>68</v>
      </c>
      <c r="E754" s="9" t="s">
        <v>1011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4968</v>
      </c>
      <c r="B755" s="4" t="s">
        <v>1012</v>
      </c>
      <c r="C755" s="4" t="s">
        <v>64</v>
      </c>
      <c r="D755" s="4" t="s">
        <v>102</v>
      </c>
      <c r="E755" s="4" t="s">
        <v>103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4972</v>
      </c>
      <c r="B756" s="9" t="s">
        <v>1013</v>
      </c>
      <c r="C756" s="9" t="s">
        <v>64</v>
      </c>
      <c r="D756" s="9" t="s">
        <v>68</v>
      </c>
      <c r="E756" s="9" t="s">
        <v>264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4975</v>
      </c>
      <c r="B757" s="4" t="s">
        <v>1014</v>
      </c>
      <c r="C757" s="4" t="s">
        <v>64</v>
      </c>
      <c r="D757" s="4" t="s">
        <v>85</v>
      </c>
      <c r="E757" s="4" t="s">
        <v>86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30">
        <v>0</v>
      </c>
    </row>
    <row r="758">
      <c r="A758" s="24">
        <v>4979</v>
      </c>
      <c r="B758" s="9" t="s">
        <v>1015</v>
      </c>
      <c r="C758" s="9" t="s">
        <v>64</v>
      </c>
      <c r="D758" s="9" t="s">
        <v>85</v>
      </c>
      <c r="E758" s="9" t="s">
        <v>86</v>
      </c>
      <c r="F758" s="11">
        <v>2</v>
      </c>
      <c r="G758" s="10">
        <v>1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0">
        <v>1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9">
        <v>0</v>
      </c>
    </row>
    <row r="759">
      <c r="A759" s="23">
        <v>4987</v>
      </c>
      <c r="B759" s="4" t="s">
        <v>1016</v>
      </c>
      <c r="C759" s="4" t="s">
        <v>64</v>
      </c>
      <c r="D759" s="4" t="s">
        <v>76</v>
      </c>
      <c r="E759" s="4" t="s">
        <v>77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4988</v>
      </c>
      <c r="B760" s="9" t="s">
        <v>1017</v>
      </c>
      <c r="C760" s="9" t="s">
        <v>64</v>
      </c>
      <c r="D760" s="9" t="s">
        <v>76</v>
      </c>
      <c r="E760" s="9" t="s">
        <v>79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49">
        <v>0</v>
      </c>
    </row>
    <row r="761">
      <c r="A761" s="23">
        <v>4996</v>
      </c>
      <c r="B761" s="4" t="s">
        <v>1018</v>
      </c>
      <c r="C761" s="4" t="s">
        <v>64</v>
      </c>
      <c r="D761" s="4" t="s">
        <v>76</v>
      </c>
      <c r="E761" s="4" t="s">
        <v>79</v>
      </c>
      <c r="F761" s="6">
        <v>3</v>
      </c>
      <c r="G761" s="5">
        <v>2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2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28">
        <v>0.99</v>
      </c>
    </row>
    <row r="762">
      <c r="A762" s="24">
        <v>4999</v>
      </c>
      <c r="B762" s="9" t="s">
        <v>1019</v>
      </c>
      <c r="C762" s="9" t="s">
        <v>64</v>
      </c>
      <c r="D762" s="9" t="s">
        <v>146</v>
      </c>
      <c r="E762" s="9" t="s">
        <v>147</v>
      </c>
      <c r="F762" s="11">
        <v>5</v>
      </c>
      <c r="G762" s="10">
        <v>5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5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5</v>
      </c>
      <c r="AK762" s="13">
        <v>5</v>
      </c>
      <c r="AL762" s="10">
        <v>5</v>
      </c>
      <c r="AM762" s="10">
        <v>5</v>
      </c>
      <c r="AN762" s="49">
        <v>0</v>
      </c>
    </row>
    <row r="763">
      <c r="A763" s="23">
        <v>5007</v>
      </c>
      <c r="B763" s="4" t="s">
        <v>1020</v>
      </c>
      <c r="C763" s="4" t="s">
        <v>64</v>
      </c>
      <c r="D763" s="4" t="s">
        <v>85</v>
      </c>
      <c r="E763" s="4" t="s">
        <v>96</v>
      </c>
      <c r="F763" s="6">
        <v>38</v>
      </c>
      <c r="G763" s="7">
        <v>0</v>
      </c>
      <c r="H763" s="7">
        <v>0</v>
      </c>
      <c r="I763" s="5">
        <v>1</v>
      </c>
      <c r="J763" s="5">
        <v>37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35</v>
      </c>
      <c r="V763" s="7">
        <v>0</v>
      </c>
      <c r="W763" s="7">
        <v>0</v>
      </c>
      <c r="X763" s="5">
        <v>1</v>
      </c>
      <c r="Y763" s="5">
        <v>34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19</v>
      </c>
      <c r="AL763" s="5">
        <v>19</v>
      </c>
      <c r="AM763" s="5">
        <v>37</v>
      </c>
      <c r="AN763" s="28">
        <v>9.23</v>
      </c>
    </row>
    <row r="764">
      <c r="A764" s="24">
        <v>5023</v>
      </c>
      <c r="B764" s="9" t="s">
        <v>1021</v>
      </c>
      <c r="C764" s="9" t="s">
        <v>162</v>
      </c>
      <c r="D764" s="9" t="s">
        <v>187</v>
      </c>
      <c r="E764" s="9" t="s">
        <v>188</v>
      </c>
      <c r="F764" s="11">
        <v>4</v>
      </c>
      <c r="G764" s="10">
        <v>1</v>
      </c>
      <c r="H764" s="10">
        <v>1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1</v>
      </c>
      <c r="W764" s="10">
        <v>1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1</v>
      </c>
    </row>
    <row r="765">
      <c r="A765" s="23">
        <v>5029</v>
      </c>
      <c r="B765" s="4" t="s">
        <v>1022</v>
      </c>
      <c r="C765" s="4" t="s">
        <v>64</v>
      </c>
      <c r="D765" s="4" t="s">
        <v>125</v>
      </c>
      <c r="E765" s="4" t="s">
        <v>126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30">
        <v>0</v>
      </c>
    </row>
    <row r="766">
      <c r="A766" s="24">
        <v>5032</v>
      </c>
      <c r="B766" s="9" t="s">
        <v>1023</v>
      </c>
      <c r="C766" s="9" t="s">
        <v>64</v>
      </c>
      <c r="D766" s="9" t="s">
        <v>93</v>
      </c>
      <c r="E766" s="9" t="s">
        <v>450</v>
      </c>
      <c r="F766" s="11">
        <v>4</v>
      </c>
      <c r="G766" s="10">
        <v>2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4</v>
      </c>
      <c r="V766" s="10">
        <v>2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1.33</v>
      </c>
      <c r="AL766" s="10">
        <v>1</v>
      </c>
      <c r="AM766" s="10">
        <v>2</v>
      </c>
      <c r="AN766" s="29">
        <v>0.25</v>
      </c>
    </row>
    <row r="767">
      <c r="A767" s="23">
        <v>5045</v>
      </c>
      <c r="B767" s="4" t="s">
        <v>1024</v>
      </c>
      <c r="C767" s="4" t="s">
        <v>64</v>
      </c>
      <c r="D767" s="4" t="s">
        <v>156</v>
      </c>
      <c r="E767" s="4" t="s">
        <v>973</v>
      </c>
      <c r="F767" s="6">
        <v>2</v>
      </c>
      <c r="G767" s="5">
        <v>1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5048</v>
      </c>
      <c r="B768" s="9" t="s">
        <v>1025</v>
      </c>
      <c r="C768" s="9" t="s">
        <v>64</v>
      </c>
      <c r="D768" s="9" t="s">
        <v>146</v>
      </c>
      <c r="E768" s="9" t="s">
        <v>1026</v>
      </c>
      <c r="F768" s="11">
        <v>2</v>
      </c>
      <c r="G768" s="12">
        <v>0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0.52</v>
      </c>
    </row>
    <row r="769">
      <c r="A769" s="23">
        <v>5049</v>
      </c>
      <c r="B769" s="4" t="s">
        <v>1027</v>
      </c>
      <c r="C769" s="4" t="s">
        <v>64</v>
      </c>
      <c r="D769" s="4" t="s">
        <v>102</v>
      </c>
      <c r="E769" s="4" t="s">
        <v>248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0.22</v>
      </c>
    </row>
    <row r="770">
      <c r="A770" s="24">
        <v>5057</v>
      </c>
      <c r="B770" s="9" t="s">
        <v>1028</v>
      </c>
      <c r="C770" s="9" t="s">
        <v>64</v>
      </c>
      <c r="D770" s="9" t="s">
        <v>76</v>
      </c>
      <c r="E770" s="9" t="s">
        <v>329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0.17</v>
      </c>
    </row>
    <row r="771">
      <c r="A771" s="23">
        <v>5060</v>
      </c>
      <c r="B771" s="4" t="s">
        <v>1029</v>
      </c>
      <c r="C771" s="4" t="s">
        <v>64</v>
      </c>
      <c r="D771" s="4" t="s">
        <v>72</v>
      </c>
      <c r="E771" s="4" t="s">
        <v>152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0.17</v>
      </c>
    </row>
    <row r="772">
      <c r="A772" s="24">
        <v>5063</v>
      </c>
      <c r="B772" s="9" t="s">
        <v>1030</v>
      </c>
      <c r="C772" s="9" t="s">
        <v>64</v>
      </c>
      <c r="D772" s="9" t="s">
        <v>90</v>
      </c>
      <c r="E772" s="9" t="s">
        <v>91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9">
        <v>0</v>
      </c>
    </row>
    <row r="773">
      <c r="A773" s="23">
        <v>5065</v>
      </c>
      <c r="B773" s="4" t="s">
        <v>1031</v>
      </c>
      <c r="C773" s="4" t="s">
        <v>64</v>
      </c>
      <c r="D773" s="4" t="s">
        <v>85</v>
      </c>
      <c r="E773" s="4" t="s">
        <v>132</v>
      </c>
      <c r="F773" s="6">
        <v>5</v>
      </c>
      <c r="G773" s="5">
        <v>3</v>
      </c>
      <c r="H773" s="5">
        <v>1</v>
      </c>
      <c r="I773" s="7">
        <v>0</v>
      </c>
      <c r="J773" s="7">
        <v>0</v>
      </c>
      <c r="K773" s="5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3</v>
      </c>
      <c r="W773" s="5">
        <v>1</v>
      </c>
      <c r="X773" s="7">
        <v>0</v>
      </c>
      <c r="Y773" s="7">
        <v>0</v>
      </c>
      <c r="Z773" s="5">
        <v>1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0.75</v>
      </c>
    </row>
    <row r="774">
      <c r="A774" s="24">
        <v>5069</v>
      </c>
      <c r="B774" s="9" t="s">
        <v>1032</v>
      </c>
      <c r="C774" s="9" t="s">
        <v>64</v>
      </c>
      <c r="D774" s="9" t="s">
        <v>93</v>
      </c>
      <c r="E774" s="9" t="s">
        <v>170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5071</v>
      </c>
      <c r="B775" s="4" t="s">
        <v>1033</v>
      </c>
      <c r="C775" s="4" t="s">
        <v>64</v>
      </c>
      <c r="D775" s="4" t="s">
        <v>68</v>
      </c>
      <c r="E775" s="4" t="s">
        <v>112</v>
      </c>
      <c r="F775" s="6">
        <v>4</v>
      </c>
      <c r="G775" s="5">
        <v>1</v>
      </c>
      <c r="H775" s="5">
        <v>2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1</v>
      </c>
      <c r="W775" s="5">
        <v>2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1.33</v>
      </c>
      <c r="AL775" s="5">
        <v>1</v>
      </c>
      <c r="AM775" s="5">
        <v>2</v>
      </c>
      <c r="AN775" s="28">
        <v>1.34</v>
      </c>
    </row>
    <row r="776">
      <c r="A776" s="24">
        <v>5074</v>
      </c>
      <c r="B776" s="9" t="s">
        <v>1034</v>
      </c>
      <c r="C776" s="9" t="s">
        <v>64</v>
      </c>
      <c r="D776" s="9" t="s">
        <v>93</v>
      </c>
      <c r="E776" s="9" t="s">
        <v>326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49">
        <v>0</v>
      </c>
    </row>
    <row r="777">
      <c r="A777" s="23">
        <v>5075</v>
      </c>
      <c r="B777" s="4" t="s">
        <v>1035</v>
      </c>
      <c r="C777" s="4" t="s">
        <v>64</v>
      </c>
      <c r="D777" s="4" t="s">
        <v>102</v>
      </c>
      <c r="E777" s="4" t="s">
        <v>248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5085</v>
      </c>
      <c r="B778" s="9" t="s">
        <v>1036</v>
      </c>
      <c r="C778" s="9" t="s">
        <v>64</v>
      </c>
      <c r="D778" s="9" t="s">
        <v>146</v>
      </c>
      <c r="E778" s="9" t="s">
        <v>147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9">
        <v>0</v>
      </c>
    </row>
    <row r="779">
      <c r="A779" s="23">
        <v>5092</v>
      </c>
      <c r="B779" s="4" t="s">
        <v>1037</v>
      </c>
      <c r="C779" s="4" t="s">
        <v>64</v>
      </c>
      <c r="D779" s="4" t="s">
        <v>85</v>
      </c>
      <c r="E779" s="4" t="s">
        <v>132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5102</v>
      </c>
      <c r="B780" s="9" t="s">
        <v>1038</v>
      </c>
      <c r="C780" s="9" t="s">
        <v>64</v>
      </c>
      <c r="D780" s="9" t="s">
        <v>125</v>
      </c>
      <c r="E780" s="9" t="s">
        <v>126</v>
      </c>
      <c r="F780" s="11">
        <v>4</v>
      </c>
      <c r="G780" s="10">
        <v>1</v>
      </c>
      <c r="H780" s="12">
        <v>0</v>
      </c>
      <c r="I780" s="12">
        <v>0</v>
      </c>
      <c r="J780" s="10">
        <v>1</v>
      </c>
      <c r="K780" s="10">
        <v>2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4</v>
      </c>
      <c r="V780" s="10">
        <v>1</v>
      </c>
      <c r="W780" s="12">
        <v>0</v>
      </c>
      <c r="X780" s="12">
        <v>0</v>
      </c>
      <c r="Y780" s="10">
        <v>1</v>
      </c>
      <c r="Z780" s="10">
        <v>2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1.33</v>
      </c>
      <c r="AL780" s="10">
        <v>1</v>
      </c>
      <c r="AM780" s="10">
        <v>2</v>
      </c>
      <c r="AN780" s="29">
        <v>0.25</v>
      </c>
    </row>
    <row r="781">
      <c r="A781" s="23">
        <v>5103</v>
      </c>
      <c r="B781" s="4" t="s">
        <v>1039</v>
      </c>
      <c r="C781" s="4" t="s">
        <v>134</v>
      </c>
      <c r="D781" s="4" t="s">
        <v>432</v>
      </c>
      <c r="E781" s="4" t="s">
        <v>1040</v>
      </c>
      <c r="F781" s="6">
        <v>5</v>
      </c>
      <c r="G781" s="5">
        <v>1</v>
      </c>
      <c r="H781" s="7">
        <v>0</v>
      </c>
      <c r="I781" s="5">
        <v>3</v>
      </c>
      <c r="J781" s="7">
        <v>0</v>
      </c>
      <c r="K781" s="7">
        <v>0</v>
      </c>
      <c r="L781" s="5">
        <v>1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5</v>
      </c>
      <c r="V781" s="5">
        <v>1</v>
      </c>
      <c r="W781" s="7">
        <v>0</v>
      </c>
      <c r="X781" s="5">
        <v>3</v>
      </c>
      <c r="Y781" s="7">
        <v>0</v>
      </c>
      <c r="Z781" s="7">
        <v>0</v>
      </c>
      <c r="AA781" s="5">
        <v>1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1.25</v>
      </c>
      <c r="AL781" s="5">
        <v>1</v>
      </c>
      <c r="AM781" s="5">
        <v>2</v>
      </c>
      <c r="AN781" s="30">
        <v>0</v>
      </c>
    </row>
    <row r="782">
      <c r="A782" s="24">
        <v>5149</v>
      </c>
      <c r="B782" s="9" t="s">
        <v>1041</v>
      </c>
      <c r="C782" s="9" t="s">
        <v>64</v>
      </c>
      <c r="D782" s="9" t="s">
        <v>85</v>
      </c>
      <c r="E782" s="9" t="s">
        <v>138</v>
      </c>
      <c r="F782" s="11">
        <v>6</v>
      </c>
      <c r="G782" s="10">
        <v>4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0">
        <v>4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0.75</v>
      </c>
    </row>
    <row r="783">
      <c r="A783" s="23">
        <v>5150</v>
      </c>
      <c r="B783" s="4" t="s">
        <v>1042</v>
      </c>
      <c r="C783" s="4" t="s">
        <v>64</v>
      </c>
      <c r="D783" s="4" t="s">
        <v>85</v>
      </c>
      <c r="E783" s="4" t="s">
        <v>138</v>
      </c>
      <c r="F783" s="6">
        <v>2</v>
      </c>
      <c r="G783" s="7">
        <v>0</v>
      </c>
      <c r="H783" s="7">
        <v>0</v>
      </c>
      <c r="I783" s="7">
        <v>0</v>
      </c>
      <c r="J783" s="7">
        <v>0</v>
      </c>
      <c r="K783" s="5">
        <v>2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7">
        <v>0</v>
      </c>
      <c r="Z783" s="5">
        <v>2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5153</v>
      </c>
      <c r="B784" s="9" t="s">
        <v>1043</v>
      </c>
      <c r="C784" s="9" t="s">
        <v>64</v>
      </c>
      <c r="D784" s="9" t="s">
        <v>85</v>
      </c>
      <c r="E784" s="9" t="s">
        <v>138</v>
      </c>
      <c r="F784" s="11">
        <v>3</v>
      </c>
      <c r="G784" s="10">
        <v>2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2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49">
        <v>0</v>
      </c>
    </row>
    <row r="785">
      <c r="A785" s="23">
        <v>5169</v>
      </c>
      <c r="B785" s="4" t="s">
        <v>1044</v>
      </c>
      <c r="C785" s="4" t="s">
        <v>64</v>
      </c>
      <c r="D785" s="4" t="s">
        <v>102</v>
      </c>
      <c r="E785" s="4" t="s">
        <v>103</v>
      </c>
      <c r="F785" s="6">
        <v>2</v>
      </c>
      <c r="G785" s="5">
        <v>1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1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5172</v>
      </c>
      <c r="B786" s="9" t="s">
        <v>1045</v>
      </c>
      <c r="C786" s="9" t="s">
        <v>598</v>
      </c>
      <c r="D786" s="9" t="s">
        <v>599</v>
      </c>
      <c r="E786" s="9" t="s">
        <v>389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9">
        <v>0</v>
      </c>
    </row>
    <row r="787">
      <c r="A787" s="23">
        <v>5185</v>
      </c>
      <c r="B787" s="4" t="s">
        <v>1046</v>
      </c>
      <c r="C787" s="4" t="s">
        <v>64</v>
      </c>
      <c r="D787" s="4" t="s">
        <v>105</v>
      </c>
      <c r="E787" s="4" t="s">
        <v>106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0.5</v>
      </c>
    </row>
    <row r="788">
      <c r="A788" s="24">
        <v>5186</v>
      </c>
      <c r="B788" s="9" t="s">
        <v>1047</v>
      </c>
      <c r="C788" s="9" t="s">
        <v>162</v>
      </c>
      <c r="D788" s="9" t="s">
        <v>163</v>
      </c>
      <c r="E788" s="9" t="s">
        <v>178</v>
      </c>
      <c r="F788" s="11">
        <v>2</v>
      </c>
      <c r="G788" s="12">
        <v>0</v>
      </c>
      <c r="H788" s="10">
        <v>2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0">
        <v>2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49">
        <v>0</v>
      </c>
    </row>
    <row r="789">
      <c r="A789" s="23">
        <v>5193</v>
      </c>
      <c r="B789" s="4" t="s">
        <v>1048</v>
      </c>
      <c r="C789" s="4" t="s">
        <v>64</v>
      </c>
      <c r="D789" s="4" t="s">
        <v>85</v>
      </c>
      <c r="E789" s="4" t="s">
        <v>86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5196</v>
      </c>
      <c r="B790" s="9" t="s">
        <v>1049</v>
      </c>
      <c r="C790" s="9" t="s">
        <v>64</v>
      </c>
      <c r="D790" s="9" t="s">
        <v>114</v>
      </c>
      <c r="E790" s="9" t="s">
        <v>678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5199</v>
      </c>
      <c r="B791" s="4" t="s">
        <v>1050</v>
      </c>
      <c r="C791" s="4" t="s">
        <v>64</v>
      </c>
      <c r="D791" s="4" t="s">
        <v>76</v>
      </c>
      <c r="E791" s="4" t="s">
        <v>77</v>
      </c>
      <c r="F791" s="6">
        <v>3</v>
      </c>
      <c r="G791" s="7">
        <v>0</v>
      </c>
      <c r="H791" s="7">
        <v>0</v>
      </c>
      <c r="I791" s="5">
        <v>1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7">
        <v>0</v>
      </c>
      <c r="W791" s="7">
        <v>0</v>
      </c>
      <c r="X791" s="5">
        <v>1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0.78</v>
      </c>
    </row>
    <row r="792">
      <c r="A792" s="24">
        <v>5200</v>
      </c>
      <c r="B792" s="9" t="s">
        <v>1051</v>
      </c>
      <c r="C792" s="9" t="s">
        <v>64</v>
      </c>
      <c r="D792" s="9" t="s">
        <v>76</v>
      </c>
      <c r="E792" s="9" t="s">
        <v>77</v>
      </c>
      <c r="F792" s="11">
        <v>7</v>
      </c>
      <c r="G792" s="10">
        <v>5</v>
      </c>
      <c r="H792" s="12">
        <v>0</v>
      </c>
      <c r="I792" s="10">
        <v>1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6</v>
      </c>
      <c r="V792" s="10">
        <v>4</v>
      </c>
      <c r="W792" s="12">
        <v>0</v>
      </c>
      <c r="X792" s="10">
        <v>1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1.75</v>
      </c>
      <c r="AL792" s="10">
        <v>1</v>
      </c>
      <c r="AM792" s="10">
        <v>4</v>
      </c>
      <c r="AN792" s="29">
        <v>0.37</v>
      </c>
    </row>
    <row r="793">
      <c r="A793" s="23">
        <v>5209</v>
      </c>
      <c r="B793" s="4" t="s">
        <v>1052</v>
      </c>
      <c r="C793" s="4" t="s">
        <v>64</v>
      </c>
      <c r="D793" s="4" t="s">
        <v>72</v>
      </c>
      <c r="E793" s="4" t="s">
        <v>646</v>
      </c>
      <c r="F793" s="6">
        <v>3</v>
      </c>
      <c r="G793" s="5">
        <v>1</v>
      </c>
      <c r="H793" s="7">
        <v>0</v>
      </c>
      <c r="I793" s="5">
        <v>1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5">
        <v>1</v>
      </c>
      <c r="W793" s="7">
        <v>0</v>
      </c>
      <c r="X793" s="5">
        <v>1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5212</v>
      </c>
      <c r="B794" s="9" t="s">
        <v>1053</v>
      </c>
      <c r="C794" s="9" t="s">
        <v>64</v>
      </c>
      <c r="D794" s="9" t="s">
        <v>72</v>
      </c>
      <c r="E794" s="9" t="s">
        <v>118</v>
      </c>
      <c r="F794" s="11">
        <v>3</v>
      </c>
      <c r="G794" s="12">
        <v>0</v>
      </c>
      <c r="H794" s="10">
        <v>2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2">
        <v>0</v>
      </c>
      <c r="W794" s="10">
        <v>2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0.78</v>
      </c>
    </row>
    <row r="795">
      <c r="A795" s="23">
        <v>5221</v>
      </c>
      <c r="B795" s="4" t="s">
        <v>1054</v>
      </c>
      <c r="C795" s="4" t="s">
        <v>162</v>
      </c>
      <c r="D795" s="4" t="s">
        <v>639</v>
      </c>
      <c r="E795" s="4" t="s">
        <v>1055</v>
      </c>
      <c r="F795" s="6">
        <v>2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5">
        <v>2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5">
        <v>2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5223</v>
      </c>
      <c r="B796" s="9" t="s">
        <v>1056</v>
      </c>
      <c r="C796" s="9" t="s">
        <v>64</v>
      </c>
      <c r="D796" s="9" t="s">
        <v>102</v>
      </c>
      <c r="E796" s="9" t="s">
        <v>209</v>
      </c>
      <c r="F796" s="11">
        <v>3</v>
      </c>
      <c r="G796" s="10">
        <v>2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0">
        <v>2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0.74</v>
      </c>
    </row>
    <row r="797">
      <c r="A797" s="23">
        <v>5235</v>
      </c>
      <c r="B797" s="4" t="s">
        <v>1057</v>
      </c>
      <c r="C797" s="4" t="s">
        <v>64</v>
      </c>
      <c r="D797" s="4" t="s">
        <v>102</v>
      </c>
      <c r="E797" s="4" t="s">
        <v>103</v>
      </c>
      <c r="F797" s="6">
        <v>1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5246</v>
      </c>
      <c r="B798" s="9" t="s">
        <v>1058</v>
      </c>
      <c r="C798" s="9" t="s">
        <v>64</v>
      </c>
      <c r="D798" s="9" t="s">
        <v>85</v>
      </c>
      <c r="E798" s="9" t="s">
        <v>86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5249</v>
      </c>
      <c r="B799" s="4" t="s">
        <v>1059</v>
      </c>
      <c r="C799" s="4" t="s">
        <v>64</v>
      </c>
      <c r="D799" s="4" t="s">
        <v>85</v>
      </c>
      <c r="E799" s="4" t="s">
        <v>86</v>
      </c>
      <c r="F799" s="6">
        <v>2</v>
      </c>
      <c r="G799" s="5">
        <v>1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5259</v>
      </c>
      <c r="B800" s="9" t="s">
        <v>1060</v>
      </c>
      <c r="C800" s="9" t="s">
        <v>64</v>
      </c>
      <c r="D800" s="9" t="s">
        <v>85</v>
      </c>
      <c r="E800" s="9" t="s">
        <v>86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0.26</v>
      </c>
    </row>
    <row r="801">
      <c r="A801" s="23">
        <v>5261</v>
      </c>
      <c r="B801" s="4" t="s">
        <v>1061</v>
      </c>
      <c r="C801" s="4" t="s">
        <v>64</v>
      </c>
      <c r="D801" s="4" t="s">
        <v>68</v>
      </c>
      <c r="E801" s="4" t="s">
        <v>267</v>
      </c>
      <c r="F801" s="6">
        <v>3</v>
      </c>
      <c r="G801" s="5">
        <v>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3</v>
      </c>
      <c r="AK801" s="8">
        <v>3</v>
      </c>
      <c r="AL801" s="5">
        <v>3</v>
      </c>
      <c r="AM801" s="5">
        <v>3</v>
      </c>
      <c r="AN801" s="28">
        <v>0.74</v>
      </c>
    </row>
    <row r="802">
      <c r="A802" s="24">
        <v>5280</v>
      </c>
      <c r="B802" s="9" t="s">
        <v>1062</v>
      </c>
      <c r="C802" s="9" t="s">
        <v>64</v>
      </c>
      <c r="D802" s="9" t="s">
        <v>85</v>
      </c>
      <c r="E802" s="9" t="s">
        <v>86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5296</v>
      </c>
      <c r="B803" s="4" t="s">
        <v>1063</v>
      </c>
      <c r="C803" s="4" t="s">
        <v>64</v>
      </c>
      <c r="D803" s="4" t="s">
        <v>76</v>
      </c>
      <c r="E803" s="4" t="s">
        <v>194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5301</v>
      </c>
      <c r="B804" s="9" t="s">
        <v>1064</v>
      </c>
      <c r="C804" s="9" t="s">
        <v>64</v>
      </c>
      <c r="D804" s="9" t="s">
        <v>125</v>
      </c>
      <c r="E804" s="9" t="s">
        <v>1065</v>
      </c>
      <c r="F804" s="11">
        <v>3</v>
      </c>
      <c r="G804" s="10">
        <v>1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0">
        <v>1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0.5</v>
      </c>
    </row>
    <row r="805">
      <c r="A805" s="23">
        <v>5305</v>
      </c>
      <c r="B805" s="4" t="s">
        <v>1066</v>
      </c>
      <c r="C805" s="4" t="s">
        <v>64</v>
      </c>
      <c r="D805" s="4" t="s">
        <v>102</v>
      </c>
      <c r="E805" s="4" t="s">
        <v>248</v>
      </c>
      <c r="F805" s="6">
        <v>1</v>
      </c>
      <c r="G805" s="7">
        <v>0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0.24</v>
      </c>
    </row>
    <row r="806">
      <c r="A806" s="24">
        <v>5308</v>
      </c>
      <c r="B806" s="9" t="s">
        <v>1067</v>
      </c>
      <c r="C806" s="9" t="s">
        <v>134</v>
      </c>
      <c r="D806" s="9" t="s">
        <v>244</v>
      </c>
      <c r="E806" s="9" t="s">
        <v>245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9">
        <v>0</v>
      </c>
    </row>
    <row r="807">
      <c r="A807" s="23">
        <v>5315</v>
      </c>
      <c r="B807" s="4" t="s">
        <v>1068</v>
      </c>
      <c r="C807" s="4" t="s">
        <v>64</v>
      </c>
      <c r="D807" s="4" t="s">
        <v>76</v>
      </c>
      <c r="E807" s="4" t="s">
        <v>329</v>
      </c>
      <c r="F807" s="6">
        <v>3</v>
      </c>
      <c r="G807" s="7">
        <v>0</v>
      </c>
      <c r="H807" s="7">
        <v>0</v>
      </c>
      <c r="I807" s="5">
        <v>3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7">
        <v>0</v>
      </c>
      <c r="W807" s="7">
        <v>0</v>
      </c>
      <c r="X807" s="5">
        <v>3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3</v>
      </c>
      <c r="AK807" s="8">
        <v>3</v>
      </c>
      <c r="AL807" s="5">
        <v>3</v>
      </c>
      <c r="AM807" s="5">
        <v>3</v>
      </c>
      <c r="AN807" s="30">
        <v>0</v>
      </c>
    </row>
    <row r="808">
      <c r="A808" s="24">
        <v>5328</v>
      </c>
      <c r="B808" s="9" t="s">
        <v>1069</v>
      </c>
      <c r="C808" s="9" t="s">
        <v>64</v>
      </c>
      <c r="D808" s="9" t="s">
        <v>76</v>
      </c>
      <c r="E808" s="9" t="s">
        <v>77</v>
      </c>
      <c r="F808" s="11">
        <v>4</v>
      </c>
      <c r="G808" s="10">
        <v>4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4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49">
        <v>0</v>
      </c>
    </row>
    <row r="809">
      <c r="A809" s="23">
        <v>5334</v>
      </c>
      <c r="B809" s="4" t="s">
        <v>1070</v>
      </c>
      <c r="C809" s="4" t="s">
        <v>64</v>
      </c>
      <c r="D809" s="4" t="s">
        <v>114</v>
      </c>
      <c r="E809" s="4" t="s">
        <v>909</v>
      </c>
      <c r="F809" s="6">
        <v>2</v>
      </c>
      <c r="G809" s="7">
        <v>0</v>
      </c>
      <c r="H809" s="5">
        <v>2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5">
        <v>1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30">
        <v>0</v>
      </c>
    </row>
    <row r="810">
      <c r="A810" s="24">
        <v>5337</v>
      </c>
      <c r="B810" s="9" t="s">
        <v>1071</v>
      </c>
      <c r="C810" s="9" t="s">
        <v>64</v>
      </c>
      <c r="D810" s="9" t="s">
        <v>114</v>
      </c>
      <c r="E810" s="9" t="s">
        <v>212</v>
      </c>
      <c r="F810" s="11">
        <v>2</v>
      </c>
      <c r="G810" s="12">
        <v>0</v>
      </c>
      <c r="H810" s="10">
        <v>1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0">
        <v>1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5353</v>
      </c>
      <c r="B811" s="4" t="s">
        <v>1072</v>
      </c>
      <c r="C811" s="4" t="s">
        <v>64</v>
      </c>
      <c r="D811" s="4" t="s">
        <v>102</v>
      </c>
      <c r="E811" s="4" t="s">
        <v>103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5361</v>
      </c>
      <c r="B812" s="9" t="s">
        <v>1073</v>
      </c>
      <c r="C812" s="9" t="s">
        <v>64</v>
      </c>
      <c r="D812" s="9" t="s">
        <v>68</v>
      </c>
      <c r="E812" s="9" t="s">
        <v>112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5373</v>
      </c>
      <c r="B813" s="4" t="s">
        <v>1074</v>
      </c>
      <c r="C813" s="4" t="s">
        <v>64</v>
      </c>
      <c r="D813" s="4" t="s">
        <v>76</v>
      </c>
      <c r="E813" s="4" t="s">
        <v>77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0">
        <v>0</v>
      </c>
    </row>
    <row r="814">
      <c r="A814" s="24">
        <v>5381</v>
      </c>
      <c r="B814" s="9" t="s">
        <v>1075</v>
      </c>
      <c r="C814" s="9" t="s">
        <v>64</v>
      </c>
      <c r="D814" s="9" t="s">
        <v>85</v>
      </c>
      <c r="E814" s="9" t="s">
        <v>220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0.22</v>
      </c>
    </row>
    <row r="815">
      <c r="A815" s="23">
        <v>5382</v>
      </c>
      <c r="B815" s="4" t="s">
        <v>1076</v>
      </c>
      <c r="C815" s="4" t="s">
        <v>64</v>
      </c>
      <c r="D815" s="4" t="s">
        <v>72</v>
      </c>
      <c r="E815" s="4" t="s">
        <v>118</v>
      </c>
      <c r="F815" s="6">
        <v>13</v>
      </c>
      <c r="G815" s="5">
        <v>6</v>
      </c>
      <c r="H815" s="7">
        <v>0</v>
      </c>
      <c r="I815" s="5">
        <v>7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10</v>
      </c>
      <c r="V815" s="5">
        <v>4</v>
      </c>
      <c r="W815" s="7">
        <v>0</v>
      </c>
      <c r="X815" s="5">
        <v>6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6</v>
      </c>
      <c r="AK815" s="8">
        <v>6.5</v>
      </c>
      <c r="AL815" s="5">
        <v>6</v>
      </c>
      <c r="AM815" s="5">
        <v>7</v>
      </c>
      <c r="AN815" s="30">
        <v>0</v>
      </c>
    </row>
    <row r="816">
      <c r="A816" s="24">
        <v>5398</v>
      </c>
      <c r="B816" s="9" t="s">
        <v>1077</v>
      </c>
      <c r="C816" s="9" t="s">
        <v>64</v>
      </c>
      <c r="D816" s="9" t="s">
        <v>114</v>
      </c>
      <c r="E816" s="9" t="s">
        <v>678</v>
      </c>
      <c r="F816" s="11">
        <v>3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0">
        <v>2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0">
        <v>2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49">
        <v>0</v>
      </c>
    </row>
    <row r="817">
      <c r="A817" s="23">
        <v>5402</v>
      </c>
      <c r="B817" s="4" t="s">
        <v>1078</v>
      </c>
      <c r="C817" s="4" t="s">
        <v>64</v>
      </c>
      <c r="D817" s="4" t="s">
        <v>102</v>
      </c>
      <c r="E817" s="4" t="s">
        <v>103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5427</v>
      </c>
      <c r="B818" s="9" t="s">
        <v>1079</v>
      </c>
      <c r="C818" s="9" t="s">
        <v>134</v>
      </c>
      <c r="D818" s="9" t="s">
        <v>594</v>
      </c>
      <c r="E818" s="9" t="s">
        <v>1080</v>
      </c>
      <c r="F818" s="11">
        <v>5</v>
      </c>
      <c r="G818" s="10">
        <v>2</v>
      </c>
      <c r="H818" s="12">
        <v>0</v>
      </c>
      <c r="I818" s="10">
        <v>1</v>
      </c>
      <c r="J818" s="12">
        <v>0</v>
      </c>
      <c r="K818" s="10">
        <v>1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5</v>
      </c>
      <c r="V818" s="10">
        <v>2</v>
      </c>
      <c r="W818" s="12">
        <v>0</v>
      </c>
      <c r="X818" s="10">
        <v>1</v>
      </c>
      <c r="Y818" s="12">
        <v>0</v>
      </c>
      <c r="Z818" s="10">
        <v>1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1.25</v>
      </c>
      <c r="AL818" s="10">
        <v>1</v>
      </c>
      <c r="AM818" s="10">
        <v>2</v>
      </c>
      <c r="AN818" s="49">
        <v>0</v>
      </c>
    </row>
    <row r="819">
      <c r="A819" s="23">
        <v>5438</v>
      </c>
      <c r="B819" s="4" t="s">
        <v>1081</v>
      </c>
      <c r="C819" s="4" t="s">
        <v>64</v>
      </c>
      <c r="D819" s="4" t="s">
        <v>72</v>
      </c>
      <c r="E819" s="4" t="s">
        <v>285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5475</v>
      </c>
      <c r="B820" s="9" t="s">
        <v>1082</v>
      </c>
      <c r="C820" s="9" t="s">
        <v>64</v>
      </c>
      <c r="D820" s="9" t="s">
        <v>93</v>
      </c>
      <c r="E820" s="9" t="s">
        <v>1083</v>
      </c>
      <c r="F820" s="11">
        <v>11</v>
      </c>
      <c r="G820" s="10">
        <v>2</v>
      </c>
      <c r="H820" s="12">
        <v>0</v>
      </c>
      <c r="I820" s="10">
        <v>1</v>
      </c>
      <c r="J820" s="10">
        <v>8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10</v>
      </c>
      <c r="V820" s="10">
        <v>1</v>
      </c>
      <c r="W820" s="12">
        <v>0</v>
      </c>
      <c r="X820" s="10">
        <v>1</v>
      </c>
      <c r="Y820" s="10">
        <v>8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1.57</v>
      </c>
      <c r="AL820" s="10">
        <v>1</v>
      </c>
      <c r="AM820" s="10">
        <v>4</v>
      </c>
      <c r="AN820" s="29">
        <v>1.56</v>
      </c>
    </row>
    <row r="821">
      <c r="A821" s="23">
        <v>5476</v>
      </c>
      <c r="B821" s="4" t="s">
        <v>1084</v>
      </c>
      <c r="C821" s="4" t="s">
        <v>134</v>
      </c>
      <c r="D821" s="4" t="s">
        <v>374</v>
      </c>
      <c r="E821" s="4" t="s">
        <v>382</v>
      </c>
      <c r="F821" s="6">
        <v>7</v>
      </c>
      <c r="G821" s="7">
        <v>0</v>
      </c>
      <c r="H821" s="7">
        <v>0</v>
      </c>
      <c r="I821" s="5">
        <v>1</v>
      </c>
      <c r="J821" s="5">
        <v>5</v>
      </c>
      <c r="K821" s="7">
        <v>0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7</v>
      </c>
      <c r="V821" s="7">
        <v>0</v>
      </c>
      <c r="W821" s="7">
        <v>0</v>
      </c>
      <c r="X821" s="5">
        <v>1</v>
      </c>
      <c r="Y821" s="5">
        <v>5</v>
      </c>
      <c r="Z821" s="7">
        <v>0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1.4</v>
      </c>
      <c r="AL821" s="5">
        <v>1</v>
      </c>
      <c r="AM821" s="5">
        <v>3</v>
      </c>
      <c r="AN821" s="28">
        <v>1</v>
      </c>
    </row>
    <row r="822">
      <c r="A822" s="24">
        <v>5477</v>
      </c>
      <c r="B822" s="9" t="s">
        <v>1085</v>
      </c>
      <c r="C822" s="9" t="s">
        <v>134</v>
      </c>
      <c r="D822" s="9" t="s">
        <v>432</v>
      </c>
      <c r="E822" s="9" t="s">
        <v>1040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5492</v>
      </c>
      <c r="B823" s="4" t="s">
        <v>1086</v>
      </c>
      <c r="C823" s="4" t="s">
        <v>64</v>
      </c>
      <c r="D823" s="4" t="s">
        <v>102</v>
      </c>
      <c r="E823" s="4" t="s">
        <v>103</v>
      </c>
      <c r="F823" s="6">
        <v>3</v>
      </c>
      <c r="G823" s="5">
        <v>3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5">
        <v>3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30">
        <v>0</v>
      </c>
    </row>
    <row r="824">
      <c r="A824" s="24">
        <v>5498</v>
      </c>
      <c r="B824" s="9" t="s">
        <v>1087</v>
      </c>
      <c r="C824" s="9" t="s">
        <v>64</v>
      </c>
      <c r="D824" s="9" t="s">
        <v>85</v>
      </c>
      <c r="E824" s="9" t="s">
        <v>132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9">
        <v>0</v>
      </c>
    </row>
    <row r="825">
      <c r="A825" s="23">
        <v>5499</v>
      </c>
      <c r="B825" s="4" t="s">
        <v>1088</v>
      </c>
      <c r="C825" s="4" t="s">
        <v>64</v>
      </c>
      <c r="D825" s="4" t="s">
        <v>85</v>
      </c>
      <c r="E825" s="4" t="s">
        <v>458</v>
      </c>
      <c r="F825" s="6">
        <v>1</v>
      </c>
      <c r="G825" s="7">
        <v>0</v>
      </c>
      <c r="H825" s="7">
        <v>0</v>
      </c>
      <c r="I825" s="7">
        <v>0</v>
      </c>
      <c r="J825" s="7">
        <v>0</v>
      </c>
      <c r="K825" s="5">
        <v>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7">
        <v>0</v>
      </c>
      <c r="Y825" s="7">
        <v>0</v>
      </c>
      <c r="Z825" s="5">
        <v>1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5500</v>
      </c>
      <c r="B826" s="9" t="s">
        <v>1089</v>
      </c>
      <c r="C826" s="9" t="s">
        <v>64</v>
      </c>
      <c r="D826" s="9" t="s">
        <v>102</v>
      </c>
      <c r="E826" s="9" t="s">
        <v>103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9">
        <v>0</v>
      </c>
    </row>
    <row r="827">
      <c r="A827" s="23">
        <v>5505</v>
      </c>
      <c r="B827" s="4" t="s">
        <v>1090</v>
      </c>
      <c r="C827" s="4" t="s">
        <v>64</v>
      </c>
      <c r="D827" s="4" t="s">
        <v>68</v>
      </c>
      <c r="E827" s="4" t="s">
        <v>112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5507</v>
      </c>
      <c r="B828" s="9" t="s">
        <v>1091</v>
      </c>
      <c r="C828" s="9" t="s">
        <v>64</v>
      </c>
      <c r="D828" s="9" t="s">
        <v>102</v>
      </c>
      <c r="E828" s="9" t="s">
        <v>103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5511</v>
      </c>
      <c r="B829" s="4" t="s">
        <v>1092</v>
      </c>
      <c r="C829" s="4" t="s">
        <v>64</v>
      </c>
      <c r="D829" s="4" t="s">
        <v>68</v>
      </c>
      <c r="E829" s="4" t="s">
        <v>264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5515</v>
      </c>
      <c r="B830" s="9" t="s">
        <v>1093</v>
      </c>
      <c r="C830" s="9" t="s">
        <v>64</v>
      </c>
      <c r="D830" s="9" t="s">
        <v>102</v>
      </c>
      <c r="E830" s="9" t="s">
        <v>248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9">
        <v>0</v>
      </c>
    </row>
    <row r="831">
      <c r="A831" s="23">
        <v>5517</v>
      </c>
      <c r="B831" s="4" t="s">
        <v>1094</v>
      </c>
      <c r="C831" s="4" t="s">
        <v>64</v>
      </c>
      <c r="D831" s="4" t="s">
        <v>85</v>
      </c>
      <c r="E831" s="4" t="s">
        <v>132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30">
        <v>0</v>
      </c>
    </row>
    <row r="832">
      <c r="A832" s="24">
        <v>5536</v>
      </c>
      <c r="B832" s="9" t="s">
        <v>1095</v>
      </c>
      <c r="C832" s="9" t="s">
        <v>134</v>
      </c>
      <c r="D832" s="9" t="s">
        <v>594</v>
      </c>
      <c r="E832" s="9" t="s">
        <v>752</v>
      </c>
      <c r="F832" s="11">
        <v>1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0.24</v>
      </c>
    </row>
    <row r="833">
      <c r="A833" s="23">
        <v>5546</v>
      </c>
      <c r="B833" s="4" t="s">
        <v>1096</v>
      </c>
      <c r="C833" s="4" t="s">
        <v>162</v>
      </c>
      <c r="D833" s="4" t="s">
        <v>639</v>
      </c>
      <c r="E833" s="4" t="s">
        <v>1055</v>
      </c>
      <c r="F833" s="6">
        <v>3</v>
      </c>
      <c r="G833" s="5">
        <v>1</v>
      </c>
      <c r="H833" s="7">
        <v>0</v>
      </c>
      <c r="I833" s="7">
        <v>0</v>
      </c>
      <c r="J833" s="7">
        <v>0</v>
      </c>
      <c r="K833" s="5">
        <v>2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1</v>
      </c>
      <c r="W833" s="7">
        <v>0</v>
      </c>
      <c r="X833" s="7">
        <v>0</v>
      </c>
      <c r="Y833" s="7">
        <v>0</v>
      </c>
      <c r="Z833" s="5">
        <v>2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5560</v>
      </c>
      <c r="B834" s="9" t="s">
        <v>1097</v>
      </c>
      <c r="C834" s="9" t="s">
        <v>64</v>
      </c>
      <c r="D834" s="9" t="s">
        <v>85</v>
      </c>
      <c r="E834" s="9" t="s">
        <v>220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0.35</v>
      </c>
    </row>
    <row r="835">
      <c r="A835" s="23">
        <v>5561</v>
      </c>
      <c r="B835" s="4" t="s">
        <v>1098</v>
      </c>
      <c r="C835" s="4" t="s">
        <v>64</v>
      </c>
      <c r="D835" s="4" t="s">
        <v>76</v>
      </c>
      <c r="E835" s="4" t="s">
        <v>329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5595</v>
      </c>
      <c r="B836" s="9" t="s">
        <v>1099</v>
      </c>
      <c r="C836" s="9" t="s">
        <v>598</v>
      </c>
      <c r="D836" s="9" t="s">
        <v>648</v>
      </c>
      <c r="E836" s="9" t="s">
        <v>389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5632</v>
      </c>
      <c r="B837" s="4" t="s">
        <v>1100</v>
      </c>
      <c r="C837" s="4" t="s">
        <v>598</v>
      </c>
      <c r="D837" s="4" t="s">
        <v>635</v>
      </c>
      <c r="E837" s="4" t="s">
        <v>389</v>
      </c>
      <c r="F837" s="6">
        <v>1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5633</v>
      </c>
      <c r="B838" s="9" t="s">
        <v>1101</v>
      </c>
      <c r="C838" s="9" t="s">
        <v>598</v>
      </c>
      <c r="D838" s="9" t="s">
        <v>635</v>
      </c>
      <c r="E838" s="9" t="s">
        <v>389</v>
      </c>
      <c r="F838" s="11">
        <v>2</v>
      </c>
      <c r="G838" s="12">
        <v>0</v>
      </c>
      <c r="H838" s="12">
        <v>0</v>
      </c>
      <c r="I838" s="10">
        <v>2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2">
        <v>0</v>
      </c>
      <c r="W838" s="12">
        <v>0</v>
      </c>
      <c r="X838" s="10">
        <v>2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0.52</v>
      </c>
    </row>
    <row r="839">
      <c r="A839" s="23">
        <v>5645</v>
      </c>
      <c r="B839" s="4" t="s">
        <v>1102</v>
      </c>
      <c r="C839" s="4" t="s">
        <v>598</v>
      </c>
      <c r="D839" s="4" t="s">
        <v>648</v>
      </c>
      <c r="E839" s="4" t="s">
        <v>389</v>
      </c>
      <c r="F839" s="6">
        <v>2</v>
      </c>
      <c r="G839" s="7">
        <v>0</v>
      </c>
      <c r="H839" s="7">
        <v>0</v>
      </c>
      <c r="I839" s="5">
        <v>2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7">
        <v>0</v>
      </c>
      <c r="X839" s="5">
        <v>2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28">
        <v>0.5</v>
      </c>
    </row>
    <row r="840">
      <c r="A840" s="24">
        <v>5660</v>
      </c>
      <c r="B840" s="9" t="s">
        <v>1103</v>
      </c>
      <c r="C840" s="9" t="s">
        <v>598</v>
      </c>
      <c r="D840" s="9" t="s">
        <v>599</v>
      </c>
      <c r="E840" s="9" t="s">
        <v>389</v>
      </c>
      <c r="F840" s="11">
        <v>1</v>
      </c>
      <c r="G840" s="12">
        <v>0</v>
      </c>
      <c r="H840" s="10">
        <v>1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0">
        <v>1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5737</v>
      </c>
      <c r="B841" s="4" t="s">
        <v>1104</v>
      </c>
      <c r="C841" s="4" t="s">
        <v>598</v>
      </c>
      <c r="D841" s="4" t="s">
        <v>601</v>
      </c>
      <c r="E841" s="4" t="s">
        <v>389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0.52</v>
      </c>
    </row>
    <row r="842">
      <c r="A842" s="24">
        <v>5780</v>
      </c>
      <c r="B842" s="9" t="s">
        <v>1105</v>
      </c>
      <c r="C842" s="9" t="s">
        <v>598</v>
      </c>
      <c r="D842" s="9" t="s">
        <v>648</v>
      </c>
      <c r="E842" s="9" t="s">
        <v>389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9">
        <v>0</v>
      </c>
    </row>
    <row r="843">
      <c r="A843" s="23">
        <v>5818</v>
      </c>
      <c r="B843" s="4" t="s">
        <v>1106</v>
      </c>
      <c r="C843" s="4" t="s">
        <v>598</v>
      </c>
      <c r="D843" s="4" t="s">
        <v>601</v>
      </c>
      <c r="E843" s="4" t="s">
        <v>389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5853</v>
      </c>
      <c r="B844" s="9" t="s">
        <v>1107</v>
      </c>
      <c r="C844" s="9" t="s">
        <v>598</v>
      </c>
      <c r="D844" s="9" t="s">
        <v>919</v>
      </c>
      <c r="E844" s="9" t="s">
        <v>389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5932</v>
      </c>
      <c r="B845" s="4" t="s">
        <v>1108</v>
      </c>
      <c r="C845" s="4" t="s">
        <v>598</v>
      </c>
      <c r="D845" s="4" t="s">
        <v>919</v>
      </c>
      <c r="E845" s="4" t="s">
        <v>389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5944</v>
      </c>
      <c r="B846" s="9" t="s">
        <v>1109</v>
      </c>
      <c r="C846" s="9" t="s">
        <v>598</v>
      </c>
      <c r="D846" s="9" t="s">
        <v>635</v>
      </c>
      <c r="E846" s="9" t="s">
        <v>389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9">
        <v>0</v>
      </c>
    </row>
    <row r="847">
      <c r="A847" s="23">
        <v>5954</v>
      </c>
      <c r="B847" s="4" t="s">
        <v>1110</v>
      </c>
      <c r="C847" s="4" t="s">
        <v>624</v>
      </c>
      <c r="D847" s="4" t="s">
        <v>1111</v>
      </c>
      <c r="E847" s="4" t="s">
        <v>1112</v>
      </c>
      <c r="F847" s="6">
        <v>4</v>
      </c>
      <c r="G847" s="7">
        <v>0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7">
        <v>0</v>
      </c>
      <c r="W847" s="7">
        <v>0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4</v>
      </c>
      <c r="AK847" s="8">
        <v>4</v>
      </c>
      <c r="AL847" s="5">
        <v>4</v>
      </c>
      <c r="AM847" s="5">
        <v>4</v>
      </c>
      <c r="AN847" s="28">
        <v>1.04</v>
      </c>
    </row>
    <row r="848">
      <c r="A848" s="24">
        <v>6000</v>
      </c>
      <c r="B848" s="9" t="s">
        <v>1113</v>
      </c>
      <c r="C848" s="9" t="s">
        <v>64</v>
      </c>
      <c r="D848" s="9" t="s">
        <v>93</v>
      </c>
      <c r="E848" s="9" t="s">
        <v>326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6005</v>
      </c>
      <c r="B849" s="4" t="s">
        <v>1114</v>
      </c>
      <c r="C849" s="4" t="s">
        <v>680</v>
      </c>
      <c r="D849" s="4" t="s">
        <v>937</v>
      </c>
      <c r="E849" s="4" t="s">
        <v>389</v>
      </c>
      <c r="F849" s="6">
        <v>3</v>
      </c>
      <c r="G849" s="7">
        <v>0</v>
      </c>
      <c r="H849" s="7">
        <v>0</v>
      </c>
      <c r="I849" s="5">
        <v>1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7">
        <v>0</v>
      </c>
      <c r="W849" s="7">
        <v>0</v>
      </c>
      <c r="X849" s="5">
        <v>1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1.5</v>
      </c>
      <c r="AL849" s="5">
        <v>1</v>
      </c>
      <c r="AM849" s="5">
        <v>2</v>
      </c>
      <c r="AN849" s="28">
        <v>0.5</v>
      </c>
    </row>
    <row r="850">
      <c r="A850" s="24">
        <v>6026</v>
      </c>
      <c r="B850" s="9" t="s">
        <v>1115</v>
      </c>
      <c r="C850" s="9" t="s">
        <v>624</v>
      </c>
      <c r="D850" s="9" t="s">
        <v>625</v>
      </c>
      <c r="E850" s="9" t="s">
        <v>1116</v>
      </c>
      <c r="F850" s="11">
        <v>7</v>
      </c>
      <c r="G850" s="12">
        <v>0</v>
      </c>
      <c r="H850" s="10">
        <v>2</v>
      </c>
      <c r="I850" s="12">
        <v>0</v>
      </c>
      <c r="J850" s="10">
        <v>5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5</v>
      </c>
      <c r="V850" s="12">
        <v>0</v>
      </c>
      <c r="W850" s="10">
        <v>1</v>
      </c>
      <c r="X850" s="12">
        <v>0</v>
      </c>
      <c r="Y850" s="10">
        <v>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1.75</v>
      </c>
      <c r="AL850" s="10">
        <v>2</v>
      </c>
      <c r="AM850" s="10">
        <v>2</v>
      </c>
      <c r="AN850" s="29">
        <v>1.11</v>
      </c>
    </row>
    <row r="851">
      <c r="A851" s="23">
        <v>6030</v>
      </c>
      <c r="B851" s="4" t="s">
        <v>1117</v>
      </c>
      <c r="C851" s="4" t="s">
        <v>162</v>
      </c>
      <c r="D851" s="4" t="s">
        <v>163</v>
      </c>
      <c r="E851" s="4" t="s">
        <v>178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6045</v>
      </c>
      <c r="B852" s="9" t="s">
        <v>1118</v>
      </c>
      <c r="C852" s="9" t="s">
        <v>680</v>
      </c>
      <c r="D852" s="9" t="s">
        <v>937</v>
      </c>
      <c r="E852" s="9" t="s">
        <v>389</v>
      </c>
      <c r="F852" s="11">
        <v>7</v>
      </c>
      <c r="G852" s="12">
        <v>0</v>
      </c>
      <c r="H852" s="12">
        <v>0</v>
      </c>
      <c r="I852" s="10">
        <v>1</v>
      </c>
      <c r="J852" s="10">
        <v>6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2">
        <v>0</v>
      </c>
      <c r="W852" s="12">
        <v>0</v>
      </c>
      <c r="X852" s="10">
        <v>1</v>
      </c>
      <c r="Y852" s="10">
        <v>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1.75</v>
      </c>
      <c r="AL852" s="10">
        <v>1</v>
      </c>
      <c r="AM852" s="10">
        <v>3</v>
      </c>
      <c r="AN852" s="29">
        <v>1.5</v>
      </c>
    </row>
    <row r="853">
      <c r="A853" s="23">
        <v>6080</v>
      </c>
      <c r="B853" s="4" t="s">
        <v>1119</v>
      </c>
      <c r="C853" s="4" t="s">
        <v>134</v>
      </c>
      <c r="D853" s="4" t="s">
        <v>135</v>
      </c>
      <c r="E853" s="4" t="s">
        <v>427</v>
      </c>
      <c r="F853" s="6">
        <v>1</v>
      </c>
      <c r="G853" s="7">
        <v>0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6108</v>
      </c>
      <c r="B854" s="9" t="s">
        <v>1120</v>
      </c>
      <c r="C854" s="9" t="s">
        <v>64</v>
      </c>
      <c r="D854" s="9" t="s">
        <v>85</v>
      </c>
      <c r="E854" s="9" t="s">
        <v>130</v>
      </c>
      <c r="F854" s="11">
        <v>2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0.5</v>
      </c>
    </row>
    <row r="855">
      <c r="A855" s="23">
        <v>6114</v>
      </c>
      <c r="B855" s="4" t="s">
        <v>1121</v>
      </c>
      <c r="C855" s="4" t="s">
        <v>134</v>
      </c>
      <c r="D855" s="4" t="s">
        <v>244</v>
      </c>
      <c r="E855" s="4" t="s">
        <v>1122</v>
      </c>
      <c r="F855" s="6">
        <v>16</v>
      </c>
      <c r="G855" s="7">
        <v>0</v>
      </c>
      <c r="H855" s="7">
        <v>0</v>
      </c>
      <c r="I855" s="7">
        <v>0</v>
      </c>
      <c r="J855" s="5">
        <v>16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15</v>
      </c>
      <c r="V855" s="7">
        <v>0</v>
      </c>
      <c r="W855" s="7">
        <v>0</v>
      </c>
      <c r="X855" s="7">
        <v>0</v>
      </c>
      <c r="Y855" s="5">
        <v>15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5.33</v>
      </c>
      <c r="AL855" s="5">
        <v>3</v>
      </c>
      <c r="AM855" s="5">
        <v>11</v>
      </c>
      <c r="AN855" s="28">
        <v>3.9</v>
      </c>
    </row>
    <row r="856">
      <c r="A856" s="24">
        <v>6151</v>
      </c>
      <c r="B856" s="9" t="s">
        <v>1123</v>
      </c>
      <c r="C856" s="9" t="s">
        <v>64</v>
      </c>
      <c r="D856" s="9" t="s">
        <v>125</v>
      </c>
      <c r="E856" s="9" t="s">
        <v>333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9">
        <v>0</v>
      </c>
    </row>
    <row r="857">
      <c r="A857" s="23">
        <v>6162</v>
      </c>
      <c r="B857" s="4" t="s">
        <v>1124</v>
      </c>
      <c r="C857" s="4" t="s">
        <v>134</v>
      </c>
      <c r="D857" s="4" t="s">
        <v>422</v>
      </c>
      <c r="E857" s="4" t="s">
        <v>1125</v>
      </c>
      <c r="F857" s="6">
        <v>3</v>
      </c>
      <c r="G857" s="5">
        <v>1</v>
      </c>
      <c r="H857" s="7">
        <v>0</v>
      </c>
      <c r="I857" s="5">
        <v>2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1</v>
      </c>
      <c r="W857" s="7">
        <v>0</v>
      </c>
      <c r="X857" s="5">
        <v>2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30">
        <v>0</v>
      </c>
    </row>
    <row r="858">
      <c r="A858" s="24">
        <v>6202</v>
      </c>
      <c r="B858" s="9" t="s">
        <v>1126</v>
      </c>
      <c r="C858" s="9" t="s">
        <v>680</v>
      </c>
      <c r="D858" s="9" t="s">
        <v>681</v>
      </c>
      <c r="E858" s="9" t="s">
        <v>389</v>
      </c>
      <c r="F858" s="11">
        <v>4</v>
      </c>
      <c r="G858" s="12">
        <v>0</v>
      </c>
      <c r="H858" s="10">
        <v>1</v>
      </c>
      <c r="I858" s="10">
        <v>1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2">
        <v>0</v>
      </c>
      <c r="W858" s="10">
        <v>1</v>
      </c>
      <c r="X858" s="10">
        <v>1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0.87</v>
      </c>
    </row>
    <row r="859">
      <c r="A859" s="23">
        <v>6227</v>
      </c>
      <c r="B859" s="4" t="s">
        <v>1127</v>
      </c>
      <c r="C859" s="4" t="s">
        <v>624</v>
      </c>
      <c r="D859" s="4" t="s">
        <v>625</v>
      </c>
      <c r="E859" s="4" t="s">
        <v>1116</v>
      </c>
      <c r="F859" s="6">
        <v>4</v>
      </c>
      <c r="G859" s="7">
        <v>0</v>
      </c>
      <c r="H859" s="5">
        <v>1</v>
      </c>
      <c r="I859" s="5">
        <v>1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7">
        <v>0</v>
      </c>
      <c r="W859" s="5">
        <v>1</v>
      </c>
      <c r="X859" s="5">
        <v>1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0.52</v>
      </c>
    </row>
    <row r="860">
      <c r="A860" s="24">
        <v>6228</v>
      </c>
      <c r="B860" s="9" t="s">
        <v>1128</v>
      </c>
      <c r="C860" s="9" t="s">
        <v>624</v>
      </c>
      <c r="D860" s="9" t="s">
        <v>625</v>
      </c>
      <c r="E860" s="9" t="s">
        <v>1116</v>
      </c>
      <c r="F860" s="11">
        <v>3</v>
      </c>
      <c r="G860" s="10">
        <v>1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0">
        <v>1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0.5</v>
      </c>
    </row>
    <row r="861">
      <c r="A861" s="23">
        <v>6269</v>
      </c>
      <c r="B861" s="4" t="s">
        <v>1129</v>
      </c>
      <c r="C861" s="4" t="s">
        <v>64</v>
      </c>
      <c r="D861" s="4" t="s">
        <v>72</v>
      </c>
      <c r="E861" s="4" t="s">
        <v>73</v>
      </c>
      <c r="F861" s="6">
        <v>2</v>
      </c>
      <c r="G861" s="5">
        <v>1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1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6274</v>
      </c>
      <c r="B862" s="9" t="s">
        <v>1130</v>
      </c>
      <c r="C862" s="9" t="s">
        <v>64</v>
      </c>
      <c r="D862" s="9" t="s">
        <v>76</v>
      </c>
      <c r="E862" s="9" t="s">
        <v>77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6297</v>
      </c>
      <c r="B863" s="4" t="s">
        <v>1131</v>
      </c>
      <c r="C863" s="4" t="s">
        <v>64</v>
      </c>
      <c r="D863" s="4" t="s">
        <v>85</v>
      </c>
      <c r="E863" s="4" t="s">
        <v>132</v>
      </c>
      <c r="F863" s="6">
        <v>1</v>
      </c>
      <c r="G863" s="7">
        <v>0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6300</v>
      </c>
      <c r="B864" s="9" t="s">
        <v>1132</v>
      </c>
      <c r="C864" s="9" t="s">
        <v>64</v>
      </c>
      <c r="D864" s="9" t="s">
        <v>85</v>
      </c>
      <c r="E864" s="9" t="s">
        <v>352</v>
      </c>
      <c r="F864" s="11">
        <v>3</v>
      </c>
      <c r="G864" s="12">
        <v>0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2">
        <v>0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3</v>
      </c>
      <c r="AK864" s="13">
        <v>3</v>
      </c>
      <c r="AL864" s="10">
        <v>3</v>
      </c>
      <c r="AM864" s="10">
        <v>3</v>
      </c>
      <c r="AN864" s="29">
        <v>0.75</v>
      </c>
    </row>
    <row r="865">
      <c r="A865" s="23">
        <v>6303</v>
      </c>
      <c r="B865" s="4" t="s">
        <v>1133</v>
      </c>
      <c r="C865" s="4" t="s">
        <v>64</v>
      </c>
      <c r="D865" s="4" t="s">
        <v>114</v>
      </c>
      <c r="E865" s="4" t="s">
        <v>143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6313</v>
      </c>
      <c r="B866" s="9" t="s">
        <v>1134</v>
      </c>
      <c r="C866" s="9" t="s">
        <v>162</v>
      </c>
      <c r="D866" s="9" t="s">
        <v>163</v>
      </c>
      <c r="E866" s="9" t="s">
        <v>176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6315</v>
      </c>
      <c r="B867" s="4" t="s">
        <v>1135</v>
      </c>
      <c r="C867" s="4" t="s">
        <v>162</v>
      </c>
      <c r="D867" s="4" t="s">
        <v>163</v>
      </c>
      <c r="E867" s="4" t="s">
        <v>176</v>
      </c>
      <c r="F867" s="6">
        <v>2</v>
      </c>
      <c r="G867" s="7">
        <v>0</v>
      </c>
      <c r="H867" s="7">
        <v>0</v>
      </c>
      <c r="I867" s="5">
        <v>1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5">
        <v>1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6342</v>
      </c>
      <c r="B868" s="9" t="s">
        <v>1136</v>
      </c>
      <c r="C868" s="9" t="s">
        <v>64</v>
      </c>
      <c r="D868" s="9" t="s">
        <v>114</v>
      </c>
      <c r="E868" s="9" t="s">
        <v>143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0.26</v>
      </c>
    </row>
    <row r="869">
      <c r="A869" s="23">
        <v>6343</v>
      </c>
      <c r="B869" s="4" t="s">
        <v>1137</v>
      </c>
      <c r="C869" s="4" t="s">
        <v>64</v>
      </c>
      <c r="D869" s="4" t="s">
        <v>72</v>
      </c>
      <c r="E869" s="4" t="s">
        <v>646</v>
      </c>
      <c r="F869" s="6">
        <v>2</v>
      </c>
      <c r="G869" s="7">
        <v>0</v>
      </c>
      <c r="H869" s="5">
        <v>2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5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6424</v>
      </c>
      <c r="B870" s="9" t="s">
        <v>1138</v>
      </c>
      <c r="C870" s="9" t="s">
        <v>624</v>
      </c>
      <c r="D870" s="9" t="s">
        <v>1139</v>
      </c>
      <c r="E870" s="9" t="s">
        <v>1140</v>
      </c>
      <c r="F870" s="11">
        <v>1</v>
      </c>
      <c r="G870" s="12">
        <v>0</v>
      </c>
      <c r="H870" s="10">
        <v>1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0">
        <v>1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0.22</v>
      </c>
    </row>
    <row r="871">
      <c r="A871" s="23">
        <v>6447</v>
      </c>
      <c r="B871" s="4" t="s">
        <v>1141</v>
      </c>
      <c r="C871" s="4" t="s">
        <v>64</v>
      </c>
      <c r="D871" s="4" t="s">
        <v>76</v>
      </c>
      <c r="E871" s="4" t="s">
        <v>79</v>
      </c>
      <c r="F871" s="6">
        <v>5</v>
      </c>
      <c r="G871" s="7">
        <v>0</v>
      </c>
      <c r="H871" s="7">
        <v>0</v>
      </c>
      <c r="I871" s="7">
        <v>0</v>
      </c>
      <c r="J871" s="5">
        <v>5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2.5</v>
      </c>
      <c r="AL871" s="5">
        <v>2</v>
      </c>
      <c r="AM871" s="5">
        <v>4</v>
      </c>
      <c r="AN871" s="28">
        <v>0.52</v>
      </c>
    </row>
    <row r="872">
      <c r="A872" s="24">
        <v>6462</v>
      </c>
      <c r="B872" s="9" t="s">
        <v>1142</v>
      </c>
      <c r="C872" s="9" t="s">
        <v>162</v>
      </c>
      <c r="D872" s="9" t="s">
        <v>639</v>
      </c>
      <c r="E872" s="9" t="s">
        <v>1055</v>
      </c>
      <c r="F872" s="11">
        <v>1</v>
      </c>
      <c r="G872" s="12">
        <v>0</v>
      </c>
      <c r="H872" s="12">
        <v>0</v>
      </c>
      <c r="I872" s="12">
        <v>0</v>
      </c>
      <c r="J872" s="12">
        <v>0</v>
      </c>
      <c r="K872" s="10">
        <v>1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2">
        <v>0</v>
      </c>
      <c r="Z872" s="10">
        <v>1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6467</v>
      </c>
      <c r="B873" s="4" t="s">
        <v>1143</v>
      </c>
      <c r="C873" s="4" t="s">
        <v>64</v>
      </c>
      <c r="D873" s="4" t="s">
        <v>76</v>
      </c>
      <c r="E873" s="4" t="s">
        <v>77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0.26</v>
      </c>
    </row>
    <row r="874">
      <c r="A874" s="24">
        <v>6474</v>
      </c>
      <c r="B874" s="9" t="s">
        <v>1144</v>
      </c>
      <c r="C874" s="9" t="s">
        <v>64</v>
      </c>
      <c r="D874" s="9" t="s">
        <v>85</v>
      </c>
      <c r="E874" s="9" t="s">
        <v>352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0.24</v>
      </c>
    </row>
    <row r="875">
      <c r="A875" s="23">
        <v>6484</v>
      </c>
      <c r="B875" s="4" t="s">
        <v>1145</v>
      </c>
      <c r="C875" s="4" t="s">
        <v>64</v>
      </c>
      <c r="D875" s="4" t="s">
        <v>65</v>
      </c>
      <c r="E875" s="4" t="s">
        <v>389</v>
      </c>
      <c r="F875" s="6">
        <v>2</v>
      </c>
      <c r="G875" s="7">
        <v>0</v>
      </c>
      <c r="H875" s="5">
        <v>2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5">
        <v>2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28">
        <v>0.5</v>
      </c>
    </row>
    <row r="876">
      <c r="A876" s="24">
        <v>6485</v>
      </c>
      <c r="B876" s="9" t="s">
        <v>1146</v>
      </c>
      <c r="C876" s="9" t="s">
        <v>64</v>
      </c>
      <c r="D876" s="9" t="s">
        <v>102</v>
      </c>
      <c r="E876" s="9" t="s">
        <v>103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9">
        <v>0</v>
      </c>
    </row>
    <row r="877">
      <c r="A877" s="23">
        <v>6497</v>
      </c>
      <c r="B877" s="4" t="s">
        <v>1147</v>
      </c>
      <c r="C877" s="4" t="s">
        <v>673</v>
      </c>
      <c r="D877" s="4" t="s">
        <v>1148</v>
      </c>
      <c r="E877" s="4" t="s">
        <v>1149</v>
      </c>
      <c r="F877" s="6">
        <v>2</v>
      </c>
      <c r="G877" s="7">
        <v>0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7">
        <v>0</v>
      </c>
      <c r="W877" s="7">
        <v>0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6526</v>
      </c>
      <c r="B878" s="9" t="s">
        <v>1150</v>
      </c>
      <c r="C878" s="9" t="s">
        <v>64</v>
      </c>
      <c r="D878" s="9" t="s">
        <v>125</v>
      </c>
      <c r="E878" s="9" t="s">
        <v>205</v>
      </c>
      <c r="F878" s="11">
        <v>4</v>
      </c>
      <c r="G878" s="10">
        <v>3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0">
        <v>2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1.33</v>
      </c>
      <c r="AL878" s="10">
        <v>1</v>
      </c>
      <c r="AM878" s="10">
        <v>2</v>
      </c>
      <c r="AN878" s="29">
        <v>0.36</v>
      </c>
    </row>
    <row r="879">
      <c r="A879" s="23">
        <v>6538</v>
      </c>
      <c r="B879" s="4" t="s">
        <v>1151</v>
      </c>
      <c r="C879" s="4" t="s">
        <v>134</v>
      </c>
      <c r="D879" s="4" t="s">
        <v>244</v>
      </c>
      <c r="E879" s="4" t="s">
        <v>1122</v>
      </c>
      <c r="F879" s="6">
        <v>1</v>
      </c>
      <c r="G879" s="7">
        <v>0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6542</v>
      </c>
      <c r="B880" s="9" t="s">
        <v>1152</v>
      </c>
      <c r="C880" s="9" t="s">
        <v>134</v>
      </c>
      <c r="D880" s="9" t="s">
        <v>244</v>
      </c>
      <c r="E880" s="9" t="s">
        <v>1122</v>
      </c>
      <c r="F880" s="11">
        <v>3</v>
      </c>
      <c r="G880" s="12">
        <v>0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3</v>
      </c>
      <c r="AK880" s="13">
        <v>3</v>
      </c>
      <c r="AL880" s="10">
        <v>3</v>
      </c>
      <c r="AM880" s="10">
        <v>3</v>
      </c>
      <c r="AN880" s="49">
        <v>0</v>
      </c>
    </row>
    <row r="881">
      <c r="A881" s="23">
        <v>6605</v>
      </c>
      <c r="B881" s="4" t="s">
        <v>1153</v>
      </c>
      <c r="C881" s="4" t="s">
        <v>624</v>
      </c>
      <c r="D881" s="4" t="s">
        <v>625</v>
      </c>
      <c r="E881" s="4" t="s">
        <v>1154</v>
      </c>
      <c r="F881" s="6">
        <v>5</v>
      </c>
      <c r="G881" s="7">
        <v>0</v>
      </c>
      <c r="H881" s="5">
        <v>1</v>
      </c>
      <c r="I881" s="7">
        <v>0</v>
      </c>
      <c r="J881" s="5">
        <v>4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5</v>
      </c>
      <c r="V881" s="7">
        <v>0</v>
      </c>
      <c r="W881" s="5">
        <v>1</v>
      </c>
      <c r="X881" s="7">
        <v>0</v>
      </c>
      <c r="Y881" s="5">
        <v>4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2.5</v>
      </c>
      <c r="AL881" s="5">
        <v>2</v>
      </c>
      <c r="AM881" s="5">
        <v>4</v>
      </c>
      <c r="AN881" s="28">
        <v>1.42</v>
      </c>
    </row>
    <row r="882">
      <c r="A882" s="24">
        <v>6622</v>
      </c>
      <c r="B882" s="9" t="s">
        <v>1155</v>
      </c>
      <c r="C882" s="9" t="s">
        <v>680</v>
      </c>
      <c r="D882" s="9" t="s">
        <v>681</v>
      </c>
      <c r="E882" s="9" t="s">
        <v>389</v>
      </c>
      <c r="F882" s="11">
        <v>4</v>
      </c>
      <c r="G882" s="12">
        <v>0</v>
      </c>
      <c r="H882" s="12">
        <v>0</v>
      </c>
      <c r="I882" s="10">
        <v>1</v>
      </c>
      <c r="J882" s="10">
        <v>3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2">
        <v>0</v>
      </c>
      <c r="W882" s="12">
        <v>0</v>
      </c>
      <c r="X882" s="10">
        <v>1</v>
      </c>
      <c r="Y882" s="10">
        <v>3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</v>
      </c>
      <c r="AL882" s="10">
        <v>2</v>
      </c>
      <c r="AM882" s="10">
        <v>3</v>
      </c>
      <c r="AN882" s="29">
        <v>0.78</v>
      </c>
    </row>
    <row r="883">
      <c r="A883" s="23">
        <v>6636</v>
      </c>
      <c r="B883" s="4" t="s">
        <v>1156</v>
      </c>
      <c r="C883" s="4" t="s">
        <v>64</v>
      </c>
      <c r="D883" s="4" t="s">
        <v>102</v>
      </c>
      <c r="E883" s="4" t="s">
        <v>209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6644</v>
      </c>
      <c r="B884" s="9" t="s">
        <v>1157</v>
      </c>
      <c r="C884" s="9" t="s">
        <v>624</v>
      </c>
      <c r="D884" s="9" t="s">
        <v>1158</v>
      </c>
      <c r="E884" s="9" t="s">
        <v>1159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0.24</v>
      </c>
    </row>
    <row r="885">
      <c r="A885" s="23">
        <v>6667</v>
      </c>
      <c r="B885" s="4" t="s">
        <v>1160</v>
      </c>
      <c r="C885" s="4" t="s">
        <v>64</v>
      </c>
      <c r="D885" s="4" t="s">
        <v>102</v>
      </c>
      <c r="E885" s="4" t="s">
        <v>224</v>
      </c>
      <c r="F885" s="6">
        <v>3</v>
      </c>
      <c r="G885" s="5">
        <v>1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1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0.5</v>
      </c>
    </row>
    <row r="886">
      <c r="A886" s="24">
        <v>6670</v>
      </c>
      <c r="B886" s="9" t="s">
        <v>1161</v>
      </c>
      <c r="C886" s="9" t="s">
        <v>64</v>
      </c>
      <c r="D886" s="9" t="s">
        <v>102</v>
      </c>
      <c r="E886" s="9" t="s">
        <v>248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6697</v>
      </c>
      <c r="B887" s="4" t="s">
        <v>1162</v>
      </c>
      <c r="C887" s="4" t="s">
        <v>680</v>
      </c>
      <c r="D887" s="4" t="s">
        <v>937</v>
      </c>
      <c r="E887" s="4" t="s">
        <v>389</v>
      </c>
      <c r="F887" s="6">
        <v>4</v>
      </c>
      <c r="G887" s="7">
        <v>0</v>
      </c>
      <c r="H887" s="7">
        <v>0</v>
      </c>
      <c r="I887" s="5">
        <v>2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7">
        <v>0</v>
      </c>
      <c r="W887" s="7">
        <v>0</v>
      </c>
      <c r="X887" s="5">
        <v>2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1.33</v>
      </c>
      <c r="AL887" s="5">
        <v>1</v>
      </c>
      <c r="AM887" s="5">
        <v>2</v>
      </c>
      <c r="AN887" s="28">
        <v>0.52</v>
      </c>
    </row>
    <row r="888">
      <c r="A888" s="24">
        <v>6707</v>
      </c>
      <c r="B888" s="9" t="s">
        <v>1163</v>
      </c>
      <c r="C888" s="9" t="s">
        <v>64</v>
      </c>
      <c r="D888" s="9" t="s">
        <v>102</v>
      </c>
      <c r="E888" s="9" t="s">
        <v>103</v>
      </c>
      <c r="F888" s="11">
        <v>3</v>
      </c>
      <c r="G888" s="10">
        <v>2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1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29">
        <v>0.25</v>
      </c>
    </row>
    <row r="889">
      <c r="A889" s="23">
        <v>6729</v>
      </c>
      <c r="B889" s="4" t="s">
        <v>1164</v>
      </c>
      <c r="C889" s="4" t="s">
        <v>64</v>
      </c>
      <c r="D889" s="4" t="s">
        <v>102</v>
      </c>
      <c r="E889" s="4" t="s">
        <v>248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0.26</v>
      </c>
    </row>
    <row r="890">
      <c r="A890" s="24">
        <v>6787</v>
      </c>
      <c r="B890" s="9" t="s">
        <v>1165</v>
      </c>
      <c r="C890" s="9" t="s">
        <v>1166</v>
      </c>
      <c r="D890" s="9" t="s">
        <v>1167</v>
      </c>
      <c r="E890" s="9" t="s">
        <v>389</v>
      </c>
      <c r="F890" s="11">
        <v>1</v>
      </c>
      <c r="G890" s="12">
        <v>0</v>
      </c>
      <c r="H890" s="10">
        <v>1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0">
        <v>1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6809</v>
      </c>
      <c r="B891" s="4" t="s">
        <v>1168</v>
      </c>
      <c r="C891" s="4" t="s">
        <v>134</v>
      </c>
      <c r="D891" s="4" t="s">
        <v>135</v>
      </c>
      <c r="E891" s="4" t="s">
        <v>136</v>
      </c>
      <c r="F891" s="6">
        <v>2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5">
        <v>2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5">
        <v>2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0">
        <v>0</v>
      </c>
    </row>
    <row r="892">
      <c r="A892" s="24">
        <v>6911</v>
      </c>
      <c r="B892" s="9" t="s">
        <v>1169</v>
      </c>
      <c r="C892" s="9" t="s">
        <v>64</v>
      </c>
      <c r="D892" s="9" t="s">
        <v>65</v>
      </c>
      <c r="E892" s="9" t="s">
        <v>1170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9">
        <v>0</v>
      </c>
    </row>
    <row r="893">
      <c r="A893" s="23">
        <v>6923</v>
      </c>
      <c r="B893" s="4" t="s">
        <v>1171</v>
      </c>
      <c r="C893" s="4" t="s">
        <v>64</v>
      </c>
      <c r="D893" s="4" t="s">
        <v>114</v>
      </c>
      <c r="E893" s="4" t="s">
        <v>143</v>
      </c>
      <c r="F893" s="6">
        <v>2</v>
      </c>
      <c r="G893" s="7">
        <v>0</v>
      </c>
      <c r="H893" s="5">
        <v>2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7">
        <v>0</v>
      </c>
      <c r="W893" s="5">
        <v>2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30">
        <v>0</v>
      </c>
    </row>
    <row r="894">
      <c r="A894" s="24">
        <v>6970</v>
      </c>
      <c r="B894" s="9" t="s">
        <v>1172</v>
      </c>
      <c r="C894" s="9" t="s">
        <v>134</v>
      </c>
      <c r="D894" s="9" t="s">
        <v>562</v>
      </c>
      <c r="E894" s="9" t="s">
        <v>1173</v>
      </c>
      <c r="F894" s="11">
        <v>2</v>
      </c>
      <c r="G894" s="12">
        <v>0</v>
      </c>
      <c r="H894" s="12">
        <v>0</v>
      </c>
      <c r="I894" s="10">
        <v>2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2">
        <v>0</v>
      </c>
      <c r="W894" s="12">
        <v>0</v>
      </c>
      <c r="X894" s="10">
        <v>2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0.24</v>
      </c>
    </row>
    <row r="895">
      <c r="A895" s="23">
        <v>6997</v>
      </c>
      <c r="B895" s="4" t="s">
        <v>1174</v>
      </c>
      <c r="C895" s="4" t="s">
        <v>134</v>
      </c>
      <c r="D895" s="4" t="s">
        <v>135</v>
      </c>
      <c r="E895" s="4" t="s">
        <v>427</v>
      </c>
      <c r="F895" s="6">
        <v>3</v>
      </c>
      <c r="G895" s="7">
        <v>0</v>
      </c>
      <c r="H895" s="7">
        <v>0</v>
      </c>
      <c r="I895" s="5">
        <v>2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7">
        <v>0</v>
      </c>
      <c r="W895" s="7">
        <v>0</v>
      </c>
      <c r="X895" s="5">
        <v>2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30">
        <v>0</v>
      </c>
    </row>
    <row r="896">
      <c r="A896" s="24">
        <v>7008</v>
      </c>
      <c r="B896" s="9" t="s">
        <v>1175</v>
      </c>
      <c r="C896" s="9" t="s">
        <v>134</v>
      </c>
      <c r="D896" s="9" t="s">
        <v>476</v>
      </c>
      <c r="E896" s="9" t="s">
        <v>477</v>
      </c>
      <c r="F896" s="11">
        <v>1</v>
      </c>
      <c r="G896" s="12">
        <v>0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7128</v>
      </c>
      <c r="B897" s="4" t="s">
        <v>1176</v>
      </c>
      <c r="C897" s="4" t="s">
        <v>64</v>
      </c>
      <c r="D897" s="4" t="s">
        <v>114</v>
      </c>
      <c r="E897" s="4" t="s">
        <v>115</v>
      </c>
      <c r="F897" s="6">
        <v>2</v>
      </c>
      <c r="G897" s="7">
        <v>0</v>
      </c>
      <c r="H897" s="5">
        <v>1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7">
        <v>0</v>
      </c>
      <c r="W897" s="5">
        <v>1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7138</v>
      </c>
      <c r="B898" s="9" t="s">
        <v>1177</v>
      </c>
      <c r="C898" s="9" t="s">
        <v>1178</v>
      </c>
      <c r="D898" s="9" t="s">
        <v>1179</v>
      </c>
      <c r="E898" s="9" t="s">
        <v>1180</v>
      </c>
      <c r="F898" s="11">
        <v>2</v>
      </c>
      <c r="G898" s="12">
        <v>0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49">
        <v>0</v>
      </c>
    </row>
    <row r="899">
      <c r="A899" s="23">
        <v>7201</v>
      </c>
      <c r="B899" s="4" t="s">
        <v>1181</v>
      </c>
      <c r="C899" s="4" t="s">
        <v>1166</v>
      </c>
      <c r="D899" s="4" t="s">
        <v>1182</v>
      </c>
      <c r="E899" s="4" t="s">
        <v>389</v>
      </c>
      <c r="F899" s="6">
        <v>2</v>
      </c>
      <c r="G899" s="7">
        <v>0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7">
        <v>0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0.5</v>
      </c>
    </row>
    <row r="900">
      <c r="A900" s="24">
        <v>7216</v>
      </c>
      <c r="B900" s="9" t="s">
        <v>1183</v>
      </c>
      <c r="C900" s="9" t="s">
        <v>162</v>
      </c>
      <c r="D900" s="9" t="s">
        <v>1184</v>
      </c>
      <c r="E900" s="9" t="s">
        <v>1185</v>
      </c>
      <c r="F900" s="11">
        <v>2</v>
      </c>
      <c r="G900" s="10">
        <v>1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1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7258</v>
      </c>
      <c r="B901" s="4" t="s">
        <v>1186</v>
      </c>
      <c r="C901" s="4" t="s">
        <v>64</v>
      </c>
      <c r="D901" s="4" t="s">
        <v>114</v>
      </c>
      <c r="E901" s="4" t="s">
        <v>143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30">
        <v>0</v>
      </c>
    </row>
    <row r="902">
      <c r="A902" s="24">
        <v>7287</v>
      </c>
      <c r="B902" s="9" t="s">
        <v>1187</v>
      </c>
      <c r="C902" s="9" t="s">
        <v>64</v>
      </c>
      <c r="D902" s="9" t="s">
        <v>114</v>
      </c>
      <c r="E902" s="9" t="s">
        <v>143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0.24</v>
      </c>
    </row>
    <row r="903">
      <c r="A903" s="23">
        <v>7341</v>
      </c>
      <c r="B903" s="4" t="s">
        <v>1188</v>
      </c>
      <c r="C903" s="4" t="s">
        <v>712</v>
      </c>
      <c r="D903" s="4" t="s">
        <v>389</v>
      </c>
      <c r="E903" s="4" t="s">
        <v>389</v>
      </c>
      <c r="F903" s="6">
        <v>1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7349</v>
      </c>
      <c r="B904" s="9" t="s">
        <v>1189</v>
      </c>
      <c r="C904" s="9" t="s">
        <v>134</v>
      </c>
      <c r="D904" s="9" t="s">
        <v>360</v>
      </c>
      <c r="E904" s="9" t="s">
        <v>1190</v>
      </c>
      <c r="F904" s="11">
        <v>4</v>
      </c>
      <c r="G904" s="12">
        <v>0</v>
      </c>
      <c r="H904" s="10">
        <v>1</v>
      </c>
      <c r="I904" s="10">
        <v>1</v>
      </c>
      <c r="J904" s="12">
        <v>0</v>
      </c>
      <c r="K904" s="12">
        <v>0</v>
      </c>
      <c r="L904" s="10">
        <v>2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4</v>
      </c>
      <c r="V904" s="12">
        <v>0</v>
      </c>
      <c r="W904" s="10">
        <v>1</v>
      </c>
      <c r="X904" s="10">
        <v>1</v>
      </c>
      <c r="Y904" s="12">
        <v>0</v>
      </c>
      <c r="Z904" s="12">
        <v>0</v>
      </c>
      <c r="AA904" s="10">
        <v>2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29">
        <v>0.34</v>
      </c>
    </row>
    <row r="905">
      <c r="A905" s="23">
        <v>7370</v>
      </c>
      <c r="B905" s="4" t="s">
        <v>1191</v>
      </c>
      <c r="C905" s="4" t="s">
        <v>64</v>
      </c>
      <c r="D905" s="4" t="s">
        <v>72</v>
      </c>
      <c r="E905" s="4" t="s">
        <v>118</v>
      </c>
      <c r="F905" s="6">
        <v>2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7439</v>
      </c>
      <c r="B906" s="9" t="s">
        <v>1192</v>
      </c>
      <c r="C906" s="9" t="s">
        <v>680</v>
      </c>
      <c r="D906" s="9" t="s">
        <v>869</v>
      </c>
      <c r="E906" s="9" t="s">
        <v>389</v>
      </c>
      <c r="F906" s="11">
        <v>5</v>
      </c>
      <c r="G906" s="12">
        <v>0</v>
      </c>
      <c r="H906" s="12">
        <v>0</v>
      </c>
      <c r="I906" s="10">
        <v>4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5</v>
      </c>
      <c r="V906" s="12">
        <v>0</v>
      </c>
      <c r="W906" s="12">
        <v>0</v>
      </c>
      <c r="X906" s="10">
        <v>4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1.67</v>
      </c>
      <c r="AL906" s="10">
        <v>1</v>
      </c>
      <c r="AM906" s="10">
        <v>3</v>
      </c>
      <c r="AN906" s="29">
        <v>0.5</v>
      </c>
    </row>
    <row r="907">
      <c r="A907" s="23">
        <v>7484</v>
      </c>
      <c r="B907" s="4" t="s">
        <v>1193</v>
      </c>
      <c r="C907" s="4" t="s">
        <v>134</v>
      </c>
      <c r="D907" s="4" t="s">
        <v>1194</v>
      </c>
      <c r="E907" s="4" t="s">
        <v>1195</v>
      </c>
      <c r="F907" s="6">
        <v>1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5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7490</v>
      </c>
      <c r="B908" s="9" t="s">
        <v>1196</v>
      </c>
      <c r="C908" s="9" t="s">
        <v>64</v>
      </c>
      <c r="D908" s="9" t="s">
        <v>105</v>
      </c>
      <c r="E908" s="9" t="s">
        <v>108</v>
      </c>
      <c r="F908" s="11">
        <v>2</v>
      </c>
      <c r="G908" s="10">
        <v>1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0.5</v>
      </c>
    </row>
    <row r="909">
      <c r="A909" s="23">
        <v>7496</v>
      </c>
      <c r="B909" s="4" t="s">
        <v>1197</v>
      </c>
      <c r="C909" s="4" t="s">
        <v>64</v>
      </c>
      <c r="D909" s="4" t="s">
        <v>68</v>
      </c>
      <c r="E909" s="4" t="s">
        <v>264</v>
      </c>
      <c r="F909" s="6">
        <v>3</v>
      </c>
      <c r="G909" s="5">
        <v>1</v>
      </c>
      <c r="H909" s="5">
        <v>2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1</v>
      </c>
      <c r="W909" s="5">
        <v>2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30">
        <v>0</v>
      </c>
    </row>
    <row r="910">
      <c r="A910" s="24">
        <v>7514</v>
      </c>
      <c r="B910" s="9" t="s">
        <v>1198</v>
      </c>
      <c r="C910" s="9" t="s">
        <v>134</v>
      </c>
      <c r="D910" s="9" t="s">
        <v>135</v>
      </c>
      <c r="E910" s="9" t="s">
        <v>427</v>
      </c>
      <c r="F910" s="11">
        <v>1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0">
        <v>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7534</v>
      </c>
      <c r="B911" s="4" t="s">
        <v>1199</v>
      </c>
      <c r="C911" s="4" t="s">
        <v>64</v>
      </c>
      <c r="D911" s="4" t="s">
        <v>93</v>
      </c>
      <c r="E911" s="4" t="s">
        <v>170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7537</v>
      </c>
      <c r="B912" s="9" t="s">
        <v>1200</v>
      </c>
      <c r="C912" s="9" t="s">
        <v>64</v>
      </c>
      <c r="D912" s="9" t="s">
        <v>102</v>
      </c>
      <c r="E912" s="9" t="s">
        <v>248</v>
      </c>
      <c r="F912" s="11">
        <v>29</v>
      </c>
      <c r="G912" s="12">
        <v>0</v>
      </c>
      <c r="H912" s="12">
        <v>0</v>
      </c>
      <c r="I912" s="10">
        <v>1</v>
      </c>
      <c r="J912" s="10">
        <v>28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25</v>
      </c>
      <c r="V912" s="12">
        <v>0</v>
      </c>
      <c r="W912" s="12">
        <v>0</v>
      </c>
      <c r="X912" s="10">
        <v>1</v>
      </c>
      <c r="Y912" s="10">
        <v>24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9.67</v>
      </c>
      <c r="AL912" s="10">
        <v>1</v>
      </c>
      <c r="AM912" s="10">
        <v>27</v>
      </c>
      <c r="AN912" s="29">
        <v>6</v>
      </c>
    </row>
    <row r="913">
      <c r="A913" s="23">
        <v>7538</v>
      </c>
      <c r="B913" s="4" t="s">
        <v>1201</v>
      </c>
      <c r="C913" s="4" t="s">
        <v>134</v>
      </c>
      <c r="D913" s="4" t="s">
        <v>476</v>
      </c>
      <c r="E913" s="4" t="s">
        <v>544</v>
      </c>
      <c r="F913" s="6">
        <v>2</v>
      </c>
      <c r="G913" s="5">
        <v>1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1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7552</v>
      </c>
      <c r="B914" s="9" t="s">
        <v>1202</v>
      </c>
      <c r="C914" s="9" t="s">
        <v>134</v>
      </c>
      <c r="D914" s="9" t="s">
        <v>1203</v>
      </c>
      <c r="E914" s="9" t="s">
        <v>389</v>
      </c>
      <c r="F914" s="11">
        <v>2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0">
        <v>2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49">
        <v>0</v>
      </c>
    </row>
    <row r="915">
      <c r="A915" s="23">
        <v>7561</v>
      </c>
      <c r="B915" s="4" t="s">
        <v>1204</v>
      </c>
      <c r="C915" s="4" t="s">
        <v>134</v>
      </c>
      <c r="D915" s="4" t="s">
        <v>135</v>
      </c>
      <c r="E915" s="4" t="s">
        <v>427</v>
      </c>
      <c r="F915" s="6">
        <v>2</v>
      </c>
      <c r="G915" s="7">
        <v>0</v>
      </c>
      <c r="H915" s="7">
        <v>0</v>
      </c>
      <c r="I915" s="5">
        <v>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28">
        <v>0.5</v>
      </c>
    </row>
    <row r="916">
      <c r="A916" s="24">
        <v>7586</v>
      </c>
      <c r="B916" s="9" t="s">
        <v>1205</v>
      </c>
      <c r="C916" s="9" t="s">
        <v>64</v>
      </c>
      <c r="D916" s="9" t="s">
        <v>85</v>
      </c>
      <c r="E916" s="9" t="s">
        <v>1206</v>
      </c>
      <c r="F916" s="11">
        <v>3</v>
      </c>
      <c r="G916" s="10">
        <v>2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2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7589</v>
      </c>
      <c r="B917" s="4" t="s">
        <v>1207</v>
      </c>
      <c r="C917" s="4" t="s">
        <v>64</v>
      </c>
      <c r="D917" s="4" t="s">
        <v>72</v>
      </c>
      <c r="E917" s="4" t="s">
        <v>118</v>
      </c>
      <c r="F917" s="6">
        <v>1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7591</v>
      </c>
      <c r="B918" s="9" t="s">
        <v>1208</v>
      </c>
      <c r="C918" s="9" t="s">
        <v>64</v>
      </c>
      <c r="D918" s="9" t="s">
        <v>102</v>
      </c>
      <c r="E918" s="9" t="s">
        <v>103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0.26</v>
      </c>
    </row>
    <row r="919">
      <c r="A919" s="23">
        <v>7598</v>
      </c>
      <c r="B919" s="4" t="s">
        <v>1209</v>
      </c>
      <c r="C919" s="4" t="s">
        <v>64</v>
      </c>
      <c r="D919" s="4" t="s">
        <v>156</v>
      </c>
      <c r="E919" s="4" t="s">
        <v>973</v>
      </c>
      <c r="F919" s="6">
        <v>2</v>
      </c>
      <c r="G919" s="5">
        <v>1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7622</v>
      </c>
      <c r="B920" s="9" t="s">
        <v>1210</v>
      </c>
      <c r="C920" s="9" t="s">
        <v>64</v>
      </c>
      <c r="D920" s="9" t="s">
        <v>114</v>
      </c>
      <c r="E920" s="9" t="s">
        <v>212</v>
      </c>
      <c r="F920" s="11">
        <v>2</v>
      </c>
      <c r="G920" s="10">
        <v>1</v>
      </c>
      <c r="H920" s="12">
        <v>0</v>
      </c>
      <c r="I920" s="12">
        <v>0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1</v>
      </c>
      <c r="W920" s="12">
        <v>0</v>
      </c>
      <c r="X920" s="12">
        <v>0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0.35</v>
      </c>
    </row>
    <row r="921">
      <c r="A921" s="23">
        <v>7628</v>
      </c>
      <c r="B921" s="4" t="s">
        <v>1211</v>
      </c>
      <c r="C921" s="4" t="s">
        <v>64</v>
      </c>
      <c r="D921" s="4" t="s">
        <v>114</v>
      </c>
      <c r="E921" s="4" t="s">
        <v>143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30">
        <v>0</v>
      </c>
    </row>
    <row r="922">
      <c r="A922" s="24">
        <v>7633</v>
      </c>
      <c r="B922" s="9" t="s">
        <v>1212</v>
      </c>
      <c r="C922" s="9" t="s">
        <v>64</v>
      </c>
      <c r="D922" s="9" t="s">
        <v>72</v>
      </c>
      <c r="E922" s="9" t="s">
        <v>646</v>
      </c>
      <c r="F922" s="11">
        <v>2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49">
        <v>0</v>
      </c>
    </row>
    <row r="923">
      <c r="A923" s="23">
        <v>7650</v>
      </c>
      <c r="B923" s="4" t="s">
        <v>1213</v>
      </c>
      <c r="C923" s="4" t="s">
        <v>64</v>
      </c>
      <c r="D923" s="4" t="s">
        <v>93</v>
      </c>
      <c r="E923" s="4" t="s">
        <v>450</v>
      </c>
      <c r="F923" s="6">
        <v>3</v>
      </c>
      <c r="G923" s="5">
        <v>2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2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0.25</v>
      </c>
    </row>
    <row r="924">
      <c r="A924" s="24">
        <v>7652</v>
      </c>
      <c r="B924" s="9" t="s">
        <v>1214</v>
      </c>
      <c r="C924" s="9" t="s">
        <v>64</v>
      </c>
      <c r="D924" s="9" t="s">
        <v>85</v>
      </c>
      <c r="E924" s="9" t="s">
        <v>132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0.26</v>
      </c>
    </row>
    <row r="925">
      <c r="A925" s="23">
        <v>7657</v>
      </c>
      <c r="B925" s="4" t="s">
        <v>1030</v>
      </c>
      <c r="C925" s="4" t="s">
        <v>64</v>
      </c>
      <c r="D925" s="4" t="s">
        <v>125</v>
      </c>
      <c r="E925" s="4" t="s">
        <v>1065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7666</v>
      </c>
      <c r="B926" s="9" t="s">
        <v>1215</v>
      </c>
      <c r="C926" s="9" t="s">
        <v>64</v>
      </c>
      <c r="D926" s="9" t="s">
        <v>72</v>
      </c>
      <c r="E926" s="9" t="s">
        <v>118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7789</v>
      </c>
      <c r="B927" s="4" t="s">
        <v>1216</v>
      </c>
      <c r="C927" s="4" t="s">
        <v>1178</v>
      </c>
      <c r="D927" s="4" t="s">
        <v>1217</v>
      </c>
      <c r="E927" s="4" t="s">
        <v>1218</v>
      </c>
      <c r="F927" s="6">
        <v>2</v>
      </c>
      <c r="G927" s="7">
        <v>0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7">
        <v>0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0.5</v>
      </c>
    </row>
    <row r="928">
      <c r="A928" s="24">
        <v>7793</v>
      </c>
      <c r="B928" s="9" t="s">
        <v>1219</v>
      </c>
      <c r="C928" s="9" t="s">
        <v>1178</v>
      </c>
      <c r="D928" s="9" t="s">
        <v>1179</v>
      </c>
      <c r="E928" s="9" t="s">
        <v>1220</v>
      </c>
      <c r="F928" s="11">
        <v>1</v>
      </c>
      <c r="G928" s="12">
        <v>0</v>
      </c>
      <c r="H928" s="10">
        <v>1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0">
        <v>1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7925</v>
      </c>
      <c r="B929" s="4" t="s">
        <v>1221</v>
      </c>
      <c r="C929" s="4" t="s">
        <v>162</v>
      </c>
      <c r="D929" s="4" t="s">
        <v>1222</v>
      </c>
      <c r="E929" s="4" t="s">
        <v>1223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7935</v>
      </c>
      <c r="B930" s="9" t="s">
        <v>1224</v>
      </c>
      <c r="C930" s="9" t="s">
        <v>64</v>
      </c>
      <c r="D930" s="9" t="s">
        <v>90</v>
      </c>
      <c r="E930" s="9" t="s">
        <v>357</v>
      </c>
      <c r="F930" s="11">
        <v>7</v>
      </c>
      <c r="G930" s="10">
        <v>7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7</v>
      </c>
      <c r="V930" s="10">
        <v>7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2.33</v>
      </c>
      <c r="AL930" s="10">
        <v>1</v>
      </c>
      <c r="AM930" s="10">
        <v>5</v>
      </c>
      <c r="AN930" s="29">
        <v>0.32</v>
      </c>
    </row>
    <row r="931">
      <c r="A931" s="23">
        <v>7941</v>
      </c>
      <c r="B931" s="4" t="s">
        <v>1225</v>
      </c>
      <c r="C931" s="4" t="s">
        <v>64</v>
      </c>
      <c r="D931" s="4" t="s">
        <v>72</v>
      </c>
      <c r="E931" s="4" t="s">
        <v>73</v>
      </c>
      <c r="F931" s="6">
        <v>1</v>
      </c>
      <c r="G931" s="7">
        <v>0</v>
      </c>
      <c r="H931" s="5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5">
        <v>1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0.26</v>
      </c>
    </row>
    <row r="932">
      <c r="A932" s="24">
        <v>8021</v>
      </c>
      <c r="B932" s="9" t="s">
        <v>1226</v>
      </c>
      <c r="C932" s="9" t="s">
        <v>673</v>
      </c>
      <c r="D932" s="9" t="s">
        <v>674</v>
      </c>
      <c r="E932" s="9" t="s">
        <v>1227</v>
      </c>
      <c r="F932" s="11">
        <v>1</v>
      </c>
      <c r="G932" s="12">
        <v>0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8043</v>
      </c>
      <c r="B933" s="4" t="s">
        <v>1228</v>
      </c>
      <c r="C933" s="4" t="s">
        <v>611</v>
      </c>
      <c r="D933" s="4" t="s">
        <v>615</v>
      </c>
      <c r="E933" s="4" t="s">
        <v>648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0.26</v>
      </c>
    </row>
    <row r="934">
      <c r="A934" s="24">
        <v>8095</v>
      </c>
      <c r="B934" s="9" t="s">
        <v>1229</v>
      </c>
      <c r="C934" s="9" t="s">
        <v>64</v>
      </c>
      <c r="D934" s="9" t="s">
        <v>90</v>
      </c>
      <c r="E934" s="9" t="s">
        <v>91</v>
      </c>
      <c r="F934" s="11">
        <v>2</v>
      </c>
      <c r="G934" s="10">
        <v>2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49">
        <v>0</v>
      </c>
    </row>
    <row r="935">
      <c r="A935" s="23">
        <v>8098</v>
      </c>
      <c r="B935" s="4" t="s">
        <v>1230</v>
      </c>
      <c r="C935" s="4" t="s">
        <v>162</v>
      </c>
      <c r="D935" s="4" t="s">
        <v>163</v>
      </c>
      <c r="E935" s="4" t="s">
        <v>164</v>
      </c>
      <c r="F935" s="6">
        <v>2</v>
      </c>
      <c r="G935" s="7">
        <v>0</v>
      </c>
      <c r="H935" s="7">
        <v>0</v>
      </c>
      <c r="I935" s="7">
        <v>0</v>
      </c>
      <c r="J935" s="5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7">
        <v>0</v>
      </c>
      <c r="W935" s="7">
        <v>0</v>
      </c>
      <c r="X935" s="7">
        <v>0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30">
        <v>0</v>
      </c>
    </row>
    <row r="936">
      <c r="A936" s="24">
        <v>8111</v>
      </c>
      <c r="B936" s="9" t="s">
        <v>1231</v>
      </c>
      <c r="C936" s="9" t="s">
        <v>64</v>
      </c>
      <c r="D936" s="9" t="s">
        <v>72</v>
      </c>
      <c r="E936" s="9" t="s">
        <v>152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8132</v>
      </c>
      <c r="B937" s="4" t="s">
        <v>1232</v>
      </c>
      <c r="C937" s="4" t="s">
        <v>64</v>
      </c>
      <c r="D937" s="4" t="s">
        <v>85</v>
      </c>
      <c r="E937" s="4" t="s">
        <v>86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8151</v>
      </c>
      <c r="B938" s="9" t="s">
        <v>1233</v>
      </c>
      <c r="C938" s="9" t="s">
        <v>134</v>
      </c>
      <c r="D938" s="9" t="s">
        <v>684</v>
      </c>
      <c r="E938" s="9" t="s">
        <v>685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8214</v>
      </c>
      <c r="B939" s="4" t="s">
        <v>1234</v>
      </c>
      <c r="C939" s="4" t="s">
        <v>64</v>
      </c>
      <c r="D939" s="4" t="s">
        <v>102</v>
      </c>
      <c r="E939" s="4" t="s">
        <v>209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8278</v>
      </c>
      <c r="B940" s="9" t="s">
        <v>1235</v>
      </c>
      <c r="C940" s="9" t="s">
        <v>162</v>
      </c>
      <c r="D940" s="9" t="s">
        <v>184</v>
      </c>
      <c r="E940" s="9" t="s">
        <v>185</v>
      </c>
      <c r="F940" s="11">
        <v>6</v>
      </c>
      <c r="G940" s="12">
        <v>0</v>
      </c>
      <c r="H940" s="12">
        <v>0</v>
      </c>
      <c r="I940" s="10">
        <v>2</v>
      </c>
      <c r="J940" s="12">
        <v>0</v>
      </c>
      <c r="K940" s="10">
        <v>4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5</v>
      </c>
      <c r="V940" s="12">
        <v>0</v>
      </c>
      <c r="W940" s="12">
        <v>0</v>
      </c>
      <c r="X940" s="10">
        <v>1</v>
      </c>
      <c r="Y940" s="12">
        <v>0</v>
      </c>
      <c r="Z940" s="10">
        <v>4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3</v>
      </c>
      <c r="AL940" s="10">
        <v>3</v>
      </c>
      <c r="AM940" s="10">
        <v>4</v>
      </c>
      <c r="AN940" s="49">
        <v>0</v>
      </c>
    </row>
    <row r="941">
      <c r="A941" s="23">
        <v>8292</v>
      </c>
      <c r="B941" s="4" t="s">
        <v>1236</v>
      </c>
      <c r="C941" s="4" t="s">
        <v>64</v>
      </c>
      <c r="D941" s="4" t="s">
        <v>102</v>
      </c>
      <c r="E941" s="4" t="s">
        <v>209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8335</v>
      </c>
      <c r="B942" s="9" t="s">
        <v>1237</v>
      </c>
      <c r="C942" s="9" t="s">
        <v>64</v>
      </c>
      <c r="D942" s="9" t="s">
        <v>146</v>
      </c>
      <c r="E942" s="9" t="s">
        <v>1026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9">
        <v>0</v>
      </c>
    </row>
    <row r="943">
      <c r="A943" s="23">
        <v>8381</v>
      </c>
      <c r="B943" s="4" t="s">
        <v>1238</v>
      </c>
      <c r="C943" s="4" t="s">
        <v>134</v>
      </c>
      <c r="D943" s="4" t="s">
        <v>432</v>
      </c>
      <c r="E943" s="4" t="s">
        <v>1239</v>
      </c>
      <c r="F943" s="6">
        <v>2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0.24</v>
      </c>
    </row>
    <row r="944">
      <c r="A944" s="24">
        <v>8479</v>
      </c>
      <c r="B944" s="9" t="s">
        <v>1240</v>
      </c>
      <c r="C944" s="9" t="s">
        <v>64</v>
      </c>
      <c r="D944" s="9" t="s">
        <v>105</v>
      </c>
      <c r="E944" s="9" t="s">
        <v>106</v>
      </c>
      <c r="F944" s="11">
        <v>3</v>
      </c>
      <c r="G944" s="12">
        <v>0</v>
      </c>
      <c r="H944" s="12">
        <v>0</v>
      </c>
      <c r="I944" s="12">
        <v>0</v>
      </c>
      <c r="J944" s="10">
        <v>3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2">
        <v>0</v>
      </c>
      <c r="W944" s="12">
        <v>0</v>
      </c>
      <c r="X944" s="12">
        <v>0</v>
      </c>
      <c r="Y944" s="10">
        <v>3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0.75</v>
      </c>
    </row>
    <row r="945">
      <c r="A945" s="23">
        <v>8481</v>
      </c>
      <c r="B945" s="4" t="s">
        <v>1241</v>
      </c>
      <c r="C945" s="4" t="s">
        <v>64</v>
      </c>
      <c r="D945" s="4" t="s">
        <v>76</v>
      </c>
      <c r="E945" s="4" t="s">
        <v>79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0.5</v>
      </c>
    </row>
    <row r="946">
      <c r="A946" s="24">
        <v>8535</v>
      </c>
      <c r="B946" s="9" t="s">
        <v>1242</v>
      </c>
      <c r="C946" s="9" t="s">
        <v>620</v>
      </c>
      <c r="D946" s="9" t="s">
        <v>1243</v>
      </c>
      <c r="E946" s="9" t="s">
        <v>389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8543</v>
      </c>
      <c r="B947" s="4" t="s">
        <v>1244</v>
      </c>
      <c r="C947" s="4" t="s">
        <v>64</v>
      </c>
      <c r="D947" s="4" t="s">
        <v>72</v>
      </c>
      <c r="E947" s="4" t="s">
        <v>118</v>
      </c>
      <c r="F947" s="6">
        <v>1</v>
      </c>
      <c r="G947" s="7">
        <v>0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8545</v>
      </c>
      <c r="B948" s="9" t="s">
        <v>1245</v>
      </c>
      <c r="C948" s="9" t="s">
        <v>64</v>
      </c>
      <c r="D948" s="9" t="s">
        <v>85</v>
      </c>
      <c r="E948" s="9" t="s">
        <v>130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8564</v>
      </c>
      <c r="B949" s="4" t="s">
        <v>1246</v>
      </c>
      <c r="C949" s="4" t="s">
        <v>64</v>
      </c>
      <c r="D949" s="4" t="s">
        <v>114</v>
      </c>
      <c r="E949" s="4" t="s">
        <v>143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0.24</v>
      </c>
    </row>
    <row r="950">
      <c r="A950" s="24">
        <v>8566</v>
      </c>
      <c r="B950" s="9" t="s">
        <v>1247</v>
      </c>
      <c r="C950" s="9" t="s">
        <v>64</v>
      </c>
      <c r="D950" s="9" t="s">
        <v>156</v>
      </c>
      <c r="E950" s="9" t="s">
        <v>1248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0.52</v>
      </c>
    </row>
    <row r="951">
      <c r="A951" s="23">
        <v>8587</v>
      </c>
      <c r="B951" s="4" t="s">
        <v>1249</v>
      </c>
      <c r="C951" s="4" t="s">
        <v>64</v>
      </c>
      <c r="D951" s="4" t="s">
        <v>68</v>
      </c>
      <c r="E951" s="4" t="s">
        <v>112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8604</v>
      </c>
      <c r="B952" s="9" t="s">
        <v>1250</v>
      </c>
      <c r="C952" s="9" t="s">
        <v>162</v>
      </c>
      <c r="D952" s="9" t="s">
        <v>1251</v>
      </c>
      <c r="E952" s="9" t="s">
        <v>389</v>
      </c>
      <c r="F952" s="11">
        <v>2</v>
      </c>
      <c r="G952" s="10">
        <v>1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1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8635</v>
      </c>
      <c r="B953" s="4" t="s">
        <v>1252</v>
      </c>
      <c r="C953" s="4" t="s">
        <v>64</v>
      </c>
      <c r="D953" s="4" t="s">
        <v>85</v>
      </c>
      <c r="E953" s="4" t="s">
        <v>1206</v>
      </c>
      <c r="F953" s="6">
        <v>4</v>
      </c>
      <c r="G953" s="5">
        <v>2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2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0.52</v>
      </c>
    </row>
    <row r="954">
      <c r="A954" s="24">
        <v>8651</v>
      </c>
      <c r="B954" s="9" t="s">
        <v>1253</v>
      </c>
      <c r="C954" s="9" t="s">
        <v>64</v>
      </c>
      <c r="D954" s="9" t="s">
        <v>125</v>
      </c>
      <c r="E954" s="9" t="s">
        <v>1065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8695</v>
      </c>
      <c r="B955" s="4" t="s">
        <v>1254</v>
      </c>
      <c r="C955" s="4" t="s">
        <v>134</v>
      </c>
      <c r="D955" s="4" t="s">
        <v>244</v>
      </c>
      <c r="E955" s="4" t="s">
        <v>245</v>
      </c>
      <c r="F955" s="6">
        <v>2</v>
      </c>
      <c r="G955" s="5">
        <v>1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1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0.24</v>
      </c>
    </row>
    <row r="956">
      <c r="A956" s="24">
        <v>8696</v>
      </c>
      <c r="B956" s="9" t="s">
        <v>1255</v>
      </c>
      <c r="C956" s="9" t="s">
        <v>134</v>
      </c>
      <c r="D956" s="9" t="s">
        <v>1256</v>
      </c>
      <c r="E956" s="9" t="s">
        <v>1257</v>
      </c>
      <c r="F956" s="11">
        <v>1</v>
      </c>
      <c r="G956" s="12">
        <v>0</v>
      </c>
      <c r="H956" s="10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0">
        <v>1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0.22</v>
      </c>
    </row>
    <row r="957">
      <c r="A957" s="23">
        <v>8706</v>
      </c>
      <c r="B957" s="4" t="s">
        <v>1258</v>
      </c>
      <c r="C957" s="4" t="s">
        <v>64</v>
      </c>
      <c r="D957" s="4" t="s">
        <v>125</v>
      </c>
      <c r="E957" s="4" t="s">
        <v>1065</v>
      </c>
      <c r="F957" s="6">
        <v>11</v>
      </c>
      <c r="G957" s="7">
        <v>0</v>
      </c>
      <c r="H957" s="7">
        <v>0</v>
      </c>
      <c r="I957" s="7">
        <v>0</v>
      </c>
      <c r="J957" s="5">
        <v>11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10</v>
      </c>
      <c r="V957" s="7">
        <v>0</v>
      </c>
      <c r="W957" s="7">
        <v>0</v>
      </c>
      <c r="X957" s="7">
        <v>0</v>
      </c>
      <c r="Y957" s="5">
        <v>10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11</v>
      </c>
      <c r="AK957" s="8">
        <v>11</v>
      </c>
      <c r="AL957" s="5">
        <v>11</v>
      </c>
      <c r="AM957" s="5">
        <v>11</v>
      </c>
      <c r="AN957" s="28">
        <v>2.5</v>
      </c>
    </row>
    <row r="958">
      <c r="A958" s="24">
        <v>8715</v>
      </c>
      <c r="B958" s="9" t="s">
        <v>1259</v>
      </c>
      <c r="C958" s="9" t="s">
        <v>64</v>
      </c>
      <c r="D958" s="9" t="s">
        <v>85</v>
      </c>
      <c r="E958" s="9" t="s">
        <v>96</v>
      </c>
      <c r="F958" s="11">
        <v>2</v>
      </c>
      <c r="G958" s="10">
        <v>1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1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0.24</v>
      </c>
    </row>
    <row r="959">
      <c r="A959" s="23">
        <v>8723</v>
      </c>
      <c r="B959" s="4" t="s">
        <v>1260</v>
      </c>
      <c r="C959" s="4" t="s">
        <v>64</v>
      </c>
      <c r="D959" s="4" t="s">
        <v>146</v>
      </c>
      <c r="E959" s="4" t="s">
        <v>792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0">
        <v>0</v>
      </c>
    </row>
    <row r="960">
      <c r="A960" s="24">
        <v>8752</v>
      </c>
      <c r="B960" s="9" t="s">
        <v>1261</v>
      </c>
      <c r="C960" s="9" t="s">
        <v>680</v>
      </c>
      <c r="D960" s="9" t="s">
        <v>937</v>
      </c>
      <c r="E960" s="9" t="s">
        <v>389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0.26</v>
      </c>
    </row>
    <row r="961">
      <c r="A961" s="23">
        <v>8755</v>
      </c>
      <c r="B961" s="4" t="s">
        <v>1262</v>
      </c>
      <c r="C961" s="4" t="s">
        <v>162</v>
      </c>
      <c r="D961" s="4" t="s">
        <v>1263</v>
      </c>
      <c r="E961" s="4" t="s">
        <v>1263</v>
      </c>
      <c r="F961" s="6">
        <v>3</v>
      </c>
      <c r="G961" s="7">
        <v>0</v>
      </c>
      <c r="H961" s="5">
        <v>1</v>
      </c>
      <c r="I961" s="5">
        <v>2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7">
        <v>0</v>
      </c>
      <c r="W961" s="5">
        <v>1</v>
      </c>
      <c r="X961" s="5">
        <v>2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0.24</v>
      </c>
    </row>
    <row r="962">
      <c r="A962" s="24">
        <v>8766</v>
      </c>
      <c r="B962" s="9" t="s">
        <v>1131</v>
      </c>
      <c r="C962" s="9" t="s">
        <v>64</v>
      </c>
      <c r="D962" s="9" t="s">
        <v>114</v>
      </c>
      <c r="E962" s="9" t="s">
        <v>115</v>
      </c>
      <c r="F962" s="11">
        <v>4</v>
      </c>
      <c r="G962" s="10">
        <v>2</v>
      </c>
      <c r="H962" s="12">
        <v>0</v>
      </c>
      <c r="I962" s="12">
        <v>0</v>
      </c>
      <c r="J962" s="12">
        <v>0</v>
      </c>
      <c r="K962" s="12">
        <v>0</v>
      </c>
      <c r="L962" s="10">
        <v>2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2</v>
      </c>
      <c r="W962" s="12">
        <v>0</v>
      </c>
      <c r="X962" s="12">
        <v>0</v>
      </c>
      <c r="Y962" s="12">
        <v>0</v>
      </c>
      <c r="Z962" s="12">
        <v>0</v>
      </c>
      <c r="AA962" s="10">
        <v>2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49">
        <v>0</v>
      </c>
    </row>
    <row r="963">
      <c r="A963" s="23">
        <v>8795</v>
      </c>
      <c r="B963" s="4" t="s">
        <v>1264</v>
      </c>
      <c r="C963" s="4" t="s">
        <v>64</v>
      </c>
      <c r="D963" s="4" t="s">
        <v>93</v>
      </c>
      <c r="E963" s="4" t="s">
        <v>170</v>
      </c>
      <c r="F963" s="6">
        <v>4</v>
      </c>
      <c r="G963" s="5">
        <v>3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4</v>
      </c>
      <c r="V963" s="5">
        <v>3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1.33</v>
      </c>
      <c r="AL963" s="5">
        <v>1</v>
      </c>
      <c r="AM963" s="5">
        <v>2</v>
      </c>
      <c r="AN963" s="28">
        <v>0.25</v>
      </c>
    </row>
    <row r="964">
      <c r="A964" s="24">
        <v>8945</v>
      </c>
      <c r="B964" s="9" t="s">
        <v>1265</v>
      </c>
      <c r="C964" s="9" t="s">
        <v>64</v>
      </c>
      <c r="D964" s="9" t="s">
        <v>114</v>
      </c>
      <c r="E964" s="9" t="s">
        <v>115</v>
      </c>
      <c r="F964" s="11">
        <v>2</v>
      </c>
      <c r="G964" s="12">
        <v>0</v>
      </c>
      <c r="H964" s="12">
        <v>0</v>
      </c>
      <c r="I964" s="10">
        <v>1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2">
        <v>0</v>
      </c>
      <c r="W964" s="12">
        <v>0</v>
      </c>
      <c r="X964" s="10">
        <v>1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0.5</v>
      </c>
    </row>
    <row r="965">
      <c r="A965" s="23">
        <v>8961</v>
      </c>
      <c r="B965" s="4" t="s">
        <v>1266</v>
      </c>
      <c r="C965" s="4" t="s">
        <v>64</v>
      </c>
      <c r="D965" s="4" t="s">
        <v>72</v>
      </c>
      <c r="E965" s="4" t="s">
        <v>316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9105</v>
      </c>
      <c r="B966" s="9" t="s">
        <v>1267</v>
      </c>
      <c r="C966" s="9" t="s">
        <v>64</v>
      </c>
      <c r="D966" s="9" t="s">
        <v>102</v>
      </c>
      <c r="E966" s="9" t="s">
        <v>224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9">
        <v>0</v>
      </c>
    </row>
    <row r="967">
      <c r="A967" s="23">
        <v>9119</v>
      </c>
      <c r="B967" s="4" t="s">
        <v>1268</v>
      </c>
      <c r="C967" s="4" t="s">
        <v>64</v>
      </c>
      <c r="D967" s="4" t="s">
        <v>85</v>
      </c>
      <c r="E967" s="4" t="s">
        <v>86</v>
      </c>
      <c r="F967" s="6">
        <v>1</v>
      </c>
      <c r="G967" s="7">
        <v>0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9220</v>
      </c>
      <c r="B968" s="9" t="s">
        <v>1269</v>
      </c>
      <c r="C968" s="9" t="s">
        <v>64</v>
      </c>
      <c r="D968" s="9" t="s">
        <v>76</v>
      </c>
      <c r="E968" s="9" t="s">
        <v>79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0.24</v>
      </c>
    </row>
    <row r="969">
      <c r="A969" s="23">
        <v>9221</v>
      </c>
      <c r="B969" s="4" t="s">
        <v>1270</v>
      </c>
      <c r="C969" s="4" t="s">
        <v>64</v>
      </c>
      <c r="D969" s="4" t="s">
        <v>76</v>
      </c>
      <c r="E969" s="4" t="s">
        <v>77</v>
      </c>
      <c r="F969" s="6">
        <v>9</v>
      </c>
      <c r="G969" s="5">
        <v>3</v>
      </c>
      <c r="H969" s="7">
        <v>0</v>
      </c>
      <c r="I969" s="5">
        <v>6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8</v>
      </c>
      <c r="V969" s="5">
        <v>3</v>
      </c>
      <c r="W969" s="7">
        <v>0</v>
      </c>
      <c r="X969" s="5">
        <v>5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3</v>
      </c>
      <c r="AK969" s="8">
        <v>4.5</v>
      </c>
      <c r="AL969" s="5">
        <v>4</v>
      </c>
      <c r="AM969" s="5">
        <v>6</v>
      </c>
      <c r="AN969" s="30">
        <v>0</v>
      </c>
    </row>
    <row r="970">
      <c r="A970" s="24">
        <v>9278</v>
      </c>
      <c r="B970" s="9" t="s">
        <v>1271</v>
      </c>
      <c r="C970" s="9" t="s">
        <v>64</v>
      </c>
      <c r="D970" s="9" t="s">
        <v>105</v>
      </c>
      <c r="E970" s="9" t="s">
        <v>106</v>
      </c>
      <c r="F970" s="11">
        <v>5</v>
      </c>
      <c r="G970" s="12">
        <v>0</v>
      </c>
      <c r="H970" s="10">
        <v>1</v>
      </c>
      <c r="I970" s="12">
        <v>0</v>
      </c>
      <c r="J970" s="10">
        <v>4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2">
        <v>0</v>
      </c>
      <c r="W970" s="10">
        <v>1</v>
      </c>
      <c r="X970" s="12">
        <v>0</v>
      </c>
      <c r="Y970" s="10">
        <v>4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1.67</v>
      </c>
      <c r="AL970" s="10">
        <v>1</v>
      </c>
      <c r="AM970" s="10">
        <v>3</v>
      </c>
      <c r="AN970" s="29">
        <v>1.25</v>
      </c>
    </row>
    <row r="971">
      <c r="A971" s="23">
        <v>9311</v>
      </c>
      <c r="B971" s="4" t="s">
        <v>1272</v>
      </c>
      <c r="C971" s="4" t="s">
        <v>64</v>
      </c>
      <c r="D971" s="4" t="s">
        <v>72</v>
      </c>
      <c r="E971" s="4" t="s">
        <v>152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9364</v>
      </c>
      <c r="B972" s="9" t="s">
        <v>1273</v>
      </c>
      <c r="C972" s="9" t="s">
        <v>598</v>
      </c>
      <c r="D972" s="9" t="s">
        <v>1274</v>
      </c>
      <c r="E972" s="9" t="s">
        <v>389</v>
      </c>
      <c r="F972" s="11">
        <v>4</v>
      </c>
      <c r="G972" s="12">
        <v>0</v>
      </c>
      <c r="H972" s="12">
        <v>0</v>
      </c>
      <c r="I972" s="12">
        <v>0</v>
      </c>
      <c r="J972" s="10">
        <v>4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29">
        <v>0.5</v>
      </c>
    </row>
    <row r="973">
      <c r="A973" s="23">
        <v>9462</v>
      </c>
      <c r="B973" s="4" t="s">
        <v>1275</v>
      </c>
      <c r="C973" s="4" t="s">
        <v>64</v>
      </c>
      <c r="D973" s="4" t="s">
        <v>114</v>
      </c>
      <c r="E973" s="4" t="s">
        <v>274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9527</v>
      </c>
      <c r="B974" s="9" t="s">
        <v>1276</v>
      </c>
      <c r="C974" s="9" t="s">
        <v>64</v>
      </c>
      <c r="D974" s="9" t="s">
        <v>114</v>
      </c>
      <c r="E974" s="9" t="s">
        <v>120</v>
      </c>
      <c r="F974" s="11">
        <v>2</v>
      </c>
      <c r="G974" s="12">
        <v>0</v>
      </c>
      <c r="H974" s="10">
        <v>1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2">
        <v>0</v>
      </c>
      <c r="W974" s="10">
        <v>1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0.48</v>
      </c>
    </row>
    <row r="975">
      <c r="A975" s="23">
        <v>9529</v>
      </c>
      <c r="B975" s="4" t="s">
        <v>1277</v>
      </c>
      <c r="C975" s="4" t="s">
        <v>64</v>
      </c>
      <c r="D975" s="4" t="s">
        <v>102</v>
      </c>
      <c r="E975" s="4" t="s">
        <v>224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9558</v>
      </c>
      <c r="B976" s="9" t="s">
        <v>1278</v>
      </c>
      <c r="C976" s="9" t="s">
        <v>64</v>
      </c>
      <c r="D976" s="9" t="s">
        <v>93</v>
      </c>
      <c r="E976" s="9" t="s">
        <v>326</v>
      </c>
      <c r="F976" s="11">
        <v>3</v>
      </c>
      <c r="G976" s="10">
        <v>3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3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49">
        <v>0</v>
      </c>
    </row>
    <row r="977">
      <c r="A977" s="23">
        <v>9630</v>
      </c>
      <c r="B977" s="4" t="s">
        <v>1279</v>
      </c>
      <c r="C977" s="4" t="s">
        <v>64</v>
      </c>
      <c r="D977" s="4" t="s">
        <v>85</v>
      </c>
      <c r="E977" s="4" t="s">
        <v>100</v>
      </c>
      <c r="F977" s="6">
        <v>3</v>
      </c>
      <c r="G977" s="7">
        <v>0</v>
      </c>
      <c r="H977" s="7">
        <v>0</v>
      </c>
      <c r="I977" s="7">
        <v>0</v>
      </c>
      <c r="J977" s="5">
        <v>1</v>
      </c>
      <c r="K977" s="5">
        <v>2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7">
        <v>0</v>
      </c>
      <c r="W977" s="7">
        <v>0</v>
      </c>
      <c r="X977" s="7">
        <v>0</v>
      </c>
      <c r="Y977" s="5">
        <v>1</v>
      </c>
      <c r="Z977" s="5">
        <v>2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0.25</v>
      </c>
    </row>
    <row r="978">
      <c r="A978" s="24">
        <v>9631</v>
      </c>
      <c r="B978" s="9" t="s">
        <v>1280</v>
      </c>
      <c r="C978" s="9" t="s">
        <v>64</v>
      </c>
      <c r="D978" s="9" t="s">
        <v>156</v>
      </c>
      <c r="E978" s="9" t="s">
        <v>386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9677</v>
      </c>
      <c r="B979" s="4" t="s">
        <v>1281</v>
      </c>
      <c r="C979" s="4" t="s">
        <v>162</v>
      </c>
      <c r="D979" s="4" t="s">
        <v>187</v>
      </c>
      <c r="E979" s="4" t="s">
        <v>200</v>
      </c>
      <c r="F979" s="6">
        <v>1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5">
        <v>1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5">
        <v>1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9737</v>
      </c>
      <c r="B980" s="9" t="s">
        <v>1282</v>
      </c>
      <c r="C980" s="9" t="s">
        <v>64</v>
      </c>
      <c r="D980" s="9" t="s">
        <v>85</v>
      </c>
      <c r="E980" s="9" t="s">
        <v>220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9749</v>
      </c>
      <c r="B981" s="4" t="s">
        <v>1283</v>
      </c>
      <c r="C981" s="4" t="s">
        <v>624</v>
      </c>
      <c r="D981" s="4" t="s">
        <v>1158</v>
      </c>
      <c r="E981" s="4" t="s">
        <v>1284</v>
      </c>
      <c r="F981" s="6">
        <v>4</v>
      </c>
      <c r="G981" s="7">
        <v>0</v>
      </c>
      <c r="H981" s="5">
        <v>1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7">
        <v>0</v>
      </c>
      <c r="W981" s="5">
        <v>1</v>
      </c>
      <c r="X981" s="7">
        <v>0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1.04</v>
      </c>
    </row>
    <row r="982">
      <c r="A982" s="24">
        <v>9750</v>
      </c>
      <c r="B982" s="9" t="s">
        <v>1285</v>
      </c>
      <c r="C982" s="9" t="s">
        <v>64</v>
      </c>
      <c r="D982" s="9" t="s">
        <v>76</v>
      </c>
      <c r="E982" s="9" t="s">
        <v>122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0.38</v>
      </c>
    </row>
    <row r="983">
      <c r="A983" s="23">
        <v>9759</v>
      </c>
      <c r="B983" s="4" t="s">
        <v>1286</v>
      </c>
      <c r="C983" s="4" t="s">
        <v>673</v>
      </c>
      <c r="D983" s="4" t="s">
        <v>1287</v>
      </c>
      <c r="E983" s="4" t="s">
        <v>389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9760</v>
      </c>
      <c r="B984" s="9" t="s">
        <v>1288</v>
      </c>
      <c r="C984" s="9" t="s">
        <v>134</v>
      </c>
      <c r="D984" s="9" t="s">
        <v>244</v>
      </c>
      <c r="E984" s="9" t="s">
        <v>245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0.26</v>
      </c>
    </row>
    <row r="985">
      <c r="A985" s="23">
        <v>9770</v>
      </c>
      <c r="B985" s="4" t="s">
        <v>1289</v>
      </c>
      <c r="C985" s="4" t="s">
        <v>134</v>
      </c>
      <c r="D985" s="4" t="s">
        <v>476</v>
      </c>
      <c r="E985" s="4" t="s">
        <v>477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9810</v>
      </c>
      <c r="B986" s="9" t="s">
        <v>1290</v>
      </c>
      <c r="C986" s="9" t="s">
        <v>162</v>
      </c>
      <c r="D986" s="9" t="s">
        <v>187</v>
      </c>
      <c r="E986" s="9" t="s">
        <v>198</v>
      </c>
      <c r="F986" s="11">
        <v>1</v>
      </c>
      <c r="G986" s="12">
        <v>0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0.22</v>
      </c>
    </row>
    <row r="987">
      <c r="A987" s="23">
        <v>9811</v>
      </c>
      <c r="B987" s="4" t="s">
        <v>1291</v>
      </c>
      <c r="C987" s="4" t="s">
        <v>64</v>
      </c>
      <c r="D987" s="4" t="s">
        <v>125</v>
      </c>
      <c r="E987" s="4" t="s">
        <v>126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2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30">
        <v>0</v>
      </c>
    </row>
    <row r="988">
      <c r="A988" s="24">
        <v>9826</v>
      </c>
      <c r="B988" s="9" t="s">
        <v>1292</v>
      </c>
      <c r="C988" s="9" t="s">
        <v>64</v>
      </c>
      <c r="D988" s="9" t="s">
        <v>76</v>
      </c>
      <c r="E988" s="9" t="s">
        <v>329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0.5</v>
      </c>
    </row>
    <row r="989">
      <c r="A989" s="23">
        <v>9835</v>
      </c>
      <c r="B989" s="4" t="s">
        <v>1293</v>
      </c>
      <c r="C989" s="4" t="s">
        <v>64</v>
      </c>
      <c r="D989" s="4" t="s">
        <v>156</v>
      </c>
      <c r="E989" s="4" t="s">
        <v>157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0.24</v>
      </c>
    </row>
    <row r="990">
      <c r="A990" s="24">
        <v>9836</v>
      </c>
      <c r="B990" s="9" t="s">
        <v>1294</v>
      </c>
      <c r="C990" s="9" t="s">
        <v>64</v>
      </c>
      <c r="D990" s="9" t="s">
        <v>146</v>
      </c>
      <c r="E990" s="9" t="s">
        <v>147</v>
      </c>
      <c r="F990" s="11">
        <v>3</v>
      </c>
      <c r="G990" s="10">
        <v>2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2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0.26</v>
      </c>
    </row>
    <row r="991">
      <c r="A991" s="23">
        <v>9840</v>
      </c>
      <c r="B991" s="4" t="s">
        <v>1295</v>
      </c>
      <c r="C991" s="4" t="s">
        <v>134</v>
      </c>
      <c r="D991" s="4" t="s">
        <v>135</v>
      </c>
      <c r="E991" s="4" t="s">
        <v>136</v>
      </c>
      <c r="F991" s="6">
        <v>2</v>
      </c>
      <c r="G991" s="7">
        <v>0</v>
      </c>
      <c r="H991" s="5">
        <v>1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5">
        <v>1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9881</v>
      </c>
      <c r="B992" s="9" t="s">
        <v>1296</v>
      </c>
      <c r="C992" s="9" t="s">
        <v>64</v>
      </c>
      <c r="D992" s="9" t="s">
        <v>76</v>
      </c>
      <c r="E992" s="9" t="s">
        <v>329</v>
      </c>
      <c r="F992" s="11">
        <v>2</v>
      </c>
      <c r="G992" s="10">
        <v>1</v>
      </c>
      <c r="H992" s="10">
        <v>1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0">
        <v>1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9926</v>
      </c>
      <c r="B993" s="4" t="s">
        <v>1297</v>
      </c>
      <c r="C993" s="4" t="s">
        <v>64</v>
      </c>
      <c r="D993" s="4" t="s">
        <v>68</v>
      </c>
      <c r="E993" s="4" t="s">
        <v>112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10018</v>
      </c>
      <c r="B994" s="9" t="s">
        <v>1298</v>
      </c>
      <c r="C994" s="9" t="s">
        <v>64</v>
      </c>
      <c r="D994" s="9" t="s">
        <v>114</v>
      </c>
      <c r="E994" s="9" t="s">
        <v>212</v>
      </c>
      <c r="F994" s="11">
        <v>5</v>
      </c>
      <c r="G994" s="10">
        <v>1</v>
      </c>
      <c r="H994" s="12">
        <v>0</v>
      </c>
      <c r="I994" s="10">
        <v>4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1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2.5</v>
      </c>
      <c r="AL994" s="10">
        <v>2</v>
      </c>
      <c r="AM994" s="10">
        <v>4</v>
      </c>
      <c r="AN994" s="49">
        <v>0</v>
      </c>
    </row>
    <row r="995">
      <c r="A995" s="23">
        <v>10045</v>
      </c>
      <c r="B995" s="4" t="s">
        <v>1299</v>
      </c>
      <c r="C995" s="4" t="s">
        <v>64</v>
      </c>
      <c r="D995" s="4" t="s">
        <v>102</v>
      </c>
      <c r="E995" s="4" t="s">
        <v>248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0.22</v>
      </c>
    </row>
    <row r="996">
      <c r="A996" s="24">
        <v>10049</v>
      </c>
      <c r="B996" s="9" t="s">
        <v>1300</v>
      </c>
      <c r="C996" s="9" t="s">
        <v>747</v>
      </c>
      <c r="D996" s="9" t="s">
        <v>777</v>
      </c>
      <c r="E996" s="9" t="s">
        <v>389</v>
      </c>
      <c r="F996" s="11">
        <v>1</v>
      </c>
      <c r="G996" s="12">
        <v>0</v>
      </c>
      <c r="H996" s="10">
        <v>1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0">
        <v>1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10062</v>
      </c>
      <c r="B997" s="4" t="s">
        <v>1301</v>
      </c>
      <c r="C997" s="4" t="s">
        <v>680</v>
      </c>
      <c r="D997" s="4" t="s">
        <v>937</v>
      </c>
      <c r="E997" s="4" t="s">
        <v>389</v>
      </c>
      <c r="F997" s="6">
        <v>4</v>
      </c>
      <c r="G997" s="5">
        <v>1</v>
      </c>
      <c r="H997" s="5">
        <v>2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1</v>
      </c>
      <c r="W997" s="5">
        <v>2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1.04</v>
      </c>
    </row>
    <row r="998">
      <c r="A998" s="24">
        <v>10075</v>
      </c>
      <c r="B998" s="9" t="s">
        <v>1302</v>
      </c>
      <c r="C998" s="9" t="s">
        <v>611</v>
      </c>
      <c r="D998" s="9" t="s">
        <v>615</v>
      </c>
      <c r="E998" s="9" t="s">
        <v>616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10096</v>
      </c>
      <c r="B999" s="4" t="s">
        <v>1303</v>
      </c>
      <c r="C999" s="4" t="s">
        <v>598</v>
      </c>
      <c r="D999" s="4" t="s">
        <v>648</v>
      </c>
      <c r="E999" s="4" t="s">
        <v>389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0.22</v>
      </c>
    </row>
    <row r="1000">
      <c r="A1000" s="24">
        <v>10123</v>
      </c>
      <c r="B1000" s="9" t="s">
        <v>1304</v>
      </c>
      <c r="C1000" s="9" t="s">
        <v>162</v>
      </c>
      <c r="D1000" s="9" t="s">
        <v>187</v>
      </c>
      <c r="E1000" s="9" t="s">
        <v>1305</v>
      </c>
      <c r="F1000" s="11">
        <v>1</v>
      </c>
      <c r="G1000" s="12">
        <v>0</v>
      </c>
      <c r="H1000" s="12">
        <v>0</v>
      </c>
      <c r="I1000" s="12">
        <v>0</v>
      </c>
      <c r="J1000" s="12">
        <v>0</v>
      </c>
      <c r="K1000" s="10">
        <v>1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2">
        <v>0</v>
      </c>
      <c r="Z1000" s="10">
        <v>1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9">
        <v>0</v>
      </c>
    </row>
    <row r="1001">
      <c r="A1001" s="23">
        <v>10126</v>
      </c>
      <c r="B1001" s="4" t="s">
        <v>1306</v>
      </c>
      <c r="C1001" s="4" t="s">
        <v>1178</v>
      </c>
      <c r="D1001" s="4" t="s">
        <v>1217</v>
      </c>
      <c r="E1001" s="4" t="s">
        <v>1307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10163</v>
      </c>
      <c r="B1002" s="9" t="s">
        <v>1308</v>
      </c>
      <c r="C1002" s="9" t="s">
        <v>680</v>
      </c>
      <c r="D1002" s="9" t="s">
        <v>1309</v>
      </c>
      <c r="E1002" s="9" t="s">
        <v>389</v>
      </c>
      <c r="F1002" s="11">
        <v>1</v>
      </c>
      <c r="G1002" s="12">
        <v>0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10187</v>
      </c>
      <c r="B1003" s="4" t="s">
        <v>1310</v>
      </c>
      <c r="C1003" s="4" t="s">
        <v>162</v>
      </c>
      <c r="D1003" s="4" t="s">
        <v>388</v>
      </c>
      <c r="E1003" s="4" t="s">
        <v>388</v>
      </c>
      <c r="F1003" s="6">
        <v>5</v>
      </c>
      <c r="G1003" s="5">
        <v>4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5">
        <v>3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1.67</v>
      </c>
      <c r="AL1003" s="5">
        <v>1</v>
      </c>
      <c r="AM1003" s="5">
        <v>3</v>
      </c>
      <c r="AN1003" s="28">
        <v>0.24</v>
      </c>
    </row>
    <row r="1004">
      <c r="A1004" s="24">
        <v>10213</v>
      </c>
      <c r="B1004" s="9" t="s">
        <v>1311</v>
      </c>
      <c r="C1004" s="9" t="s">
        <v>598</v>
      </c>
      <c r="D1004" s="9" t="s">
        <v>1312</v>
      </c>
      <c r="E1004" s="9" t="s">
        <v>389</v>
      </c>
      <c r="F1004" s="11">
        <v>3</v>
      </c>
      <c r="G1004" s="12">
        <v>0</v>
      </c>
      <c r="H1004" s="12">
        <v>0</v>
      </c>
      <c r="I1004" s="12">
        <v>0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2">
        <v>0</v>
      </c>
      <c r="W1004" s="12">
        <v>0</v>
      </c>
      <c r="X1004" s="12">
        <v>0</v>
      </c>
      <c r="Y1004" s="10">
        <v>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0.72</v>
      </c>
    </row>
    <row r="1005">
      <c r="A1005" s="23">
        <v>10214</v>
      </c>
      <c r="B1005" s="4" t="s">
        <v>1313</v>
      </c>
      <c r="C1005" s="4" t="s">
        <v>64</v>
      </c>
      <c r="D1005" s="4" t="s">
        <v>125</v>
      </c>
      <c r="E1005" s="4" t="s">
        <v>1314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10269</v>
      </c>
      <c r="B1006" s="9" t="s">
        <v>1315</v>
      </c>
      <c r="C1006" s="9" t="s">
        <v>64</v>
      </c>
      <c r="D1006" s="9" t="s">
        <v>114</v>
      </c>
      <c r="E1006" s="9" t="s">
        <v>120</v>
      </c>
      <c r="F1006" s="11">
        <v>3</v>
      </c>
      <c r="G1006" s="12">
        <v>0</v>
      </c>
      <c r="H1006" s="12">
        <v>0</v>
      </c>
      <c r="I1006" s="12">
        <v>0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2">
        <v>0</v>
      </c>
      <c r="Y1006" s="10">
        <v>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0.75</v>
      </c>
    </row>
    <row r="1007">
      <c r="A1007" s="23">
        <v>10320</v>
      </c>
      <c r="B1007" s="4" t="s">
        <v>1316</v>
      </c>
      <c r="C1007" s="4" t="s">
        <v>680</v>
      </c>
      <c r="D1007" s="4" t="s">
        <v>681</v>
      </c>
      <c r="E1007" s="4" t="s">
        <v>389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10385</v>
      </c>
      <c r="B1008" s="9" t="s">
        <v>1317</v>
      </c>
      <c r="C1008" s="9" t="s">
        <v>162</v>
      </c>
      <c r="D1008" s="9" t="s">
        <v>639</v>
      </c>
      <c r="E1008" s="9" t="s">
        <v>1055</v>
      </c>
      <c r="F1008" s="11">
        <v>2</v>
      </c>
      <c r="G1008" s="12">
        <v>0</v>
      </c>
      <c r="H1008" s="12">
        <v>0</v>
      </c>
      <c r="I1008" s="12">
        <v>0</v>
      </c>
      <c r="J1008" s="12">
        <v>0</v>
      </c>
      <c r="K1008" s="10">
        <v>2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2">
        <v>0</v>
      </c>
      <c r="Y1008" s="12">
        <v>0</v>
      </c>
      <c r="Z1008" s="10">
        <v>2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0.61</v>
      </c>
    </row>
    <row r="1009">
      <c r="A1009" s="23">
        <v>10397</v>
      </c>
      <c r="B1009" s="4" t="s">
        <v>1318</v>
      </c>
      <c r="C1009" s="4" t="s">
        <v>598</v>
      </c>
      <c r="D1009" s="4" t="s">
        <v>648</v>
      </c>
      <c r="E1009" s="4" t="s">
        <v>389</v>
      </c>
      <c r="F1009" s="6">
        <v>1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10432</v>
      </c>
      <c r="B1010" s="9" t="s">
        <v>1319</v>
      </c>
      <c r="C1010" s="9" t="s">
        <v>747</v>
      </c>
      <c r="D1010" s="9" t="s">
        <v>1320</v>
      </c>
      <c r="E1010" s="9" t="s">
        <v>389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9">
        <v>0</v>
      </c>
    </row>
    <row r="1011">
      <c r="A1011" s="23">
        <v>10480</v>
      </c>
      <c r="B1011" s="4" t="s">
        <v>1321</v>
      </c>
      <c r="C1011" s="4" t="s">
        <v>598</v>
      </c>
      <c r="D1011" s="4" t="s">
        <v>919</v>
      </c>
      <c r="E1011" s="4" t="s">
        <v>389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10487</v>
      </c>
      <c r="B1012" s="9" t="s">
        <v>1322</v>
      </c>
      <c r="C1012" s="9" t="s">
        <v>162</v>
      </c>
      <c r="D1012" s="9" t="s">
        <v>163</v>
      </c>
      <c r="E1012" s="9" t="s">
        <v>164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10542</v>
      </c>
      <c r="B1013" s="4" t="s">
        <v>1323</v>
      </c>
      <c r="C1013" s="4" t="s">
        <v>64</v>
      </c>
      <c r="D1013" s="4" t="s">
        <v>76</v>
      </c>
      <c r="E1013" s="4" t="s">
        <v>122</v>
      </c>
      <c r="F1013" s="6">
        <v>5</v>
      </c>
      <c r="G1013" s="5">
        <v>2</v>
      </c>
      <c r="H1013" s="7">
        <v>0</v>
      </c>
      <c r="I1013" s="7">
        <v>0</v>
      </c>
      <c r="J1013" s="5">
        <v>3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5</v>
      </c>
      <c r="V1013" s="5">
        <v>2</v>
      </c>
      <c r="W1013" s="7">
        <v>0</v>
      </c>
      <c r="X1013" s="7">
        <v>0</v>
      </c>
      <c r="Y1013" s="5">
        <v>3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1.25</v>
      </c>
      <c r="AL1013" s="5">
        <v>1</v>
      </c>
      <c r="AM1013" s="5">
        <v>2</v>
      </c>
      <c r="AN1013" s="28">
        <v>1</v>
      </c>
    </row>
    <row r="1014">
      <c r="A1014" s="24">
        <v>10548</v>
      </c>
      <c r="B1014" s="9" t="s">
        <v>1324</v>
      </c>
      <c r="C1014" s="9" t="s">
        <v>64</v>
      </c>
      <c r="D1014" s="9" t="s">
        <v>72</v>
      </c>
      <c r="E1014" s="9" t="s">
        <v>301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10577</v>
      </c>
      <c r="B1015" s="4" t="s">
        <v>1325</v>
      </c>
      <c r="C1015" s="4" t="s">
        <v>680</v>
      </c>
      <c r="D1015" s="4" t="s">
        <v>681</v>
      </c>
      <c r="E1015" s="4" t="s">
        <v>389</v>
      </c>
      <c r="F1015" s="6">
        <v>3</v>
      </c>
      <c r="G1015" s="7">
        <v>0</v>
      </c>
      <c r="H1015" s="7">
        <v>0</v>
      </c>
      <c r="I1015" s="7">
        <v>0</v>
      </c>
      <c r="J1015" s="5">
        <v>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7">
        <v>0</v>
      </c>
      <c r="W1015" s="7">
        <v>0</v>
      </c>
      <c r="X1015" s="7">
        <v>0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28">
        <v>0.78</v>
      </c>
    </row>
    <row r="1016">
      <c r="A1016" s="24">
        <v>10604</v>
      </c>
      <c r="B1016" s="9" t="s">
        <v>1326</v>
      </c>
      <c r="C1016" s="9" t="s">
        <v>134</v>
      </c>
      <c r="D1016" s="9" t="s">
        <v>244</v>
      </c>
      <c r="E1016" s="9" t="s">
        <v>1122</v>
      </c>
      <c r="F1016" s="11">
        <v>2</v>
      </c>
      <c r="G1016" s="12">
        <v>0</v>
      </c>
      <c r="H1016" s="12">
        <v>0</v>
      </c>
      <c r="I1016" s="10">
        <v>1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2">
        <v>0</v>
      </c>
      <c r="W1016" s="12">
        <v>0</v>
      </c>
      <c r="X1016" s="10">
        <v>1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0.24</v>
      </c>
    </row>
    <row r="1017">
      <c r="A1017" s="23">
        <v>10612</v>
      </c>
      <c r="B1017" s="4" t="s">
        <v>1327</v>
      </c>
      <c r="C1017" s="4" t="s">
        <v>64</v>
      </c>
      <c r="D1017" s="4" t="s">
        <v>102</v>
      </c>
      <c r="E1017" s="4" t="s">
        <v>103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30">
        <v>0</v>
      </c>
    </row>
    <row r="1018">
      <c r="A1018" s="24">
        <v>10638</v>
      </c>
      <c r="B1018" s="9" t="s">
        <v>1328</v>
      </c>
      <c r="C1018" s="9" t="s">
        <v>64</v>
      </c>
      <c r="D1018" s="9" t="s">
        <v>72</v>
      </c>
      <c r="E1018" s="9" t="s">
        <v>152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10725</v>
      </c>
      <c r="B1019" s="4" t="s">
        <v>1329</v>
      </c>
      <c r="C1019" s="4" t="s">
        <v>712</v>
      </c>
      <c r="D1019" s="4" t="s">
        <v>389</v>
      </c>
      <c r="E1019" s="4" t="s">
        <v>389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10727</v>
      </c>
      <c r="B1020" s="9" t="s">
        <v>1330</v>
      </c>
      <c r="C1020" s="9" t="s">
        <v>712</v>
      </c>
      <c r="D1020" s="9" t="s">
        <v>389</v>
      </c>
      <c r="E1020" s="9" t="s">
        <v>389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10734</v>
      </c>
      <c r="B1021" s="4" t="s">
        <v>1331</v>
      </c>
      <c r="C1021" s="4" t="s">
        <v>747</v>
      </c>
      <c r="D1021" s="4" t="s">
        <v>1332</v>
      </c>
      <c r="E1021" s="4" t="s">
        <v>389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0.26</v>
      </c>
    </row>
    <row r="1022">
      <c r="A1022" s="24">
        <v>10775</v>
      </c>
      <c r="B1022" s="9" t="s">
        <v>1333</v>
      </c>
      <c r="C1022" s="9" t="s">
        <v>162</v>
      </c>
      <c r="D1022" s="9" t="s">
        <v>163</v>
      </c>
      <c r="E1022" s="9" t="s">
        <v>178</v>
      </c>
      <c r="F1022" s="11">
        <v>1</v>
      </c>
      <c r="G1022" s="12">
        <v>0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10843</v>
      </c>
      <c r="B1023" s="4" t="s">
        <v>1334</v>
      </c>
      <c r="C1023" s="4" t="s">
        <v>64</v>
      </c>
      <c r="D1023" s="4" t="s">
        <v>72</v>
      </c>
      <c r="E1023" s="4" t="s">
        <v>73</v>
      </c>
      <c r="F1023" s="6">
        <v>1</v>
      </c>
      <c r="G1023" s="7">
        <v>0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10847</v>
      </c>
      <c r="B1024" s="9" t="s">
        <v>1335</v>
      </c>
      <c r="C1024" s="9" t="s">
        <v>64</v>
      </c>
      <c r="D1024" s="9" t="s">
        <v>65</v>
      </c>
      <c r="E1024" s="9" t="s">
        <v>415</v>
      </c>
      <c r="F1024" s="11">
        <v>3</v>
      </c>
      <c r="G1024" s="12">
        <v>0</v>
      </c>
      <c r="H1024" s="10">
        <v>1</v>
      </c>
      <c r="I1024" s="10">
        <v>2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2">
        <v>0</v>
      </c>
      <c r="W1024" s="10">
        <v>1</v>
      </c>
      <c r="X1024" s="10">
        <v>2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0.22</v>
      </c>
    </row>
    <row r="1025">
      <c r="A1025" s="23">
        <v>10860</v>
      </c>
      <c r="B1025" s="4" t="s">
        <v>1336</v>
      </c>
      <c r="C1025" s="4" t="s">
        <v>598</v>
      </c>
      <c r="D1025" s="4" t="s">
        <v>863</v>
      </c>
      <c r="E1025" s="4" t="s">
        <v>389</v>
      </c>
      <c r="F1025" s="6">
        <v>1</v>
      </c>
      <c r="G1025" s="7">
        <v>0</v>
      </c>
      <c r="H1025" s="7">
        <v>0</v>
      </c>
      <c r="I1025" s="7">
        <v>0</v>
      </c>
      <c r="J1025" s="7">
        <v>0</v>
      </c>
      <c r="K1025" s="5">
        <v>1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7">
        <v>0</v>
      </c>
      <c r="Z1025" s="5">
        <v>1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10862</v>
      </c>
      <c r="B1026" s="9" t="s">
        <v>1337</v>
      </c>
      <c r="C1026" s="9" t="s">
        <v>162</v>
      </c>
      <c r="D1026" s="9" t="s">
        <v>163</v>
      </c>
      <c r="E1026" s="9" t="s">
        <v>164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9">
        <v>0</v>
      </c>
    </row>
    <row r="1027">
      <c r="A1027" s="23">
        <v>10957</v>
      </c>
      <c r="B1027" s="4" t="s">
        <v>1338</v>
      </c>
      <c r="C1027" s="4" t="s">
        <v>134</v>
      </c>
      <c r="D1027" s="4" t="s">
        <v>432</v>
      </c>
      <c r="E1027" s="4" t="s">
        <v>1040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10989</v>
      </c>
      <c r="B1028" s="9" t="s">
        <v>1339</v>
      </c>
      <c r="C1028" s="9" t="s">
        <v>134</v>
      </c>
      <c r="D1028" s="9" t="s">
        <v>703</v>
      </c>
      <c r="E1028" s="9" t="s">
        <v>704</v>
      </c>
      <c r="F1028" s="11">
        <v>4</v>
      </c>
      <c r="G1028" s="12">
        <v>0</v>
      </c>
      <c r="H1028" s="12">
        <v>0</v>
      </c>
      <c r="I1028" s="10">
        <v>3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2">
        <v>0</v>
      </c>
      <c r="W1028" s="12">
        <v>0</v>
      </c>
      <c r="X1028" s="10">
        <v>2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49">
        <v>0</v>
      </c>
    </row>
    <row r="1029">
      <c r="A1029" s="23">
        <v>11018</v>
      </c>
      <c r="B1029" s="4" t="s">
        <v>1340</v>
      </c>
      <c r="C1029" s="4" t="s">
        <v>134</v>
      </c>
      <c r="D1029" s="4" t="s">
        <v>594</v>
      </c>
      <c r="E1029" s="4" t="s">
        <v>752</v>
      </c>
      <c r="F1029" s="6">
        <v>3</v>
      </c>
      <c r="G1029" s="5">
        <v>1</v>
      </c>
      <c r="H1029" s="5">
        <v>2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1</v>
      </c>
      <c r="W1029" s="5">
        <v>2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30">
        <v>0</v>
      </c>
    </row>
    <row r="1030">
      <c r="A1030" s="24">
        <v>11024</v>
      </c>
      <c r="B1030" s="9" t="s">
        <v>1341</v>
      </c>
      <c r="C1030" s="9" t="s">
        <v>134</v>
      </c>
      <c r="D1030" s="9" t="s">
        <v>594</v>
      </c>
      <c r="E1030" s="9" t="s">
        <v>1342</v>
      </c>
      <c r="F1030" s="11">
        <v>2</v>
      </c>
      <c r="G1030" s="12">
        <v>0</v>
      </c>
      <c r="H1030" s="10">
        <v>2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0">
        <v>1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29">
        <v>0.38</v>
      </c>
    </row>
    <row r="1031">
      <c r="A1031" s="23">
        <v>11106</v>
      </c>
      <c r="B1031" s="4" t="s">
        <v>1343</v>
      </c>
      <c r="C1031" s="4" t="s">
        <v>1178</v>
      </c>
      <c r="D1031" s="4" t="s">
        <v>1344</v>
      </c>
      <c r="E1031" s="4" t="s">
        <v>1345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11125</v>
      </c>
      <c r="B1032" s="9" t="s">
        <v>1346</v>
      </c>
      <c r="C1032" s="9" t="s">
        <v>64</v>
      </c>
      <c r="D1032" s="9" t="s">
        <v>76</v>
      </c>
      <c r="E1032" s="9" t="s">
        <v>77</v>
      </c>
      <c r="F1032" s="11">
        <v>2</v>
      </c>
      <c r="G1032" s="12">
        <v>0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0.24</v>
      </c>
    </row>
    <row r="1033">
      <c r="A1033" s="23">
        <v>11144</v>
      </c>
      <c r="B1033" s="4" t="s">
        <v>1347</v>
      </c>
      <c r="C1033" s="4" t="s">
        <v>162</v>
      </c>
      <c r="D1033" s="4" t="s">
        <v>446</v>
      </c>
      <c r="E1033" s="4" t="s">
        <v>452</v>
      </c>
      <c r="F1033" s="6">
        <v>7</v>
      </c>
      <c r="G1033" s="5">
        <v>4</v>
      </c>
      <c r="H1033" s="7">
        <v>0</v>
      </c>
      <c r="I1033" s="7">
        <v>0</v>
      </c>
      <c r="J1033" s="7">
        <v>0</v>
      </c>
      <c r="K1033" s="5">
        <v>3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5">
        <v>3</v>
      </c>
      <c r="W1033" s="7">
        <v>0</v>
      </c>
      <c r="X1033" s="7">
        <v>0</v>
      </c>
      <c r="Y1033" s="7">
        <v>0</v>
      </c>
      <c r="Z1033" s="5">
        <v>1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3.5</v>
      </c>
      <c r="AL1033" s="5">
        <v>3</v>
      </c>
      <c r="AM1033" s="5">
        <v>4</v>
      </c>
      <c r="AN1033" s="30">
        <v>0</v>
      </c>
    </row>
    <row r="1034">
      <c r="A1034" s="24">
        <v>11192</v>
      </c>
      <c r="B1034" s="9" t="s">
        <v>1348</v>
      </c>
      <c r="C1034" s="9" t="s">
        <v>598</v>
      </c>
      <c r="D1034" s="9" t="s">
        <v>1274</v>
      </c>
      <c r="E1034" s="9" t="s">
        <v>389</v>
      </c>
      <c r="F1034" s="11">
        <v>2</v>
      </c>
      <c r="G1034" s="12">
        <v>0</v>
      </c>
      <c r="H1034" s="12">
        <v>0</v>
      </c>
      <c r="I1034" s="12">
        <v>0</v>
      </c>
      <c r="J1034" s="12">
        <v>0</v>
      </c>
      <c r="K1034" s="10">
        <v>2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2">
        <v>0</v>
      </c>
      <c r="X1034" s="12">
        <v>0</v>
      </c>
      <c r="Y1034" s="12">
        <v>0</v>
      </c>
      <c r="Z1034" s="10">
        <v>2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49">
        <v>0</v>
      </c>
    </row>
    <row r="1035">
      <c r="A1035" s="23">
        <v>11221</v>
      </c>
      <c r="B1035" s="4" t="s">
        <v>1349</v>
      </c>
      <c r="C1035" s="4" t="s">
        <v>64</v>
      </c>
      <c r="D1035" s="4" t="s">
        <v>156</v>
      </c>
      <c r="E1035" s="4" t="s">
        <v>973</v>
      </c>
      <c r="F1035" s="6">
        <v>2</v>
      </c>
      <c r="G1035" s="7">
        <v>0</v>
      </c>
      <c r="H1035" s="5">
        <v>1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5">
        <v>1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0.48</v>
      </c>
    </row>
    <row r="1036">
      <c r="A1036" s="24">
        <v>11233</v>
      </c>
      <c r="B1036" s="9" t="s">
        <v>1350</v>
      </c>
      <c r="C1036" s="9" t="s">
        <v>64</v>
      </c>
      <c r="D1036" s="9" t="s">
        <v>76</v>
      </c>
      <c r="E1036" s="9" t="s">
        <v>77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</v>
      </c>
    </row>
    <row r="1037">
      <c r="A1037" s="23">
        <v>11234</v>
      </c>
      <c r="B1037" s="4" t="s">
        <v>1351</v>
      </c>
      <c r="C1037" s="4" t="s">
        <v>64</v>
      </c>
      <c r="D1037" s="4" t="s">
        <v>85</v>
      </c>
      <c r="E1037" s="4" t="s">
        <v>132</v>
      </c>
      <c r="F1037" s="6">
        <v>1</v>
      </c>
      <c r="G1037" s="7">
        <v>0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0.26</v>
      </c>
    </row>
    <row r="1038">
      <c r="A1038" s="24">
        <v>11265</v>
      </c>
      <c r="B1038" s="9" t="s">
        <v>1352</v>
      </c>
      <c r="C1038" s="9" t="s">
        <v>680</v>
      </c>
      <c r="D1038" s="9" t="s">
        <v>869</v>
      </c>
      <c r="E1038" s="9" t="s">
        <v>389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11268</v>
      </c>
      <c r="B1039" s="4" t="s">
        <v>1353</v>
      </c>
      <c r="C1039" s="4" t="s">
        <v>680</v>
      </c>
      <c r="D1039" s="4" t="s">
        <v>869</v>
      </c>
      <c r="E1039" s="4" t="s">
        <v>389</v>
      </c>
      <c r="F1039" s="6">
        <v>2</v>
      </c>
      <c r="G1039" s="7">
        <v>0</v>
      </c>
      <c r="H1039" s="7">
        <v>0</v>
      </c>
      <c r="I1039" s="7">
        <v>0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7">
        <v>0</v>
      </c>
      <c r="W1039" s="7">
        <v>0</v>
      </c>
      <c r="X1039" s="7">
        <v>0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28">
        <v>0.52</v>
      </c>
    </row>
    <row r="1040">
      <c r="A1040" s="24">
        <v>11281</v>
      </c>
      <c r="B1040" s="9" t="s">
        <v>449</v>
      </c>
      <c r="C1040" s="9" t="s">
        <v>64</v>
      </c>
      <c r="D1040" s="9" t="s">
        <v>156</v>
      </c>
      <c r="E1040" s="9" t="s">
        <v>157</v>
      </c>
      <c r="F1040" s="11">
        <v>4</v>
      </c>
      <c r="G1040" s="10">
        <v>4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0">
        <v>4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29">
        <v>0.5</v>
      </c>
    </row>
    <row r="1041">
      <c r="A1041" s="23">
        <v>11310</v>
      </c>
      <c r="B1041" s="4" t="s">
        <v>1354</v>
      </c>
      <c r="C1041" s="4" t="s">
        <v>64</v>
      </c>
      <c r="D1041" s="4" t="s">
        <v>125</v>
      </c>
      <c r="E1041" s="4" t="s">
        <v>126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11399</v>
      </c>
      <c r="B1042" s="9" t="s">
        <v>1355</v>
      </c>
      <c r="C1042" s="9" t="s">
        <v>64</v>
      </c>
      <c r="D1042" s="9" t="s">
        <v>85</v>
      </c>
      <c r="E1042" s="9" t="s">
        <v>86</v>
      </c>
      <c r="F1042" s="11">
        <v>2</v>
      </c>
      <c r="G1042" s="10">
        <v>1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1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0.5</v>
      </c>
    </row>
    <row r="1043">
      <c r="A1043" s="23">
        <v>11431</v>
      </c>
      <c r="B1043" s="4" t="s">
        <v>1356</v>
      </c>
      <c r="C1043" s="4" t="s">
        <v>64</v>
      </c>
      <c r="D1043" s="4" t="s">
        <v>68</v>
      </c>
      <c r="E1043" s="4" t="s">
        <v>112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11529</v>
      </c>
      <c r="B1044" s="9" t="s">
        <v>1357</v>
      </c>
      <c r="C1044" s="9" t="s">
        <v>64</v>
      </c>
      <c r="D1044" s="9" t="s">
        <v>114</v>
      </c>
      <c r="E1044" s="9" t="s">
        <v>212</v>
      </c>
      <c r="F1044" s="11">
        <v>3</v>
      </c>
      <c r="G1044" s="10">
        <v>2</v>
      </c>
      <c r="H1044" s="12">
        <v>0</v>
      </c>
      <c r="I1044" s="12">
        <v>0</v>
      </c>
      <c r="J1044" s="12">
        <v>0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0">
        <v>2</v>
      </c>
      <c r="W1044" s="12">
        <v>0</v>
      </c>
      <c r="X1044" s="12">
        <v>0</v>
      </c>
      <c r="Y1044" s="12">
        <v>0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49">
        <v>0</v>
      </c>
    </row>
    <row r="1045">
      <c r="A1045" s="23">
        <v>11531</v>
      </c>
      <c r="B1045" s="4" t="s">
        <v>1358</v>
      </c>
      <c r="C1045" s="4" t="s">
        <v>64</v>
      </c>
      <c r="D1045" s="4" t="s">
        <v>85</v>
      </c>
      <c r="E1045" s="4" t="s">
        <v>220</v>
      </c>
      <c r="F1045" s="6">
        <v>3</v>
      </c>
      <c r="G1045" s="7">
        <v>0</v>
      </c>
      <c r="H1045" s="7">
        <v>0</v>
      </c>
      <c r="I1045" s="7">
        <v>0</v>
      </c>
      <c r="J1045" s="5">
        <v>3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7">
        <v>0</v>
      </c>
      <c r="W1045" s="7">
        <v>0</v>
      </c>
      <c r="X1045" s="7">
        <v>0</v>
      </c>
      <c r="Y1045" s="5">
        <v>3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3</v>
      </c>
      <c r="AK1045" s="8">
        <v>3</v>
      </c>
      <c r="AL1045" s="5">
        <v>3</v>
      </c>
      <c r="AM1045" s="5">
        <v>3</v>
      </c>
      <c r="AN1045" s="28">
        <v>0.78</v>
      </c>
    </row>
    <row r="1046">
      <c r="A1046" s="24">
        <v>11535</v>
      </c>
      <c r="B1046" s="9" t="s">
        <v>1359</v>
      </c>
      <c r="C1046" s="9" t="s">
        <v>598</v>
      </c>
      <c r="D1046" s="9" t="s">
        <v>922</v>
      </c>
      <c r="E1046" s="9" t="s">
        <v>389</v>
      </c>
      <c r="F1046" s="11">
        <v>10</v>
      </c>
      <c r="G1046" s="12">
        <v>0</v>
      </c>
      <c r="H1046" s="12">
        <v>0</v>
      </c>
      <c r="I1046" s="12">
        <v>0</v>
      </c>
      <c r="J1046" s="10">
        <v>10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10</v>
      </c>
      <c r="V1046" s="12">
        <v>0</v>
      </c>
      <c r="W1046" s="12">
        <v>0</v>
      </c>
      <c r="X1046" s="12">
        <v>0</v>
      </c>
      <c r="Y1046" s="10">
        <v>10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5</v>
      </c>
      <c r="AL1046" s="10">
        <v>5</v>
      </c>
      <c r="AM1046" s="10">
        <v>9</v>
      </c>
      <c r="AN1046" s="29">
        <v>2.25</v>
      </c>
    </row>
    <row r="1047">
      <c r="A1047" s="23">
        <v>11598</v>
      </c>
      <c r="B1047" s="4" t="s">
        <v>1360</v>
      </c>
      <c r="C1047" s="4" t="s">
        <v>64</v>
      </c>
      <c r="D1047" s="4" t="s">
        <v>76</v>
      </c>
      <c r="E1047" s="4" t="s">
        <v>329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0.26</v>
      </c>
    </row>
    <row r="1048">
      <c r="A1048" s="24">
        <v>11612</v>
      </c>
      <c r="B1048" s="9" t="s">
        <v>1361</v>
      </c>
      <c r="C1048" s="9" t="s">
        <v>64</v>
      </c>
      <c r="D1048" s="9" t="s">
        <v>68</v>
      </c>
      <c r="E1048" s="9" t="s">
        <v>264</v>
      </c>
      <c r="F1048" s="11">
        <v>4</v>
      </c>
      <c r="G1048" s="10">
        <v>2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0">
        <v>2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1.33</v>
      </c>
      <c r="AL1048" s="10">
        <v>1</v>
      </c>
      <c r="AM1048" s="10">
        <v>2</v>
      </c>
      <c r="AN1048" s="29">
        <v>0.88</v>
      </c>
    </row>
    <row r="1049">
      <c r="A1049" s="23">
        <v>11618</v>
      </c>
      <c r="B1049" s="4" t="s">
        <v>1362</v>
      </c>
      <c r="C1049" s="4" t="s">
        <v>162</v>
      </c>
      <c r="D1049" s="4" t="s">
        <v>446</v>
      </c>
      <c r="E1049" s="4" t="s">
        <v>452</v>
      </c>
      <c r="F1049" s="6">
        <v>8</v>
      </c>
      <c r="G1049" s="5">
        <v>2</v>
      </c>
      <c r="H1049" s="5">
        <v>1</v>
      </c>
      <c r="I1049" s="5">
        <v>2</v>
      </c>
      <c r="J1049" s="7">
        <v>0</v>
      </c>
      <c r="K1049" s="5">
        <v>3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8</v>
      </c>
      <c r="V1049" s="5">
        <v>2</v>
      </c>
      <c r="W1049" s="5">
        <v>1</v>
      </c>
      <c r="X1049" s="5">
        <v>2</v>
      </c>
      <c r="Y1049" s="7">
        <v>0</v>
      </c>
      <c r="Z1049" s="5">
        <v>3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</v>
      </c>
      <c r="AL1049" s="5">
        <v>2</v>
      </c>
      <c r="AM1049" s="5">
        <v>3</v>
      </c>
      <c r="AN1049" s="30">
        <v>0</v>
      </c>
    </row>
    <row r="1050">
      <c r="A1050" s="24">
        <v>11638</v>
      </c>
      <c r="B1050" s="9" t="s">
        <v>1363</v>
      </c>
      <c r="C1050" s="9" t="s">
        <v>64</v>
      </c>
      <c r="D1050" s="9" t="s">
        <v>114</v>
      </c>
      <c r="E1050" s="9" t="s">
        <v>143</v>
      </c>
      <c r="F1050" s="11">
        <v>1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9">
        <v>0</v>
      </c>
    </row>
    <row r="1051">
      <c r="A1051" s="23">
        <v>11639</v>
      </c>
      <c r="B1051" s="4" t="s">
        <v>1364</v>
      </c>
      <c r="C1051" s="4" t="s">
        <v>64</v>
      </c>
      <c r="D1051" s="4" t="s">
        <v>114</v>
      </c>
      <c r="E1051" s="4" t="s">
        <v>140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0.26</v>
      </c>
    </row>
    <row r="1052">
      <c r="A1052" s="24">
        <v>11660</v>
      </c>
      <c r="B1052" s="9" t="s">
        <v>1365</v>
      </c>
      <c r="C1052" s="9" t="s">
        <v>64</v>
      </c>
      <c r="D1052" s="9" t="s">
        <v>72</v>
      </c>
      <c r="E1052" s="9" t="s">
        <v>118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9">
        <v>0</v>
      </c>
    </row>
    <row r="1053">
      <c r="A1053" s="23">
        <v>11661</v>
      </c>
      <c r="B1053" s="4" t="s">
        <v>1366</v>
      </c>
      <c r="C1053" s="4" t="s">
        <v>611</v>
      </c>
      <c r="D1053" s="4" t="s">
        <v>615</v>
      </c>
      <c r="E1053" s="4" t="s">
        <v>616</v>
      </c>
      <c r="F1053" s="6">
        <v>2</v>
      </c>
      <c r="G1053" s="7">
        <v>0</v>
      </c>
      <c r="H1053" s="7">
        <v>0</v>
      </c>
      <c r="I1053" s="5">
        <v>2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30">
        <v>0</v>
      </c>
    </row>
    <row r="1054">
      <c r="A1054" s="24">
        <v>11662</v>
      </c>
      <c r="B1054" s="9" t="s">
        <v>1367</v>
      </c>
      <c r="C1054" s="9" t="s">
        <v>64</v>
      </c>
      <c r="D1054" s="9" t="s">
        <v>114</v>
      </c>
      <c r="E1054" s="9" t="s">
        <v>120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9">
        <v>0</v>
      </c>
    </row>
    <row r="1055">
      <c r="A1055" s="23">
        <v>11835</v>
      </c>
      <c r="B1055" s="4" t="s">
        <v>1368</v>
      </c>
      <c r="C1055" s="4" t="s">
        <v>64</v>
      </c>
      <c r="D1055" s="4" t="s">
        <v>114</v>
      </c>
      <c r="E1055" s="4" t="s">
        <v>212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11836</v>
      </c>
      <c r="B1056" s="9" t="s">
        <v>1369</v>
      </c>
      <c r="C1056" s="9" t="s">
        <v>64</v>
      </c>
      <c r="D1056" s="9" t="s">
        <v>68</v>
      </c>
      <c r="E1056" s="9" t="s">
        <v>112</v>
      </c>
      <c r="F1056" s="11">
        <v>4</v>
      </c>
      <c r="G1056" s="10">
        <v>1</v>
      </c>
      <c r="H1056" s="12">
        <v>0</v>
      </c>
      <c r="I1056" s="10">
        <v>3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0">
        <v>1</v>
      </c>
      <c r="W1056" s="12">
        <v>0</v>
      </c>
      <c r="X1056" s="10">
        <v>3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1.33</v>
      </c>
      <c r="AL1056" s="10">
        <v>1</v>
      </c>
      <c r="AM1056" s="10">
        <v>2</v>
      </c>
      <c r="AN1056" s="29">
        <v>0.48</v>
      </c>
    </row>
    <row r="1057">
      <c r="A1057" s="23">
        <v>11850</v>
      </c>
      <c r="B1057" s="4" t="s">
        <v>1370</v>
      </c>
      <c r="C1057" s="4" t="s">
        <v>64</v>
      </c>
      <c r="D1057" s="4" t="s">
        <v>90</v>
      </c>
      <c r="E1057" s="4" t="s">
        <v>357</v>
      </c>
      <c r="F1057" s="6">
        <v>6</v>
      </c>
      <c r="G1057" s="5">
        <v>6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5">
        <v>4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3</v>
      </c>
      <c r="AL1057" s="5">
        <v>3</v>
      </c>
      <c r="AM1057" s="5">
        <v>5</v>
      </c>
      <c r="AN1057" s="28">
        <v>0.36</v>
      </c>
    </row>
    <row r="1058">
      <c r="A1058" s="24">
        <v>11852</v>
      </c>
      <c r="B1058" s="9" t="s">
        <v>1371</v>
      </c>
      <c r="C1058" s="9" t="s">
        <v>64</v>
      </c>
      <c r="D1058" s="9" t="s">
        <v>72</v>
      </c>
      <c r="E1058" s="9" t="s">
        <v>118</v>
      </c>
      <c r="F1058" s="11">
        <v>2</v>
      </c>
      <c r="G1058" s="12">
        <v>0</v>
      </c>
      <c r="H1058" s="12">
        <v>0</v>
      </c>
      <c r="I1058" s="10">
        <v>2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2">
        <v>0</v>
      </c>
      <c r="X1058" s="10">
        <v>2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0.5</v>
      </c>
    </row>
    <row r="1059">
      <c r="A1059" s="23">
        <v>11858</v>
      </c>
      <c r="B1059" s="4" t="s">
        <v>1372</v>
      </c>
      <c r="C1059" s="4" t="s">
        <v>64</v>
      </c>
      <c r="D1059" s="4" t="s">
        <v>85</v>
      </c>
      <c r="E1059" s="4" t="s">
        <v>458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11933</v>
      </c>
      <c r="B1060" s="9" t="s">
        <v>1373</v>
      </c>
      <c r="C1060" s="9" t="s">
        <v>64</v>
      </c>
      <c r="D1060" s="9" t="s">
        <v>114</v>
      </c>
      <c r="E1060" s="9" t="s">
        <v>140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9">
        <v>0</v>
      </c>
    </row>
    <row r="1061">
      <c r="A1061" s="23">
        <v>11936</v>
      </c>
      <c r="B1061" s="4" t="s">
        <v>1374</v>
      </c>
      <c r="C1061" s="4" t="s">
        <v>64</v>
      </c>
      <c r="D1061" s="4" t="s">
        <v>72</v>
      </c>
      <c r="E1061" s="4" t="s">
        <v>73</v>
      </c>
      <c r="F1061" s="6">
        <v>2</v>
      </c>
      <c r="G1061" s="7">
        <v>0</v>
      </c>
      <c r="H1061" s="5">
        <v>2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5">
        <v>2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11992</v>
      </c>
      <c r="B1062" s="9" t="s">
        <v>1375</v>
      </c>
      <c r="C1062" s="9" t="s">
        <v>64</v>
      </c>
      <c r="D1062" s="9" t="s">
        <v>72</v>
      </c>
      <c r="E1062" s="9" t="s">
        <v>118</v>
      </c>
      <c r="F1062" s="11">
        <v>4</v>
      </c>
      <c r="G1062" s="10">
        <v>1</v>
      </c>
      <c r="H1062" s="12">
        <v>0</v>
      </c>
      <c r="I1062" s="10">
        <v>1</v>
      </c>
      <c r="J1062" s="12">
        <v>0</v>
      </c>
      <c r="K1062" s="12">
        <v>0</v>
      </c>
      <c r="L1062" s="10">
        <v>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0">
        <v>1</v>
      </c>
      <c r="W1062" s="12">
        <v>0</v>
      </c>
      <c r="X1062" s="10">
        <v>1</v>
      </c>
      <c r="Y1062" s="12">
        <v>0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1.33</v>
      </c>
      <c r="AL1062" s="10">
        <v>1</v>
      </c>
      <c r="AM1062" s="10">
        <v>2</v>
      </c>
      <c r="AN1062" s="29">
        <v>0.25</v>
      </c>
    </row>
    <row r="1063">
      <c r="A1063" s="23">
        <v>12013</v>
      </c>
      <c r="B1063" s="4" t="s">
        <v>1376</v>
      </c>
      <c r="C1063" s="4" t="s">
        <v>64</v>
      </c>
      <c r="D1063" s="4" t="s">
        <v>76</v>
      </c>
      <c r="E1063" s="4" t="s">
        <v>79</v>
      </c>
      <c r="F1063" s="6">
        <v>2</v>
      </c>
      <c r="G1063" s="5">
        <v>1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1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12014</v>
      </c>
      <c r="B1064" s="9" t="s">
        <v>1377</v>
      </c>
      <c r="C1064" s="9" t="s">
        <v>64</v>
      </c>
      <c r="D1064" s="9" t="s">
        <v>76</v>
      </c>
      <c r="E1064" s="9" t="s">
        <v>79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12039</v>
      </c>
      <c r="B1065" s="4" t="s">
        <v>1378</v>
      </c>
      <c r="C1065" s="4" t="s">
        <v>64</v>
      </c>
      <c r="D1065" s="4" t="s">
        <v>114</v>
      </c>
      <c r="E1065" s="4" t="s">
        <v>120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12047</v>
      </c>
      <c r="B1066" s="9" t="s">
        <v>222</v>
      </c>
      <c r="C1066" s="9" t="s">
        <v>64</v>
      </c>
      <c r="D1066" s="9" t="s">
        <v>114</v>
      </c>
      <c r="E1066" s="9" t="s">
        <v>140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0.24</v>
      </c>
    </row>
    <row r="1067">
      <c r="A1067" s="23">
        <v>12055</v>
      </c>
      <c r="B1067" s="4" t="s">
        <v>1379</v>
      </c>
      <c r="C1067" s="4" t="s">
        <v>64</v>
      </c>
      <c r="D1067" s="4" t="s">
        <v>114</v>
      </c>
      <c r="E1067" s="4" t="s">
        <v>115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12069</v>
      </c>
      <c r="B1068" s="9" t="s">
        <v>1380</v>
      </c>
      <c r="C1068" s="9" t="s">
        <v>64</v>
      </c>
      <c r="D1068" s="9" t="s">
        <v>146</v>
      </c>
      <c r="E1068" s="9" t="s">
        <v>494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12072</v>
      </c>
      <c r="B1069" s="4" t="s">
        <v>1381</v>
      </c>
      <c r="C1069" s="4" t="s">
        <v>64</v>
      </c>
      <c r="D1069" s="4" t="s">
        <v>146</v>
      </c>
      <c r="E1069" s="4" t="s">
        <v>1026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30">
        <v>0</v>
      </c>
    </row>
    <row r="1070">
      <c r="A1070" s="24">
        <v>12074</v>
      </c>
      <c r="B1070" s="9" t="s">
        <v>1382</v>
      </c>
      <c r="C1070" s="9" t="s">
        <v>64</v>
      </c>
      <c r="D1070" s="9" t="s">
        <v>125</v>
      </c>
      <c r="E1070" s="9" t="s">
        <v>126</v>
      </c>
      <c r="F1070" s="11">
        <v>2</v>
      </c>
      <c r="G1070" s="10">
        <v>1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12097</v>
      </c>
      <c r="B1071" s="4" t="s">
        <v>1383</v>
      </c>
      <c r="C1071" s="4" t="s">
        <v>64</v>
      </c>
      <c r="D1071" s="4" t="s">
        <v>156</v>
      </c>
      <c r="E1071" s="4" t="s">
        <v>1384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7">
        <v>0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0.5</v>
      </c>
    </row>
    <row r="1072">
      <c r="A1072" s="24">
        <v>12110</v>
      </c>
      <c r="B1072" s="9" t="s">
        <v>1385</v>
      </c>
      <c r="C1072" s="9" t="s">
        <v>64</v>
      </c>
      <c r="D1072" s="9" t="s">
        <v>72</v>
      </c>
      <c r="E1072" s="9" t="s">
        <v>118</v>
      </c>
      <c r="F1072" s="11">
        <v>5</v>
      </c>
      <c r="G1072" s="10">
        <v>2</v>
      </c>
      <c r="H1072" s="12">
        <v>0</v>
      </c>
      <c r="I1072" s="10">
        <v>1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0">
        <v>2</v>
      </c>
      <c r="W1072" s="12">
        <v>0</v>
      </c>
      <c r="X1072" s="10">
        <v>1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1.67</v>
      </c>
      <c r="AL1072" s="10">
        <v>2</v>
      </c>
      <c r="AM1072" s="10">
        <v>2</v>
      </c>
      <c r="AN1072" s="29">
        <v>0.52</v>
      </c>
    </row>
    <row r="1073">
      <c r="A1073" s="23">
        <v>12122</v>
      </c>
      <c r="B1073" s="4" t="s">
        <v>1386</v>
      </c>
      <c r="C1073" s="4" t="s">
        <v>64</v>
      </c>
      <c r="D1073" s="4" t="s">
        <v>76</v>
      </c>
      <c r="E1073" s="4" t="s">
        <v>77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12128</v>
      </c>
      <c r="B1074" s="9" t="s">
        <v>1387</v>
      </c>
      <c r="C1074" s="9" t="s">
        <v>64</v>
      </c>
      <c r="D1074" s="9" t="s">
        <v>76</v>
      </c>
      <c r="E1074" s="9" t="s">
        <v>77</v>
      </c>
      <c r="F1074" s="11">
        <v>3</v>
      </c>
      <c r="G1074" s="10">
        <v>1</v>
      </c>
      <c r="H1074" s="10">
        <v>1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0">
        <v>1</v>
      </c>
      <c r="W1074" s="10">
        <v>1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12173</v>
      </c>
      <c r="B1075" s="4" t="s">
        <v>1388</v>
      </c>
      <c r="C1075" s="4" t="s">
        <v>64</v>
      </c>
      <c r="D1075" s="4" t="s">
        <v>68</v>
      </c>
      <c r="E1075" s="4" t="s">
        <v>112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12176</v>
      </c>
      <c r="B1076" s="9" t="s">
        <v>1389</v>
      </c>
      <c r="C1076" s="9" t="s">
        <v>64</v>
      </c>
      <c r="D1076" s="9" t="s">
        <v>114</v>
      </c>
      <c r="E1076" s="9" t="s">
        <v>140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12190</v>
      </c>
      <c r="B1077" s="4" t="s">
        <v>1390</v>
      </c>
      <c r="C1077" s="4" t="s">
        <v>64</v>
      </c>
      <c r="D1077" s="4" t="s">
        <v>114</v>
      </c>
      <c r="E1077" s="4" t="s">
        <v>120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12192</v>
      </c>
      <c r="B1078" s="9" t="s">
        <v>1391</v>
      </c>
      <c r="C1078" s="9" t="s">
        <v>162</v>
      </c>
      <c r="D1078" s="9" t="s">
        <v>163</v>
      </c>
      <c r="E1078" s="9" t="s">
        <v>178</v>
      </c>
      <c r="F1078" s="11">
        <v>1</v>
      </c>
      <c r="G1078" s="12">
        <v>0</v>
      </c>
      <c r="H1078" s="12">
        <v>0</v>
      </c>
      <c r="I1078" s="12">
        <v>0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9">
        <v>0</v>
      </c>
    </row>
    <row r="1079">
      <c r="A1079" s="23">
        <v>12202</v>
      </c>
      <c r="B1079" s="4" t="s">
        <v>1392</v>
      </c>
      <c r="C1079" s="4" t="s">
        <v>64</v>
      </c>
      <c r="D1079" s="4" t="s">
        <v>85</v>
      </c>
      <c r="E1079" s="4" t="s">
        <v>554</v>
      </c>
      <c r="F1079" s="6">
        <v>1</v>
      </c>
      <c r="G1079" s="7">
        <v>0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0.24</v>
      </c>
    </row>
    <row r="1080">
      <c r="A1080" s="24">
        <v>12218</v>
      </c>
      <c r="B1080" s="9" t="s">
        <v>1393</v>
      </c>
      <c r="C1080" s="9" t="s">
        <v>64</v>
      </c>
      <c r="D1080" s="9" t="s">
        <v>76</v>
      </c>
      <c r="E1080" s="9" t="s">
        <v>122</v>
      </c>
      <c r="F1080" s="11">
        <v>1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12231</v>
      </c>
      <c r="B1081" s="4" t="s">
        <v>307</v>
      </c>
      <c r="C1081" s="4" t="s">
        <v>64</v>
      </c>
      <c r="D1081" s="4" t="s">
        <v>68</v>
      </c>
      <c r="E1081" s="4" t="s">
        <v>112</v>
      </c>
      <c r="F1081" s="6">
        <v>1</v>
      </c>
      <c r="G1081" s="7">
        <v>0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0.24</v>
      </c>
    </row>
    <row r="1082">
      <c r="A1082" s="24">
        <v>12252</v>
      </c>
      <c r="B1082" s="9" t="s">
        <v>1394</v>
      </c>
      <c r="C1082" s="9" t="s">
        <v>64</v>
      </c>
      <c r="D1082" s="9" t="s">
        <v>114</v>
      </c>
      <c r="E1082" s="9" t="s">
        <v>143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9">
        <v>0</v>
      </c>
    </row>
    <row r="1083">
      <c r="A1083" s="23">
        <v>12281</v>
      </c>
      <c r="B1083" s="4" t="s">
        <v>1395</v>
      </c>
      <c r="C1083" s="4" t="s">
        <v>134</v>
      </c>
      <c r="D1083" s="4" t="s">
        <v>1194</v>
      </c>
      <c r="E1083" s="4" t="s">
        <v>1396</v>
      </c>
      <c r="F1083" s="6">
        <v>4</v>
      </c>
      <c r="G1083" s="5">
        <v>2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1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30">
        <v>0</v>
      </c>
    </row>
    <row r="1084">
      <c r="A1084" s="24">
        <v>12286</v>
      </c>
      <c r="B1084" s="9" t="s">
        <v>1397</v>
      </c>
      <c r="C1084" s="9" t="s">
        <v>680</v>
      </c>
      <c r="D1084" s="9" t="s">
        <v>707</v>
      </c>
      <c r="E1084" s="9" t="s">
        <v>389</v>
      </c>
      <c r="F1084" s="11">
        <v>6</v>
      </c>
      <c r="G1084" s="12">
        <v>0</v>
      </c>
      <c r="H1084" s="12">
        <v>0</v>
      </c>
      <c r="I1084" s="10">
        <v>3</v>
      </c>
      <c r="J1084" s="10">
        <v>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2">
        <v>0</v>
      </c>
      <c r="X1084" s="10">
        <v>3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3</v>
      </c>
      <c r="AK1084" s="13">
        <v>3</v>
      </c>
      <c r="AL1084" s="10">
        <v>3</v>
      </c>
      <c r="AM1084" s="10">
        <v>3</v>
      </c>
      <c r="AN1084" s="29">
        <v>0.52</v>
      </c>
    </row>
    <row r="1085">
      <c r="A1085" s="23">
        <v>12289</v>
      </c>
      <c r="B1085" s="4" t="s">
        <v>1398</v>
      </c>
      <c r="C1085" s="4" t="s">
        <v>624</v>
      </c>
      <c r="D1085" s="4" t="s">
        <v>625</v>
      </c>
      <c r="E1085" s="4" t="s">
        <v>689</v>
      </c>
      <c r="F1085" s="6">
        <v>2</v>
      </c>
      <c r="G1085" s="5">
        <v>1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1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0.26</v>
      </c>
    </row>
    <row r="1086">
      <c r="A1086" s="24">
        <v>12317</v>
      </c>
      <c r="B1086" s="9" t="s">
        <v>1399</v>
      </c>
      <c r="C1086" s="9" t="s">
        <v>162</v>
      </c>
      <c r="D1086" s="9" t="s">
        <v>163</v>
      </c>
      <c r="E1086" s="9" t="s">
        <v>164</v>
      </c>
      <c r="F1086" s="11">
        <v>1</v>
      </c>
      <c r="G1086" s="12">
        <v>0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0">
        <v>1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0">
        <v>1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9">
        <v>0</v>
      </c>
    </row>
    <row r="1087">
      <c r="A1087" s="23">
        <v>12370</v>
      </c>
      <c r="B1087" s="4" t="s">
        <v>1400</v>
      </c>
      <c r="C1087" s="4" t="s">
        <v>134</v>
      </c>
      <c r="D1087" s="4" t="s">
        <v>432</v>
      </c>
      <c r="E1087" s="4" t="s">
        <v>1040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30">
        <v>0</v>
      </c>
    </row>
    <row r="1088">
      <c r="A1088" s="24">
        <v>12371</v>
      </c>
      <c r="B1088" s="9" t="s">
        <v>1401</v>
      </c>
      <c r="C1088" s="9" t="s">
        <v>134</v>
      </c>
      <c r="D1088" s="9" t="s">
        <v>432</v>
      </c>
      <c r="E1088" s="9" t="s">
        <v>1402</v>
      </c>
      <c r="F1088" s="11">
        <v>1</v>
      </c>
      <c r="G1088" s="12">
        <v>0</v>
      </c>
      <c r="H1088" s="12">
        <v>0</v>
      </c>
      <c r="I1088" s="12">
        <v>0</v>
      </c>
      <c r="J1088" s="12">
        <v>0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2">
        <v>0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0.24</v>
      </c>
    </row>
    <row r="1089">
      <c r="A1089" s="23">
        <v>12405</v>
      </c>
      <c r="B1089" s="4" t="s">
        <v>1403</v>
      </c>
      <c r="C1089" s="4" t="s">
        <v>624</v>
      </c>
      <c r="D1089" s="4" t="s">
        <v>1158</v>
      </c>
      <c r="E1089" s="4" t="s">
        <v>1404</v>
      </c>
      <c r="F1089" s="6">
        <v>1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12453</v>
      </c>
      <c r="B1090" s="9" t="s">
        <v>1405</v>
      </c>
      <c r="C1090" s="9" t="s">
        <v>680</v>
      </c>
      <c r="D1090" s="9" t="s">
        <v>707</v>
      </c>
      <c r="E1090" s="9" t="s">
        <v>389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0.26</v>
      </c>
    </row>
    <row r="1091">
      <c r="A1091" s="23">
        <v>12494</v>
      </c>
      <c r="B1091" s="4" t="s">
        <v>1406</v>
      </c>
      <c r="C1091" s="4" t="s">
        <v>162</v>
      </c>
      <c r="D1091" s="4" t="s">
        <v>446</v>
      </c>
      <c r="E1091" s="4" t="s">
        <v>452</v>
      </c>
      <c r="F1091" s="6">
        <v>4</v>
      </c>
      <c r="G1091" s="5">
        <v>1</v>
      </c>
      <c r="H1091" s="7">
        <v>0</v>
      </c>
      <c r="I1091" s="7">
        <v>0</v>
      </c>
      <c r="J1091" s="7">
        <v>0</v>
      </c>
      <c r="K1091" s="5">
        <v>3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5">
        <v>1</v>
      </c>
      <c r="W1091" s="7">
        <v>0</v>
      </c>
      <c r="X1091" s="7">
        <v>0</v>
      </c>
      <c r="Y1091" s="7">
        <v>0</v>
      </c>
      <c r="Z1091" s="5">
        <v>3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1.33</v>
      </c>
      <c r="AL1091" s="5">
        <v>1</v>
      </c>
      <c r="AM1091" s="5">
        <v>2</v>
      </c>
      <c r="AN1091" s="30">
        <v>0</v>
      </c>
    </row>
    <row r="1092">
      <c r="A1092" s="24">
        <v>12495</v>
      </c>
      <c r="B1092" s="9" t="s">
        <v>1407</v>
      </c>
      <c r="C1092" s="9" t="s">
        <v>162</v>
      </c>
      <c r="D1092" s="9" t="s">
        <v>639</v>
      </c>
      <c r="E1092" s="9" t="s">
        <v>895</v>
      </c>
      <c r="F1092" s="11">
        <v>2</v>
      </c>
      <c r="G1092" s="10">
        <v>1</v>
      </c>
      <c r="H1092" s="12">
        <v>0</v>
      </c>
      <c r="I1092" s="12">
        <v>0</v>
      </c>
      <c r="J1092" s="12">
        <v>0</v>
      </c>
      <c r="K1092" s="10">
        <v>1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1</v>
      </c>
      <c r="W1092" s="12">
        <v>0</v>
      </c>
      <c r="X1092" s="12">
        <v>0</v>
      </c>
      <c r="Y1092" s="12">
        <v>0</v>
      </c>
      <c r="Z1092" s="10">
        <v>1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12614</v>
      </c>
      <c r="B1093" s="4" t="s">
        <v>1408</v>
      </c>
      <c r="C1093" s="4" t="s">
        <v>747</v>
      </c>
      <c r="D1093" s="4" t="s">
        <v>1409</v>
      </c>
      <c r="E1093" s="4" t="s">
        <v>389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12631</v>
      </c>
      <c r="B1094" s="9" t="s">
        <v>1410</v>
      </c>
      <c r="C1094" s="9" t="s">
        <v>64</v>
      </c>
      <c r="D1094" s="9" t="s">
        <v>68</v>
      </c>
      <c r="E1094" s="9" t="s">
        <v>264</v>
      </c>
      <c r="F1094" s="11">
        <v>1</v>
      </c>
      <c r="G1094" s="12">
        <v>0</v>
      </c>
      <c r="H1094" s="12">
        <v>0</v>
      </c>
      <c r="I1094" s="12">
        <v>0</v>
      </c>
      <c r="J1094" s="12">
        <v>0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2">
        <v>0</v>
      </c>
      <c r="Y1094" s="12">
        <v>0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9">
        <v>0</v>
      </c>
    </row>
    <row r="1095">
      <c r="A1095" s="23">
        <v>12637</v>
      </c>
      <c r="B1095" s="4" t="s">
        <v>1411</v>
      </c>
      <c r="C1095" s="4" t="s">
        <v>64</v>
      </c>
      <c r="D1095" s="4" t="s">
        <v>156</v>
      </c>
      <c r="E1095" s="4" t="s">
        <v>513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12643</v>
      </c>
      <c r="B1096" s="9" t="s">
        <v>1412</v>
      </c>
      <c r="C1096" s="9" t="s">
        <v>64</v>
      </c>
      <c r="D1096" s="9" t="s">
        <v>76</v>
      </c>
      <c r="E1096" s="9" t="s">
        <v>122</v>
      </c>
      <c r="F1096" s="11">
        <v>2</v>
      </c>
      <c r="G1096" s="12">
        <v>0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0.52</v>
      </c>
    </row>
    <row r="1097">
      <c r="A1097" s="23">
        <v>12650</v>
      </c>
      <c r="B1097" s="4" t="s">
        <v>1413</v>
      </c>
      <c r="C1097" s="4" t="s">
        <v>134</v>
      </c>
      <c r="D1097" s="4" t="s">
        <v>135</v>
      </c>
      <c r="E1097" s="4" t="s">
        <v>427</v>
      </c>
      <c r="F1097" s="6">
        <v>1</v>
      </c>
      <c r="G1097" s="7">
        <v>0</v>
      </c>
      <c r="H1097" s="7">
        <v>0</v>
      </c>
      <c r="I1097" s="7">
        <v>0</v>
      </c>
      <c r="J1097" s="7">
        <v>0</v>
      </c>
      <c r="K1097" s="5">
        <v>1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7">
        <v>0</v>
      </c>
      <c r="Z1097" s="5">
        <v>1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12681</v>
      </c>
      <c r="B1098" s="9" t="s">
        <v>1414</v>
      </c>
      <c r="C1098" s="9" t="s">
        <v>64</v>
      </c>
      <c r="D1098" s="9" t="s">
        <v>85</v>
      </c>
      <c r="E1098" s="9" t="s">
        <v>86</v>
      </c>
      <c r="F1098" s="11">
        <v>3</v>
      </c>
      <c r="G1098" s="12">
        <v>0</v>
      </c>
      <c r="H1098" s="12">
        <v>0</v>
      </c>
      <c r="I1098" s="12">
        <v>0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2">
        <v>0</v>
      </c>
      <c r="W1098" s="12">
        <v>0</v>
      </c>
      <c r="X1098" s="12">
        <v>0</v>
      </c>
      <c r="Y1098" s="10">
        <v>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0.78</v>
      </c>
    </row>
    <row r="1099">
      <c r="A1099" s="23">
        <v>12685</v>
      </c>
      <c r="B1099" s="4" t="s">
        <v>1415</v>
      </c>
      <c r="C1099" s="4" t="s">
        <v>64</v>
      </c>
      <c r="D1099" s="4" t="s">
        <v>114</v>
      </c>
      <c r="E1099" s="4" t="s">
        <v>143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12699</v>
      </c>
      <c r="B1100" s="9" t="s">
        <v>1416</v>
      </c>
      <c r="C1100" s="9" t="s">
        <v>598</v>
      </c>
      <c r="D1100" s="9" t="s">
        <v>607</v>
      </c>
      <c r="E1100" s="9" t="s">
        <v>389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12724</v>
      </c>
      <c r="B1101" s="4" t="s">
        <v>1417</v>
      </c>
      <c r="C1101" s="4" t="s">
        <v>64</v>
      </c>
      <c r="D1101" s="4" t="s">
        <v>105</v>
      </c>
      <c r="E1101" s="4" t="s">
        <v>106</v>
      </c>
      <c r="F1101" s="6">
        <v>4</v>
      </c>
      <c r="G1101" s="7">
        <v>0</v>
      </c>
      <c r="H1101" s="7">
        <v>0</v>
      </c>
      <c r="I1101" s="7">
        <v>0</v>
      </c>
      <c r="J1101" s="5">
        <v>4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7">
        <v>0</v>
      </c>
      <c r="W1101" s="7">
        <v>0</v>
      </c>
      <c r="X1101" s="7">
        <v>0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4</v>
      </c>
      <c r="AK1101" s="8">
        <v>4</v>
      </c>
      <c r="AL1101" s="5">
        <v>4</v>
      </c>
      <c r="AM1101" s="5">
        <v>4</v>
      </c>
      <c r="AN1101" s="28">
        <v>0.75</v>
      </c>
    </row>
    <row r="1102">
      <c r="A1102" s="24">
        <v>12763</v>
      </c>
      <c r="B1102" s="9" t="s">
        <v>1418</v>
      </c>
      <c r="C1102" s="9" t="s">
        <v>64</v>
      </c>
      <c r="D1102" s="9" t="s">
        <v>68</v>
      </c>
      <c r="E1102" s="9" t="s">
        <v>112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12784</v>
      </c>
      <c r="B1103" s="4" t="s">
        <v>1419</v>
      </c>
      <c r="C1103" s="4" t="s">
        <v>64</v>
      </c>
      <c r="D1103" s="4" t="s">
        <v>68</v>
      </c>
      <c r="E1103" s="4" t="s">
        <v>112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0.22</v>
      </c>
    </row>
    <row r="1104">
      <c r="A1104" s="24">
        <v>12799</v>
      </c>
      <c r="B1104" s="9" t="s">
        <v>1420</v>
      </c>
      <c r="C1104" s="9" t="s">
        <v>64</v>
      </c>
      <c r="D1104" s="9" t="s">
        <v>68</v>
      </c>
      <c r="E1104" s="9" t="s">
        <v>112</v>
      </c>
      <c r="F1104" s="11">
        <v>4</v>
      </c>
      <c r="G1104" s="10">
        <v>4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4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4</v>
      </c>
      <c r="AK1104" s="13">
        <v>4</v>
      </c>
      <c r="AL1104" s="10">
        <v>4</v>
      </c>
      <c r="AM1104" s="10">
        <v>4</v>
      </c>
      <c r="AN1104" s="49">
        <v>0</v>
      </c>
    </row>
    <row r="1105">
      <c r="A1105" s="23">
        <v>12807</v>
      </c>
      <c r="B1105" s="4" t="s">
        <v>1421</v>
      </c>
      <c r="C1105" s="4" t="s">
        <v>64</v>
      </c>
      <c r="D1105" s="4" t="s">
        <v>93</v>
      </c>
      <c r="E1105" s="4" t="s">
        <v>450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12822</v>
      </c>
      <c r="B1106" s="9" t="s">
        <v>1422</v>
      </c>
      <c r="C1106" s="9" t="s">
        <v>64</v>
      </c>
      <c r="D1106" s="9" t="s">
        <v>68</v>
      </c>
      <c r="E1106" s="9" t="s">
        <v>264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9">
        <v>0</v>
      </c>
    </row>
    <row r="1107">
      <c r="A1107" s="23">
        <v>12825</v>
      </c>
      <c r="B1107" s="4" t="s">
        <v>1423</v>
      </c>
      <c r="C1107" s="4" t="s">
        <v>64</v>
      </c>
      <c r="D1107" s="4" t="s">
        <v>68</v>
      </c>
      <c r="E1107" s="4" t="s">
        <v>112</v>
      </c>
      <c r="F1107" s="6">
        <v>1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5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5">
        <v>1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12828</v>
      </c>
      <c r="B1108" s="9" t="s">
        <v>1424</v>
      </c>
      <c r="C1108" s="9" t="s">
        <v>64</v>
      </c>
      <c r="D1108" s="9" t="s">
        <v>114</v>
      </c>
      <c r="E1108" s="9" t="s">
        <v>143</v>
      </c>
      <c r="F1108" s="11">
        <v>1</v>
      </c>
      <c r="G1108" s="12">
        <v>0</v>
      </c>
      <c r="H1108" s="10">
        <v>1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0">
        <v>1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0.22</v>
      </c>
    </row>
    <row r="1109">
      <c r="A1109" s="23">
        <v>12834</v>
      </c>
      <c r="B1109" s="4" t="s">
        <v>1425</v>
      </c>
      <c r="C1109" s="4" t="s">
        <v>64</v>
      </c>
      <c r="D1109" s="4" t="s">
        <v>72</v>
      </c>
      <c r="E1109" s="4" t="s">
        <v>646</v>
      </c>
      <c r="F1109" s="6">
        <v>1</v>
      </c>
      <c r="G1109" s="7">
        <v>0</v>
      </c>
      <c r="H1109" s="7">
        <v>0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12836</v>
      </c>
      <c r="B1110" s="9" t="s">
        <v>1426</v>
      </c>
      <c r="C1110" s="9" t="s">
        <v>64</v>
      </c>
      <c r="D1110" s="9" t="s">
        <v>90</v>
      </c>
      <c r="E1110" s="9" t="s">
        <v>357</v>
      </c>
      <c r="F1110" s="11">
        <v>3</v>
      </c>
      <c r="G1110" s="10">
        <v>3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29">
        <v>0.25</v>
      </c>
    </row>
    <row r="1111">
      <c r="A1111" s="23">
        <v>12852</v>
      </c>
      <c r="B1111" s="4" t="s">
        <v>1427</v>
      </c>
      <c r="C1111" s="4" t="s">
        <v>64</v>
      </c>
      <c r="D1111" s="4" t="s">
        <v>85</v>
      </c>
      <c r="E1111" s="4" t="s">
        <v>554</v>
      </c>
      <c r="F1111" s="6">
        <v>1</v>
      </c>
      <c r="G1111" s="7">
        <v>0</v>
      </c>
      <c r="H1111" s="5">
        <v>1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5">
        <v>1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0.22</v>
      </c>
    </row>
    <row r="1112">
      <c r="A1112" s="24">
        <v>12854</v>
      </c>
      <c r="B1112" s="9" t="s">
        <v>1428</v>
      </c>
      <c r="C1112" s="9" t="s">
        <v>64</v>
      </c>
      <c r="D1112" s="9" t="s">
        <v>85</v>
      </c>
      <c r="E1112" s="9" t="s">
        <v>352</v>
      </c>
      <c r="F1112" s="11">
        <v>5</v>
      </c>
      <c r="G1112" s="12">
        <v>0</v>
      </c>
      <c r="H1112" s="12">
        <v>0</v>
      </c>
      <c r="I1112" s="12">
        <v>0</v>
      </c>
      <c r="J1112" s="10">
        <v>3</v>
      </c>
      <c r="K1112" s="10">
        <v>2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2">
        <v>0</v>
      </c>
      <c r="W1112" s="12">
        <v>0</v>
      </c>
      <c r="X1112" s="12">
        <v>0</v>
      </c>
      <c r="Y1112" s="10">
        <v>3</v>
      </c>
      <c r="Z1112" s="10">
        <v>2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2.5</v>
      </c>
      <c r="AL1112" s="10">
        <v>2</v>
      </c>
      <c r="AM1112" s="10">
        <v>3</v>
      </c>
      <c r="AN1112" s="29">
        <v>0.75</v>
      </c>
    </row>
    <row r="1113">
      <c r="A1113" s="23">
        <v>12856</v>
      </c>
      <c r="B1113" s="4" t="s">
        <v>1429</v>
      </c>
      <c r="C1113" s="4" t="s">
        <v>747</v>
      </c>
      <c r="D1113" s="4" t="s">
        <v>777</v>
      </c>
      <c r="E1113" s="4" t="s">
        <v>389</v>
      </c>
      <c r="F1113" s="6">
        <v>6</v>
      </c>
      <c r="G1113" s="5">
        <v>2</v>
      </c>
      <c r="H1113" s="5">
        <v>3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5</v>
      </c>
      <c r="V1113" s="5">
        <v>2</v>
      </c>
      <c r="W1113" s="5">
        <v>2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0.25</v>
      </c>
    </row>
    <row r="1114">
      <c r="A1114" s="24">
        <v>12894</v>
      </c>
      <c r="B1114" s="9" t="s">
        <v>1430</v>
      </c>
      <c r="C1114" s="9" t="s">
        <v>64</v>
      </c>
      <c r="D1114" s="9" t="s">
        <v>68</v>
      </c>
      <c r="E1114" s="9" t="s">
        <v>112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49">
        <v>0</v>
      </c>
    </row>
    <row r="1115">
      <c r="A1115" s="23">
        <v>12910</v>
      </c>
      <c r="B1115" s="4" t="s">
        <v>1431</v>
      </c>
      <c r="C1115" s="4" t="s">
        <v>64</v>
      </c>
      <c r="D1115" s="4" t="s">
        <v>125</v>
      </c>
      <c r="E1115" s="4" t="s">
        <v>699</v>
      </c>
      <c r="F1115" s="6">
        <v>3</v>
      </c>
      <c r="G1115" s="5">
        <v>3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3</v>
      </c>
      <c r="V1115" s="5">
        <v>3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30">
        <v>0</v>
      </c>
    </row>
    <row r="1116">
      <c r="A1116" s="24">
        <v>12932</v>
      </c>
      <c r="B1116" s="9" t="s">
        <v>1432</v>
      </c>
      <c r="C1116" s="9" t="s">
        <v>64</v>
      </c>
      <c r="D1116" s="9" t="s">
        <v>102</v>
      </c>
      <c r="E1116" s="9" t="s">
        <v>103</v>
      </c>
      <c r="F1116" s="11">
        <v>3</v>
      </c>
      <c r="G1116" s="12">
        <v>0</v>
      </c>
      <c r="H1116" s="12">
        <v>0</v>
      </c>
      <c r="I1116" s="12">
        <v>0</v>
      </c>
      <c r="J1116" s="10">
        <v>3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</v>
      </c>
      <c r="V1116" s="12">
        <v>0</v>
      </c>
      <c r="W1116" s="12">
        <v>0</v>
      </c>
      <c r="X1116" s="12">
        <v>0</v>
      </c>
      <c r="Y1116" s="10">
        <v>3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29">
        <v>0.75</v>
      </c>
    </row>
    <row r="1117">
      <c r="A1117" s="23">
        <v>13075</v>
      </c>
      <c r="B1117" s="4" t="s">
        <v>1433</v>
      </c>
      <c r="C1117" s="4" t="s">
        <v>64</v>
      </c>
      <c r="D1117" s="4" t="s">
        <v>72</v>
      </c>
      <c r="E1117" s="4" t="s">
        <v>73</v>
      </c>
      <c r="F1117" s="6">
        <v>2</v>
      </c>
      <c r="G1117" s="7">
        <v>0</v>
      </c>
      <c r="H1117" s="7">
        <v>0</v>
      </c>
      <c r="I1117" s="5">
        <v>1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1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0.5</v>
      </c>
    </row>
    <row r="1118">
      <c r="A1118" s="24">
        <v>13142</v>
      </c>
      <c r="B1118" s="9" t="s">
        <v>1434</v>
      </c>
      <c r="C1118" s="9" t="s">
        <v>64</v>
      </c>
      <c r="D1118" s="9" t="s">
        <v>114</v>
      </c>
      <c r="E1118" s="9" t="s">
        <v>140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13153</v>
      </c>
      <c r="B1119" s="4" t="s">
        <v>1435</v>
      </c>
      <c r="C1119" s="4" t="s">
        <v>64</v>
      </c>
      <c r="D1119" s="4" t="s">
        <v>146</v>
      </c>
      <c r="E1119" s="4" t="s">
        <v>792</v>
      </c>
      <c r="F1119" s="6">
        <v>1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13158</v>
      </c>
      <c r="B1120" s="9" t="s">
        <v>1436</v>
      </c>
      <c r="C1120" s="9" t="s">
        <v>64</v>
      </c>
      <c r="D1120" s="9" t="s">
        <v>93</v>
      </c>
      <c r="E1120" s="9" t="s">
        <v>450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13168</v>
      </c>
      <c r="B1121" s="4" t="s">
        <v>1437</v>
      </c>
      <c r="C1121" s="4" t="s">
        <v>64</v>
      </c>
      <c r="D1121" s="4" t="s">
        <v>72</v>
      </c>
      <c r="E1121" s="4" t="s">
        <v>646</v>
      </c>
      <c r="F1121" s="6">
        <v>3</v>
      </c>
      <c r="G1121" s="5">
        <v>1</v>
      </c>
      <c r="H1121" s="7">
        <v>0</v>
      </c>
      <c r="I1121" s="5">
        <v>2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1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30">
        <v>0</v>
      </c>
    </row>
    <row r="1122">
      <c r="A1122" s="24">
        <v>13203</v>
      </c>
      <c r="B1122" s="9" t="s">
        <v>1438</v>
      </c>
      <c r="C1122" s="9" t="s">
        <v>64</v>
      </c>
      <c r="D1122" s="9" t="s">
        <v>72</v>
      </c>
      <c r="E1122" s="9" t="s">
        <v>152</v>
      </c>
      <c r="F1122" s="11">
        <v>3</v>
      </c>
      <c r="G1122" s="10">
        <v>1</v>
      </c>
      <c r="H1122" s="12">
        <v>0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</v>
      </c>
      <c r="V1122" s="10">
        <v>1</v>
      </c>
      <c r="W1122" s="12">
        <v>0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0.44</v>
      </c>
    </row>
    <row r="1123">
      <c r="A1123" s="23">
        <v>13225</v>
      </c>
      <c r="B1123" s="4" t="s">
        <v>1439</v>
      </c>
      <c r="C1123" s="4" t="s">
        <v>64</v>
      </c>
      <c r="D1123" s="4" t="s">
        <v>146</v>
      </c>
      <c r="E1123" s="4" t="s">
        <v>147</v>
      </c>
      <c r="F1123" s="6">
        <v>4</v>
      </c>
      <c r="G1123" s="5">
        <v>2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5">
        <v>1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0.25</v>
      </c>
    </row>
    <row r="1124">
      <c r="A1124" s="24">
        <v>13239</v>
      </c>
      <c r="B1124" s="9" t="s">
        <v>1440</v>
      </c>
      <c r="C1124" s="9" t="s">
        <v>64</v>
      </c>
      <c r="D1124" s="9" t="s">
        <v>93</v>
      </c>
      <c r="E1124" s="9" t="s">
        <v>170</v>
      </c>
      <c r="F1124" s="11">
        <v>2</v>
      </c>
      <c r="G1124" s="12">
        <v>0</v>
      </c>
      <c r="H1124" s="10">
        <v>2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0">
        <v>2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49">
        <v>0</v>
      </c>
    </row>
    <row r="1125">
      <c r="A1125" s="23">
        <v>13261</v>
      </c>
      <c r="B1125" s="4" t="s">
        <v>1441</v>
      </c>
      <c r="C1125" s="4" t="s">
        <v>64</v>
      </c>
      <c r="D1125" s="4" t="s">
        <v>85</v>
      </c>
      <c r="E1125" s="4" t="s">
        <v>1442</v>
      </c>
      <c r="F1125" s="6">
        <v>8</v>
      </c>
      <c r="G1125" s="5">
        <v>1</v>
      </c>
      <c r="H1125" s="5">
        <v>1</v>
      </c>
      <c r="I1125" s="7">
        <v>0</v>
      </c>
      <c r="J1125" s="5">
        <v>6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5</v>
      </c>
      <c r="V1125" s="5">
        <v>1</v>
      </c>
      <c r="W1125" s="5">
        <v>1</v>
      </c>
      <c r="X1125" s="7">
        <v>0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2.67</v>
      </c>
      <c r="AL1125" s="5">
        <v>1</v>
      </c>
      <c r="AM1125" s="5">
        <v>6</v>
      </c>
      <c r="AN1125" s="28">
        <v>1.17</v>
      </c>
    </row>
    <row r="1126">
      <c r="A1126" s="24">
        <v>13268</v>
      </c>
      <c r="B1126" s="9" t="s">
        <v>1443</v>
      </c>
      <c r="C1126" s="9" t="s">
        <v>64</v>
      </c>
      <c r="D1126" s="9" t="s">
        <v>93</v>
      </c>
      <c r="E1126" s="9" t="s">
        <v>450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0.22</v>
      </c>
    </row>
    <row r="1127">
      <c r="A1127" s="23">
        <v>13356</v>
      </c>
      <c r="B1127" s="4" t="s">
        <v>1444</v>
      </c>
      <c r="C1127" s="4" t="s">
        <v>64</v>
      </c>
      <c r="D1127" s="4" t="s">
        <v>114</v>
      </c>
      <c r="E1127" s="4" t="s">
        <v>115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13365</v>
      </c>
      <c r="B1128" s="9" t="s">
        <v>1445</v>
      </c>
      <c r="C1128" s="9" t="s">
        <v>64</v>
      </c>
      <c r="D1128" s="9" t="s">
        <v>72</v>
      </c>
      <c r="E1128" s="9" t="s">
        <v>646</v>
      </c>
      <c r="F1128" s="11">
        <v>2</v>
      </c>
      <c r="G1128" s="12">
        <v>0</v>
      </c>
      <c r="H1128" s="12">
        <v>0</v>
      </c>
      <c r="I1128" s="10">
        <v>1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0.5</v>
      </c>
    </row>
    <row r="1129">
      <c r="A1129" s="23">
        <v>13368</v>
      </c>
      <c r="B1129" s="4" t="s">
        <v>1446</v>
      </c>
      <c r="C1129" s="4" t="s">
        <v>64</v>
      </c>
      <c r="D1129" s="4" t="s">
        <v>114</v>
      </c>
      <c r="E1129" s="4" t="s">
        <v>218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0.26</v>
      </c>
    </row>
    <row r="1130">
      <c r="A1130" s="24">
        <v>13374</v>
      </c>
      <c r="B1130" s="9" t="s">
        <v>1447</v>
      </c>
      <c r="C1130" s="9" t="s">
        <v>64</v>
      </c>
      <c r="D1130" s="9" t="s">
        <v>68</v>
      </c>
      <c r="E1130" s="9" t="s">
        <v>112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9">
        <v>0</v>
      </c>
    </row>
    <row r="1131">
      <c r="A1131" s="23">
        <v>13379</v>
      </c>
      <c r="B1131" s="4" t="s">
        <v>1448</v>
      </c>
      <c r="C1131" s="4" t="s">
        <v>64</v>
      </c>
      <c r="D1131" s="4" t="s">
        <v>68</v>
      </c>
      <c r="E1131" s="4" t="s">
        <v>112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13380</v>
      </c>
      <c r="B1132" s="9" t="s">
        <v>1449</v>
      </c>
      <c r="C1132" s="9" t="s">
        <v>134</v>
      </c>
      <c r="D1132" s="9" t="s">
        <v>374</v>
      </c>
      <c r="E1132" s="9" t="s">
        <v>375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9">
        <v>0</v>
      </c>
    </row>
    <row r="1133">
      <c r="A1133" s="23">
        <v>13382</v>
      </c>
      <c r="B1133" s="4" t="s">
        <v>1450</v>
      </c>
      <c r="C1133" s="4" t="s">
        <v>64</v>
      </c>
      <c r="D1133" s="4" t="s">
        <v>114</v>
      </c>
      <c r="E1133" s="4" t="s">
        <v>143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13391</v>
      </c>
      <c r="B1134" s="9" t="s">
        <v>1451</v>
      </c>
      <c r="C1134" s="9" t="s">
        <v>64</v>
      </c>
      <c r="D1134" s="9" t="s">
        <v>72</v>
      </c>
      <c r="E1134" s="9" t="s">
        <v>83</v>
      </c>
      <c r="F1134" s="11">
        <v>2</v>
      </c>
      <c r="G1134" s="10">
        <v>1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1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13398</v>
      </c>
      <c r="B1135" s="4" t="s">
        <v>1452</v>
      </c>
      <c r="C1135" s="4" t="s">
        <v>64</v>
      </c>
      <c r="D1135" s="4" t="s">
        <v>125</v>
      </c>
      <c r="E1135" s="4" t="s">
        <v>768</v>
      </c>
      <c r="F1135" s="6">
        <v>2</v>
      </c>
      <c r="G1135" s="5">
        <v>1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13411</v>
      </c>
      <c r="B1136" s="9" t="s">
        <v>1453</v>
      </c>
      <c r="C1136" s="9" t="s">
        <v>64</v>
      </c>
      <c r="D1136" s="9" t="s">
        <v>102</v>
      </c>
      <c r="E1136" s="9" t="s">
        <v>103</v>
      </c>
      <c r="F1136" s="11">
        <v>3</v>
      </c>
      <c r="G1136" s="10">
        <v>3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49">
        <v>0</v>
      </c>
    </row>
    <row r="1137">
      <c r="A1137" s="23">
        <v>13414</v>
      </c>
      <c r="B1137" s="4" t="s">
        <v>1454</v>
      </c>
      <c r="C1137" s="4" t="s">
        <v>64</v>
      </c>
      <c r="D1137" s="4" t="s">
        <v>102</v>
      </c>
      <c r="E1137" s="4" t="s">
        <v>103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30">
        <v>0</v>
      </c>
    </row>
    <row r="1138">
      <c r="A1138" s="24">
        <v>13417</v>
      </c>
      <c r="B1138" s="9" t="s">
        <v>1455</v>
      </c>
      <c r="C1138" s="9" t="s">
        <v>64</v>
      </c>
      <c r="D1138" s="9" t="s">
        <v>102</v>
      </c>
      <c r="E1138" s="9" t="s">
        <v>224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9">
        <v>0</v>
      </c>
    </row>
    <row r="1139">
      <c r="A1139" s="23">
        <v>13434</v>
      </c>
      <c r="B1139" s="4" t="s">
        <v>1456</v>
      </c>
      <c r="C1139" s="4" t="s">
        <v>64</v>
      </c>
      <c r="D1139" s="4" t="s">
        <v>102</v>
      </c>
      <c r="E1139" s="4" t="s">
        <v>103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13453</v>
      </c>
      <c r="B1140" s="9" t="s">
        <v>1457</v>
      </c>
      <c r="C1140" s="9" t="s">
        <v>64</v>
      </c>
      <c r="D1140" s="9" t="s">
        <v>102</v>
      </c>
      <c r="E1140" s="9" t="s">
        <v>103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13456</v>
      </c>
      <c r="B1141" s="4" t="s">
        <v>1458</v>
      </c>
      <c r="C1141" s="4" t="s">
        <v>64</v>
      </c>
      <c r="D1141" s="4" t="s">
        <v>102</v>
      </c>
      <c r="E1141" s="4" t="s">
        <v>224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13478</v>
      </c>
      <c r="B1142" s="9" t="s">
        <v>1459</v>
      </c>
      <c r="C1142" s="9" t="s">
        <v>64</v>
      </c>
      <c r="D1142" s="9" t="s">
        <v>102</v>
      </c>
      <c r="E1142" s="9" t="s">
        <v>103</v>
      </c>
      <c r="F1142" s="11">
        <v>3</v>
      </c>
      <c r="G1142" s="10">
        <v>2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1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29">
        <v>0.48</v>
      </c>
    </row>
    <row r="1143">
      <c r="A1143" s="23">
        <v>13484</v>
      </c>
      <c r="B1143" s="4" t="s">
        <v>1460</v>
      </c>
      <c r="C1143" s="4" t="s">
        <v>64</v>
      </c>
      <c r="D1143" s="4" t="s">
        <v>102</v>
      </c>
      <c r="E1143" s="4" t="s">
        <v>103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0.35</v>
      </c>
    </row>
    <row r="1144">
      <c r="A1144" s="24">
        <v>13489</v>
      </c>
      <c r="B1144" s="9" t="s">
        <v>1461</v>
      </c>
      <c r="C1144" s="9" t="s">
        <v>64</v>
      </c>
      <c r="D1144" s="9" t="s">
        <v>102</v>
      </c>
      <c r="E1144" s="9" t="s">
        <v>103</v>
      </c>
      <c r="F1144" s="11">
        <v>3</v>
      </c>
      <c r="G1144" s="10">
        <v>3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0">
        <v>3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2</v>
      </c>
      <c r="AN1144" s="49">
        <v>0</v>
      </c>
    </row>
    <row r="1145">
      <c r="A1145" s="23">
        <v>13504</v>
      </c>
      <c r="B1145" s="4" t="s">
        <v>1462</v>
      </c>
      <c r="C1145" s="4" t="s">
        <v>64</v>
      </c>
      <c r="D1145" s="4" t="s">
        <v>146</v>
      </c>
      <c r="E1145" s="4" t="s">
        <v>1463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30">
        <v>0</v>
      </c>
    </row>
    <row r="1146">
      <c r="A1146" s="24">
        <v>13508</v>
      </c>
      <c r="B1146" s="9" t="s">
        <v>1464</v>
      </c>
      <c r="C1146" s="9" t="s">
        <v>64</v>
      </c>
      <c r="D1146" s="9" t="s">
        <v>68</v>
      </c>
      <c r="E1146" s="9" t="s">
        <v>69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0.22</v>
      </c>
    </row>
    <row r="1147">
      <c r="A1147" s="23">
        <v>13532</v>
      </c>
      <c r="B1147" s="4" t="s">
        <v>1465</v>
      </c>
      <c r="C1147" s="4" t="s">
        <v>64</v>
      </c>
      <c r="D1147" s="4" t="s">
        <v>85</v>
      </c>
      <c r="E1147" s="4" t="s">
        <v>130</v>
      </c>
      <c r="F1147" s="6">
        <v>6</v>
      </c>
      <c r="G1147" s="5">
        <v>6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5">
        <v>4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2</v>
      </c>
      <c r="AM1147" s="5">
        <v>3</v>
      </c>
      <c r="AN1147" s="28">
        <v>0.84</v>
      </c>
    </row>
    <row r="1148">
      <c r="A1148" s="24">
        <v>13567</v>
      </c>
      <c r="B1148" s="9" t="s">
        <v>1466</v>
      </c>
      <c r="C1148" s="9" t="s">
        <v>162</v>
      </c>
      <c r="D1148" s="9" t="s">
        <v>446</v>
      </c>
      <c r="E1148" s="9" t="s">
        <v>447</v>
      </c>
      <c r="F1148" s="11">
        <v>4</v>
      </c>
      <c r="G1148" s="10">
        <v>2</v>
      </c>
      <c r="H1148" s="10">
        <v>1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2</v>
      </c>
      <c r="W1148" s="10">
        <v>1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49">
        <v>0</v>
      </c>
    </row>
    <row r="1149">
      <c r="A1149" s="23">
        <v>13577</v>
      </c>
      <c r="B1149" s="4" t="s">
        <v>1467</v>
      </c>
      <c r="C1149" s="4" t="s">
        <v>162</v>
      </c>
      <c r="D1149" s="4" t="s">
        <v>163</v>
      </c>
      <c r="E1149" s="4" t="s">
        <v>176</v>
      </c>
      <c r="F1149" s="6">
        <v>2</v>
      </c>
      <c r="G1149" s="7">
        <v>0</v>
      </c>
      <c r="H1149" s="7">
        <v>0</v>
      </c>
      <c r="I1149" s="5">
        <v>2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7">
        <v>0</v>
      </c>
      <c r="X1149" s="5">
        <v>2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30">
        <v>0</v>
      </c>
    </row>
    <row r="1150">
      <c r="A1150" s="24">
        <v>13639</v>
      </c>
      <c r="B1150" s="9" t="s">
        <v>1468</v>
      </c>
      <c r="C1150" s="9" t="s">
        <v>64</v>
      </c>
      <c r="D1150" s="9" t="s">
        <v>93</v>
      </c>
      <c r="E1150" s="9" t="s">
        <v>170</v>
      </c>
      <c r="F1150" s="11">
        <v>1</v>
      </c>
      <c r="G1150" s="12">
        <v>0</v>
      </c>
      <c r="H1150" s="12">
        <v>0</v>
      </c>
      <c r="I1150" s="12">
        <v>0</v>
      </c>
      <c r="J1150" s="12">
        <v>0</v>
      </c>
      <c r="K1150" s="10">
        <v>1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2">
        <v>0</v>
      </c>
      <c r="Z1150" s="10">
        <v>1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13692</v>
      </c>
      <c r="B1151" s="4" t="s">
        <v>1469</v>
      </c>
      <c r="C1151" s="4" t="s">
        <v>64</v>
      </c>
      <c r="D1151" s="4" t="s">
        <v>93</v>
      </c>
      <c r="E1151" s="4" t="s">
        <v>1083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13704</v>
      </c>
      <c r="B1152" s="9" t="s">
        <v>1470</v>
      </c>
      <c r="C1152" s="9" t="s">
        <v>64</v>
      </c>
      <c r="D1152" s="9" t="s">
        <v>114</v>
      </c>
      <c r="E1152" s="9" t="s">
        <v>143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13706</v>
      </c>
      <c r="B1153" s="4" t="s">
        <v>1471</v>
      </c>
      <c r="C1153" s="4" t="s">
        <v>64</v>
      </c>
      <c r="D1153" s="4" t="s">
        <v>72</v>
      </c>
      <c r="E1153" s="4" t="s">
        <v>81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0.22</v>
      </c>
    </row>
    <row r="1154">
      <c r="A1154" s="24">
        <v>13715</v>
      </c>
      <c r="B1154" s="9" t="s">
        <v>1472</v>
      </c>
      <c r="C1154" s="9" t="s">
        <v>64</v>
      </c>
      <c r="D1154" s="9" t="s">
        <v>68</v>
      </c>
      <c r="E1154" s="9" t="s">
        <v>112</v>
      </c>
      <c r="F1154" s="11">
        <v>2</v>
      </c>
      <c r="G1154" s="10">
        <v>1</v>
      </c>
      <c r="H1154" s="12">
        <v>0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9">
        <v>0</v>
      </c>
    </row>
    <row r="1155">
      <c r="A1155" s="23">
        <v>13733</v>
      </c>
      <c r="B1155" s="4" t="s">
        <v>1473</v>
      </c>
      <c r="C1155" s="4" t="s">
        <v>64</v>
      </c>
      <c r="D1155" s="4" t="s">
        <v>114</v>
      </c>
      <c r="E1155" s="4" t="s">
        <v>143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13775</v>
      </c>
      <c r="B1156" s="9" t="s">
        <v>1474</v>
      </c>
      <c r="C1156" s="9" t="s">
        <v>64</v>
      </c>
      <c r="D1156" s="9" t="s">
        <v>76</v>
      </c>
      <c r="E1156" s="9" t="s">
        <v>77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9">
        <v>0</v>
      </c>
    </row>
    <row r="1157">
      <c r="A1157" s="23">
        <v>13800</v>
      </c>
      <c r="B1157" s="4" t="s">
        <v>1475</v>
      </c>
      <c r="C1157" s="4" t="s">
        <v>64</v>
      </c>
      <c r="D1157" s="4" t="s">
        <v>114</v>
      </c>
      <c r="E1157" s="4" t="s">
        <v>143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13806</v>
      </c>
      <c r="B1158" s="9" t="s">
        <v>1476</v>
      </c>
      <c r="C1158" s="9" t="s">
        <v>64</v>
      </c>
      <c r="D1158" s="9" t="s">
        <v>72</v>
      </c>
      <c r="E1158" s="9" t="s">
        <v>83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13839</v>
      </c>
      <c r="B1159" s="4" t="s">
        <v>1477</v>
      </c>
      <c r="C1159" s="4" t="s">
        <v>162</v>
      </c>
      <c r="D1159" s="4" t="s">
        <v>187</v>
      </c>
      <c r="E1159" s="4" t="s">
        <v>1478</v>
      </c>
      <c r="F1159" s="6">
        <v>2</v>
      </c>
      <c r="G1159" s="7">
        <v>0</v>
      </c>
      <c r="H1159" s="7">
        <v>0</v>
      </c>
      <c r="I1159" s="7">
        <v>0</v>
      </c>
      <c r="J1159" s="7">
        <v>0</v>
      </c>
      <c r="K1159" s="5">
        <v>2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7">
        <v>0</v>
      </c>
      <c r="X1159" s="7">
        <v>0</v>
      </c>
      <c r="Y1159" s="7">
        <v>0</v>
      </c>
      <c r="Z1159" s="5">
        <v>2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28">
        <v>0.5</v>
      </c>
    </row>
    <row r="1160">
      <c r="A1160" s="24">
        <v>13862</v>
      </c>
      <c r="B1160" s="9" t="s">
        <v>1479</v>
      </c>
      <c r="C1160" s="9" t="s">
        <v>64</v>
      </c>
      <c r="D1160" s="9" t="s">
        <v>114</v>
      </c>
      <c r="E1160" s="9" t="s">
        <v>115</v>
      </c>
      <c r="F1160" s="11">
        <v>1</v>
      </c>
      <c r="G1160" s="12">
        <v>0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0.26</v>
      </c>
    </row>
    <row r="1161">
      <c r="A1161" s="23">
        <v>13882</v>
      </c>
      <c r="B1161" s="4" t="s">
        <v>1480</v>
      </c>
      <c r="C1161" s="4" t="s">
        <v>64</v>
      </c>
      <c r="D1161" s="4" t="s">
        <v>125</v>
      </c>
      <c r="E1161" s="4" t="s">
        <v>126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13888</v>
      </c>
      <c r="B1162" s="9" t="s">
        <v>1481</v>
      </c>
      <c r="C1162" s="9" t="s">
        <v>64</v>
      </c>
      <c r="D1162" s="9" t="s">
        <v>85</v>
      </c>
      <c r="E1162" s="9" t="s">
        <v>220</v>
      </c>
      <c r="F1162" s="11">
        <v>2</v>
      </c>
      <c r="G1162" s="12">
        <v>0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0.5</v>
      </c>
    </row>
    <row r="1163">
      <c r="A1163" s="23">
        <v>13921</v>
      </c>
      <c r="B1163" s="4" t="s">
        <v>721</v>
      </c>
      <c r="C1163" s="4" t="s">
        <v>64</v>
      </c>
      <c r="D1163" s="4" t="s">
        <v>72</v>
      </c>
      <c r="E1163" s="4" t="s">
        <v>73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13996</v>
      </c>
      <c r="B1164" s="9" t="s">
        <v>1482</v>
      </c>
      <c r="C1164" s="9" t="s">
        <v>64</v>
      </c>
      <c r="D1164" s="9" t="s">
        <v>72</v>
      </c>
      <c r="E1164" s="9" t="s">
        <v>118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14023</v>
      </c>
      <c r="B1165" s="4" t="s">
        <v>1483</v>
      </c>
      <c r="C1165" s="4" t="s">
        <v>162</v>
      </c>
      <c r="D1165" s="4" t="s">
        <v>180</v>
      </c>
      <c r="E1165" s="4" t="s">
        <v>1484</v>
      </c>
      <c r="F1165" s="6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5">
        <v>1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5">
        <v>1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14055</v>
      </c>
      <c r="B1166" s="9" t="s">
        <v>1485</v>
      </c>
      <c r="C1166" s="9" t="s">
        <v>64</v>
      </c>
      <c r="D1166" s="9" t="s">
        <v>114</v>
      </c>
      <c r="E1166" s="9" t="s">
        <v>143</v>
      </c>
      <c r="F1166" s="11">
        <v>2</v>
      </c>
      <c r="G1166" s="12">
        <v>0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0.24</v>
      </c>
    </row>
    <row r="1167">
      <c r="A1167" s="23">
        <v>14065</v>
      </c>
      <c r="B1167" s="4" t="s">
        <v>1486</v>
      </c>
      <c r="C1167" s="4" t="s">
        <v>162</v>
      </c>
      <c r="D1167" s="4" t="s">
        <v>163</v>
      </c>
      <c r="E1167" s="4" t="s">
        <v>178</v>
      </c>
      <c r="F1167" s="6">
        <v>4</v>
      </c>
      <c r="G1167" s="5">
        <v>4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2</v>
      </c>
      <c r="AM1167" s="5">
        <v>3</v>
      </c>
      <c r="AN1167" s="30">
        <v>0</v>
      </c>
    </row>
    <row r="1168">
      <c r="A1168" s="24">
        <v>14081</v>
      </c>
      <c r="B1168" s="9" t="s">
        <v>1487</v>
      </c>
      <c r="C1168" s="9" t="s">
        <v>64</v>
      </c>
      <c r="D1168" s="9" t="s">
        <v>76</v>
      </c>
      <c r="E1168" s="9" t="s">
        <v>88</v>
      </c>
      <c r="F1168" s="11">
        <v>3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0">
        <v>2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0">
        <v>2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29">
        <v>0.75</v>
      </c>
    </row>
    <row r="1169">
      <c r="A1169" s="23">
        <v>14092</v>
      </c>
      <c r="B1169" s="4" t="s">
        <v>1488</v>
      </c>
      <c r="C1169" s="4" t="s">
        <v>64</v>
      </c>
      <c r="D1169" s="4" t="s">
        <v>146</v>
      </c>
      <c r="E1169" s="4" t="s">
        <v>147</v>
      </c>
      <c r="F1169" s="6">
        <v>2</v>
      </c>
      <c r="G1169" s="5">
        <v>1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1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0.26</v>
      </c>
    </row>
    <row r="1170">
      <c r="A1170" s="24">
        <v>14114</v>
      </c>
      <c r="B1170" s="9" t="s">
        <v>1489</v>
      </c>
      <c r="C1170" s="9" t="s">
        <v>64</v>
      </c>
      <c r="D1170" s="9" t="s">
        <v>114</v>
      </c>
      <c r="E1170" s="9" t="s">
        <v>140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14158</v>
      </c>
      <c r="B1171" s="4" t="s">
        <v>1490</v>
      </c>
      <c r="C1171" s="4" t="s">
        <v>64</v>
      </c>
      <c r="D1171" s="4" t="s">
        <v>72</v>
      </c>
      <c r="E1171" s="4" t="s">
        <v>118</v>
      </c>
      <c r="F1171" s="6">
        <v>2</v>
      </c>
      <c r="G1171" s="5">
        <v>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30">
        <v>0</v>
      </c>
    </row>
    <row r="1172">
      <c r="A1172" s="24">
        <v>14171</v>
      </c>
      <c r="B1172" s="9" t="s">
        <v>1491</v>
      </c>
      <c r="C1172" s="9" t="s">
        <v>64</v>
      </c>
      <c r="D1172" s="9" t="s">
        <v>72</v>
      </c>
      <c r="E1172" s="9" t="s">
        <v>316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9">
        <v>0</v>
      </c>
    </row>
    <row r="1173">
      <c r="A1173" s="23">
        <v>14191</v>
      </c>
      <c r="B1173" s="4" t="s">
        <v>1492</v>
      </c>
      <c r="C1173" s="4" t="s">
        <v>1178</v>
      </c>
      <c r="D1173" s="4" t="s">
        <v>1179</v>
      </c>
      <c r="E1173" s="4" t="s">
        <v>389</v>
      </c>
      <c r="F1173" s="6">
        <v>1</v>
      </c>
      <c r="G1173" s="7">
        <v>0</v>
      </c>
      <c r="H1173" s="5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5">
        <v>1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14192</v>
      </c>
      <c r="B1174" s="9" t="s">
        <v>1493</v>
      </c>
      <c r="C1174" s="9" t="s">
        <v>64</v>
      </c>
      <c r="D1174" s="9" t="s">
        <v>114</v>
      </c>
      <c r="E1174" s="9" t="s">
        <v>143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0.5</v>
      </c>
    </row>
    <row r="1175">
      <c r="A1175" s="23">
        <v>14240</v>
      </c>
      <c r="B1175" s="4" t="s">
        <v>1494</v>
      </c>
      <c r="C1175" s="4" t="s">
        <v>611</v>
      </c>
      <c r="D1175" s="4" t="s">
        <v>612</v>
      </c>
      <c r="E1175" s="4" t="s">
        <v>1495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14270</v>
      </c>
      <c r="B1176" s="9" t="s">
        <v>1496</v>
      </c>
      <c r="C1176" s="9" t="s">
        <v>64</v>
      </c>
      <c r="D1176" s="9" t="s">
        <v>114</v>
      </c>
      <c r="E1176" s="9" t="s">
        <v>120</v>
      </c>
      <c r="F1176" s="11">
        <v>1</v>
      </c>
      <c r="G1176" s="12">
        <v>0</v>
      </c>
      <c r="H1176" s="10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0">
        <v>1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14296</v>
      </c>
      <c r="B1177" s="4" t="s">
        <v>1497</v>
      </c>
      <c r="C1177" s="4" t="s">
        <v>64</v>
      </c>
      <c r="D1177" s="4" t="s">
        <v>72</v>
      </c>
      <c r="E1177" s="4" t="s">
        <v>73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14321</v>
      </c>
      <c r="B1178" s="9" t="s">
        <v>1498</v>
      </c>
      <c r="C1178" s="9" t="s">
        <v>1178</v>
      </c>
      <c r="D1178" s="9" t="s">
        <v>1499</v>
      </c>
      <c r="E1178" s="9" t="s">
        <v>1500</v>
      </c>
      <c r="F1178" s="11">
        <v>1</v>
      </c>
      <c r="G1178" s="12">
        <v>0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9">
        <v>0</v>
      </c>
    </row>
    <row r="1179">
      <c r="A1179" s="23">
        <v>14340</v>
      </c>
      <c r="B1179" s="4" t="s">
        <v>1501</v>
      </c>
      <c r="C1179" s="4" t="s">
        <v>64</v>
      </c>
      <c r="D1179" s="4" t="s">
        <v>93</v>
      </c>
      <c r="E1179" s="4" t="s">
        <v>450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30">
        <v>0</v>
      </c>
    </row>
    <row r="1180">
      <c r="A1180" s="24">
        <v>14409</v>
      </c>
      <c r="B1180" s="9" t="s">
        <v>1502</v>
      </c>
      <c r="C1180" s="9" t="s">
        <v>162</v>
      </c>
      <c r="D1180" s="9" t="s">
        <v>1222</v>
      </c>
      <c r="E1180" s="9" t="s">
        <v>1223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9">
        <v>0</v>
      </c>
    </row>
    <row r="1181">
      <c r="A1181" s="23">
        <v>14418</v>
      </c>
      <c r="B1181" s="4" t="s">
        <v>1503</v>
      </c>
      <c r="C1181" s="4" t="s">
        <v>64</v>
      </c>
      <c r="D1181" s="4" t="s">
        <v>146</v>
      </c>
      <c r="E1181" s="4" t="s">
        <v>147</v>
      </c>
      <c r="F1181" s="6">
        <v>8</v>
      </c>
      <c r="G1181" s="5">
        <v>6</v>
      </c>
      <c r="H1181" s="7">
        <v>0</v>
      </c>
      <c r="I1181" s="5">
        <v>1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5">
        <v>5</v>
      </c>
      <c r="W1181" s="7">
        <v>0</v>
      </c>
      <c r="X1181" s="5">
        <v>1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2.67</v>
      </c>
      <c r="AL1181" s="5">
        <v>1</v>
      </c>
      <c r="AM1181" s="5">
        <v>6</v>
      </c>
      <c r="AN1181" s="28">
        <v>0.5</v>
      </c>
    </row>
    <row r="1182">
      <c r="A1182" s="24">
        <v>14428</v>
      </c>
      <c r="B1182" s="9" t="s">
        <v>1504</v>
      </c>
      <c r="C1182" s="9" t="s">
        <v>64</v>
      </c>
      <c r="D1182" s="9" t="s">
        <v>85</v>
      </c>
      <c r="E1182" s="9" t="s">
        <v>96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9">
        <v>0</v>
      </c>
    </row>
    <row r="1183">
      <c r="A1183" s="23">
        <v>14446</v>
      </c>
      <c r="B1183" s="4" t="s">
        <v>1505</v>
      </c>
      <c r="C1183" s="4" t="s">
        <v>64</v>
      </c>
      <c r="D1183" s="4" t="s">
        <v>93</v>
      </c>
      <c r="E1183" s="4" t="s">
        <v>94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0.24</v>
      </c>
    </row>
    <row r="1184">
      <c r="A1184" s="24">
        <v>14469</v>
      </c>
      <c r="B1184" s="9" t="s">
        <v>1506</v>
      </c>
      <c r="C1184" s="9" t="s">
        <v>64</v>
      </c>
      <c r="D1184" s="9" t="s">
        <v>114</v>
      </c>
      <c r="E1184" s="9" t="s">
        <v>140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14476</v>
      </c>
      <c r="B1185" s="4" t="s">
        <v>1507</v>
      </c>
      <c r="C1185" s="4" t="s">
        <v>64</v>
      </c>
      <c r="D1185" s="4" t="s">
        <v>114</v>
      </c>
      <c r="E1185" s="4" t="s">
        <v>120</v>
      </c>
      <c r="F1185" s="6">
        <v>2</v>
      </c>
      <c r="G1185" s="7">
        <v>0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0.5</v>
      </c>
    </row>
    <row r="1186">
      <c r="A1186" s="24">
        <v>14601</v>
      </c>
      <c r="B1186" s="9" t="s">
        <v>1508</v>
      </c>
      <c r="C1186" s="9" t="s">
        <v>134</v>
      </c>
      <c r="D1186" s="9" t="s">
        <v>432</v>
      </c>
      <c r="E1186" s="9" t="s">
        <v>1040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0.24</v>
      </c>
    </row>
    <row r="1187">
      <c r="A1187" s="23">
        <v>14614</v>
      </c>
      <c r="B1187" s="4" t="s">
        <v>1509</v>
      </c>
      <c r="C1187" s="4" t="s">
        <v>162</v>
      </c>
      <c r="D1187" s="4" t="s">
        <v>163</v>
      </c>
      <c r="E1187" s="4" t="s">
        <v>178</v>
      </c>
      <c r="F1187" s="6">
        <v>1</v>
      </c>
      <c r="G1187" s="7">
        <v>0</v>
      </c>
      <c r="H1187" s="7">
        <v>0</v>
      </c>
      <c r="I1187" s="7">
        <v>0</v>
      </c>
      <c r="J1187" s="7">
        <v>0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7">
        <v>0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14624</v>
      </c>
      <c r="B1188" s="9" t="s">
        <v>1510</v>
      </c>
      <c r="C1188" s="9" t="s">
        <v>134</v>
      </c>
      <c r="D1188" s="9" t="s">
        <v>374</v>
      </c>
      <c r="E1188" s="9" t="s">
        <v>736</v>
      </c>
      <c r="F1188" s="11">
        <v>3</v>
      </c>
      <c r="G1188" s="10">
        <v>1</v>
      </c>
      <c r="H1188" s="12">
        <v>0</v>
      </c>
      <c r="I1188" s="10">
        <v>1</v>
      </c>
      <c r="J1188" s="12">
        <v>0</v>
      </c>
      <c r="K1188" s="12">
        <v>0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1</v>
      </c>
      <c r="W1188" s="12">
        <v>0</v>
      </c>
      <c r="X1188" s="10">
        <v>1</v>
      </c>
      <c r="Y1188" s="12">
        <v>0</v>
      </c>
      <c r="Z1188" s="12">
        <v>0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9">
        <v>0</v>
      </c>
    </row>
    <row r="1189">
      <c r="A1189" s="23">
        <v>14632</v>
      </c>
      <c r="B1189" s="4" t="s">
        <v>1511</v>
      </c>
      <c r="C1189" s="4" t="s">
        <v>1178</v>
      </c>
      <c r="D1189" s="4" t="s">
        <v>1179</v>
      </c>
      <c r="E1189" s="4" t="s">
        <v>1512</v>
      </c>
      <c r="F1189" s="6">
        <v>3</v>
      </c>
      <c r="G1189" s="7">
        <v>0</v>
      </c>
      <c r="H1189" s="5">
        <v>1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7">
        <v>0</v>
      </c>
      <c r="W1189" s="5">
        <v>1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0.66</v>
      </c>
    </row>
    <row r="1190">
      <c r="A1190" s="24">
        <v>14728</v>
      </c>
      <c r="B1190" s="9" t="s">
        <v>1513</v>
      </c>
      <c r="C1190" s="9" t="s">
        <v>598</v>
      </c>
      <c r="D1190" s="9" t="s">
        <v>601</v>
      </c>
      <c r="E1190" s="9" t="s">
        <v>389</v>
      </c>
      <c r="F1190" s="11">
        <v>1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0.22</v>
      </c>
    </row>
    <row r="1191">
      <c r="A1191" s="23">
        <v>14749</v>
      </c>
      <c r="B1191" s="4" t="s">
        <v>1514</v>
      </c>
      <c r="C1191" s="4" t="s">
        <v>680</v>
      </c>
      <c r="D1191" s="4" t="s">
        <v>707</v>
      </c>
      <c r="E1191" s="4" t="s">
        <v>389</v>
      </c>
      <c r="F1191" s="6">
        <v>2</v>
      </c>
      <c r="G1191" s="7">
        <v>0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7">
        <v>0</v>
      </c>
      <c r="W1191" s="7">
        <v>0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28">
        <v>0.52</v>
      </c>
    </row>
    <row r="1192">
      <c r="A1192" s="24">
        <v>14775</v>
      </c>
      <c r="B1192" s="9" t="s">
        <v>1515</v>
      </c>
      <c r="C1192" s="9" t="s">
        <v>64</v>
      </c>
      <c r="D1192" s="9" t="s">
        <v>72</v>
      </c>
      <c r="E1192" s="9" t="s">
        <v>73</v>
      </c>
      <c r="F1192" s="11">
        <v>1</v>
      </c>
      <c r="G1192" s="12">
        <v>0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14787</v>
      </c>
      <c r="B1193" s="4" t="s">
        <v>1516</v>
      </c>
      <c r="C1193" s="4" t="s">
        <v>64</v>
      </c>
      <c r="D1193" s="4" t="s">
        <v>68</v>
      </c>
      <c r="E1193" s="4" t="s">
        <v>112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0.24</v>
      </c>
    </row>
    <row r="1194">
      <c r="A1194" s="24">
        <v>14799</v>
      </c>
      <c r="B1194" s="9" t="s">
        <v>1517</v>
      </c>
      <c r="C1194" s="9" t="s">
        <v>64</v>
      </c>
      <c r="D1194" s="9" t="s">
        <v>68</v>
      </c>
      <c r="E1194" s="9" t="s">
        <v>112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14818</v>
      </c>
      <c r="B1195" s="4" t="s">
        <v>1518</v>
      </c>
      <c r="C1195" s="4" t="s">
        <v>64</v>
      </c>
      <c r="D1195" s="4" t="s">
        <v>76</v>
      </c>
      <c r="E1195" s="4" t="s">
        <v>329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14824</v>
      </c>
      <c r="B1196" s="9" t="s">
        <v>1519</v>
      </c>
      <c r="C1196" s="9" t="s">
        <v>134</v>
      </c>
      <c r="D1196" s="9" t="s">
        <v>524</v>
      </c>
      <c r="E1196" s="9" t="s">
        <v>1520</v>
      </c>
      <c r="F1196" s="11">
        <v>1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2">
        <v>0</v>
      </c>
      <c r="Z1196" s="12">
        <v>0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14826</v>
      </c>
      <c r="B1197" s="4" t="s">
        <v>1521</v>
      </c>
      <c r="C1197" s="4" t="s">
        <v>64</v>
      </c>
      <c r="D1197" s="4" t="s">
        <v>68</v>
      </c>
      <c r="E1197" s="4" t="s">
        <v>112</v>
      </c>
      <c r="F1197" s="6">
        <v>1</v>
      </c>
      <c r="G1197" s="7">
        <v>0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0.22</v>
      </c>
    </row>
    <row r="1198">
      <c r="A1198" s="24">
        <v>14855</v>
      </c>
      <c r="B1198" s="9" t="s">
        <v>1522</v>
      </c>
      <c r="C1198" s="9" t="s">
        <v>64</v>
      </c>
      <c r="D1198" s="9" t="s">
        <v>156</v>
      </c>
      <c r="E1198" s="9" t="s">
        <v>386</v>
      </c>
      <c r="F1198" s="11">
        <v>1</v>
      </c>
      <c r="G1198" s="12">
        <v>0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14901</v>
      </c>
      <c r="B1199" s="4" t="s">
        <v>1523</v>
      </c>
      <c r="C1199" s="4" t="s">
        <v>134</v>
      </c>
      <c r="D1199" s="4" t="s">
        <v>439</v>
      </c>
      <c r="E1199" s="4" t="s">
        <v>440</v>
      </c>
      <c r="F1199" s="6">
        <v>2</v>
      </c>
      <c r="G1199" s="7">
        <v>0</v>
      </c>
      <c r="H1199" s="7">
        <v>0</v>
      </c>
      <c r="I1199" s="5">
        <v>1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7">
        <v>0</v>
      </c>
      <c r="W1199" s="7">
        <v>0</v>
      </c>
      <c r="X1199" s="5">
        <v>1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0.48</v>
      </c>
    </row>
    <row r="1200">
      <c r="A1200" s="24">
        <v>14902</v>
      </c>
      <c r="B1200" s="9" t="s">
        <v>1524</v>
      </c>
      <c r="C1200" s="9" t="s">
        <v>134</v>
      </c>
      <c r="D1200" s="9" t="s">
        <v>684</v>
      </c>
      <c r="E1200" s="9" t="s">
        <v>1525</v>
      </c>
      <c r="F1200" s="11">
        <v>3</v>
      </c>
      <c r="G1200" s="12">
        <v>0</v>
      </c>
      <c r="H1200" s="12">
        <v>0</v>
      </c>
      <c r="I1200" s="12">
        <v>0</v>
      </c>
      <c r="J1200" s="10">
        <v>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2">
        <v>0</v>
      </c>
      <c r="W1200" s="12">
        <v>0</v>
      </c>
      <c r="X1200" s="12">
        <v>0</v>
      </c>
      <c r="Y1200" s="10">
        <v>3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49">
        <v>0</v>
      </c>
    </row>
    <row r="1201">
      <c r="A1201" s="23">
        <v>14923</v>
      </c>
      <c r="B1201" s="4" t="s">
        <v>1526</v>
      </c>
      <c r="C1201" s="4" t="s">
        <v>64</v>
      </c>
      <c r="D1201" s="4" t="s">
        <v>76</v>
      </c>
      <c r="E1201" s="4" t="s">
        <v>88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0.5</v>
      </c>
    </row>
    <row r="1202">
      <c r="A1202" s="24">
        <v>14931</v>
      </c>
      <c r="B1202" s="9" t="s">
        <v>1527</v>
      </c>
      <c r="C1202" s="9" t="s">
        <v>64</v>
      </c>
      <c r="D1202" s="9" t="s">
        <v>93</v>
      </c>
      <c r="E1202" s="9" t="s">
        <v>326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14932</v>
      </c>
      <c r="B1203" s="4" t="s">
        <v>1528</v>
      </c>
      <c r="C1203" s="4" t="s">
        <v>134</v>
      </c>
      <c r="D1203" s="4" t="s">
        <v>374</v>
      </c>
      <c r="E1203" s="4" t="s">
        <v>384</v>
      </c>
      <c r="F1203" s="6">
        <v>3</v>
      </c>
      <c r="G1203" s="7">
        <v>0</v>
      </c>
      <c r="H1203" s="7">
        <v>0</v>
      </c>
      <c r="I1203" s="5">
        <v>1</v>
      </c>
      <c r="J1203" s="5">
        <v>1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7">
        <v>0</v>
      </c>
      <c r="W1203" s="7">
        <v>0</v>
      </c>
      <c r="X1203" s="5">
        <v>1</v>
      </c>
      <c r="Y1203" s="5">
        <v>1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14978</v>
      </c>
      <c r="B1204" s="9" t="s">
        <v>1529</v>
      </c>
      <c r="C1204" s="9" t="s">
        <v>64</v>
      </c>
      <c r="D1204" s="9" t="s">
        <v>72</v>
      </c>
      <c r="E1204" s="9" t="s">
        <v>73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14999</v>
      </c>
      <c r="B1205" s="4" t="s">
        <v>1530</v>
      </c>
      <c r="C1205" s="4" t="s">
        <v>64</v>
      </c>
      <c r="D1205" s="4" t="s">
        <v>68</v>
      </c>
      <c r="E1205" s="4" t="s">
        <v>69</v>
      </c>
      <c r="F1205" s="6">
        <v>1</v>
      </c>
      <c r="G1205" s="7">
        <v>0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15005</v>
      </c>
      <c r="B1206" s="9" t="s">
        <v>1531</v>
      </c>
      <c r="C1206" s="9" t="s">
        <v>64</v>
      </c>
      <c r="D1206" s="9" t="s">
        <v>85</v>
      </c>
      <c r="E1206" s="9" t="s">
        <v>86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9">
        <v>0</v>
      </c>
    </row>
    <row r="1207">
      <c r="A1207" s="23">
        <v>15007</v>
      </c>
      <c r="B1207" s="4" t="s">
        <v>1532</v>
      </c>
      <c r="C1207" s="4" t="s">
        <v>64</v>
      </c>
      <c r="D1207" s="4" t="s">
        <v>72</v>
      </c>
      <c r="E1207" s="4" t="s">
        <v>152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15010</v>
      </c>
      <c r="B1208" s="9" t="s">
        <v>1533</v>
      </c>
      <c r="C1208" s="9" t="s">
        <v>162</v>
      </c>
      <c r="D1208" s="9" t="s">
        <v>187</v>
      </c>
      <c r="E1208" s="9" t="s">
        <v>1305</v>
      </c>
      <c r="F1208" s="11">
        <v>2</v>
      </c>
      <c r="G1208" s="12">
        <v>0</v>
      </c>
      <c r="H1208" s="12">
        <v>0</v>
      </c>
      <c r="I1208" s="12">
        <v>0</v>
      </c>
      <c r="J1208" s="12">
        <v>0</v>
      </c>
      <c r="K1208" s="10">
        <v>2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2">
        <v>0</v>
      </c>
      <c r="W1208" s="12">
        <v>0</v>
      </c>
      <c r="X1208" s="12">
        <v>0</v>
      </c>
      <c r="Y1208" s="12">
        <v>0</v>
      </c>
      <c r="Z1208" s="10">
        <v>2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49">
        <v>0</v>
      </c>
    </row>
    <row r="1209">
      <c r="A1209" s="23">
        <v>15015</v>
      </c>
      <c r="B1209" s="4" t="s">
        <v>1534</v>
      </c>
      <c r="C1209" s="4" t="s">
        <v>64</v>
      </c>
      <c r="D1209" s="4" t="s">
        <v>146</v>
      </c>
      <c r="E1209" s="4" t="s">
        <v>792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0.26</v>
      </c>
    </row>
    <row r="1210">
      <c r="A1210" s="24">
        <v>15020</v>
      </c>
      <c r="B1210" s="9" t="s">
        <v>1535</v>
      </c>
      <c r="C1210" s="9" t="s">
        <v>64</v>
      </c>
      <c r="D1210" s="9" t="s">
        <v>125</v>
      </c>
      <c r="E1210" s="9" t="s">
        <v>1536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49">
        <v>0</v>
      </c>
    </row>
    <row r="1211">
      <c r="A1211" s="23">
        <v>15027</v>
      </c>
      <c r="B1211" s="4" t="s">
        <v>1537</v>
      </c>
      <c r="C1211" s="4" t="s">
        <v>64</v>
      </c>
      <c r="D1211" s="4" t="s">
        <v>105</v>
      </c>
      <c r="E1211" s="4" t="s">
        <v>106</v>
      </c>
      <c r="F1211" s="6">
        <v>2</v>
      </c>
      <c r="G1211" s="7">
        <v>0</v>
      </c>
      <c r="H1211" s="7">
        <v>0</v>
      </c>
      <c r="I1211" s="5">
        <v>1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0.5</v>
      </c>
    </row>
    <row r="1212">
      <c r="A1212" s="24">
        <v>15033</v>
      </c>
      <c r="B1212" s="9" t="s">
        <v>547</v>
      </c>
      <c r="C1212" s="9" t="s">
        <v>64</v>
      </c>
      <c r="D1212" s="9" t="s">
        <v>68</v>
      </c>
      <c r="E1212" s="9" t="s">
        <v>112</v>
      </c>
      <c r="F1212" s="11">
        <v>3</v>
      </c>
      <c r="G1212" s="10">
        <v>2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2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0.24</v>
      </c>
    </row>
    <row r="1213">
      <c r="A1213" s="23">
        <v>15039</v>
      </c>
      <c r="B1213" s="4" t="s">
        <v>1538</v>
      </c>
      <c r="C1213" s="4" t="s">
        <v>64</v>
      </c>
      <c r="D1213" s="4" t="s">
        <v>102</v>
      </c>
      <c r="E1213" s="4" t="s">
        <v>209</v>
      </c>
      <c r="F1213" s="6">
        <v>2</v>
      </c>
      <c r="G1213" s="5">
        <v>1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1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15040</v>
      </c>
      <c r="B1214" s="9" t="s">
        <v>1539</v>
      </c>
      <c r="C1214" s="9" t="s">
        <v>64</v>
      </c>
      <c r="D1214" s="9" t="s">
        <v>102</v>
      </c>
      <c r="E1214" s="9" t="s">
        <v>248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0.22</v>
      </c>
    </row>
    <row r="1215">
      <c r="A1215" s="23">
        <v>15091</v>
      </c>
      <c r="B1215" s="4" t="s">
        <v>1540</v>
      </c>
      <c r="C1215" s="4" t="s">
        <v>64</v>
      </c>
      <c r="D1215" s="4" t="s">
        <v>85</v>
      </c>
      <c r="E1215" s="4" t="s">
        <v>1206</v>
      </c>
      <c r="F1215" s="6">
        <v>1</v>
      </c>
      <c r="G1215" s="7">
        <v>0</v>
      </c>
      <c r="H1215" s="7">
        <v>0</v>
      </c>
      <c r="I1215" s="7">
        <v>0</v>
      </c>
      <c r="J1215" s="7">
        <v>0</v>
      </c>
      <c r="K1215" s="5">
        <v>1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7">
        <v>0</v>
      </c>
      <c r="Z1215" s="5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0.26</v>
      </c>
    </row>
    <row r="1216">
      <c r="A1216" s="24">
        <v>15122</v>
      </c>
      <c r="B1216" s="9" t="s">
        <v>1541</v>
      </c>
      <c r="C1216" s="9" t="s">
        <v>598</v>
      </c>
      <c r="D1216" s="9" t="s">
        <v>912</v>
      </c>
      <c r="E1216" s="9" t="s">
        <v>389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15126</v>
      </c>
      <c r="B1217" s="4" t="s">
        <v>1542</v>
      </c>
      <c r="C1217" s="4" t="s">
        <v>64</v>
      </c>
      <c r="D1217" s="4" t="s">
        <v>76</v>
      </c>
      <c r="E1217" s="4" t="s">
        <v>88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15150</v>
      </c>
      <c r="B1218" s="9" t="s">
        <v>1543</v>
      </c>
      <c r="C1218" s="9" t="s">
        <v>64</v>
      </c>
      <c r="D1218" s="9" t="s">
        <v>114</v>
      </c>
      <c r="E1218" s="9" t="s">
        <v>115</v>
      </c>
      <c r="F1218" s="11">
        <v>1</v>
      </c>
      <c r="G1218" s="12">
        <v>0</v>
      </c>
      <c r="H1218" s="12">
        <v>0</v>
      </c>
      <c r="I1218" s="12">
        <v>0</v>
      </c>
      <c r="J1218" s="12">
        <v>0</v>
      </c>
      <c r="K1218" s="10">
        <v>1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2">
        <v>0</v>
      </c>
      <c r="Z1218" s="10">
        <v>1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0.26</v>
      </c>
    </row>
    <row r="1219">
      <c r="A1219" s="23">
        <v>15210</v>
      </c>
      <c r="B1219" s="4" t="s">
        <v>1544</v>
      </c>
      <c r="C1219" s="4" t="s">
        <v>64</v>
      </c>
      <c r="D1219" s="4" t="s">
        <v>114</v>
      </c>
      <c r="E1219" s="4" t="s">
        <v>140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15360</v>
      </c>
      <c r="B1220" s="9" t="s">
        <v>1545</v>
      </c>
      <c r="C1220" s="9" t="s">
        <v>64</v>
      </c>
      <c r="D1220" s="9" t="s">
        <v>114</v>
      </c>
      <c r="E1220" s="9" t="s">
        <v>120</v>
      </c>
      <c r="F1220" s="11">
        <v>2</v>
      </c>
      <c r="G1220" s="12">
        <v>0</v>
      </c>
      <c r="H1220" s="12">
        <v>0</v>
      </c>
      <c r="I1220" s="10">
        <v>1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2">
        <v>0</v>
      </c>
      <c r="W1220" s="12">
        <v>0</v>
      </c>
      <c r="X1220" s="10">
        <v>1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0.5</v>
      </c>
    </row>
    <row r="1221">
      <c r="A1221" s="23">
        <v>15367</v>
      </c>
      <c r="B1221" s="4" t="s">
        <v>1546</v>
      </c>
      <c r="C1221" s="4" t="s">
        <v>64</v>
      </c>
      <c r="D1221" s="4" t="s">
        <v>72</v>
      </c>
      <c r="E1221" s="4" t="s">
        <v>316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15375</v>
      </c>
      <c r="B1222" s="9" t="s">
        <v>1547</v>
      </c>
      <c r="C1222" s="9" t="s">
        <v>64</v>
      </c>
      <c r="D1222" s="9" t="s">
        <v>76</v>
      </c>
      <c r="E1222" s="9" t="s">
        <v>77</v>
      </c>
      <c r="F1222" s="11">
        <v>2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2">
        <v>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</v>
      </c>
    </row>
    <row r="1223">
      <c r="A1223" s="23">
        <v>15397</v>
      </c>
      <c r="B1223" s="4" t="s">
        <v>1548</v>
      </c>
      <c r="C1223" s="4" t="s">
        <v>134</v>
      </c>
      <c r="D1223" s="4" t="s">
        <v>684</v>
      </c>
      <c r="E1223" s="4" t="s">
        <v>685</v>
      </c>
      <c r="F1223" s="6">
        <v>1</v>
      </c>
      <c r="G1223" s="7">
        <v>0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15544</v>
      </c>
      <c r="B1224" s="9" t="s">
        <v>1549</v>
      </c>
      <c r="C1224" s="9" t="s">
        <v>64</v>
      </c>
      <c r="D1224" s="9" t="s">
        <v>114</v>
      </c>
      <c r="E1224" s="9" t="s">
        <v>140</v>
      </c>
      <c r="F1224" s="11">
        <v>3</v>
      </c>
      <c r="G1224" s="10">
        <v>1</v>
      </c>
      <c r="H1224" s="12">
        <v>0</v>
      </c>
      <c r="I1224" s="10">
        <v>1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1</v>
      </c>
      <c r="W1224" s="12">
        <v>0</v>
      </c>
      <c r="X1224" s="10">
        <v>1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15556</v>
      </c>
      <c r="B1225" s="4" t="s">
        <v>1550</v>
      </c>
      <c r="C1225" s="4" t="s">
        <v>680</v>
      </c>
      <c r="D1225" s="4" t="s">
        <v>937</v>
      </c>
      <c r="E1225" s="4" t="s">
        <v>389</v>
      </c>
      <c r="F1225" s="6">
        <v>3</v>
      </c>
      <c r="G1225" s="7">
        <v>0</v>
      </c>
      <c r="H1225" s="5">
        <v>1</v>
      </c>
      <c r="I1225" s="5">
        <v>1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7">
        <v>0</v>
      </c>
      <c r="W1225" s="5">
        <v>1</v>
      </c>
      <c r="X1225" s="5">
        <v>1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0.39</v>
      </c>
    </row>
    <row r="1226">
      <c r="A1226" s="24">
        <v>15726</v>
      </c>
      <c r="B1226" s="9" t="s">
        <v>1551</v>
      </c>
      <c r="C1226" s="9" t="s">
        <v>64</v>
      </c>
      <c r="D1226" s="9" t="s">
        <v>85</v>
      </c>
      <c r="E1226" s="9" t="s">
        <v>220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9">
        <v>0</v>
      </c>
    </row>
    <row r="1227">
      <c r="A1227" s="23">
        <v>15730</v>
      </c>
      <c r="B1227" s="4" t="s">
        <v>1552</v>
      </c>
      <c r="C1227" s="4" t="s">
        <v>134</v>
      </c>
      <c r="D1227" s="4" t="s">
        <v>244</v>
      </c>
      <c r="E1227" s="4" t="s">
        <v>245</v>
      </c>
      <c r="F1227" s="6">
        <v>9</v>
      </c>
      <c r="G1227" s="7">
        <v>0</v>
      </c>
      <c r="H1227" s="7">
        <v>0</v>
      </c>
      <c r="I1227" s="5">
        <v>2</v>
      </c>
      <c r="J1227" s="5">
        <v>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7</v>
      </c>
      <c r="V1227" s="7">
        <v>0</v>
      </c>
      <c r="W1227" s="7">
        <v>0</v>
      </c>
      <c r="X1227" s="5">
        <v>2</v>
      </c>
      <c r="Y1227" s="5">
        <v>5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4.5</v>
      </c>
      <c r="AL1227" s="5">
        <v>4</v>
      </c>
      <c r="AM1227" s="5">
        <v>7</v>
      </c>
      <c r="AN1227" s="28">
        <v>1.75</v>
      </c>
    </row>
    <row r="1228">
      <c r="A1228" s="24">
        <v>15757</v>
      </c>
      <c r="B1228" s="9" t="s">
        <v>1553</v>
      </c>
      <c r="C1228" s="9" t="s">
        <v>1554</v>
      </c>
      <c r="D1228" s="9" t="s">
        <v>1555</v>
      </c>
      <c r="E1228" s="9" t="s">
        <v>389</v>
      </c>
      <c r="F1228" s="11">
        <v>1</v>
      </c>
      <c r="G1228" s="12">
        <v>0</v>
      </c>
      <c r="H1228" s="10">
        <v>1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0">
        <v>1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0.26</v>
      </c>
    </row>
    <row r="1229">
      <c r="A1229" s="23">
        <v>15772</v>
      </c>
      <c r="B1229" s="4" t="s">
        <v>1556</v>
      </c>
      <c r="C1229" s="4" t="s">
        <v>64</v>
      </c>
      <c r="D1229" s="4" t="s">
        <v>114</v>
      </c>
      <c r="E1229" s="4" t="s">
        <v>120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0.22</v>
      </c>
    </row>
    <row r="1230">
      <c r="A1230" s="24">
        <v>15774</v>
      </c>
      <c r="B1230" s="9" t="s">
        <v>1557</v>
      </c>
      <c r="C1230" s="9" t="s">
        <v>64</v>
      </c>
      <c r="D1230" s="9" t="s">
        <v>114</v>
      </c>
      <c r="E1230" s="9" t="s">
        <v>212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15810</v>
      </c>
      <c r="B1231" s="4" t="s">
        <v>1558</v>
      </c>
      <c r="C1231" s="4" t="s">
        <v>64</v>
      </c>
      <c r="D1231" s="4" t="s">
        <v>93</v>
      </c>
      <c r="E1231" s="4" t="s">
        <v>450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15855</v>
      </c>
      <c r="B1232" s="9" t="s">
        <v>1559</v>
      </c>
      <c r="C1232" s="9" t="s">
        <v>162</v>
      </c>
      <c r="D1232" s="9" t="s">
        <v>163</v>
      </c>
      <c r="E1232" s="9" t="s">
        <v>794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0.26</v>
      </c>
    </row>
    <row r="1233">
      <c r="A1233" s="23">
        <v>15857</v>
      </c>
      <c r="B1233" s="4" t="s">
        <v>1560</v>
      </c>
      <c r="C1233" s="4" t="s">
        <v>680</v>
      </c>
      <c r="D1233" s="4" t="s">
        <v>1561</v>
      </c>
      <c r="E1233" s="4" t="s">
        <v>389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15868</v>
      </c>
      <c r="B1234" s="9" t="s">
        <v>1562</v>
      </c>
      <c r="C1234" s="9" t="s">
        <v>64</v>
      </c>
      <c r="D1234" s="9" t="s">
        <v>102</v>
      </c>
      <c r="E1234" s="9" t="s">
        <v>248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15869</v>
      </c>
      <c r="B1235" s="4" t="s">
        <v>1563</v>
      </c>
      <c r="C1235" s="4" t="s">
        <v>64</v>
      </c>
      <c r="D1235" s="4" t="s">
        <v>102</v>
      </c>
      <c r="E1235" s="4" t="s">
        <v>248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28">
        <v>0.52</v>
      </c>
    </row>
    <row r="1236">
      <c r="A1236" s="24">
        <v>15870</v>
      </c>
      <c r="B1236" s="9" t="s">
        <v>1564</v>
      </c>
      <c r="C1236" s="9" t="s">
        <v>64</v>
      </c>
      <c r="D1236" s="9" t="s">
        <v>114</v>
      </c>
      <c r="E1236" s="9" t="s">
        <v>237</v>
      </c>
      <c r="F1236" s="11">
        <v>2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0.52</v>
      </c>
    </row>
    <row r="1237">
      <c r="A1237" s="23">
        <v>15872</v>
      </c>
      <c r="B1237" s="4" t="s">
        <v>1565</v>
      </c>
      <c r="C1237" s="4" t="s">
        <v>134</v>
      </c>
      <c r="D1237" s="4" t="s">
        <v>703</v>
      </c>
      <c r="E1237" s="4" t="s">
        <v>704</v>
      </c>
      <c r="F1237" s="6">
        <v>1</v>
      </c>
      <c r="G1237" s="7">
        <v>0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0.22</v>
      </c>
    </row>
    <row r="1238">
      <c r="A1238" s="24">
        <v>15917</v>
      </c>
      <c r="B1238" s="9" t="s">
        <v>1566</v>
      </c>
      <c r="C1238" s="9" t="s">
        <v>64</v>
      </c>
      <c r="D1238" s="9" t="s">
        <v>93</v>
      </c>
      <c r="E1238" s="9" t="s">
        <v>450</v>
      </c>
      <c r="F1238" s="11">
        <v>5</v>
      </c>
      <c r="G1238" s="10">
        <v>4</v>
      </c>
      <c r="H1238" s="12">
        <v>0</v>
      </c>
      <c r="I1238" s="12">
        <v>0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2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2.5</v>
      </c>
      <c r="AL1238" s="10">
        <v>2</v>
      </c>
      <c r="AM1238" s="10">
        <v>4</v>
      </c>
      <c r="AN1238" s="29">
        <v>0.76</v>
      </c>
    </row>
    <row r="1239">
      <c r="A1239" s="23">
        <v>15944</v>
      </c>
      <c r="B1239" s="4" t="s">
        <v>1567</v>
      </c>
      <c r="C1239" s="4" t="s">
        <v>64</v>
      </c>
      <c r="D1239" s="4" t="s">
        <v>68</v>
      </c>
      <c r="E1239" s="4" t="s">
        <v>112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16003</v>
      </c>
      <c r="B1240" s="9" t="s">
        <v>1188</v>
      </c>
      <c r="C1240" s="9" t="s">
        <v>134</v>
      </c>
      <c r="D1240" s="9" t="s">
        <v>422</v>
      </c>
      <c r="E1240" s="9" t="s">
        <v>1568</v>
      </c>
      <c r="F1240" s="11">
        <v>1</v>
      </c>
      <c r="G1240" s="12">
        <v>0</v>
      </c>
      <c r="H1240" s="10">
        <v>1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0">
        <v>1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0.22</v>
      </c>
    </row>
    <row r="1241">
      <c r="A1241" s="23">
        <v>16024</v>
      </c>
      <c r="B1241" s="4" t="s">
        <v>1569</v>
      </c>
      <c r="C1241" s="4" t="s">
        <v>134</v>
      </c>
      <c r="D1241" s="4" t="s">
        <v>135</v>
      </c>
      <c r="E1241" s="4" t="s">
        <v>136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0.22</v>
      </c>
    </row>
    <row r="1242">
      <c r="A1242" s="24">
        <v>16029</v>
      </c>
      <c r="B1242" s="9" t="s">
        <v>1570</v>
      </c>
      <c r="C1242" s="9" t="s">
        <v>712</v>
      </c>
      <c r="D1242" s="9" t="s">
        <v>1571</v>
      </c>
      <c r="E1242" s="9" t="s">
        <v>389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29">
        <v>0.52</v>
      </c>
    </row>
    <row r="1243">
      <c r="A1243" s="23">
        <v>16030</v>
      </c>
      <c r="B1243" s="4" t="s">
        <v>1572</v>
      </c>
      <c r="C1243" s="4" t="s">
        <v>64</v>
      </c>
      <c r="D1243" s="4" t="s">
        <v>76</v>
      </c>
      <c r="E1243" s="4" t="s">
        <v>77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16037</v>
      </c>
      <c r="B1244" s="9" t="s">
        <v>1573</v>
      </c>
      <c r="C1244" s="9" t="s">
        <v>673</v>
      </c>
      <c r="D1244" s="9" t="s">
        <v>1574</v>
      </c>
      <c r="E1244" s="9" t="s">
        <v>1575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16044</v>
      </c>
      <c r="B1245" s="4" t="s">
        <v>1576</v>
      </c>
      <c r="C1245" s="4" t="s">
        <v>64</v>
      </c>
      <c r="D1245" s="4" t="s">
        <v>114</v>
      </c>
      <c r="E1245" s="4" t="s">
        <v>143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16056</v>
      </c>
      <c r="B1246" s="9" t="s">
        <v>1577</v>
      </c>
      <c r="C1246" s="9" t="s">
        <v>64</v>
      </c>
      <c r="D1246" s="9" t="s">
        <v>102</v>
      </c>
      <c r="E1246" s="9" t="s">
        <v>248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0.24</v>
      </c>
    </row>
    <row r="1247">
      <c r="A1247" s="23">
        <v>16083</v>
      </c>
      <c r="B1247" s="4" t="s">
        <v>1578</v>
      </c>
      <c r="C1247" s="4" t="s">
        <v>64</v>
      </c>
      <c r="D1247" s="4" t="s">
        <v>68</v>
      </c>
      <c r="E1247" s="4" t="s">
        <v>112</v>
      </c>
      <c r="F1247" s="6">
        <v>1</v>
      </c>
      <c r="G1247" s="7">
        <v>0</v>
      </c>
      <c r="H1247" s="7">
        <v>0</v>
      </c>
      <c r="I1247" s="7">
        <v>0</v>
      </c>
      <c r="J1247" s="7">
        <v>0</v>
      </c>
      <c r="K1247" s="5">
        <v>1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7">
        <v>0</v>
      </c>
      <c r="Z1247" s="5">
        <v>1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16091</v>
      </c>
      <c r="B1248" s="9" t="s">
        <v>1579</v>
      </c>
      <c r="C1248" s="9" t="s">
        <v>64</v>
      </c>
      <c r="D1248" s="9" t="s">
        <v>90</v>
      </c>
      <c r="E1248" s="9" t="s">
        <v>357</v>
      </c>
      <c r="F1248" s="11">
        <v>3</v>
      </c>
      <c r="G1248" s="10">
        <v>3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</v>
      </c>
      <c r="AL1248" s="10">
        <v>3</v>
      </c>
      <c r="AM1248" s="10">
        <v>3</v>
      </c>
      <c r="AN1248" s="49">
        <v>0</v>
      </c>
    </row>
    <row r="1249">
      <c r="A1249" s="23">
        <v>16098</v>
      </c>
      <c r="B1249" s="4" t="s">
        <v>1580</v>
      </c>
      <c r="C1249" s="4" t="s">
        <v>64</v>
      </c>
      <c r="D1249" s="4" t="s">
        <v>105</v>
      </c>
      <c r="E1249" s="4" t="s">
        <v>108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16102</v>
      </c>
      <c r="B1250" s="9" t="s">
        <v>1581</v>
      </c>
      <c r="C1250" s="9" t="s">
        <v>64</v>
      </c>
      <c r="D1250" s="9" t="s">
        <v>102</v>
      </c>
      <c r="E1250" s="9" t="s">
        <v>103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16129</v>
      </c>
      <c r="B1251" s="4" t="s">
        <v>1582</v>
      </c>
      <c r="C1251" s="4" t="s">
        <v>747</v>
      </c>
      <c r="D1251" s="4" t="s">
        <v>748</v>
      </c>
      <c r="E1251" s="4" t="s">
        <v>389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16131</v>
      </c>
      <c r="B1252" s="9" t="s">
        <v>1583</v>
      </c>
      <c r="C1252" s="9" t="s">
        <v>64</v>
      </c>
      <c r="D1252" s="9" t="s">
        <v>102</v>
      </c>
      <c r="E1252" s="9" t="s">
        <v>248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16137</v>
      </c>
      <c r="B1253" s="4" t="s">
        <v>1584</v>
      </c>
      <c r="C1253" s="4" t="s">
        <v>624</v>
      </c>
      <c r="D1253" s="4" t="s">
        <v>1158</v>
      </c>
      <c r="E1253" s="4" t="s">
        <v>1284</v>
      </c>
      <c r="F1253" s="6">
        <v>1</v>
      </c>
      <c r="G1253" s="7">
        <v>0</v>
      </c>
      <c r="H1253" s="5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5">
        <v>1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16140</v>
      </c>
      <c r="B1254" s="9" t="s">
        <v>1585</v>
      </c>
      <c r="C1254" s="9" t="s">
        <v>64</v>
      </c>
      <c r="D1254" s="9" t="s">
        <v>76</v>
      </c>
      <c r="E1254" s="9" t="s">
        <v>88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0.26</v>
      </c>
    </row>
    <row r="1255">
      <c r="A1255" s="23">
        <v>16143</v>
      </c>
      <c r="B1255" s="4" t="s">
        <v>1586</v>
      </c>
      <c r="C1255" s="4" t="s">
        <v>64</v>
      </c>
      <c r="D1255" s="4" t="s">
        <v>146</v>
      </c>
      <c r="E1255" s="4" t="s">
        <v>147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16250</v>
      </c>
      <c r="B1256" s="9" t="s">
        <v>1587</v>
      </c>
      <c r="C1256" s="9" t="s">
        <v>624</v>
      </c>
      <c r="D1256" s="9" t="s">
        <v>1158</v>
      </c>
      <c r="E1256" s="9" t="s">
        <v>1284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0.26</v>
      </c>
    </row>
    <row r="1257">
      <c r="A1257" s="23">
        <v>16301</v>
      </c>
      <c r="B1257" s="4" t="s">
        <v>1588</v>
      </c>
      <c r="C1257" s="4" t="s">
        <v>64</v>
      </c>
      <c r="D1257" s="4" t="s">
        <v>102</v>
      </c>
      <c r="E1257" s="4" t="s">
        <v>248</v>
      </c>
      <c r="F1257" s="6">
        <v>2</v>
      </c>
      <c r="G1257" s="5">
        <v>1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5">
        <v>1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0.26</v>
      </c>
    </row>
    <row r="1258">
      <c r="A1258" s="24">
        <v>16345</v>
      </c>
      <c r="B1258" s="9" t="s">
        <v>1589</v>
      </c>
      <c r="C1258" s="9" t="s">
        <v>134</v>
      </c>
      <c r="D1258" s="9" t="s">
        <v>432</v>
      </c>
      <c r="E1258" s="9" t="s">
        <v>1040</v>
      </c>
      <c r="F1258" s="11">
        <v>1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2">
        <v>0</v>
      </c>
      <c r="Z1258" s="12">
        <v>0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0.35</v>
      </c>
    </row>
    <row r="1259">
      <c r="A1259" s="23">
        <v>16347</v>
      </c>
      <c r="B1259" s="4" t="s">
        <v>1590</v>
      </c>
      <c r="C1259" s="4" t="s">
        <v>712</v>
      </c>
      <c r="D1259" s="4" t="s">
        <v>389</v>
      </c>
      <c r="E1259" s="4" t="s">
        <v>389</v>
      </c>
      <c r="F1259" s="6">
        <v>5</v>
      </c>
      <c r="G1259" s="7">
        <v>0</v>
      </c>
      <c r="H1259" s="7">
        <v>0</v>
      </c>
      <c r="I1259" s="7">
        <v>0</v>
      </c>
      <c r="J1259" s="5">
        <v>4</v>
      </c>
      <c r="K1259" s="7">
        <v>0</v>
      </c>
      <c r="L1259" s="5">
        <v>1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5</v>
      </c>
      <c r="V1259" s="7">
        <v>0</v>
      </c>
      <c r="W1259" s="7">
        <v>0</v>
      </c>
      <c r="X1259" s="7">
        <v>0</v>
      </c>
      <c r="Y1259" s="5">
        <v>4</v>
      </c>
      <c r="Z1259" s="7">
        <v>0</v>
      </c>
      <c r="AA1259" s="5">
        <v>1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1.67</v>
      </c>
      <c r="AL1259" s="5">
        <v>2</v>
      </c>
      <c r="AM1259" s="5">
        <v>2</v>
      </c>
      <c r="AN1259" s="28">
        <v>1.04</v>
      </c>
    </row>
    <row r="1260">
      <c r="A1260" s="24">
        <v>16371</v>
      </c>
      <c r="B1260" s="9" t="s">
        <v>1591</v>
      </c>
      <c r="C1260" s="9" t="s">
        <v>134</v>
      </c>
      <c r="D1260" s="9" t="s">
        <v>476</v>
      </c>
      <c r="E1260" s="9" t="s">
        <v>544</v>
      </c>
      <c r="F1260" s="11">
        <v>2</v>
      </c>
      <c r="G1260" s="12">
        <v>0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2">
        <v>0</v>
      </c>
      <c r="W1260" s="12">
        <v>0</v>
      </c>
      <c r="X1260" s="12">
        <v>0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0.5</v>
      </c>
    </row>
    <row r="1261">
      <c r="A1261" s="23">
        <v>16383</v>
      </c>
      <c r="B1261" s="4" t="s">
        <v>1592</v>
      </c>
      <c r="C1261" s="4" t="s">
        <v>64</v>
      </c>
      <c r="D1261" s="4" t="s">
        <v>114</v>
      </c>
      <c r="E1261" s="4" t="s">
        <v>115</v>
      </c>
      <c r="F1261" s="6">
        <v>1</v>
      </c>
      <c r="G1261" s="7">
        <v>0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16466</v>
      </c>
      <c r="B1262" s="9" t="s">
        <v>1593</v>
      </c>
      <c r="C1262" s="9" t="s">
        <v>64</v>
      </c>
      <c r="D1262" s="9" t="s">
        <v>72</v>
      </c>
      <c r="E1262" s="9" t="s">
        <v>118</v>
      </c>
      <c r="F1262" s="11">
        <v>2</v>
      </c>
      <c r="G1262" s="10">
        <v>1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9">
        <v>0</v>
      </c>
    </row>
    <row r="1263">
      <c r="A1263" s="23">
        <v>16483</v>
      </c>
      <c r="B1263" s="4" t="s">
        <v>1594</v>
      </c>
      <c r="C1263" s="4" t="s">
        <v>747</v>
      </c>
      <c r="D1263" s="4" t="s">
        <v>1409</v>
      </c>
      <c r="E1263" s="4" t="s">
        <v>389</v>
      </c>
      <c r="F1263" s="6">
        <v>2</v>
      </c>
      <c r="G1263" s="7">
        <v>0</v>
      </c>
      <c r="H1263" s="5">
        <v>1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5">
        <v>1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16559</v>
      </c>
      <c r="B1264" s="9" t="s">
        <v>1595</v>
      </c>
      <c r="C1264" s="9" t="s">
        <v>747</v>
      </c>
      <c r="D1264" s="9" t="s">
        <v>777</v>
      </c>
      <c r="E1264" s="9" t="s">
        <v>389</v>
      </c>
      <c r="F1264" s="11">
        <v>1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9">
        <v>0</v>
      </c>
    </row>
    <row r="1265">
      <c r="A1265" s="23">
        <v>16604</v>
      </c>
      <c r="B1265" s="4" t="s">
        <v>1596</v>
      </c>
      <c r="C1265" s="4" t="s">
        <v>162</v>
      </c>
      <c r="D1265" s="4" t="s">
        <v>187</v>
      </c>
      <c r="E1265" s="4" t="s">
        <v>1478</v>
      </c>
      <c r="F1265" s="6">
        <v>2</v>
      </c>
      <c r="G1265" s="5">
        <v>1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5">
        <v>1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16606</v>
      </c>
      <c r="B1266" s="9" t="s">
        <v>1597</v>
      </c>
      <c r="C1266" s="9" t="s">
        <v>64</v>
      </c>
      <c r="D1266" s="9" t="s">
        <v>76</v>
      </c>
      <c r="E1266" s="9" t="s">
        <v>77</v>
      </c>
      <c r="F1266" s="11">
        <v>2</v>
      </c>
      <c r="G1266" s="10">
        <v>1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0">
        <v>1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0.24</v>
      </c>
    </row>
    <row r="1267">
      <c r="A1267" s="23">
        <v>16623</v>
      </c>
      <c r="B1267" s="4" t="s">
        <v>1598</v>
      </c>
      <c r="C1267" s="4" t="s">
        <v>64</v>
      </c>
      <c r="D1267" s="4" t="s">
        <v>156</v>
      </c>
      <c r="E1267" s="4" t="s">
        <v>973</v>
      </c>
      <c r="F1267" s="6">
        <v>1</v>
      </c>
      <c r="G1267" s="7">
        <v>0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16627</v>
      </c>
      <c r="B1268" s="9" t="s">
        <v>1599</v>
      </c>
      <c r="C1268" s="9" t="s">
        <v>64</v>
      </c>
      <c r="D1268" s="9" t="s">
        <v>93</v>
      </c>
      <c r="E1268" s="9" t="s">
        <v>170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49">
        <v>0</v>
      </c>
    </row>
    <row r="1269">
      <c r="A1269" s="23">
        <v>16660</v>
      </c>
      <c r="B1269" s="4" t="s">
        <v>1600</v>
      </c>
      <c r="C1269" s="4" t="s">
        <v>64</v>
      </c>
      <c r="D1269" s="4" t="s">
        <v>72</v>
      </c>
      <c r="E1269" s="4" t="s">
        <v>118</v>
      </c>
      <c r="F1269" s="6">
        <v>2</v>
      </c>
      <c r="G1269" s="5">
        <v>1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1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0.5</v>
      </c>
    </row>
    <row r="1270">
      <c r="A1270" s="24">
        <v>16666</v>
      </c>
      <c r="B1270" s="9" t="s">
        <v>1601</v>
      </c>
      <c r="C1270" s="9" t="s">
        <v>64</v>
      </c>
      <c r="D1270" s="9" t="s">
        <v>85</v>
      </c>
      <c r="E1270" s="9" t="s">
        <v>130</v>
      </c>
      <c r="F1270" s="11">
        <v>5</v>
      </c>
      <c r="G1270" s="12">
        <v>0</v>
      </c>
      <c r="H1270" s="12">
        <v>0</v>
      </c>
      <c r="I1270" s="12">
        <v>0</v>
      </c>
      <c r="J1270" s="10">
        <v>5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2">
        <v>0</v>
      </c>
      <c r="W1270" s="12">
        <v>0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2.5</v>
      </c>
      <c r="AL1270" s="10">
        <v>2</v>
      </c>
      <c r="AM1270" s="10">
        <v>3</v>
      </c>
      <c r="AN1270" s="29">
        <v>0.78</v>
      </c>
    </row>
    <row r="1271">
      <c r="A1271" s="23">
        <v>16719</v>
      </c>
      <c r="B1271" s="4" t="s">
        <v>1602</v>
      </c>
      <c r="C1271" s="4" t="s">
        <v>64</v>
      </c>
      <c r="D1271" s="4" t="s">
        <v>68</v>
      </c>
      <c r="E1271" s="4" t="s">
        <v>112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16728</v>
      </c>
      <c r="B1272" s="9" t="s">
        <v>1603</v>
      </c>
      <c r="C1272" s="9" t="s">
        <v>598</v>
      </c>
      <c r="D1272" s="9" t="s">
        <v>648</v>
      </c>
      <c r="E1272" s="9" t="s">
        <v>389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9">
        <v>0</v>
      </c>
    </row>
    <row r="1273">
      <c r="A1273" s="23">
        <v>16742</v>
      </c>
      <c r="B1273" s="4" t="s">
        <v>1604</v>
      </c>
      <c r="C1273" s="4" t="s">
        <v>134</v>
      </c>
      <c r="D1273" s="4" t="s">
        <v>684</v>
      </c>
      <c r="E1273" s="4" t="s">
        <v>685</v>
      </c>
      <c r="F1273" s="6">
        <v>3</v>
      </c>
      <c r="G1273" s="7">
        <v>0</v>
      </c>
      <c r="H1273" s="7">
        <v>0</v>
      </c>
      <c r="I1273" s="5">
        <v>1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7">
        <v>0</v>
      </c>
      <c r="W1273" s="7">
        <v>0</v>
      </c>
      <c r="X1273" s="5">
        <v>1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0.5</v>
      </c>
    </row>
    <row r="1274">
      <c r="A1274" s="24">
        <v>16761</v>
      </c>
      <c r="B1274" s="9" t="s">
        <v>1605</v>
      </c>
      <c r="C1274" s="9" t="s">
        <v>64</v>
      </c>
      <c r="D1274" s="9" t="s">
        <v>93</v>
      </c>
      <c r="E1274" s="9" t="s">
        <v>326</v>
      </c>
      <c r="F1274" s="11">
        <v>2</v>
      </c>
      <c r="G1274" s="12">
        <v>0</v>
      </c>
      <c r="H1274" s="12">
        <v>0</v>
      </c>
      <c r="I1274" s="10">
        <v>1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0">
        <v>1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0.5</v>
      </c>
    </row>
    <row r="1275">
      <c r="A1275" s="23">
        <v>16767</v>
      </c>
      <c r="B1275" s="4" t="s">
        <v>1606</v>
      </c>
      <c r="C1275" s="4" t="s">
        <v>624</v>
      </c>
      <c r="D1275" s="4" t="s">
        <v>717</v>
      </c>
      <c r="E1275" s="4" t="s">
        <v>1607</v>
      </c>
      <c r="F1275" s="6">
        <v>6</v>
      </c>
      <c r="G1275" s="7">
        <v>0</v>
      </c>
      <c r="H1275" s="7">
        <v>0</v>
      </c>
      <c r="I1275" s="7">
        <v>0</v>
      </c>
      <c r="J1275" s="5">
        <v>6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6</v>
      </c>
      <c r="V1275" s="7">
        <v>0</v>
      </c>
      <c r="W1275" s="7">
        <v>0</v>
      </c>
      <c r="X1275" s="7">
        <v>0</v>
      </c>
      <c r="Y1275" s="5">
        <v>6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3</v>
      </c>
      <c r="AL1275" s="5">
        <v>3</v>
      </c>
      <c r="AM1275" s="5">
        <v>4</v>
      </c>
      <c r="AN1275" s="28">
        <v>1.56</v>
      </c>
    </row>
    <row r="1276">
      <c r="A1276" s="24">
        <v>16771</v>
      </c>
      <c r="B1276" s="9" t="s">
        <v>1608</v>
      </c>
      <c r="C1276" s="9" t="s">
        <v>64</v>
      </c>
      <c r="D1276" s="9" t="s">
        <v>114</v>
      </c>
      <c r="E1276" s="9" t="s">
        <v>140</v>
      </c>
      <c r="F1276" s="11">
        <v>1</v>
      </c>
      <c r="G1276" s="12">
        <v>0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9">
        <v>0</v>
      </c>
    </row>
    <row r="1277">
      <c r="A1277" s="23">
        <v>16845</v>
      </c>
      <c r="B1277" s="4" t="s">
        <v>1609</v>
      </c>
      <c r="C1277" s="4" t="s">
        <v>64</v>
      </c>
      <c r="D1277" s="4" t="s">
        <v>76</v>
      </c>
      <c r="E1277" s="4" t="s">
        <v>77</v>
      </c>
      <c r="F1277" s="6">
        <v>1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16893</v>
      </c>
      <c r="B1278" s="9" t="s">
        <v>1610</v>
      </c>
      <c r="C1278" s="9" t="s">
        <v>624</v>
      </c>
      <c r="D1278" s="9" t="s">
        <v>1611</v>
      </c>
      <c r="E1278" s="9" t="s">
        <v>1612</v>
      </c>
      <c r="F1278" s="11">
        <v>1</v>
      </c>
      <c r="G1278" s="12">
        <v>0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9">
        <v>0</v>
      </c>
    </row>
    <row r="1279">
      <c r="A1279" s="23">
        <v>16904</v>
      </c>
      <c r="B1279" s="4" t="s">
        <v>1613</v>
      </c>
      <c r="C1279" s="4" t="s">
        <v>64</v>
      </c>
      <c r="D1279" s="4" t="s">
        <v>156</v>
      </c>
      <c r="E1279" s="4" t="s">
        <v>1248</v>
      </c>
      <c r="F1279" s="6">
        <v>2</v>
      </c>
      <c r="G1279" s="7">
        <v>0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0.5</v>
      </c>
    </row>
    <row r="1280">
      <c r="A1280" s="24">
        <v>16922</v>
      </c>
      <c r="B1280" s="9" t="s">
        <v>1614</v>
      </c>
      <c r="C1280" s="9" t="s">
        <v>162</v>
      </c>
      <c r="D1280" s="9" t="s">
        <v>187</v>
      </c>
      <c r="E1280" s="9" t="s">
        <v>1305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9">
        <v>0</v>
      </c>
    </row>
    <row r="1281">
      <c r="A1281" s="23">
        <v>16952</v>
      </c>
      <c r="B1281" s="4" t="s">
        <v>1615</v>
      </c>
      <c r="C1281" s="4" t="s">
        <v>598</v>
      </c>
      <c r="D1281" s="4" t="s">
        <v>609</v>
      </c>
      <c r="E1281" s="4" t="s">
        <v>389</v>
      </c>
      <c r="F1281" s="6">
        <v>2</v>
      </c>
      <c r="G1281" s="7">
        <v>0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0.52</v>
      </c>
    </row>
    <row r="1282">
      <c r="A1282" s="24">
        <v>16978</v>
      </c>
      <c r="B1282" s="9" t="s">
        <v>1616</v>
      </c>
      <c r="C1282" s="9" t="s">
        <v>64</v>
      </c>
      <c r="D1282" s="9" t="s">
        <v>90</v>
      </c>
      <c r="E1282" s="9" t="s">
        <v>91</v>
      </c>
      <c r="F1282" s="11">
        <v>6</v>
      </c>
      <c r="G1282" s="10">
        <v>3</v>
      </c>
      <c r="H1282" s="10">
        <v>1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6</v>
      </c>
      <c r="V1282" s="10">
        <v>3</v>
      </c>
      <c r="W1282" s="10">
        <v>1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3</v>
      </c>
      <c r="AN1282" s="29">
        <v>1.5</v>
      </c>
    </row>
    <row r="1283">
      <c r="A1283" s="23">
        <v>17021</v>
      </c>
      <c r="B1283" s="4" t="s">
        <v>1617</v>
      </c>
      <c r="C1283" s="4" t="s">
        <v>64</v>
      </c>
      <c r="D1283" s="4" t="s">
        <v>76</v>
      </c>
      <c r="E1283" s="4" t="s">
        <v>79</v>
      </c>
      <c r="F1283" s="6">
        <v>2</v>
      </c>
      <c r="G1283" s="7">
        <v>0</v>
      </c>
      <c r="H1283" s="7">
        <v>0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7">
        <v>0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0.5</v>
      </c>
    </row>
    <row r="1284">
      <c r="A1284" s="24">
        <v>17029</v>
      </c>
      <c r="B1284" s="9" t="s">
        <v>1618</v>
      </c>
      <c r="C1284" s="9" t="s">
        <v>64</v>
      </c>
      <c r="D1284" s="9" t="s">
        <v>76</v>
      </c>
      <c r="E1284" s="9" t="s">
        <v>77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17033</v>
      </c>
      <c r="B1285" s="4" t="s">
        <v>1619</v>
      </c>
      <c r="C1285" s="4" t="s">
        <v>64</v>
      </c>
      <c r="D1285" s="4" t="s">
        <v>90</v>
      </c>
      <c r="E1285" s="4" t="s">
        <v>91</v>
      </c>
      <c r="F1285" s="6">
        <v>1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17064</v>
      </c>
      <c r="B1286" s="9" t="s">
        <v>1620</v>
      </c>
      <c r="C1286" s="9" t="s">
        <v>64</v>
      </c>
      <c r="D1286" s="9" t="s">
        <v>125</v>
      </c>
      <c r="E1286" s="9" t="s">
        <v>126</v>
      </c>
      <c r="F1286" s="11">
        <v>9</v>
      </c>
      <c r="G1286" s="10">
        <v>6</v>
      </c>
      <c r="H1286" s="12">
        <v>0</v>
      </c>
      <c r="I1286" s="10">
        <v>2</v>
      </c>
      <c r="J1286" s="12">
        <v>0</v>
      </c>
      <c r="K1286" s="10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8</v>
      </c>
      <c r="V1286" s="10">
        <v>6</v>
      </c>
      <c r="W1286" s="12">
        <v>0</v>
      </c>
      <c r="X1286" s="10">
        <v>1</v>
      </c>
      <c r="Y1286" s="12">
        <v>0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</v>
      </c>
      <c r="AL1286" s="10">
        <v>2</v>
      </c>
      <c r="AM1286" s="10">
        <v>6</v>
      </c>
      <c r="AN1286" s="29">
        <v>2.1</v>
      </c>
    </row>
    <row r="1287">
      <c r="A1287" s="23">
        <v>17102</v>
      </c>
      <c r="B1287" s="4" t="s">
        <v>1621</v>
      </c>
      <c r="C1287" s="4" t="s">
        <v>64</v>
      </c>
      <c r="D1287" s="4" t="s">
        <v>85</v>
      </c>
      <c r="E1287" s="4" t="s">
        <v>86</v>
      </c>
      <c r="F1287" s="6">
        <v>2</v>
      </c>
      <c r="G1287" s="5">
        <v>1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1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0">
        <v>0</v>
      </c>
    </row>
    <row r="1288">
      <c r="A1288" s="24">
        <v>17214</v>
      </c>
      <c r="B1288" s="9" t="s">
        <v>1622</v>
      </c>
      <c r="C1288" s="9" t="s">
        <v>64</v>
      </c>
      <c r="D1288" s="9" t="s">
        <v>102</v>
      </c>
      <c r="E1288" s="9" t="s">
        <v>103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9">
        <v>0</v>
      </c>
    </row>
    <row r="1289">
      <c r="A1289" s="23">
        <v>17216</v>
      </c>
      <c r="B1289" s="4" t="s">
        <v>1623</v>
      </c>
      <c r="C1289" s="4" t="s">
        <v>64</v>
      </c>
      <c r="D1289" s="4" t="s">
        <v>102</v>
      </c>
      <c r="E1289" s="4" t="s">
        <v>103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17233</v>
      </c>
      <c r="B1290" s="9" t="s">
        <v>1624</v>
      </c>
      <c r="C1290" s="9" t="s">
        <v>1178</v>
      </c>
      <c r="D1290" s="9" t="s">
        <v>1179</v>
      </c>
      <c r="E1290" s="9" t="s">
        <v>1625</v>
      </c>
      <c r="F1290" s="11">
        <v>1</v>
      </c>
      <c r="G1290" s="12">
        <v>0</v>
      </c>
      <c r="H1290" s="10">
        <v>1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0">
        <v>1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0.24</v>
      </c>
    </row>
    <row r="1291">
      <c r="A1291" s="23">
        <v>17244</v>
      </c>
      <c r="B1291" s="4" t="s">
        <v>1626</v>
      </c>
      <c r="C1291" s="4" t="s">
        <v>134</v>
      </c>
      <c r="D1291" s="4" t="s">
        <v>684</v>
      </c>
      <c r="E1291" s="4" t="s">
        <v>1525</v>
      </c>
      <c r="F1291" s="6">
        <v>4</v>
      </c>
      <c r="G1291" s="7">
        <v>0</v>
      </c>
      <c r="H1291" s="7">
        <v>0</v>
      </c>
      <c r="I1291" s="5">
        <v>1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7">
        <v>0</v>
      </c>
      <c r="W1291" s="7">
        <v>0</v>
      </c>
      <c r="X1291" s="5">
        <v>1</v>
      </c>
      <c r="Y1291" s="5">
        <v>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0.25</v>
      </c>
    </row>
    <row r="1292">
      <c r="A1292" s="24">
        <v>17249</v>
      </c>
      <c r="B1292" s="9" t="s">
        <v>1627</v>
      </c>
      <c r="C1292" s="9" t="s">
        <v>134</v>
      </c>
      <c r="D1292" s="9" t="s">
        <v>1194</v>
      </c>
      <c r="E1292" s="9" t="s">
        <v>1195</v>
      </c>
      <c r="F1292" s="11">
        <v>4</v>
      </c>
      <c r="G1292" s="10">
        <v>2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2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29">
        <v>0.5</v>
      </c>
    </row>
    <row r="1293">
      <c r="A1293" s="23">
        <v>17315</v>
      </c>
      <c r="B1293" s="4" t="s">
        <v>1628</v>
      </c>
      <c r="C1293" s="4" t="s">
        <v>64</v>
      </c>
      <c r="D1293" s="4" t="s">
        <v>146</v>
      </c>
      <c r="E1293" s="4" t="s">
        <v>1026</v>
      </c>
      <c r="F1293" s="6">
        <v>3</v>
      </c>
      <c r="G1293" s="5">
        <v>1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1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30">
        <v>0</v>
      </c>
    </row>
    <row r="1294">
      <c r="A1294" s="24">
        <v>17318</v>
      </c>
      <c r="B1294" s="9" t="s">
        <v>1629</v>
      </c>
      <c r="C1294" s="9" t="s">
        <v>64</v>
      </c>
      <c r="D1294" s="9" t="s">
        <v>102</v>
      </c>
      <c r="E1294" s="9" t="s">
        <v>103</v>
      </c>
      <c r="F1294" s="11">
        <v>1</v>
      </c>
      <c r="G1294" s="12">
        <v>0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0.22</v>
      </c>
    </row>
    <row r="1295">
      <c r="A1295" s="23">
        <v>17364</v>
      </c>
      <c r="B1295" s="4" t="s">
        <v>1630</v>
      </c>
      <c r="C1295" s="4" t="s">
        <v>747</v>
      </c>
      <c r="D1295" s="4" t="s">
        <v>777</v>
      </c>
      <c r="E1295" s="4" t="s">
        <v>389</v>
      </c>
      <c r="F1295" s="6">
        <v>2</v>
      </c>
      <c r="G1295" s="7">
        <v>0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5">
        <v>1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5">
        <v>1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17365</v>
      </c>
      <c r="B1296" s="9" t="s">
        <v>1631</v>
      </c>
      <c r="C1296" s="9" t="s">
        <v>64</v>
      </c>
      <c r="D1296" s="9" t="s">
        <v>72</v>
      </c>
      <c r="E1296" s="9" t="s">
        <v>118</v>
      </c>
      <c r="F1296" s="11">
        <v>3</v>
      </c>
      <c r="G1296" s="12">
        <v>0</v>
      </c>
      <c r="H1296" s="12">
        <v>0</v>
      </c>
      <c r="I1296" s="12">
        <v>0</v>
      </c>
      <c r="J1296" s="10">
        <v>2</v>
      </c>
      <c r="K1296" s="10">
        <v>1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2">
        <v>0</v>
      </c>
      <c r="W1296" s="12">
        <v>0</v>
      </c>
      <c r="X1296" s="12">
        <v>0</v>
      </c>
      <c r="Y1296" s="10">
        <v>2</v>
      </c>
      <c r="Z1296" s="10">
        <v>1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0.5</v>
      </c>
    </row>
    <row r="1297">
      <c r="A1297" s="23">
        <v>17412</v>
      </c>
      <c r="B1297" s="4" t="s">
        <v>1632</v>
      </c>
      <c r="C1297" s="4" t="s">
        <v>134</v>
      </c>
      <c r="D1297" s="4" t="s">
        <v>1194</v>
      </c>
      <c r="E1297" s="4" t="s">
        <v>1396</v>
      </c>
      <c r="F1297" s="6">
        <v>2</v>
      </c>
      <c r="G1297" s="5">
        <v>1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1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17416</v>
      </c>
      <c r="B1298" s="9" t="s">
        <v>1633</v>
      </c>
      <c r="C1298" s="9" t="s">
        <v>64</v>
      </c>
      <c r="D1298" s="9" t="s">
        <v>114</v>
      </c>
      <c r="E1298" s="9" t="s">
        <v>120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17459</v>
      </c>
      <c r="B1299" s="4" t="s">
        <v>1634</v>
      </c>
      <c r="C1299" s="4" t="s">
        <v>64</v>
      </c>
      <c r="D1299" s="4" t="s">
        <v>76</v>
      </c>
      <c r="E1299" s="4" t="s">
        <v>329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0.36</v>
      </c>
    </row>
    <row r="1300">
      <c r="A1300" s="24">
        <v>17469</v>
      </c>
      <c r="B1300" s="9" t="s">
        <v>1635</v>
      </c>
      <c r="C1300" s="9" t="s">
        <v>134</v>
      </c>
      <c r="D1300" s="9" t="s">
        <v>360</v>
      </c>
      <c r="E1300" s="9" t="s">
        <v>1636</v>
      </c>
      <c r="F1300" s="11">
        <v>2</v>
      </c>
      <c r="G1300" s="12">
        <v>0</v>
      </c>
      <c r="H1300" s="12">
        <v>0</v>
      </c>
      <c r="I1300" s="10">
        <v>1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2">
        <v>0</v>
      </c>
      <c r="X1300" s="10">
        <v>1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0.52</v>
      </c>
    </row>
    <row r="1301">
      <c r="A1301" s="23">
        <v>17492</v>
      </c>
      <c r="B1301" s="4" t="s">
        <v>1637</v>
      </c>
      <c r="C1301" s="4" t="s">
        <v>162</v>
      </c>
      <c r="D1301" s="4" t="s">
        <v>163</v>
      </c>
      <c r="E1301" s="4" t="s">
        <v>164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5">
        <v>2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30">
        <v>0</v>
      </c>
    </row>
    <row r="1302">
      <c r="A1302" s="24">
        <v>17563</v>
      </c>
      <c r="B1302" s="9" t="s">
        <v>1638</v>
      </c>
      <c r="C1302" s="9" t="s">
        <v>64</v>
      </c>
      <c r="D1302" s="9" t="s">
        <v>114</v>
      </c>
      <c r="E1302" s="9" t="s">
        <v>115</v>
      </c>
      <c r="F1302" s="11">
        <v>2</v>
      </c>
      <c r="G1302" s="12">
        <v>0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2">
        <v>0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0.25</v>
      </c>
    </row>
    <row r="1303">
      <c r="A1303" s="23">
        <v>17564</v>
      </c>
      <c r="B1303" s="4" t="s">
        <v>1639</v>
      </c>
      <c r="C1303" s="4" t="s">
        <v>64</v>
      </c>
      <c r="D1303" s="4" t="s">
        <v>114</v>
      </c>
      <c r="E1303" s="4" t="s">
        <v>115</v>
      </c>
      <c r="F1303" s="6">
        <v>3</v>
      </c>
      <c r="G1303" s="5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3</v>
      </c>
      <c r="AK1303" s="8">
        <v>3</v>
      </c>
      <c r="AL1303" s="5">
        <v>3</v>
      </c>
      <c r="AM1303" s="5">
        <v>3</v>
      </c>
      <c r="AN1303" s="30">
        <v>0</v>
      </c>
    </row>
    <row r="1304">
      <c r="A1304" s="24">
        <v>17571</v>
      </c>
      <c r="B1304" s="9" t="s">
        <v>1640</v>
      </c>
      <c r="C1304" s="9" t="s">
        <v>162</v>
      </c>
      <c r="D1304" s="9" t="s">
        <v>163</v>
      </c>
      <c r="E1304" s="9" t="s">
        <v>164</v>
      </c>
      <c r="F1304" s="11">
        <v>4</v>
      </c>
      <c r="G1304" s="12">
        <v>0</v>
      </c>
      <c r="H1304" s="12">
        <v>0</v>
      </c>
      <c r="I1304" s="10">
        <v>1</v>
      </c>
      <c r="J1304" s="10">
        <v>2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4</v>
      </c>
      <c r="V1304" s="12">
        <v>0</v>
      </c>
      <c r="W1304" s="12">
        <v>0</v>
      </c>
      <c r="X1304" s="10">
        <v>1</v>
      </c>
      <c r="Y1304" s="10">
        <v>2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0.5</v>
      </c>
    </row>
    <row r="1305">
      <c r="A1305" s="23">
        <v>17572</v>
      </c>
      <c r="B1305" s="4" t="s">
        <v>1641</v>
      </c>
      <c r="C1305" s="4" t="s">
        <v>162</v>
      </c>
      <c r="D1305" s="4" t="s">
        <v>163</v>
      </c>
      <c r="E1305" s="4" t="s">
        <v>164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17573</v>
      </c>
      <c r="B1306" s="9" t="s">
        <v>1642</v>
      </c>
      <c r="C1306" s="9" t="s">
        <v>162</v>
      </c>
      <c r="D1306" s="9" t="s">
        <v>187</v>
      </c>
      <c r="E1306" s="9" t="s">
        <v>200</v>
      </c>
      <c r="F1306" s="11">
        <v>4</v>
      </c>
      <c r="G1306" s="12">
        <v>0</v>
      </c>
      <c r="H1306" s="12">
        <v>0</v>
      </c>
      <c r="I1306" s="10">
        <v>1</v>
      </c>
      <c r="J1306" s="12">
        <v>0</v>
      </c>
      <c r="K1306" s="10">
        <v>3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4</v>
      </c>
      <c r="V1306" s="12">
        <v>0</v>
      </c>
      <c r="W1306" s="12">
        <v>0</v>
      </c>
      <c r="X1306" s="10">
        <v>1</v>
      </c>
      <c r="Y1306" s="12">
        <v>0</v>
      </c>
      <c r="Z1306" s="10">
        <v>3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2</v>
      </c>
      <c r="AM1306" s="10">
        <v>3</v>
      </c>
      <c r="AN1306" s="49">
        <v>0</v>
      </c>
    </row>
    <row r="1307">
      <c r="A1307" s="23">
        <v>17575</v>
      </c>
      <c r="B1307" s="4" t="s">
        <v>1643</v>
      </c>
      <c r="C1307" s="4" t="s">
        <v>598</v>
      </c>
      <c r="D1307" s="4" t="s">
        <v>635</v>
      </c>
      <c r="E1307" s="4" t="s">
        <v>389</v>
      </c>
      <c r="F1307" s="6">
        <v>2</v>
      </c>
      <c r="G1307" s="5">
        <v>1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5">
        <v>1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0.52</v>
      </c>
    </row>
    <row r="1308">
      <c r="A1308" s="24">
        <v>17580</v>
      </c>
      <c r="B1308" s="9" t="s">
        <v>1644</v>
      </c>
      <c r="C1308" s="9" t="s">
        <v>64</v>
      </c>
      <c r="D1308" s="9" t="s">
        <v>72</v>
      </c>
      <c r="E1308" s="9" t="s">
        <v>73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9">
        <v>0</v>
      </c>
    </row>
    <row r="1309">
      <c r="A1309" s="23">
        <v>17596</v>
      </c>
      <c r="B1309" s="4" t="s">
        <v>1645</v>
      </c>
      <c r="C1309" s="4" t="s">
        <v>64</v>
      </c>
      <c r="D1309" s="4" t="s">
        <v>76</v>
      </c>
      <c r="E1309" s="4" t="s">
        <v>329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17600</v>
      </c>
      <c r="B1310" s="9" t="s">
        <v>1646</v>
      </c>
      <c r="C1310" s="9" t="s">
        <v>64</v>
      </c>
      <c r="D1310" s="9" t="s">
        <v>90</v>
      </c>
      <c r="E1310" s="9" t="s">
        <v>357</v>
      </c>
      <c r="F1310" s="11">
        <v>3</v>
      </c>
      <c r="G1310" s="12">
        <v>0</v>
      </c>
      <c r="H1310" s="12">
        <v>0</v>
      </c>
      <c r="I1310" s="12">
        <v>0</v>
      </c>
      <c r="J1310" s="10">
        <v>1</v>
      </c>
      <c r="K1310" s="10">
        <v>2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2">
        <v>0</v>
      </c>
      <c r="W1310" s="12">
        <v>0</v>
      </c>
      <c r="X1310" s="12">
        <v>0</v>
      </c>
      <c r="Y1310" s="10">
        <v>1</v>
      </c>
      <c r="Z1310" s="10">
        <v>2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1.5</v>
      </c>
      <c r="AL1310" s="10">
        <v>1</v>
      </c>
      <c r="AM1310" s="10">
        <v>2</v>
      </c>
      <c r="AN1310" s="29">
        <v>0.75</v>
      </c>
    </row>
    <row r="1311">
      <c r="A1311" s="23">
        <v>17644</v>
      </c>
      <c r="B1311" s="4" t="s">
        <v>1647</v>
      </c>
      <c r="C1311" s="4" t="s">
        <v>64</v>
      </c>
      <c r="D1311" s="4" t="s">
        <v>65</v>
      </c>
      <c r="E1311" s="4" t="s">
        <v>415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17651</v>
      </c>
      <c r="B1312" s="9" t="s">
        <v>1648</v>
      </c>
      <c r="C1312" s="9" t="s">
        <v>64</v>
      </c>
      <c r="D1312" s="9" t="s">
        <v>90</v>
      </c>
      <c r="E1312" s="9" t="s">
        <v>357</v>
      </c>
      <c r="F1312" s="11">
        <v>3</v>
      </c>
      <c r="G1312" s="10">
        <v>3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0">
        <v>3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49">
        <v>0</v>
      </c>
    </row>
    <row r="1313">
      <c r="A1313" s="23">
        <v>17680</v>
      </c>
      <c r="B1313" s="4" t="s">
        <v>1649</v>
      </c>
      <c r="C1313" s="4" t="s">
        <v>680</v>
      </c>
      <c r="D1313" s="4" t="s">
        <v>745</v>
      </c>
      <c r="E1313" s="4" t="s">
        <v>389</v>
      </c>
      <c r="F1313" s="6">
        <v>1</v>
      </c>
      <c r="G1313" s="7">
        <v>0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17697</v>
      </c>
      <c r="B1314" s="9" t="s">
        <v>1650</v>
      </c>
      <c r="C1314" s="9" t="s">
        <v>64</v>
      </c>
      <c r="D1314" s="9" t="s">
        <v>85</v>
      </c>
      <c r="E1314" s="9" t="s">
        <v>220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17705</v>
      </c>
      <c r="B1315" s="4" t="s">
        <v>1651</v>
      </c>
      <c r="C1315" s="4" t="s">
        <v>64</v>
      </c>
      <c r="D1315" s="4" t="s">
        <v>114</v>
      </c>
      <c r="E1315" s="4" t="s">
        <v>120</v>
      </c>
      <c r="F1315" s="6">
        <v>3</v>
      </c>
      <c r="G1315" s="7">
        <v>0</v>
      </c>
      <c r="H1315" s="5">
        <v>1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7">
        <v>0</v>
      </c>
      <c r="W1315" s="5">
        <v>1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1.5</v>
      </c>
      <c r="AL1315" s="5">
        <v>1</v>
      </c>
      <c r="AM1315" s="5">
        <v>2</v>
      </c>
      <c r="AN1315" s="28">
        <v>0.75</v>
      </c>
    </row>
    <row r="1316">
      <c r="A1316" s="24">
        <v>17712</v>
      </c>
      <c r="B1316" s="9" t="s">
        <v>1652</v>
      </c>
      <c r="C1316" s="9" t="s">
        <v>64</v>
      </c>
      <c r="D1316" s="9" t="s">
        <v>93</v>
      </c>
      <c r="E1316" s="9" t="s">
        <v>450</v>
      </c>
      <c r="F1316" s="11">
        <v>1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17737</v>
      </c>
      <c r="B1317" s="4" t="s">
        <v>1653</v>
      </c>
      <c r="C1317" s="4" t="s">
        <v>64</v>
      </c>
      <c r="D1317" s="4" t="s">
        <v>90</v>
      </c>
      <c r="E1317" s="4" t="s">
        <v>357</v>
      </c>
      <c r="F1317" s="6">
        <v>3</v>
      </c>
      <c r="G1317" s="5">
        <v>2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5">
        <v>2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30">
        <v>0</v>
      </c>
    </row>
    <row r="1318">
      <c r="A1318" s="24">
        <v>17738</v>
      </c>
      <c r="B1318" s="9" t="s">
        <v>1654</v>
      </c>
      <c r="C1318" s="9" t="s">
        <v>64</v>
      </c>
      <c r="D1318" s="9" t="s">
        <v>93</v>
      </c>
      <c r="E1318" s="9" t="s">
        <v>450</v>
      </c>
      <c r="F1318" s="11">
        <v>5</v>
      </c>
      <c r="G1318" s="10">
        <v>4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0">
        <v>3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4</v>
      </c>
      <c r="AN1318" s="49">
        <v>0</v>
      </c>
    </row>
    <row r="1319">
      <c r="A1319" s="23">
        <v>17744</v>
      </c>
      <c r="B1319" s="4" t="s">
        <v>1655</v>
      </c>
      <c r="C1319" s="4" t="s">
        <v>64</v>
      </c>
      <c r="D1319" s="4" t="s">
        <v>72</v>
      </c>
      <c r="E1319" s="4" t="s">
        <v>316</v>
      </c>
      <c r="F1319" s="6">
        <v>1</v>
      </c>
      <c r="G1319" s="7">
        <v>0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0.24</v>
      </c>
    </row>
    <row r="1320">
      <c r="A1320" s="24">
        <v>17753</v>
      </c>
      <c r="B1320" s="9" t="s">
        <v>1656</v>
      </c>
      <c r="C1320" s="9" t="s">
        <v>64</v>
      </c>
      <c r="D1320" s="9" t="s">
        <v>76</v>
      </c>
      <c r="E1320" s="9" t="s">
        <v>77</v>
      </c>
      <c r="F1320" s="11">
        <v>2</v>
      </c>
      <c r="G1320" s="12">
        <v>0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2">
        <v>0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17766</v>
      </c>
      <c r="B1321" s="4" t="s">
        <v>1657</v>
      </c>
      <c r="C1321" s="4" t="s">
        <v>598</v>
      </c>
      <c r="D1321" s="4" t="s">
        <v>863</v>
      </c>
      <c r="E1321" s="4" t="s">
        <v>389</v>
      </c>
      <c r="F1321" s="6">
        <v>1</v>
      </c>
      <c r="G1321" s="7">
        <v>0</v>
      </c>
      <c r="H1321" s="7">
        <v>0</v>
      </c>
      <c r="I1321" s="5">
        <v>1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5">
        <v>1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17767</v>
      </c>
      <c r="B1322" s="9" t="s">
        <v>1658</v>
      </c>
      <c r="C1322" s="9" t="s">
        <v>162</v>
      </c>
      <c r="D1322" s="9" t="s">
        <v>187</v>
      </c>
      <c r="E1322" s="9" t="s">
        <v>1305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17781</v>
      </c>
      <c r="B1323" s="4" t="s">
        <v>1659</v>
      </c>
      <c r="C1323" s="4" t="s">
        <v>64</v>
      </c>
      <c r="D1323" s="4" t="s">
        <v>102</v>
      </c>
      <c r="E1323" s="4" t="s">
        <v>224</v>
      </c>
      <c r="F1323" s="6">
        <v>4</v>
      </c>
      <c r="G1323" s="5">
        <v>4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5">
        <v>4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</v>
      </c>
      <c r="AL1323" s="5">
        <v>2</v>
      </c>
      <c r="AM1323" s="5">
        <v>3</v>
      </c>
      <c r="AN1323" s="28">
        <v>0.24</v>
      </c>
    </row>
    <row r="1324">
      <c r="A1324" s="24">
        <v>17785</v>
      </c>
      <c r="B1324" s="9" t="s">
        <v>1660</v>
      </c>
      <c r="C1324" s="9" t="s">
        <v>598</v>
      </c>
      <c r="D1324" s="9" t="s">
        <v>863</v>
      </c>
      <c r="E1324" s="9" t="s">
        <v>389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17788</v>
      </c>
      <c r="B1325" s="4" t="s">
        <v>1661</v>
      </c>
      <c r="C1325" s="4" t="s">
        <v>64</v>
      </c>
      <c r="D1325" s="4" t="s">
        <v>93</v>
      </c>
      <c r="E1325" s="4" t="s">
        <v>450</v>
      </c>
      <c r="F1325" s="6">
        <v>2</v>
      </c>
      <c r="G1325" s="5">
        <v>1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5">
        <v>1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0.62</v>
      </c>
    </row>
    <row r="1326">
      <c r="A1326" s="24">
        <v>17804</v>
      </c>
      <c r="B1326" s="9" t="s">
        <v>1662</v>
      </c>
      <c r="C1326" s="9" t="s">
        <v>680</v>
      </c>
      <c r="D1326" s="9" t="s">
        <v>707</v>
      </c>
      <c r="E1326" s="9" t="s">
        <v>389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9">
        <v>0</v>
      </c>
    </row>
    <row r="1327">
      <c r="A1327" s="23">
        <v>17819</v>
      </c>
      <c r="B1327" s="4" t="s">
        <v>1663</v>
      </c>
      <c r="C1327" s="4" t="s">
        <v>64</v>
      </c>
      <c r="D1327" s="4" t="s">
        <v>72</v>
      </c>
      <c r="E1327" s="4" t="s">
        <v>646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0.24</v>
      </c>
    </row>
    <row r="1328">
      <c r="A1328" s="24">
        <v>17839</v>
      </c>
      <c r="B1328" s="9" t="s">
        <v>1664</v>
      </c>
      <c r="C1328" s="9" t="s">
        <v>624</v>
      </c>
      <c r="D1328" s="9" t="s">
        <v>1139</v>
      </c>
      <c r="E1328" s="9" t="s">
        <v>1665</v>
      </c>
      <c r="F1328" s="11">
        <v>3</v>
      </c>
      <c r="G1328" s="12">
        <v>0</v>
      </c>
      <c r="H1328" s="10">
        <v>1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0">
        <v>1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2">
        <v>0</v>
      </c>
      <c r="W1328" s="10">
        <v>1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0">
        <v>1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17876</v>
      </c>
      <c r="B1329" s="4" t="s">
        <v>1666</v>
      </c>
      <c r="C1329" s="4" t="s">
        <v>64</v>
      </c>
      <c r="D1329" s="4" t="s">
        <v>102</v>
      </c>
      <c r="E1329" s="4" t="s">
        <v>248</v>
      </c>
      <c r="F1329" s="6">
        <v>1</v>
      </c>
      <c r="G1329" s="7">
        <v>0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0.26</v>
      </c>
    </row>
    <row r="1330">
      <c r="A1330" s="24">
        <v>17881</v>
      </c>
      <c r="B1330" s="9" t="s">
        <v>1667</v>
      </c>
      <c r="C1330" s="9" t="s">
        <v>611</v>
      </c>
      <c r="D1330" s="9" t="s">
        <v>615</v>
      </c>
      <c r="E1330" s="9" t="s">
        <v>648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17928</v>
      </c>
      <c r="B1331" s="4" t="s">
        <v>1668</v>
      </c>
      <c r="C1331" s="4" t="s">
        <v>64</v>
      </c>
      <c r="D1331" s="4" t="s">
        <v>68</v>
      </c>
      <c r="E1331" s="4" t="s">
        <v>264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0.36</v>
      </c>
    </row>
    <row r="1332">
      <c r="A1332" s="24">
        <v>17932</v>
      </c>
      <c r="B1332" s="9" t="s">
        <v>1669</v>
      </c>
      <c r="C1332" s="9" t="s">
        <v>162</v>
      </c>
      <c r="D1332" s="9" t="s">
        <v>446</v>
      </c>
      <c r="E1332" s="9" t="s">
        <v>1670</v>
      </c>
      <c r="F1332" s="11">
        <v>1</v>
      </c>
      <c r="G1332" s="12">
        <v>0</v>
      </c>
      <c r="H1332" s="12">
        <v>0</v>
      </c>
      <c r="I1332" s="12">
        <v>0</v>
      </c>
      <c r="J1332" s="12">
        <v>0</v>
      </c>
      <c r="K1332" s="10">
        <v>1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2">
        <v>0</v>
      </c>
      <c r="Z1332" s="10">
        <v>1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17934</v>
      </c>
      <c r="B1333" s="4" t="s">
        <v>1671</v>
      </c>
      <c r="C1333" s="4" t="s">
        <v>64</v>
      </c>
      <c r="D1333" s="4" t="s">
        <v>93</v>
      </c>
      <c r="E1333" s="4" t="s">
        <v>326</v>
      </c>
      <c r="F1333" s="6">
        <v>1</v>
      </c>
      <c r="G1333" s="7">
        <v>0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17944</v>
      </c>
      <c r="B1334" s="9" t="s">
        <v>1672</v>
      </c>
      <c r="C1334" s="9" t="s">
        <v>64</v>
      </c>
      <c r="D1334" s="9" t="s">
        <v>68</v>
      </c>
      <c r="E1334" s="9" t="s">
        <v>264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0.24</v>
      </c>
    </row>
    <row r="1335">
      <c r="A1335" s="23">
        <v>17967</v>
      </c>
      <c r="B1335" s="4" t="s">
        <v>1673</v>
      </c>
      <c r="C1335" s="4" t="s">
        <v>598</v>
      </c>
      <c r="D1335" s="4" t="s">
        <v>863</v>
      </c>
      <c r="E1335" s="4" t="s">
        <v>389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30">
        <v>0</v>
      </c>
    </row>
    <row r="1336">
      <c r="A1336" s="24">
        <v>17970</v>
      </c>
      <c r="B1336" s="9" t="s">
        <v>1674</v>
      </c>
      <c r="C1336" s="9" t="s">
        <v>64</v>
      </c>
      <c r="D1336" s="9" t="s">
        <v>102</v>
      </c>
      <c r="E1336" s="9" t="s">
        <v>248</v>
      </c>
      <c r="F1336" s="11">
        <v>2</v>
      </c>
      <c r="G1336" s="12">
        <v>0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0">
        <v>2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0">
        <v>2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49">
        <v>0</v>
      </c>
    </row>
    <row r="1337">
      <c r="A1337" s="23">
        <v>17997</v>
      </c>
      <c r="B1337" s="4" t="s">
        <v>1675</v>
      </c>
      <c r="C1337" s="4" t="s">
        <v>64</v>
      </c>
      <c r="D1337" s="4" t="s">
        <v>146</v>
      </c>
      <c r="E1337" s="4" t="s">
        <v>147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18076</v>
      </c>
      <c r="B1338" s="9" t="s">
        <v>1676</v>
      </c>
      <c r="C1338" s="9" t="s">
        <v>162</v>
      </c>
      <c r="D1338" s="9" t="s">
        <v>163</v>
      </c>
      <c r="E1338" s="9" t="s">
        <v>164</v>
      </c>
      <c r="F1338" s="11">
        <v>2</v>
      </c>
      <c r="G1338" s="12">
        <v>0</v>
      </c>
      <c r="H1338" s="12">
        <v>0</v>
      </c>
      <c r="I1338" s="12">
        <v>0</v>
      </c>
      <c r="J1338" s="12">
        <v>0</v>
      </c>
      <c r="K1338" s="10">
        <v>2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49">
        <v>0</v>
      </c>
    </row>
    <row r="1339">
      <c r="A1339" s="23">
        <v>18079</v>
      </c>
      <c r="B1339" s="4" t="s">
        <v>1677</v>
      </c>
      <c r="C1339" s="4" t="s">
        <v>162</v>
      </c>
      <c r="D1339" s="4" t="s">
        <v>187</v>
      </c>
      <c r="E1339" s="4" t="s">
        <v>1305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18083</v>
      </c>
      <c r="B1340" s="9" t="s">
        <v>1678</v>
      </c>
      <c r="C1340" s="9" t="s">
        <v>162</v>
      </c>
      <c r="D1340" s="9" t="s">
        <v>446</v>
      </c>
      <c r="E1340" s="9" t="s">
        <v>447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49">
        <v>0</v>
      </c>
    </row>
    <row r="1341">
      <c r="A1341" s="23">
        <v>18089</v>
      </c>
      <c r="B1341" s="4" t="s">
        <v>1679</v>
      </c>
      <c r="C1341" s="4" t="s">
        <v>162</v>
      </c>
      <c r="D1341" s="4" t="s">
        <v>163</v>
      </c>
      <c r="E1341" s="4" t="s">
        <v>164</v>
      </c>
      <c r="F1341" s="6">
        <v>1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18090</v>
      </c>
      <c r="B1342" s="9" t="s">
        <v>1680</v>
      </c>
      <c r="C1342" s="9" t="s">
        <v>162</v>
      </c>
      <c r="D1342" s="9" t="s">
        <v>163</v>
      </c>
      <c r="E1342" s="9" t="s">
        <v>164</v>
      </c>
      <c r="F1342" s="11">
        <v>2</v>
      </c>
      <c r="G1342" s="12">
        <v>0</v>
      </c>
      <c r="H1342" s="12">
        <v>0</v>
      </c>
      <c r="I1342" s="12">
        <v>0</v>
      </c>
      <c r="J1342" s="12">
        <v>0</v>
      </c>
      <c r="K1342" s="10">
        <v>1</v>
      </c>
      <c r="L1342" s="10">
        <v>1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2">
        <v>0</v>
      </c>
      <c r="W1342" s="12">
        <v>0</v>
      </c>
      <c r="X1342" s="12">
        <v>0</v>
      </c>
      <c r="Y1342" s="12">
        <v>0</v>
      </c>
      <c r="Z1342" s="10">
        <v>1</v>
      </c>
      <c r="AA1342" s="10">
        <v>1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9">
        <v>0</v>
      </c>
    </row>
    <row r="1343">
      <c r="A1343" s="23">
        <v>18150</v>
      </c>
      <c r="B1343" s="4" t="s">
        <v>1681</v>
      </c>
      <c r="C1343" s="4" t="s">
        <v>134</v>
      </c>
      <c r="D1343" s="4" t="s">
        <v>244</v>
      </c>
      <c r="E1343" s="4" t="s">
        <v>245</v>
      </c>
      <c r="F1343" s="6">
        <v>2</v>
      </c>
      <c r="G1343" s="7">
        <v>0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18151</v>
      </c>
      <c r="B1344" s="9" t="s">
        <v>1682</v>
      </c>
      <c r="C1344" s="9" t="s">
        <v>64</v>
      </c>
      <c r="D1344" s="9" t="s">
        <v>156</v>
      </c>
      <c r="E1344" s="9" t="s">
        <v>386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18219</v>
      </c>
      <c r="B1345" s="4" t="s">
        <v>1683</v>
      </c>
      <c r="C1345" s="4" t="s">
        <v>1684</v>
      </c>
      <c r="D1345" s="4" t="s">
        <v>1685</v>
      </c>
      <c r="E1345" s="4" t="s">
        <v>389</v>
      </c>
      <c r="F1345" s="6">
        <v>1</v>
      </c>
      <c r="G1345" s="7">
        <v>0</v>
      </c>
      <c r="H1345" s="7">
        <v>0</v>
      </c>
      <c r="I1345" s="7">
        <v>0</v>
      </c>
      <c r="J1345" s="7">
        <v>0</v>
      </c>
      <c r="K1345" s="5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7">
        <v>0</v>
      </c>
      <c r="Z1345" s="5">
        <v>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18252</v>
      </c>
      <c r="B1346" s="9" t="s">
        <v>1686</v>
      </c>
      <c r="C1346" s="9" t="s">
        <v>64</v>
      </c>
      <c r="D1346" s="9" t="s">
        <v>85</v>
      </c>
      <c r="E1346" s="9" t="s">
        <v>138</v>
      </c>
      <c r="F1346" s="11">
        <v>4</v>
      </c>
      <c r="G1346" s="12">
        <v>0</v>
      </c>
      <c r="H1346" s="12">
        <v>0</v>
      </c>
      <c r="I1346" s="12">
        <v>0</v>
      </c>
      <c r="J1346" s="10">
        <v>4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2">
        <v>0</v>
      </c>
      <c r="W1346" s="12">
        <v>0</v>
      </c>
      <c r="X1346" s="12">
        <v>0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1.33</v>
      </c>
      <c r="AL1346" s="10">
        <v>1</v>
      </c>
      <c r="AM1346" s="10">
        <v>2</v>
      </c>
      <c r="AN1346" s="29">
        <v>0.75</v>
      </c>
    </row>
    <row r="1347">
      <c r="A1347" s="23">
        <v>18265</v>
      </c>
      <c r="B1347" s="4" t="s">
        <v>1687</v>
      </c>
      <c r="C1347" s="4" t="s">
        <v>64</v>
      </c>
      <c r="D1347" s="4" t="s">
        <v>114</v>
      </c>
      <c r="E1347" s="4" t="s">
        <v>115</v>
      </c>
      <c r="F1347" s="6">
        <v>1</v>
      </c>
      <c r="G1347" s="7">
        <v>0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18343</v>
      </c>
      <c r="B1348" s="9" t="s">
        <v>1688</v>
      </c>
      <c r="C1348" s="9" t="s">
        <v>134</v>
      </c>
      <c r="D1348" s="9" t="s">
        <v>374</v>
      </c>
      <c r="E1348" s="9" t="s">
        <v>375</v>
      </c>
      <c r="F1348" s="11">
        <v>4</v>
      </c>
      <c r="G1348" s="12">
        <v>0</v>
      </c>
      <c r="H1348" s="12">
        <v>0</v>
      </c>
      <c r="I1348" s="10">
        <v>1</v>
      </c>
      <c r="J1348" s="10">
        <v>1</v>
      </c>
      <c r="K1348" s="12">
        <v>0</v>
      </c>
      <c r="L1348" s="10">
        <v>2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3</v>
      </c>
      <c r="V1348" s="12">
        <v>0</v>
      </c>
      <c r="W1348" s="12">
        <v>0</v>
      </c>
      <c r="X1348" s="10">
        <v>1</v>
      </c>
      <c r="Y1348" s="10">
        <v>1</v>
      </c>
      <c r="Z1348" s="12">
        <v>0</v>
      </c>
      <c r="AA1348" s="10">
        <v>1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1.33</v>
      </c>
      <c r="AL1348" s="10">
        <v>1</v>
      </c>
      <c r="AM1348" s="10">
        <v>2</v>
      </c>
      <c r="AN1348" s="49">
        <v>0</v>
      </c>
    </row>
    <row r="1349">
      <c r="A1349" s="23">
        <v>18390</v>
      </c>
      <c r="B1349" s="4" t="s">
        <v>1689</v>
      </c>
      <c r="C1349" s="4" t="s">
        <v>64</v>
      </c>
      <c r="D1349" s="4" t="s">
        <v>72</v>
      </c>
      <c r="E1349" s="4" t="s">
        <v>316</v>
      </c>
      <c r="F1349" s="6">
        <v>2</v>
      </c>
      <c r="G1349" s="7">
        <v>0</v>
      </c>
      <c r="H1349" s="7">
        <v>0</v>
      </c>
      <c r="I1349" s="7">
        <v>0</v>
      </c>
      <c r="J1349" s="7">
        <v>0</v>
      </c>
      <c r="K1349" s="5">
        <v>2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7">
        <v>0</v>
      </c>
      <c r="W1349" s="7">
        <v>0</v>
      </c>
      <c r="X1349" s="7">
        <v>0</v>
      </c>
      <c r="Y1349" s="7">
        <v>0</v>
      </c>
      <c r="Z1349" s="5">
        <v>2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30">
        <v>0</v>
      </c>
    </row>
    <row r="1350">
      <c r="A1350" s="24">
        <v>18391</v>
      </c>
      <c r="B1350" s="9" t="s">
        <v>1690</v>
      </c>
      <c r="C1350" s="9" t="s">
        <v>64</v>
      </c>
      <c r="D1350" s="9" t="s">
        <v>114</v>
      </c>
      <c r="E1350" s="9" t="s">
        <v>678</v>
      </c>
      <c r="F1350" s="11">
        <v>4</v>
      </c>
      <c r="G1350" s="10">
        <v>4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3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4</v>
      </c>
      <c r="AK1350" s="13">
        <v>4</v>
      </c>
      <c r="AL1350" s="10">
        <v>4</v>
      </c>
      <c r="AM1350" s="10">
        <v>4</v>
      </c>
      <c r="AN1350" s="49">
        <v>0</v>
      </c>
    </row>
    <row r="1351">
      <c r="A1351" s="23">
        <v>18392</v>
      </c>
      <c r="B1351" s="4" t="s">
        <v>1691</v>
      </c>
      <c r="C1351" s="4" t="s">
        <v>64</v>
      </c>
      <c r="D1351" s="4" t="s">
        <v>76</v>
      </c>
      <c r="E1351" s="4" t="s">
        <v>194</v>
      </c>
      <c r="F1351" s="6">
        <v>2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5">
        <v>2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5">
        <v>2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30">
        <v>0</v>
      </c>
    </row>
    <row r="1352">
      <c r="A1352" s="24">
        <v>18402</v>
      </c>
      <c r="B1352" s="9" t="s">
        <v>1692</v>
      </c>
      <c r="C1352" s="9" t="s">
        <v>1693</v>
      </c>
      <c r="D1352" s="9" t="s">
        <v>1694</v>
      </c>
      <c r="E1352" s="9" t="s">
        <v>389</v>
      </c>
      <c r="F1352" s="11">
        <v>1</v>
      </c>
      <c r="G1352" s="12">
        <v>0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9">
        <v>0</v>
      </c>
    </row>
    <row r="1353">
      <c r="A1353" s="23">
        <v>18425</v>
      </c>
      <c r="B1353" s="4" t="s">
        <v>1695</v>
      </c>
      <c r="C1353" s="4" t="s">
        <v>680</v>
      </c>
      <c r="D1353" s="4" t="s">
        <v>937</v>
      </c>
      <c r="E1353" s="4" t="s">
        <v>389</v>
      </c>
      <c r="F1353" s="6">
        <v>2</v>
      </c>
      <c r="G1353" s="7">
        <v>0</v>
      </c>
      <c r="H1353" s="7">
        <v>0</v>
      </c>
      <c r="I1353" s="7">
        <v>0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7">
        <v>0</v>
      </c>
      <c r="W1353" s="7">
        <v>0</v>
      </c>
      <c r="X1353" s="7">
        <v>0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0.52</v>
      </c>
    </row>
    <row r="1354">
      <c r="A1354" s="24">
        <v>18434</v>
      </c>
      <c r="B1354" s="9" t="s">
        <v>1696</v>
      </c>
      <c r="C1354" s="9" t="s">
        <v>162</v>
      </c>
      <c r="D1354" s="9" t="s">
        <v>163</v>
      </c>
      <c r="E1354" s="9" t="s">
        <v>794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9">
        <v>0</v>
      </c>
    </row>
    <row r="1355">
      <c r="A1355" s="23">
        <v>18460</v>
      </c>
      <c r="B1355" s="4" t="s">
        <v>1697</v>
      </c>
      <c r="C1355" s="4" t="s">
        <v>162</v>
      </c>
      <c r="D1355" s="4" t="s">
        <v>187</v>
      </c>
      <c r="E1355" s="4" t="s">
        <v>1305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18487</v>
      </c>
      <c r="B1356" s="9" t="s">
        <v>1698</v>
      </c>
      <c r="C1356" s="9" t="s">
        <v>162</v>
      </c>
      <c r="D1356" s="9" t="s">
        <v>187</v>
      </c>
      <c r="E1356" s="9" t="s">
        <v>188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18491</v>
      </c>
      <c r="B1357" s="4" t="s">
        <v>1699</v>
      </c>
      <c r="C1357" s="4" t="s">
        <v>64</v>
      </c>
      <c r="D1357" s="4" t="s">
        <v>68</v>
      </c>
      <c r="E1357" s="4" t="s">
        <v>112</v>
      </c>
      <c r="F1357" s="6">
        <v>2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0.25</v>
      </c>
    </row>
    <row r="1358">
      <c r="A1358" s="24">
        <v>18542</v>
      </c>
      <c r="B1358" s="9" t="s">
        <v>1700</v>
      </c>
      <c r="C1358" s="9" t="s">
        <v>64</v>
      </c>
      <c r="D1358" s="9" t="s">
        <v>114</v>
      </c>
      <c r="E1358" s="9" t="s">
        <v>212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18561</v>
      </c>
      <c r="B1359" s="4" t="s">
        <v>1701</v>
      </c>
      <c r="C1359" s="4" t="s">
        <v>64</v>
      </c>
      <c r="D1359" s="4" t="s">
        <v>146</v>
      </c>
      <c r="E1359" s="4" t="s">
        <v>1026</v>
      </c>
      <c r="F1359" s="6">
        <v>5</v>
      </c>
      <c r="G1359" s="5">
        <v>4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4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2.5</v>
      </c>
      <c r="AL1359" s="5">
        <v>2</v>
      </c>
      <c r="AM1359" s="5">
        <v>4</v>
      </c>
      <c r="AN1359" s="30">
        <v>0</v>
      </c>
    </row>
    <row r="1360">
      <c r="A1360" s="24">
        <v>18597</v>
      </c>
      <c r="B1360" s="9" t="s">
        <v>1702</v>
      </c>
      <c r="C1360" s="9" t="s">
        <v>64</v>
      </c>
      <c r="D1360" s="9" t="s">
        <v>114</v>
      </c>
      <c r="E1360" s="9" t="s">
        <v>143</v>
      </c>
      <c r="F1360" s="11">
        <v>1</v>
      </c>
      <c r="G1360" s="12">
        <v>0</v>
      </c>
      <c r="H1360" s="10">
        <v>1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0">
        <v>1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9">
        <v>0</v>
      </c>
    </row>
    <row r="1361">
      <c r="A1361" s="23">
        <v>18612</v>
      </c>
      <c r="B1361" s="4" t="s">
        <v>1703</v>
      </c>
      <c r="C1361" s="4" t="s">
        <v>64</v>
      </c>
      <c r="D1361" s="4" t="s">
        <v>76</v>
      </c>
      <c r="E1361" s="4" t="s">
        <v>329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18639</v>
      </c>
      <c r="B1362" s="9" t="s">
        <v>1704</v>
      </c>
      <c r="C1362" s="9" t="s">
        <v>64</v>
      </c>
      <c r="D1362" s="9" t="s">
        <v>105</v>
      </c>
      <c r="E1362" s="9" t="s">
        <v>642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18640</v>
      </c>
      <c r="B1363" s="4" t="s">
        <v>1705</v>
      </c>
      <c r="C1363" s="4" t="s">
        <v>64</v>
      </c>
      <c r="D1363" s="4" t="s">
        <v>85</v>
      </c>
      <c r="E1363" s="4" t="s">
        <v>554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18701</v>
      </c>
      <c r="B1364" s="9" t="s">
        <v>1706</v>
      </c>
      <c r="C1364" s="9" t="s">
        <v>64</v>
      </c>
      <c r="D1364" s="9" t="s">
        <v>114</v>
      </c>
      <c r="E1364" s="9" t="s">
        <v>143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9">
        <v>0</v>
      </c>
    </row>
    <row r="1365">
      <c r="A1365" s="23">
        <v>18722</v>
      </c>
      <c r="B1365" s="4" t="s">
        <v>1707</v>
      </c>
      <c r="C1365" s="4" t="s">
        <v>162</v>
      </c>
      <c r="D1365" s="4" t="s">
        <v>1184</v>
      </c>
      <c r="E1365" s="4" t="s">
        <v>1708</v>
      </c>
      <c r="F1365" s="6">
        <v>2</v>
      </c>
      <c r="G1365" s="7">
        <v>0</v>
      </c>
      <c r="H1365" s="7">
        <v>0</v>
      </c>
      <c r="I1365" s="5">
        <v>1</v>
      </c>
      <c r="J1365" s="7">
        <v>0</v>
      </c>
      <c r="K1365" s="5">
        <v>1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5">
        <v>1</v>
      </c>
      <c r="Y1365" s="7">
        <v>0</v>
      </c>
      <c r="Z1365" s="5">
        <v>1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18731</v>
      </c>
      <c r="B1366" s="9" t="s">
        <v>1709</v>
      </c>
      <c r="C1366" s="9" t="s">
        <v>64</v>
      </c>
      <c r="D1366" s="9" t="s">
        <v>85</v>
      </c>
      <c r="E1366" s="9" t="s">
        <v>96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49">
        <v>0</v>
      </c>
    </row>
    <row r="1367">
      <c r="A1367" s="23">
        <v>18736</v>
      </c>
      <c r="B1367" s="4" t="s">
        <v>1710</v>
      </c>
      <c r="C1367" s="4" t="s">
        <v>624</v>
      </c>
      <c r="D1367" s="4" t="s">
        <v>1139</v>
      </c>
      <c r="E1367" s="4" t="s">
        <v>1711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0.26</v>
      </c>
    </row>
    <row r="1368">
      <c r="A1368" s="24">
        <v>18755</v>
      </c>
      <c r="B1368" s="9" t="s">
        <v>1712</v>
      </c>
      <c r="C1368" s="9" t="s">
        <v>64</v>
      </c>
      <c r="D1368" s="9" t="s">
        <v>76</v>
      </c>
      <c r="E1368" s="9" t="s">
        <v>77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18850</v>
      </c>
      <c r="B1369" s="4" t="s">
        <v>1713</v>
      </c>
      <c r="C1369" s="4" t="s">
        <v>680</v>
      </c>
      <c r="D1369" s="4" t="s">
        <v>869</v>
      </c>
      <c r="E1369" s="4" t="s">
        <v>389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18878</v>
      </c>
      <c r="B1370" s="9" t="s">
        <v>1714</v>
      </c>
      <c r="C1370" s="9" t="s">
        <v>134</v>
      </c>
      <c r="D1370" s="9" t="s">
        <v>374</v>
      </c>
      <c r="E1370" s="9" t="s">
        <v>384</v>
      </c>
      <c r="F1370" s="11">
        <v>8</v>
      </c>
      <c r="G1370" s="10">
        <v>1</v>
      </c>
      <c r="H1370" s="12">
        <v>0</v>
      </c>
      <c r="I1370" s="10">
        <v>2</v>
      </c>
      <c r="J1370" s="10">
        <v>5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8</v>
      </c>
      <c r="V1370" s="10">
        <v>1</v>
      </c>
      <c r="W1370" s="12">
        <v>0</v>
      </c>
      <c r="X1370" s="10">
        <v>2</v>
      </c>
      <c r="Y1370" s="10">
        <v>5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1</v>
      </c>
      <c r="AM1370" s="10">
        <v>5</v>
      </c>
      <c r="AN1370" s="29">
        <v>1.5</v>
      </c>
    </row>
    <row r="1371">
      <c r="A1371" s="23">
        <v>18933</v>
      </c>
      <c r="B1371" s="4" t="s">
        <v>1715</v>
      </c>
      <c r="C1371" s="4" t="s">
        <v>64</v>
      </c>
      <c r="D1371" s="4" t="s">
        <v>93</v>
      </c>
      <c r="E1371" s="4" t="s">
        <v>170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30">
        <v>0</v>
      </c>
    </row>
    <row r="1372">
      <c r="A1372" s="24">
        <v>19004</v>
      </c>
      <c r="B1372" s="9" t="s">
        <v>1716</v>
      </c>
      <c r="C1372" s="9" t="s">
        <v>64</v>
      </c>
      <c r="D1372" s="9" t="s">
        <v>114</v>
      </c>
      <c r="E1372" s="9" t="s">
        <v>212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9">
        <v>0</v>
      </c>
    </row>
    <row r="1373">
      <c r="A1373" s="23">
        <v>19034</v>
      </c>
      <c r="B1373" s="4" t="s">
        <v>1717</v>
      </c>
      <c r="C1373" s="4" t="s">
        <v>680</v>
      </c>
      <c r="D1373" s="4" t="s">
        <v>869</v>
      </c>
      <c r="E1373" s="4" t="s">
        <v>389</v>
      </c>
      <c r="F1373" s="6">
        <v>2</v>
      </c>
      <c r="G1373" s="7">
        <v>0</v>
      </c>
      <c r="H1373" s="7">
        <v>0</v>
      </c>
      <c r="I1373" s="5">
        <v>2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7">
        <v>0</v>
      </c>
      <c r="W1373" s="7">
        <v>0</v>
      </c>
      <c r="X1373" s="5">
        <v>2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0.26</v>
      </c>
    </row>
    <row r="1374">
      <c r="A1374" s="24">
        <v>19038</v>
      </c>
      <c r="B1374" s="9" t="s">
        <v>1718</v>
      </c>
      <c r="C1374" s="9" t="s">
        <v>64</v>
      </c>
      <c r="D1374" s="9" t="s">
        <v>72</v>
      </c>
      <c r="E1374" s="9" t="s">
        <v>83</v>
      </c>
      <c r="F1374" s="11">
        <v>1</v>
      </c>
      <c r="G1374" s="12">
        <v>0</v>
      </c>
      <c r="H1374" s="10">
        <v>1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0">
        <v>1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19107</v>
      </c>
      <c r="B1375" s="4" t="s">
        <v>1719</v>
      </c>
      <c r="C1375" s="4" t="s">
        <v>64</v>
      </c>
      <c r="D1375" s="4" t="s">
        <v>114</v>
      </c>
      <c r="E1375" s="4" t="s">
        <v>115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19110</v>
      </c>
      <c r="B1376" s="9" t="s">
        <v>1720</v>
      </c>
      <c r="C1376" s="9" t="s">
        <v>134</v>
      </c>
      <c r="D1376" s="9" t="s">
        <v>432</v>
      </c>
      <c r="E1376" s="9" t="s">
        <v>1040</v>
      </c>
      <c r="F1376" s="11">
        <v>1</v>
      </c>
      <c r="G1376" s="12">
        <v>0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9">
        <v>0</v>
      </c>
    </row>
    <row r="1377">
      <c r="A1377" s="23">
        <v>19122</v>
      </c>
      <c r="B1377" s="4" t="s">
        <v>1721</v>
      </c>
      <c r="C1377" s="4" t="s">
        <v>64</v>
      </c>
      <c r="D1377" s="4" t="s">
        <v>72</v>
      </c>
      <c r="E1377" s="4" t="s">
        <v>646</v>
      </c>
      <c r="F1377" s="6">
        <v>1</v>
      </c>
      <c r="G1377" s="7">
        <v>0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19185</v>
      </c>
      <c r="B1378" s="9" t="s">
        <v>1722</v>
      </c>
      <c r="C1378" s="9" t="s">
        <v>64</v>
      </c>
      <c r="D1378" s="9" t="s">
        <v>125</v>
      </c>
      <c r="E1378" s="9" t="s">
        <v>1723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19191</v>
      </c>
      <c r="B1379" s="4" t="s">
        <v>1724</v>
      </c>
      <c r="C1379" s="4" t="s">
        <v>134</v>
      </c>
      <c r="D1379" s="4" t="s">
        <v>594</v>
      </c>
      <c r="E1379" s="4" t="s">
        <v>752</v>
      </c>
      <c r="F1379" s="6">
        <v>3</v>
      </c>
      <c r="G1379" s="7">
        <v>0</v>
      </c>
      <c r="H1379" s="7">
        <v>0</v>
      </c>
      <c r="I1379" s="5">
        <v>2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3</v>
      </c>
      <c r="V1379" s="7">
        <v>0</v>
      </c>
      <c r="W1379" s="7">
        <v>0</v>
      </c>
      <c r="X1379" s="5">
        <v>2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1.5</v>
      </c>
      <c r="AL1379" s="5">
        <v>1</v>
      </c>
      <c r="AM1379" s="5">
        <v>2</v>
      </c>
      <c r="AN1379" s="28">
        <v>0.72</v>
      </c>
    </row>
    <row r="1380">
      <c r="A1380" s="24">
        <v>19192</v>
      </c>
      <c r="B1380" s="9" t="s">
        <v>1725</v>
      </c>
      <c r="C1380" s="9" t="s">
        <v>134</v>
      </c>
      <c r="D1380" s="9" t="s">
        <v>684</v>
      </c>
      <c r="E1380" s="9" t="s">
        <v>685</v>
      </c>
      <c r="F1380" s="11">
        <v>1</v>
      </c>
      <c r="G1380" s="12">
        <v>0</v>
      </c>
      <c r="H1380" s="10">
        <v>1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0">
        <v>1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0.24</v>
      </c>
    </row>
    <row r="1381">
      <c r="A1381" s="23">
        <v>19226</v>
      </c>
      <c r="B1381" s="4" t="s">
        <v>1726</v>
      </c>
      <c r="C1381" s="4" t="s">
        <v>64</v>
      </c>
      <c r="D1381" s="4" t="s">
        <v>68</v>
      </c>
      <c r="E1381" s="4" t="s">
        <v>112</v>
      </c>
      <c r="F1381" s="6">
        <v>1</v>
      </c>
      <c r="G1381" s="7">
        <v>0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19283</v>
      </c>
      <c r="B1382" s="9" t="s">
        <v>1727</v>
      </c>
      <c r="C1382" s="9" t="s">
        <v>611</v>
      </c>
      <c r="D1382" s="9" t="s">
        <v>612</v>
      </c>
      <c r="E1382" s="9" t="s">
        <v>1495</v>
      </c>
      <c r="F1382" s="11">
        <v>2</v>
      </c>
      <c r="G1382" s="12">
        <v>0</v>
      </c>
      <c r="H1382" s="12">
        <v>0</v>
      </c>
      <c r="I1382" s="10">
        <v>2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0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49">
        <v>0</v>
      </c>
    </row>
    <row r="1383">
      <c r="A1383" s="23">
        <v>19308</v>
      </c>
      <c r="B1383" s="4" t="s">
        <v>1131</v>
      </c>
      <c r="C1383" s="4" t="s">
        <v>64</v>
      </c>
      <c r="D1383" s="4" t="s">
        <v>114</v>
      </c>
      <c r="E1383" s="4" t="s">
        <v>143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19311</v>
      </c>
      <c r="B1384" s="9" t="s">
        <v>1728</v>
      </c>
      <c r="C1384" s="9" t="s">
        <v>162</v>
      </c>
      <c r="D1384" s="9" t="s">
        <v>1263</v>
      </c>
      <c r="E1384" s="9" t="s">
        <v>1263</v>
      </c>
      <c r="F1384" s="11">
        <v>1</v>
      </c>
      <c r="G1384" s="12">
        <v>0</v>
      </c>
      <c r="H1384" s="10">
        <v>1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0">
        <v>1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0.37</v>
      </c>
    </row>
    <row r="1385">
      <c r="A1385" s="23">
        <v>19322</v>
      </c>
      <c r="B1385" s="4" t="s">
        <v>1729</v>
      </c>
      <c r="C1385" s="4" t="s">
        <v>64</v>
      </c>
      <c r="D1385" s="4" t="s">
        <v>68</v>
      </c>
      <c r="E1385" s="4" t="s">
        <v>112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30">
        <v>0</v>
      </c>
    </row>
    <row r="1386">
      <c r="A1386" s="24">
        <v>19354</v>
      </c>
      <c r="B1386" s="9" t="s">
        <v>1730</v>
      </c>
      <c r="C1386" s="9" t="s">
        <v>162</v>
      </c>
      <c r="D1386" s="9" t="s">
        <v>639</v>
      </c>
      <c r="E1386" s="9" t="s">
        <v>640</v>
      </c>
      <c r="F1386" s="11">
        <v>1</v>
      </c>
      <c r="G1386" s="12">
        <v>0</v>
      </c>
      <c r="H1386" s="12">
        <v>0</v>
      </c>
      <c r="I1386" s="12">
        <v>0</v>
      </c>
      <c r="J1386" s="12">
        <v>0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9">
        <v>0</v>
      </c>
    </row>
    <row r="1387">
      <c r="A1387" s="23">
        <v>19382</v>
      </c>
      <c r="B1387" s="4" t="s">
        <v>1731</v>
      </c>
      <c r="C1387" s="4" t="s">
        <v>64</v>
      </c>
      <c r="D1387" s="4" t="s">
        <v>76</v>
      </c>
      <c r="E1387" s="4" t="s">
        <v>329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0.36</v>
      </c>
    </row>
    <row r="1388">
      <c r="A1388" s="24">
        <v>19420</v>
      </c>
      <c r="B1388" s="9" t="s">
        <v>1732</v>
      </c>
      <c r="C1388" s="9" t="s">
        <v>64</v>
      </c>
      <c r="D1388" s="9" t="s">
        <v>146</v>
      </c>
      <c r="E1388" s="9" t="s">
        <v>1026</v>
      </c>
      <c r="F1388" s="11">
        <v>3</v>
      </c>
      <c r="G1388" s="12">
        <v>0</v>
      </c>
      <c r="H1388" s="10">
        <v>1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2">
        <v>0</v>
      </c>
      <c r="W1388" s="10">
        <v>1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0.75</v>
      </c>
    </row>
    <row r="1389">
      <c r="A1389" s="23">
        <v>19421</v>
      </c>
      <c r="B1389" s="4" t="s">
        <v>1733</v>
      </c>
      <c r="C1389" s="4" t="s">
        <v>64</v>
      </c>
      <c r="D1389" s="4" t="s">
        <v>93</v>
      </c>
      <c r="E1389" s="4" t="s">
        <v>170</v>
      </c>
      <c r="F1389" s="6">
        <v>2</v>
      </c>
      <c r="G1389" s="7">
        <v>0</v>
      </c>
      <c r="H1389" s="7">
        <v>0</v>
      </c>
      <c r="I1389" s="7">
        <v>0</v>
      </c>
      <c r="J1389" s="7">
        <v>0</v>
      </c>
      <c r="K1389" s="5">
        <v>2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7">
        <v>0</v>
      </c>
      <c r="Y1389" s="7">
        <v>0</v>
      </c>
      <c r="Z1389" s="5">
        <v>2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28">
        <v>0.5</v>
      </c>
    </row>
    <row r="1390">
      <c r="A1390" s="24">
        <v>19422</v>
      </c>
      <c r="B1390" s="9" t="s">
        <v>1734</v>
      </c>
      <c r="C1390" s="9" t="s">
        <v>64</v>
      </c>
      <c r="D1390" s="9" t="s">
        <v>125</v>
      </c>
      <c r="E1390" s="9" t="s">
        <v>1065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19424</v>
      </c>
      <c r="B1391" s="4" t="s">
        <v>1735</v>
      </c>
      <c r="C1391" s="4" t="s">
        <v>64</v>
      </c>
      <c r="D1391" s="4" t="s">
        <v>125</v>
      </c>
      <c r="E1391" s="4" t="s">
        <v>1065</v>
      </c>
      <c r="F1391" s="6">
        <v>3</v>
      </c>
      <c r="G1391" s="5">
        <v>2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2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1.5</v>
      </c>
      <c r="AL1391" s="5">
        <v>1</v>
      </c>
      <c r="AM1391" s="5">
        <v>2</v>
      </c>
      <c r="AN1391" s="28">
        <v>0.75</v>
      </c>
    </row>
    <row r="1392">
      <c r="A1392" s="24">
        <v>19425</v>
      </c>
      <c r="B1392" s="9" t="s">
        <v>1736</v>
      </c>
      <c r="C1392" s="9" t="s">
        <v>64</v>
      </c>
      <c r="D1392" s="9" t="s">
        <v>76</v>
      </c>
      <c r="E1392" s="9" t="s">
        <v>77</v>
      </c>
      <c r="F1392" s="11">
        <v>10</v>
      </c>
      <c r="G1392" s="12">
        <v>0</v>
      </c>
      <c r="H1392" s="12">
        <v>0</v>
      </c>
      <c r="I1392" s="12">
        <v>0</v>
      </c>
      <c r="J1392" s="10">
        <v>10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10</v>
      </c>
      <c r="V1392" s="12">
        <v>0</v>
      </c>
      <c r="W1392" s="12">
        <v>0</v>
      </c>
      <c r="X1392" s="12">
        <v>0</v>
      </c>
      <c r="Y1392" s="10">
        <v>10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10</v>
      </c>
      <c r="AK1392" s="13">
        <v>10</v>
      </c>
      <c r="AL1392" s="10">
        <v>10</v>
      </c>
      <c r="AM1392" s="10">
        <v>10</v>
      </c>
      <c r="AN1392" s="29">
        <v>2.5</v>
      </c>
    </row>
    <row r="1393">
      <c r="A1393" s="23">
        <v>19428</v>
      </c>
      <c r="B1393" s="4" t="s">
        <v>1737</v>
      </c>
      <c r="C1393" s="4" t="s">
        <v>64</v>
      </c>
      <c r="D1393" s="4" t="s">
        <v>72</v>
      </c>
      <c r="E1393" s="4" t="s">
        <v>73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19430</v>
      </c>
      <c r="B1394" s="9" t="s">
        <v>1738</v>
      </c>
      <c r="C1394" s="9" t="s">
        <v>64</v>
      </c>
      <c r="D1394" s="9" t="s">
        <v>102</v>
      </c>
      <c r="E1394" s="9" t="s">
        <v>209</v>
      </c>
      <c r="F1394" s="11">
        <v>3</v>
      </c>
      <c r="G1394" s="12">
        <v>0</v>
      </c>
      <c r="H1394" s="12">
        <v>0</v>
      </c>
      <c r="I1394" s="12">
        <v>0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2">
        <v>0</v>
      </c>
      <c r="W1394" s="12">
        <v>0</v>
      </c>
      <c r="X1394" s="12">
        <v>0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29">
        <v>0.75</v>
      </c>
    </row>
    <row r="1395">
      <c r="A1395" s="48">
        <v>19468</v>
      </c>
      <c r="B1395" s="42" t="s">
        <v>1739</v>
      </c>
      <c r="C1395" s="42" t="s">
        <v>611</v>
      </c>
      <c r="D1395" s="42" t="s">
        <v>612</v>
      </c>
      <c r="E1395" s="42" t="s">
        <v>620</v>
      </c>
      <c r="F1395" s="43">
        <v>1</v>
      </c>
      <c r="G1395" s="44">
        <v>0</v>
      </c>
      <c r="H1395" s="44">
        <v>0</v>
      </c>
      <c r="I1395" s="44">
        <v>0</v>
      </c>
      <c r="J1395" s="45">
        <v>1</v>
      </c>
      <c r="K1395" s="44">
        <v>0</v>
      </c>
      <c r="L1395" s="44">
        <v>0</v>
      </c>
      <c r="M1395" s="44">
        <v>0</v>
      </c>
      <c r="N1395" s="44">
        <v>0</v>
      </c>
      <c r="O1395" s="44">
        <v>0</v>
      </c>
      <c r="P1395" s="44">
        <v>0</v>
      </c>
      <c r="Q1395" s="44">
        <v>0</v>
      </c>
      <c r="R1395" s="44">
        <v>0</v>
      </c>
      <c r="S1395" s="44">
        <v>0</v>
      </c>
      <c r="T1395" s="51">
        <v>0</v>
      </c>
      <c r="U1395" s="43">
        <v>1</v>
      </c>
      <c r="V1395" s="44">
        <v>0</v>
      </c>
      <c r="W1395" s="44">
        <v>0</v>
      </c>
      <c r="X1395" s="44">
        <v>0</v>
      </c>
      <c r="Y1395" s="45">
        <v>1</v>
      </c>
      <c r="Z1395" s="44">
        <v>0</v>
      </c>
      <c r="AA1395" s="44">
        <v>0</v>
      </c>
      <c r="AB1395" s="44">
        <v>0</v>
      </c>
      <c r="AC1395" s="44">
        <v>0</v>
      </c>
      <c r="AD1395" s="44">
        <v>0</v>
      </c>
      <c r="AE1395" s="44">
        <v>0</v>
      </c>
      <c r="AF1395" s="44">
        <v>0</v>
      </c>
      <c r="AG1395" s="44">
        <v>0</v>
      </c>
      <c r="AH1395" s="44">
        <v>0</v>
      </c>
      <c r="AI1395" s="44">
        <v>0</v>
      </c>
      <c r="AJ1395" s="45">
        <v>1</v>
      </c>
      <c r="AK1395" s="46">
        <v>1</v>
      </c>
      <c r="AL1395" s="45">
        <v>1</v>
      </c>
      <c r="AM1395" s="45">
        <v>1</v>
      </c>
      <c r="AN1395" s="50">
        <v>0.26</v>
      </c>
    </row>
    <row r="1397">
      <c r="A1397" s="52" t="s">
        <v>0</v>
      </c>
      <c r="B1397" s="52" t="s">
        <v>0</v>
      </c>
      <c r="C1397" s="52" t="s">
        <v>0</v>
      </c>
      <c r="D1397" s="52" t="s">
        <v>0</v>
      </c>
      <c r="E1397" s="53" t="s">
        <v>57</v>
      </c>
      <c r="F1397" s="39">
        <f>SUM(F3:F1395)</f>
      </c>
      <c r="G1397" s="38">
        <f>SUM(G3:G1395)</f>
      </c>
      <c r="H1397" s="38">
        <f>SUM(H3:H1395)</f>
      </c>
      <c r="I1397" s="38">
        <f>SUM(I3:I1395)</f>
      </c>
      <c r="J1397" s="38">
        <f>SUM(J3:J1395)</f>
      </c>
      <c r="K1397" s="38">
        <f>SUM(K3:K1395)</f>
      </c>
      <c r="L1397" s="38">
        <f>SUM(L3:L1395)</f>
      </c>
      <c r="M1397" s="38">
        <f>SUM(M3:M1395)</f>
      </c>
      <c r="N1397" s="38">
        <f>SUM(N3:N1395)</f>
      </c>
      <c r="O1397" s="38">
        <f>SUM(O3:O1395)</f>
      </c>
      <c r="P1397" s="38">
        <f>SUM(P3:P1395)</f>
      </c>
      <c r="Q1397" s="38">
        <f>SUM(Q3:Q1395)</f>
      </c>
      <c r="R1397" s="38">
        <f>SUM(R3:R1395)</f>
      </c>
      <c r="S1397" s="38">
        <f>SUM(S3:S1395)</f>
      </c>
      <c r="T1397" s="38">
        <f>SUM(T3:T1395)</f>
      </c>
      <c r="U1397" s="39">
        <f>SUM(U3:U1395)</f>
      </c>
      <c r="V1397" s="38">
        <f>SUM(V3:V1395)</f>
      </c>
      <c r="W1397" s="38">
        <f>SUM(W3:W1395)</f>
      </c>
      <c r="X1397" s="38">
        <f>SUM(X3:X1395)</f>
      </c>
      <c r="Y1397" s="38">
        <f>SUM(Y3:Y1395)</f>
      </c>
      <c r="Z1397" s="38">
        <f>SUM(Z3:Z1395)</f>
      </c>
      <c r="AA1397" s="38">
        <f>SUM(AA3:AA1395)</f>
      </c>
      <c r="AB1397" s="38">
        <f>SUM(AB3:AB1395)</f>
      </c>
      <c r="AC1397" s="38">
        <f>SUM(AC3:AC1395)</f>
      </c>
      <c r="AD1397" s="38">
        <f>SUM(AD3:AD1395)</f>
      </c>
      <c r="AE1397" s="38">
        <f>SUM(AE3:AE1395)</f>
      </c>
      <c r="AF1397" s="38">
        <f>SUM(AF3:AF1395)</f>
      </c>
      <c r="AG1397" s="38">
        <f>SUM(AG3:AG1395)</f>
      </c>
      <c r="AH1397" s="38">
        <f>SUM(AH3:AH1395)</f>
      </c>
      <c r="AI1397" s="38">
        <f>SUM(AI3:AI1395)</f>
      </c>
      <c r="AJ1397" s="38">
        <f>MIN(AJ3:AJ1395)</f>
      </c>
      <c r="AK1397" s="38">
        <f>AVERAGE(AK3:AK1395)</f>
      </c>
      <c r="AL1397" s="38">
        <f>MEDIAN(AL3:AL1395)</f>
      </c>
      <c r="AM1397" s="38">
        <f>Max(AM3:AM1395)</f>
      </c>
      <c r="AN1397" s="40">
        <f>SUM(AN3:AN1395)</f>
      </c>
    </row>
  </sheetData>
  <autoFilter ref="A2:AN1395"/>
  <mergeCells>
    <mergeCell ref="A1:E1"/>
    <mergeCell ref="F1:T1"/>
    <mergeCell ref="U1:AI1"/>
    <mergeCell ref="AJ1:AN1"/>
    <mergeCell ref="A1397:D139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1740</v>
      </c>
      <c r="B1" s="55" t="s">
        <v>1741</v>
      </c>
    </row>
    <row r="2">
      <c r="A2" s="54" t="s">
        <v>1742</v>
      </c>
      <c r="B2" s="55" t="s">
        <v>1743</v>
      </c>
    </row>
    <row r="3">
      <c r="A3" s="1"/>
      <c r="B3" s="1"/>
    </row>
    <row r="4">
      <c r="A4" s="54" t="s">
        <v>1744</v>
      </c>
      <c r="B4" s="55" t="s">
        <v>1745</v>
      </c>
    </row>
    <row r="5">
      <c r="A5" s="54" t="s">
        <v>1746</v>
      </c>
      <c r="B5" s="55" t="s">
        <v>1747</v>
      </c>
    </row>
    <row r="6">
      <c r="A6" s="54" t="s">
        <v>1748</v>
      </c>
      <c r="B6" s="55"/>
    </row>
    <row r="7">
      <c r="A7" s="54" t="s">
        <v>1749</v>
      </c>
      <c r="B7" s="55"/>
    </row>
    <row r="8">
      <c r="A8" s="54" t="s">
        <v>1750</v>
      </c>
      <c r="B8" s="55" t="s">
        <v>1751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1752</v>
      </c>
      <c r="B12" s="55" t="s">
        <v>1753</v>
      </c>
    </row>
    <row r="13">
      <c r="A13" s="54" t="s">
        <v>1754</v>
      </c>
      <c r="B13" s="55" t="s">
        <v>1755</v>
      </c>
    </row>
    <row r="14">
      <c r="A14" s="54" t="s">
        <v>1756</v>
      </c>
      <c r="B14" s="55" t="s">
        <v>1757</v>
      </c>
    </row>
    <row r="15">
      <c r="A15" s="54" t="s">
        <v>1758</v>
      </c>
      <c r="B15" s="55" t="s">
        <v>1759</v>
      </c>
    </row>
    <row r="16">
      <c r="A16" s="54" t="s">
        <v>1760</v>
      </c>
      <c r="B16" s="55" t="s">
        <v>1761</v>
      </c>
    </row>
  </sheetData>
  <headerFooter/>
</worksheet>
</file>